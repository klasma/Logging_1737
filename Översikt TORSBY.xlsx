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45937</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45937</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45937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45937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45937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45937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45937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45937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45937</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45937</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45937</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45937</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46911-2024</t>
        </is>
      </c>
      <c r="B19" s="1" t="n">
        <v>45583</v>
      </c>
      <c r="C19" s="1" t="n">
        <v>45937</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60716-2021</t>
        </is>
      </c>
      <c r="B20" s="1" t="n">
        <v>44496</v>
      </c>
      <c r="C20" s="1" t="n">
        <v>45937</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4553-2021</t>
        </is>
      </c>
      <c r="B21" s="1" t="n">
        <v>44224</v>
      </c>
      <c r="C21" s="1" t="n">
        <v>45937</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41346-2024</t>
        </is>
      </c>
      <c r="B22" s="1" t="n">
        <v>45559</v>
      </c>
      <c r="C22" s="1" t="n">
        <v>45937</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45937</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45937</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45937</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45937</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45937</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45937</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44477-2024</t>
        </is>
      </c>
      <c r="B29" s="1" t="n">
        <v>45574</v>
      </c>
      <c r="C29" s="1" t="n">
        <v>45937</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22604-2025</t>
        </is>
      </c>
      <c r="B30" s="1" t="n">
        <v>45789.41592592592</v>
      </c>
      <c r="C30" s="1" t="n">
        <v>45937</v>
      </c>
      <c r="D30" t="inlineStr">
        <is>
          <t>VÄRMLANDS LÄN</t>
        </is>
      </c>
      <c r="E30" t="inlineStr">
        <is>
          <t>TORSBY</t>
        </is>
      </c>
      <c r="G30" t="n">
        <v>13.3</v>
      </c>
      <c r="H30" t="n">
        <v>0</v>
      </c>
      <c r="I30" t="n">
        <v>0</v>
      </c>
      <c r="J30" t="n">
        <v>6</v>
      </c>
      <c r="K30" t="n">
        <v>0</v>
      </c>
      <c r="L30" t="n">
        <v>0</v>
      </c>
      <c r="M30" t="n">
        <v>0</v>
      </c>
      <c r="N30" t="n">
        <v>0</v>
      </c>
      <c r="O30" t="n">
        <v>6</v>
      </c>
      <c r="P30" t="n">
        <v>0</v>
      </c>
      <c r="Q30" t="n">
        <v>6</v>
      </c>
      <c r="R30" s="2" t="inlineStr">
        <is>
          <t>Dvärgbägarlav
Garnlav
Kolflarnlav
Lunglav
Mörk kolflarnlav
Vedskivlav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12294-2025</t>
        </is>
      </c>
      <c r="B31" s="1" t="n">
        <v>45729</v>
      </c>
      <c r="C31" s="1" t="n">
        <v>45937</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45937</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45937</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45937</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8514-2022</t>
        </is>
      </c>
      <c r="B35" s="1" t="n">
        <v>44613.43620370371</v>
      </c>
      <c r="C35" s="1" t="n">
        <v>45937</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45937</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45937</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45937</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45937</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4972-2022</t>
        </is>
      </c>
      <c r="B40" s="1" t="n">
        <v>44593</v>
      </c>
      <c r="C40" s="1" t="n">
        <v>45937</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45937</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45937</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36543-2025</t>
        </is>
      </c>
      <c r="B43" s="1" t="n">
        <v>45869.66658564815</v>
      </c>
      <c r="C43" s="1" t="n">
        <v>45937</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4555-2021</t>
        </is>
      </c>
      <c r="B44" s="1" t="n">
        <v>44224</v>
      </c>
      <c r="C44" s="1" t="n">
        <v>45937</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20763-2025</t>
        </is>
      </c>
      <c r="B45" s="1" t="n">
        <v>45776.57929398148</v>
      </c>
      <c r="C45" s="1" t="n">
        <v>45937</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2938-2025</t>
        </is>
      </c>
      <c r="B46" s="1" t="n">
        <v>45678</v>
      </c>
      <c r="C46" s="1" t="n">
        <v>45937</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45937</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45937</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45937</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45937</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37948-2024</t>
        </is>
      </c>
      <c r="B51" s="1" t="n">
        <v>45544</v>
      </c>
      <c r="C51" s="1" t="n">
        <v>45937</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25899-2024</t>
        </is>
      </c>
      <c r="B52" s="1" t="n">
        <v>45467</v>
      </c>
      <c r="C52" s="1" t="n">
        <v>45937</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45937</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70301-2021</t>
        </is>
      </c>
      <c r="B54" s="1" t="n">
        <v>44536</v>
      </c>
      <c r="C54" s="1" t="n">
        <v>45937</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57190-2024</t>
        </is>
      </c>
      <c r="B55" s="1" t="n">
        <v>45629</v>
      </c>
      <c r="C55" s="1" t="n">
        <v>45937</v>
      </c>
      <c r="D55" t="inlineStr">
        <is>
          <t>VÄRMLANDS LÄN</t>
        </is>
      </c>
      <c r="E55" t="inlineStr">
        <is>
          <t>TORSBY</t>
        </is>
      </c>
      <c r="G55" t="n">
        <v>0.8</v>
      </c>
      <c r="H55" t="n">
        <v>0</v>
      </c>
      <c r="I55" t="n">
        <v>0</v>
      </c>
      <c r="J55" t="n">
        <v>3</v>
      </c>
      <c r="K55" t="n">
        <v>0</v>
      </c>
      <c r="L55" t="n">
        <v>0</v>
      </c>
      <c r="M55" t="n">
        <v>0</v>
      </c>
      <c r="N55" t="n">
        <v>0</v>
      </c>
      <c r="O55" t="n">
        <v>3</v>
      </c>
      <c r="P55" t="n">
        <v>0</v>
      </c>
      <c r="Q55" t="n">
        <v>3</v>
      </c>
      <c r="R55" s="2" t="inlineStr">
        <is>
          <t>Garnlav
Skogstrappmossa
Violettgrå tagellav</t>
        </is>
      </c>
      <c r="S55">
        <f>HYPERLINK("https://klasma.github.io/Logging_1737/artfynd/A 57190-2024 artfynd.xlsx", "A 57190-2024")</f>
        <v/>
      </c>
      <c r="T55">
        <f>HYPERLINK("https://klasma.github.io/Logging_1737/kartor/A 57190-2024 karta.png", "A 57190-2024")</f>
        <v/>
      </c>
      <c r="V55">
        <f>HYPERLINK("https://klasma.github.io/Logging_1737/klagomål/A 57190-2024 FSC-klagomål.docx", "A 57190-2024")</f>
        <v/>
      </c>
      <c r="W55">
        <f>HYPERLINK("https://klasma.github.io/Logging_1737/klagomålsmail/A 57190-2024 FSC-klagomål mail.docx", "A 57190-2024")</f>
        <v/>
      </c>
      <c r="X55">
        <f>HYPERLINK("https://klasma.github.io/Logging_1737/tillsyn/A 57190-2024 tillsynsbegäran.docx", "A 57190-2024")</f>
        <v/>
      </c>
      <c r="Y55">
        <f>HYPERLINK("https://klasma.github.io/Logging_1737/tillsynsmail/A 57190-2024 tillsynsbegäran mail.docx", "A 57190-2024")</f>
        <v/>
      </c>
    </row>
    <row r="56" ht="15" customHeight="1">
      <c r="A56" t="inlineStr">
        <is>
          <t>A 5680-2024</t>
        </is>
      </c>
      <c r="B56" s="1" t="n">
        <v>45334</v>
      </c>
      <c r="C56" s="1" t="n">
        <v>45937</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45937</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31835-2024</t>
        </is>
      </c>
      <c r="B58" s="1" t="n">
        <v>45509</v>
      </c>
      <c r="C58" s="1" t="n">
        <v>45937</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45937</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45937</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45937</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45937</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45937</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45937</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67528-2021</t>
        </is>
      </c>
      <c r="B65" s="1" t="n">
        <v>44524</v>
      </c>
      <c r="C65" s="1" t="n">
        <v>45937</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17740-2025</t>
        </is>
      </c>
      <c r="B66" s="1" t="n">
        <v>45758</v>
      </c>
      <c r="C66" s="1" t="n">
        <v>45937</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42480-2022</t>
        </is>
      </c>
      <c r="B67" s="1" t="n">
        <v>44831</v>
      </c>
      <c r="C67" s="1" t="n">
        <v>45937</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42595-2025</t>
        </is>
      </c>
      <c r="B68" s="1" t="n">
        <v>45905</v>
      </c>
      <c r="C68" s="1" t="n">
        <v>45937</v>
      </c>
      <c r="D68" t="inlineStr">
        <is>
          <t>VÄRMLANDS LÄN</t>
        </is>
      </c>
      <c r="E68" t="inlineStr">
        <is>
          <t>TORSBY</t>
        </is>
      </c>
      <c r="G68" t="n">
        <v>1</v>
      </c>
      <c r="H68" t="n">
        <v>0</v>
      </c>
      <c r="I68" t="n">
        <v>0</v>
      </c>
      <c r="J68" t="n">
        <v>2</v>
      </c>
      <c r="K68" t="n">
        <v>1</v>
      </c>
      <c r="L68" t="n">
        <v>0</v>
      </c>
      <c r="M68" t="n">
        <v>0</v>
      </c>
      <c r="N68" t="n">
        <v>0</v>
      </c>
      <c r="O68" t="n">
        <v>3</v>
      </c>
      <c r="P68" t="n">
        <v>1</v>
      </c>
      <c r="Q68" t="n">
        <v>3</v>
      </c>
      <c r="R68" s="2" t="inlineStr">
        <is>
          <t>Norsk näverlav
Vedtrappmossa
Violettgrå tagellav</t>
        </is>
      </c>
      <c r="S68">
        <f>HYPERLINK("https://klasma.github.io/Logging_1737/artfynd/A 42595-2025 artfynd.xlsx", "A 42595-2025")</f>
        <v/>
      </c>
      <c r="T68">
        <f>HYPERLINK("https://klasma.github.io/Logging_1737/kartor/A 42595-2025 karta.png", "A 42595-2025")</f>
        <v/>
      </c>
      <c r="V68">
        <f>HYPERLINK("https://klasma.github.io/Logging_1737/klagomål/A 42595-2025 FSC-klagomål.docx", "A 42595-2025")</f>
        <v/>
      </c>
      <c r="W68">
        <f>HYPERLINK("https://klasma.github.io/Logging_1737/klagomålsmail/A 42595-2025 FSC-klagomål mail.docx", "A 42595-2025")</f>
        <v/>
      </c>
      <c r="X68">
        <f>HYPERLINK("https://klasma.github.io/Logging_1737/tillsyn/A 42595-2025 tillsynsbegäran.docx", "A 42595-2025")</f>
        <v/>
      </c>
      <c r="Y68">
        <f>HYPERLINK("https://klasma.github.io/Logging_1737/tillsynsmail/A 42595-2025 tillsynsbegäran mail.docx", "A 42595-2025")</f>
        <v/>
      </c>
    </row>
    <row r="69" ht="15" customHeight="1">
      <c r="A69" t="inlineStr">
        <is>
          <t>A 46016-2023</t>
        </is>
      </c>
      <c r="B69" s="1" t="n">
        <v>45196</v>
      </c>
      <c r="C69" s="1" t="n">
        <v>45937</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45468-2025</t>
        </is>
      </c>
      <c r="B70" s="1" t="n">
        <v>45922</v>
      </c>
      <c r="C70" s="1" t="n">
        <v>45937</v>
      </c>
      <c r="D70" t="inlineStr">
        <is>
          <t>VÄRMLANDS LÄN</t>
        </is>
      </c>
      <c r="E70" t="inlineStr">
        <is>
          <t>TORSBY</t>
        </is>
      </c>
      <c r="G70" t="n">
        <v>5.6</v>
      </c>
      <c r="H70" t="n">
        <v>0</v>
      </c>
      <c r="I70" t="n">
        <v>0</v>
      </c>
      <c r="J70" t="n">
        <v>3</v>
      </c>
      <c r="K70" t="n">
        <v>0</v>
      </c>
      <c r="L70" t="n">
        <v>0</v>
      </c>
      <c r="M70" t="n">
        <v>0</v>
      </c>
      <c r="N70" t="n">
        <v>0</v>
      </c>
      <c r="O70" t="n">
        <v>3</v>
      </c>
      <c r="P70" t="n">
        <v>0</v>
      </c>
      <c r="Q70" t="n">
        <v>3</v>
      </c>
      <c r="R70" s="2" t="inlineStr">
        <is>
          <t>Garnlav
Kolflarnlav
Vedskivlav</t>
        </is>
      </c>
      <c r="S70">
        <f>HYPERLINK("https://klasma.github.io/Logging_1737/artfynd/A 45468-2025 artfynd.xlsx", "A 45468-2025")</f>
        <v/>
      </c>
      <c r="T70">
        <f>HYPERLINK("https://klasma.github.io/Logging_1737/kartor/A 45468-2025 karta.png", "A 45468-2025")</f>
        <v/>
      </c>
      <c r="V70">
        <f>HYPERLINK("https://klasma.github.io/Logging_1737/klagomål/A 45468-2025 FSC-klagomål.docx", "A 45468-2025")</f>
        <v/>
      </c>
      <c r="W70">
        <f>HYPERLINK("https://klasma.github.io/Logging_1737/klagomålsmail/A 45468-2025 FSC-klagomål mail.docx", "A 45468-2025")</f>
        <v/>
      </c>
      <c r="X70">
        <f>HYPERLINK("https://klasma.github.io/Logging_1737/tillsyn/A 45468-2025 tillsynsbegäran.docx", "A 45468-2025")</f>
        <v/>
      </c>
      <c r="Y70">
        <f>HYPERLINK("https://klasma.github.io/Logging_1737/tillsynsmail/A 45468-2025 tillsynsbegäran mail.docx", "A 45468-2025")</f>
        <v/>
      </c>
    </row>
    <row r="71" ht="15" customHeight="1">
      <c r="A71" t="inlineStr">
        <is>
          <t>A 3099-2024</t>
        </is>
      </c>
      <c r="B71" s="1" t="n">
        <v>45316</v>
      </c>
      <c r="C71" s="1" t="n">
        <v>45937</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53198-2020</t>
        </is>
      </c>
      <c r="B72" s="1" t="n">
        <v>44122</v>
      </c>
      <c r="C72" s="1" t="n">
        <v>45937</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45937</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45937</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62955-2023</t>
        </is>
      </c>
      <c r="B76" s="1" t="n">
        <v>45271</v>
      </c>
      <c r="C76" s="1" t="n">
        <v>45937</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23091-2024</t>
        </is>
      </c>
      <c r="B77" s="1" t="n">
        <v>45450</v>
      </c>
      <c r="C77" s="1" t="n">
        <v>45937</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16414-2023</t>
        </is>
      </c>
      <c r="B78" s="1" t="n">
        <v>45022</v>
      </c>
      <c r="C78" s="1" t="n">
        <v>45937</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4718-2023</t>
        </is>
      </c>
      <c r="B79" s="1" t="n">
        <v>44957</v>
      </c>
      <c r="C79" s="1" t="n">
        <v>45937</v>
      </c>
      <c r="D79" t="inlineStr">
        <is>
          <t>VÄRMLANDS LÄN</t>
        </is>
      </c>
      <c r="E79" t="inlineStr">
        <is>
          <t>TORSBY</t>
        </is>
      </c>
      <c r="G79" t="n">
        <v>8.5</v>
      </c>
      <c r="H79" t="n">
        <v>0</v>
      </c>
      <c r="I79" t="n">
        <v>0</v>
      </c>
      <c r="J79" t="n">
        <v>2</v>
      </c>
      <c r="K79" t="n">
        <v>0</v>
      </c>
      <c r="L79" t="n">
        <v>0</v>
      </c>
      <c r="M79" t="n">
        <v>0</v>
      </c>
      <c r="N79" t="n">
        <v>0</v>
      </c>
      <c r="O79" t="n">
        <v>2</v>
      </c>
      <c r="P79" t="n">
        <v>0</v>
      </c>
      <c r="Q79" t="n">
        <v>2</v>
      </c>
      <c r="R79" s="2" t="inlineStr">
        <is>
          <t>Garnlav
Violettgrå tagellav</t>
        </is>
      </c>
      <c r="S79">
        <f>HYPERLINK("https://klasma.github.io/Logging_1737/artfynd/A 4718-2023 artfynd.xlsx", "A 4718-2023")</f>
        <v/>
      </c>
      <c r="T79">
        <f>HYPERLINK("https://klasma.github.io/Logging_1737/kartor/A 4718-2023 karta.png", "A 4718-2023")</f>
        <v/>
      </c>
      <c r="V79">
        <f>HYPERLINK("https://klasma.github.io/Logging_1737/klagomål/A 4718-2023 FSC-klagomål.docx", "A 4718-2023")</f>
        <v/>
      </c>
      <c r="W79">
        <f>HYPERLINK("https://klasma.github.io/Logging_1737/klagomålsmail/A 4718-2023 FSC-klagomål mail.docx", "A 4718-2023")</f>
        <v/>
      </c>
      <c r="X79">
        <f>HYPERLINK("https://klasma.github.io/Logging_1737/tillsyn/A 4718-2023 tillsynsbegäran.docx", "A 4718-2023")</f>
        <v/>
      </c>
      <c r="Y79">
        <f>HYPERLINK("https://klasma.github.io/Logging_1737/tillsynsmail/A 4718-2023 tillsynsbegäran mail.docx", "A 4718-2023")</f>
        <v/>
      </c>
    </row>
    <row r="80" ht="15" customHeight="1">
      <c r="A80" t="inlineStr">
        <is>
          <t>A 33906-2025</t>
        </is>
      </c>
      <c r="B80" s="1" t="n">
        <v>45842.59878472222</v>
      </c>
      <c r="C80" s="1" t="n">
        <v>45937</v>
      </c>
      <c r="D80" t="inlineStr">
        <is>
          <t>VÄRMLANDS LÄN</t>
        </is>
      </c>
      <c r="E80" t="inlineStr">
        <is>
          <t>TORSBY</t>
        </is>
      </c>
      <c r="G80" t="n">
        <v>11.5</v>
      </c>
      <c r="H80" t="n">
        <v>0</v>
      </c>
      <c r="I80" t="n">
        <v>1</v>
      </c>
      <c r="J80" t="n">
        <v>1</v>
      </c>
      <c r="K80" t="n">
        <v>0</v>
      </c>
      <c r="L80" t="n">
        <v>0</v>
      </c>
      <c r="M80" t="n">
        <v>0</v>
      </c>
      <c r="N80" t="n">
        <v>0</v>
      </c>
      <c r="O80" t="n">
        <v>1</v>
      </c>
      <c r="P80" t="n">
        <v>0</v>
      </c>
      <c r="Q80" t="n">
        <v>2</v>
      </c>
      <c r="R80" s="2" t="inlineStr">
        <is>
          <t>Garnlav
Korallblylav</t>
        </is>
      </c>
      <c r="S80">
        <f>HYPERLINK("https://klasma.github.io/Logging_1737/artfynd/A 33906-2025 artfynd.xlsx", "A 33906-2025")</f>
        <v/>
      </c>
      <c r="T80">
        <f>HYPERLINK("https://klasma.github.io/Logging_1737/kartor/A 33906-2025 karta.png", "A 33906-2025")</f>
        <v/>
      </c>
      <c r="V80">
        <f>HYPERLINK("https://klasma.github.io/Logging_1737/klagomål/A 33906-2025 FSC-klagomål.docx", "A 33906-2025")</f>
        <v/>
      </c>
      <c r="W80">
        <f>HYPERLINK("https://klasma.github.io/Logging_1737/klagomålsmail/A 33906-2025 FSC-klagomål mail.docx", "A 33906-2025")</f>
        <v/>
      </c>
      <c r="X80">
        <f>HYPERLINK("https://klasma.github.io/Logging_1737/tillsyn/A 33906-2025 tillsynsbegäran.docx", "A 33906-2025")</f>
        <v/>
      </c>
      <c r="Y80">
        <f>HYPERLINK("https://klasma.github.io/Logging_1737/tillsynsmail/A 33906-2025 tillsynsbegäran mail.docx", "A 33906-2025")</f>
        <v/>
      </c>
    </row>
    <row r="81" ht="15" customHeight="1">
      <c r="A81" t="inlineStr">
        <is>
          <t>A 42610-2023</t>
        </is>
      </c>
      <c r="B81" s="1" t="n">
        <v>45181</v>
      </c>
      <c r="C81" s="1" t="n">
        <v>45937</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12372-2022</t>
        </is>
      </c>
      <c r="B82" s="1" t="n">
        <v>44637</v>
      </c>
      <c r="C82" s="1" t="n">
        <v>45937</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12375-2022</t>
        </is>
      </c>
      <c r="B83" s="1" t="n">
        <v>44637</v>
      </c>
      <c r="C83" s="1" t="n">
        <v>45937</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48292-2023</t>
        </is>
      </c>
      <c r="B84" s="1" t="n">
        <v>45205</v>
      </c>
      <c r="C84" s="1" t="n">
        <v>45937</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46580-2025</t>
        </is>
      </c>
      <c r="B85" s="1" t="n">
        <v>45926</v>
      </c>
      <c r="C85" s="1" t="n">
        <v>45937</v>
      </c>
      <c r="D85" t="inlineStr">
        <is>
          <t>VÄRMLANDS LÄN</t>
        </is>
      </c>
      <c r="E85" t="inlineStr">
        <is>
          <t>TORSBY</t>
        </is>
      </c>
      <c r="G85" t="n">
        <v>1.4</v>
      </c>
      <c r="H85" t="n">
        <v>0</v>
      </c>
      <c r="I85" t="n">
        <v>0</v>
      </c>
      <c r="J85" t="n">
        <v>2</v>
      </c>
      <c r="K85" t="n">
        <v>0</v>
      </c>
      <c r="L85" t="n">
        <v>0</v>
      </c>
      <c r="M85" t="n">
        <v>0</v>
      </c>
      <c r="N85" t="n">
        <v>0</v>
      </c>
      <c r="O85" t="n">
        <v>2</v>
      </c>
      <c r="P85" t="n">
        <v>0</v>
      </c>
      <c r="Q85" t="n">
        <v>2</v>
      </c>
      <c r="R85" s="2" t="inlineStr">
        <is>
          <t>Garnlav
Vedskivlav</t>
        </is>
      </c>
      <c r="S85">
        <f>HYPERLINK("https://klasma.github.io/Logging_1737/artfynd/A 46580-2025 artfynd.xlsx", "A 46580-2025")</f>
        <v/>
      </c>
      <c r="T85">
        <f>HYPERLINK("https://klasma.github.io/Logging_1737/kartor/A 46580-2025 karta.png", "A 46580-2025")</f>
        <v/>
      </c>
      <c r="V85">
        <f>HYPERLINK("https://klasma.github.io/Logging_1737/klagomål/A 46580-2025 FSC-klagomål.docx", "A 46580-2025")</f>
        <v/>
      </c>
      <c r="W85">
        <f>HYPERLINK("https://klasma.github.io/Logging_1737/klagomålsmail/A 46580-2025 FSC-klagomål mail.docx", "A 46580-2025")</f>
        <v/>
      </c>
      <c r="X85">
        <f>HYPERLINK("https://klasma.github.io/Logging_1737/tillsyn/A 46580-2025 tillsynsbegäran.docx", "A 46580-2025")</f>
        <v/>
      </c>
      <c r="Y85">
        <f>HYPERLINK("https://klasma.github.io/Logging_1737/tillsynsmail/A 46580-2025 tillsynsbegäran mail.docx", "A 46580-2025")</f>
        <v/>
      </c>
    </row>
    <row r="86" ht="15" customHeight="1">
      <c r="A86" t="inlineStr">
        <is>
          <t>A 28156-2022</t>
        </is>
      </c>
      <c r="B86" s="1" t="n">
        <v>44746</v>
      </c>
      <c r="C86" s="1" t="n">
        <v>45937</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25212-2025</t>
        </is>
      </c>
      <c r="B87" s="1" t="n">
        <v>45800</v>
      </c>
      <c r="C87" s="1" t="n">
        <v>45937</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61950-2024</t>
        </is>
      </c>
      <c r="B88" s="1" t="n">
        <v>45653</v>
      </c>
      <c r="C88" s="1" t="n">
        <v>45937</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34930-2022</t>
        </is>
      </c>
      <c r="B89" s="1" t="n">
        <v>44796</v>
      </c>
      <c r="C89" s="1" t="n">
        <v>45937</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16011-2025</t>
        </is>
      </c>
      <c r="B90" s="1" t="n">
        <v>45749</v>
      </c>
      <c r="C90" s="1" t="n">
        <v>45937</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45937</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45937</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42488-2025</t>
        </is>
      </c>
      <c r="B93" s="1" t="n">
        <v>45905</v>
      </c>
      <c r="C93" s="1" t="n">
        <v>45937</v>
      </c>
      <c r="D93" t="inlineStr">
        <is>
          <t>VÄRMLANDS LÄN</t>
        </is>
      </c>
      <c r="E93" t="inlineStr">
        <is>
          <t>TORSBY</t>
        </is>
      </c>
      <c r="G93" t="n">
        <v>4.1</v>
      </c>
      <c r="H93" t="n">
        <v>0</v>
      </c>
      <c r="I93" t="n">
        <v>2</v>
      </c>
      <c r="J93" t="n">
        <v>0</v>
      </c>
      <c r="K93" t="n">
        <v>0</v>
      </c>
      <c r="L93" t="n">
        <v>0</v>
      </c>
      <c r="M93" t="n">
        <v>0</v>
      </c>
      <c r="N93" t="n">
        <v>0</v>
      </c>
      <c r="O93" t="n">
        <v>0</v>
      </c>
      <c r="P93" t="n">
        <v>0</v>
      </c>
      <c r="Q93" t="n">
        <v>2</v>
      </c>
      <c r="R93" s="2" t="inlineStr">
        <is>
          <t>Skuggblåslav
Vedticka</t>
        </is>
      </c>
      <c r="S93">
        <f>HYPERLINK("https://klasma.github.io/Logging_1737/artfynd/A 42488-2025 artfynd.xlsx", "A 42488-2025")</f>
        <v/>
      </c>
      <c r="T93">
        <f>HYPERLINK("https://klasma.github.io/Logging_1737/kartor/A 42488-2025 karta.png", "A 42488-2025")</f>
        <v/>
      </c>
      <c r="V93">
        <f>HYPERLINK("https://klasma.github.io/Logging_1737/klagomål/A 42488-2025 FSC-klagomål.docx", "A 42488-2025")</f>
        <v/>
      </c>
      <c r="W93">
        <f>HYPERLINK("https://klasma.github.io/Logging_1737/klagomålsmail/A 42488-2025 FSC-klagomål mail.docx", "A 42488-2025")</f>
        <v/>
      </c>
      <c r="X93">
        <f>HYPERLINK("https://klasma.github.io/Logging_1737/tillsyn/A 42488-2025 tillsynsbegäran.docx", "A 42488-2025")</f>
        <v/>
      </c>
      <c r="Y93">
        <f>HYPERLINK("https://klasma.github.io/Logging_1737/tillsynsmail/A 42488-2025 tillsynsbegäran mail.docx", "A 42488-2025")</f>
        <v/>
      </c>
    </row>
    <row r="94" ht="15" customHeight="1">
      <c r="A94" t="inlineStr">
        <is>
          <t>A 16442-2023</t>
        </is>
      </c>
      <c r="B94" s="1" t="n">
        <v>45026</v>
      </c>
      <c r="C94" s="1" t="n">
        <v>45937</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45937</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45937</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45937</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45937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53491-2020</t>
        </is>
      </c>
      <c r="B99" s="1" t="n">
        <v>44123</v>
      </c>
      <c r="C99" s="1" t="n">
        <v>45937</v>
      </c>
      <c r="D99" t="inlineStr">
        <is>
          <t>VÄRMLANDS LÄN</t>
        </is>
      </c>
      <c r="E99" t="inlineStr">
        <is>
          <t>TORSBY</t>
        </is>
      </c>
      <c r="G99" t="n">
        <v>1.5</v>
      </c>
      <c r="H99" t="n">
        <v>0</v>
      </c>
      <c r="I99" t="n">
        <v>0</v>
      </c>
      <c r="J99" t="n">
        <v>1</v>
      </c>
      <c r="K99" t="n">
        <v>0</v>
      </c>
      <c r="L99" t="n">
        <v>0</v>
      </c>
      <c r="M99" t="n">
        <v>0</v>
      </c>
      <c r="N99" t="n">
        <v>0</v>
      </c>
      <c r="O99" t="n">
        <v>1</v>
      </c>
      <c r="P99" t="n">
        <v>0</v>
      </c>
      <c r="Q99" t="n">
        <v>1</v>
      </c>
      <c r="R99" s="2" t="inlineStr">
        <is>
          <t>Garnlav</t>
        </is>
      </c>
      <c r="S99">
        <f>HYPERLINK("https://klasma.github.io/Logging_1737/artfynd/A 53491-2020 artfynd.xlsx", "A 53491-2020")</f>
        <v/>
      </c>
      <c r="T99">
        <f>HYPERLINK("https://klasma.github.io/Logging_1737/kartor/A 53491-2020 karta.png", "A 53491-2020")</f>
        <v/>
      </c>
      <c r="V99">
        <f>HYPERLINK("https://klasma.github.io/Logging_1737/klagomål/A 53491-2020 FSC-klagomål.docx", "A 53491-2020")</f>
        <v/>
      </c>
      <c r="W99">
        <f>HYPERLINK("https://klasma.github.io/Logging_1737/klagomålsmail/A 53491-2020 FSC-klagomål mail.docx", "A 53491-2020")</f>
        <v/>
      </c>
      <c r="X99">
        <f>HYPERLINK("https://klasma.github.io/Logging_1737/tillsyn/A 53491-2020 tillsynsbegäran.docx", "A 53491-2020")</f>
        <v/>
      </c>
      <c r="Y99">
        <f>HYPERLINK("https://klasma.github.io/Logging_1737/tillsynsmail/A 53491-2020 tillsynsbegäran mail.docx", "A 53491-2020")</f>
        <v/>
      </c>
    </row>
    <row r="100" ht="15" customHeight="1">
      <c r="A100" t="inlineStr">
        <is>
          <t>A 51288-2022</t>
        </is>
      </c>
      <c r="B100" s="1" t="n">
        <v>44868</v>
      </c>
      <c r="C100" s="1" t="n">
        <v>45937</v>
      </c>
      <c r="D100" t="inlineStr">
        <is>
          <t>VÄRMLANDS LÄN</t>
        </is>
      </c>
      <c r="E100" t="inlineStr">
        <is>
          <t>TORSBY</t>
        </is>
      </c>
      <c r="G100" t="n">
        <v>1.9</v>
      </c>
      <c r="H100" t="n">
        <v>1</v>
      </c>
      <c r="I100" t="n">
        <v>0</v>
      </c>
      <c r="J100" t="n">
        <v>0</v>
      </c>
      <c r="K100" t="n">
        <v>1</v>
      </c>
      <c r="L100" t="n">
        <v>0</v>
      </c>
      <c r="M100" t="n">
        <v>0</v>
      </c>
      <c r="N100" t="n">
        <v>0</v>
      </c>
      <c r="O100" t="n">
        <v>1</v>
      </c>
      <c r="P100" t="n">
        <v>1</v>
      </c>
      <c r="Q100" t="n">
        <v>1</v>
      </c>
      <c r="R100" s="2" t="inlineStr">
        <is>
          <t>Bombmurkla</t>
        </is>
      </c>
      <c r="S100">
        <f>HYPERLINK("https://klasma.github.io/Logging_1737/artfynd/A 51288-2022 artfynd.xlsx", "A 51288-2022")</f>
        <v/>
      </c>
      <c r="T100">
        <f>HYPERLINK("https://klasma.github.io/Logging_1737/kartor/A 51288-2022 karta.png", "A 51288-2022")</f>
        <v/>
      </c>
      <c r="V100">
        <f>HYPERLINK("https://klasma.github.io/Logging_1737/klagomål/A 51288-2022 FSC-klagomål.docx", "A 51288-2022")</f>
        <v/>
      </c>
      <c r="W100">
        <f>HYPERLINK("https://klasma.github.io/Logging_1737/klagomålsmail/A 51288-2022 FSC-klagomål mail.docx", "A 51288-2022")</f>
        <v/>
      </c>
      <c r="X100">
        <f>HYPERLINK("https://klasma.github.io/Logging_1737/tillsyn/A 51288-2022 tillsynsbegäran.docx", "A 51288-2022")</f>
        <v/>
      </c>
      <c r="Y100">
        <f>HYPERLINK("https://klasma.github.io/Logging_1737/tillsynsmail/A 51288-2022 tillsynsbegäran mail.docx", "A 51288-2022")</f>
        <v/>
      </c>
    </row>
    <row r="101" ht="15" customHeight="1">
      <c r="A101" t="inlineStr">
        <is>
          <t>A 58470-2021</t>
        </is>
      </c>
      <c r="B101" s="1" t="n">
        <v>44488</v>
      </c>
      <c r="C101" s="1" t="n">
        <v>45937</v>
      </c>
      <c r="D101" t="inlineStr">
        <is>
          <t>VÄRMLANDS LÄN</t>
        </is>
      </c>
      <c r="E101" t="inlineStr">
        <is>
          <t>TORSBY</t>
        </is>
      </c>
      <c r="G101" t="n">
        <v>8.699999999999999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HYPERLINK("https://klasma.github.io/Logging_1737/artfynd/A 58470-2021 artfynd.xlsx", "A 58470-2021")</f>
        <v/>
      </c>
      <c r="T101">
        <f>HYPERLINK("https://klasma.github.io/Logging_1737/kartor/A 58470-2021 karta.png", "A 58470-2021")</f>
        <v/>
      </c>
      <c r="V101">
        <f>HYPERLINK("https://klasma.github.io/Logging_1737/klagomål/A 58470-2021 FSC-klagomål.docx", "A 58470-2021")</f>
        <v/>
      </c>
      <c r="W101">
        <f>HYPERLINK("https://klasma.github.io/Logging_1737/klagomålsmail/A 58470-2021 FSC-klagomål mail.docx", "A 58470-2021")</f>
        <v/>
      </c>
      <c r="X101">
        <f>HYPERLINK("https://klasma.github.io/Logging_1737/tillsyn/A 58470-2021 tillsynsbegäran.docx", "A 58470-2021")</f>
        <v/>
      </c>
      <c r="Y101">
        <f>HYPERLINK("https://klasma.github.io/Logging_1737/tillsynsmail/A 58470-2021 tillsynsbegäran mail.docx", "A 58470-2021")</f>
        <v/>
      </c>
    </row>
    <row r="102" ht="15" customHeight="1">
      <c r="A102" t="inlineStr">
        <is>
          <t>A 40934-2024</t>
        </is>
      </c>
      <c r="B102" s="1" t="n">
        <v>45558</v>
      </c>
      <c r="C102" s="1" t="n">
        <v>45937</v>
      </c>
      <c r="D102" t="inlineStr">
        <is>
          <t>VÄRMLANDS LÄN</t>
        </is>
      </c>
      <c r="E102" t="inlineStr">
        <is>
          <t>TORSBY</t>
        </is>
      </c>
      <c r="G102" t="n">
        <v>8.1</v>
      </c>
      <c r="H102" t="n">
        <v>0</v>
      </c>
      <c r="I102" t="n">
        <v>0</v>
      </c>
      <c r="J102" t="n">
        <v>1</v>
      </c>
      <c r="K102" t="n">
        <v>0</v>
      </c>
      <c r="L102" t="n">
        <v>0</v>
      </c>
      <c r="M102" t="n">
        <v>0</v>
      </c>
      <c r="N102" t="n">
        <v>0</v>
      </c>
      <c r="O102" t="n">
        <v>1</v>
      </c>
      <c r="P102" t="n">
        <v>0</v>
      </c>
      <c r="Q102" t="n">
        <v>1</v>
      </c>
      <c r="R102" s="2" t="inlineStr">
        <is>
          <t>Lunglav</t>
        </is>
      </c>
      <c r="S102">
        <f>HYPERLINK("https://klasma.github.io/Logging_1737/artfynd/A 40934-2024 artfynd.xlsx", "A 40934-2024")</f>
        <v/>
      </c>
      <c r="T102">
        <f>HYPERLINK("https://klasma.github.io/Logging_1737/kartor/A 40934-2024 karta.png", "A 40934-2024")</f>
        <v/>
      </c>
      <c r="V102">
        <f>HYPERLINK("https://klasma.github.io/Logging_1737/klagomål/A 40934-2024 FSC-klagomål.docx", "A 40934-2024")</f>
        <v/>
      </c>
      <c r="W102">
        <f>HYPERLINK("https://klasma.github.io/Logging_1737/klagomålsmail/A 40934-2024 FSC-klagomål mail.docx", "A 40934-2024")</f>
        <v/>
      </c>
      <c r="X102">
        <f>HYPERLINK("https://klasma.github.io/Logging_1737/tillsyn/A 40934-2024 tillsynsbegäran.docx", "A 40934-2024")</f>
        <v/>
      </c>
      <c r="Y102">
        <f>HYPERLINK("https://klasma.github.io/Logging_1737/tillsynsmail/A 40934-2024 tillsynsbegäran mail.docx", "A 40934-2024")</f>
        <v/>
      </c>
    </row>
    <row r="103" ht="15" customHeight="1">
      <c r="A103" t="inlineStr">
        <is>
          <t>A 54029-2024</t>
        </is>
      </c>
      <c r="B103" s="1" t="n">
        <v>45616</v>
      </c>
      <c r="C103" s="1" t="n">
        <v>45937</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40033-2024</t>
        </is>
      </c>
      <c r="B104" s="1" t="n">
        <v>45553</v>
      </c>
      <c r="C104" s="1" t="n">
        <v>45937</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46099-2023</t>
        </is>
      </c>
      <c r="B105" s="1" t="n">
        <v>45196</v>
      </c>
      <c r="C105" s="1" t="n">
        <v>45937</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54982-2021</t>
        </is>
      </c>
      <c r="B106" s="1" t="n">
        <v>44469</v>
      </c>
      <c r="C106" s="1" t="n">
        <v>45937</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1811-2024</t>
        </is>
      </c>
      <c r="B107" s="1" t="n">
        <v>45307</v>
      </c>
      <c r="C107" s="1" t="n">
        <v>45937</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49724-2023</t>
        </is>
      </c>
      <c r="B108" s="1" t="n">
        <v>45208</v>
      </c>
      <c r="C108" s="1" t="n">
        <v>45937</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Garnlav</t>
        </is>
      </c>
      <c r="S108">
        <f>HYPERLINK("https://klasma.github.io/Logging_1737/artfynd/A 49724-2023 artfynd.xlsx", "A 49724-2023")</f>
        <v/>
      </c>
      <c r="T108">
        <f>HYPERLINK("https://klasma.github.io/Logging_1737/kartor/A 49724-2023 karta.png", "A 49724-2023")</f>
        <v/>
      </c>
      <c r="V108">
        <f>HYPERLINK("https://klasma.github.io/Logging_1737/klagomål/A 49724-2023 FSC-klagomål.docx", "A 49724-2023")</f>
        <v/>
      </c>
      <c r="W108">
        <f>HYPERLINK("https://klasma.github.io/Logging_1737/klagomålsmail/A 49724-2023 FSC-klagomål mail.docx", "A 49724-2023")</f>
        <v/>
      </c>
      <c r="X108">
        <f>HYPERLINK("https://klasma.github.io/Logging_1737/tillsyn/A 49724-2023 tillsynsbegäran.docx", "A 49724-2023")</f>
        <v/>
      </c>
      <c r="Y108">
        <f>HYPERLINK("https://klasma.github.io/Logging_1737/tillsynsmail/A 49724-2023 tillsynsbegäran mail.docx", "A 49724-2023")</f>
        <v/>
      </c>
    </row>
    <row r="109" ht="15" customHeight="1">
      <c r="A109" t="inlineStr">
        <is>
          <t>A 50318-2024</t>
        </is>
      </c>
      <c r="B109" s="1" t="n">
        <v>45600</v>
      </c>
      <c r="C109" s="1" t="n">
        <v>45937</v>
      </c>
      <c r="D109" t="inlineStr">
        <is>
          <t>VÄRMLANDS LÄN</t>
        </is>
      </c>
      <c r="E109" t="inlineStr">
        <is>
          <t>TORSBY</t>
        </is>
      </c>
      <c r="F109" t="inlineStr">
        <is>
          <t>Bergvik skog väst AB</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50318-2024 artfynd.xlsx", "A 50318-2024")</f>
        <v/>
      </c>
      <c r="T109">
        <f>HYPERLINK("https://klasma.github.io/Logging_1737/kartor/A 50318-2024 karta.png", "A 50318-2024")</f>
        <v/>
      </c>
      <c r="V109">
        <f>HYPERLINK("https://klasma.github.io/Logging_1737/klagomål/A 50318-2024 FSC-klagomål.docx", "A 50318-2024")</f>
        <v/>
      </c>
      <c r="W109">
        <f>HYPERLINK("https://klasma.github.io/Logging_1737/klagomålsmail/A 50318-2024 FSC-klagomål mail.docx", "A 50318-2024")</f>
        <v/>
      </c>
      <c r="X109">
        <f>HYPERLINK("https://klasma.github.io/Logging_1737/tillsyn/A 50318-2024 tillsynsbegäran.docx", "A 50318-2024")</f>
        <v/>
      </c>
      <c r="Y109">
        <f>HYPERLINK("https://klasma.github.io/Logging_1737/tillsynsmail/A 50318-2024 tillsynsbegäran mail.docx", "A 50318-2024")</f>
        <v/>
      </c>
    </row>
    <row r="110" ht="15" customHeight="1">
      <c r="A110" t="inlineStr">
        <is>
          <t>A 25217-2025</t>
        </is>
      </c>
      <c r="B110" s="1" t="n">
        <v>45800.4756712963</v>
      </c>
      <c r="C110" s="1" t="n">
        <v>45937</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25802-2025</t>
        </is>
      </c>
      <c r="B111" s="1" t="n">
        <v>45804.40766203704</v>
      </c>
      <c r="C111" s="1" t="n">
        <v>45937</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24042-2021</t>
        </is>
      </c>
      <c r="B112" s="1" t="n">
        <v>44336</v>
      </c>
      <c r="C112" s="1" t="n">
        <v>45937</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8747-2021</t>
        </is>
      </c>
      <c r="B113" s="1" t="n">
        <v>44246</v>
      </c>
      <c r="C113" s="1" t="n">
        <v>45937</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41477-2024</t>
        </is>
      </c>
      <c r="B114" s="1" t="n">
        <v>45560</v>
      </c>
      <c r="C114" s="1" t="n">
        <v>45937</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27301-2025</t>
        </is>
      </c>
      <c r="B115" s="1" t="n">
        <v>45812.57186342592</v>
      </c>
      <c r="C115" s="1" t="n">
        <v>45937</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27108-2025</t>
        </is>
      </c>
      <c r="B116" s="1" t="n">
        <v>45811.72777777778</v>
      </c>
      <c r="C116" s="1" t="n">
        <v>45937</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27108-2025 artfynd.xlsx", "A 27108-2025")</f>
        <v/>
      </c>
      <c r="T116">
        <f>HYPERLINK("https://klasma.github.io/Logging_1737/kartor/A 27108-2025 karta.png", "A 27108-2025")</f>
        <v/>
      </c>
      <c r="V116">
        <f>HYPERLINK("https://klasma.github.io/Logging_1737/klagomål/A 27108-2025 FSC-klagomål.docx", "A 27108-2025")</f>
        <v/>
      </c>
      <c r="W116">
        <f>HYPERLINK("https://klasma.github.io/Logging_1737/klagomålsmail/A 27108-2025 FSC-klagomål mail.docx", "A 27108-2025")</f>
        <v/>
      </c>
      <c r="X116">
        <f>HYPERLINK("https://klasma.github.io/Logging_1737/tillsyn/A 27108-2025 tillsynsbegäran.docx", "A 27108-2025")</f>
        <v/>
      </c>
      <c r="Y116">
        <f>HYPERLINK("https://klasma.github.io/Logging_1737/tillsynsmail/A 27108-2025 tillsynsbegäran mail.docx", "A 27108-2025")</f>
        <v/>
      </c>
    </row>
    <row r="117" ht="15" customHeight="1">
      <c r="A117" t="inlineStr">
        <is>
          <t>A 13359-2023</t>
        </is>
      </c>
      <c r="B117" s="1" t="n">
        <v>45005.46405092593</v>
      </c>
      <c r="C117" s="1" t="n">
        <v>45937</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45937</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45937</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29756-2025</t>
        </is>
      </c>
      <c r="B120" s="1" t="n">
        <v>45825.61525462963</v>
      </c>
      <c r="C120" s="1" t="n">
        <v>45937</v>
      </c>
      <c r="D120" t="inlineStr">
        <is>
          <t>VÄRMLANDS LÄN</t>
        </is>
      </c>
      <c r="E120" t="inlineStr">
        <is>
          <t>TORSBY</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HYPERLINK("https://klasma.github.io/Logging_1737/artfynd/A 29756-2025 artfynd.xlsx", "A 29756-2025")</f>
        <v/>
      </c>
      <c r="T120">
        <f>HYPERLINK("https://klasma.github.io/Logging_1737/kartor/A 29756-2025 karta.png", "A 29756-2025")</f>
        <v/>
      </c>
      <c r="V120">
        <f>HYPERLINK("https://klasma.github.io/Logging_1737/klagomål/A 29756-2025 FSC-klagomål.docx", "A 29756-2025")</f>
        <v/>
      </c>
      <c r="W120">
        <f>HYPERLINK("https://klasma.github.io/Logging_1737/klagomålsmail/A 29756-2025 FSC-klagomål mail.docx", "A 29756-2025")</f>
        <v/>
      </c>
      <c r="X120">
        <f>HYPERLINK("https://klasma.github.io/Logging_1737/tillsyn/A 29756-2025 tillsynsbegäran.docx", "A 29756-2025")</f>
        <v/>
      </c>
      <c r="Y120">
        <f>HYPERLINK("https://klasma.github.io/Logging_1737/tillsynsmail/A 29756-2025 tillsynsbegäran mail.docx", "A 29756-2025")</f>
        <v/>
      </c>
    </row>
    <row r="121" ht="15" customHeight="1">
      <c r="A121" t="inlineStr">
        <is>
          <t>A 5726-2025</t>
        </is>
      </c>
      <c r="B121" s="1" t="n">
        <v>45694</v>
      </c>
      <c r="C121" s="1" t="n">
        <v>45937</v>
      </c>
      <c r="D121" t="inlineStr">
        <is>
          <t>VÄRMLANDS LÄN</t>
        </is>
      </c>
      <c r="E121" t="inlineStr">
        <is>
          <t>TORSBY</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5726-2025 artfynd.xlsx", "A 5726-2025")</f>
        <v/>
      </c>
      <c r="T121">
        <f>HYPERLINK("https://klasma.github.io/Logging_1737/kartor/A 5726-2025 karta.png", "A 5726-2025")</f>
        <v/>
      </c>
      <c r="V121">
        <f>HYPERLINK("https://klasma.github.io/Logging_1737/klagomål/A 5726-2025 FSC-klagomål.docx", "A 5726-2025")</f>
        <v/>
      </c>
      <c r="W121">
        <f>HYPERLINK("https://klasma.github.io/Logging_1737/klagomålsmail/A 5726-2025 FSC-klagomål mail.docx", "A 5726-2025")</f>
        <v/>
      </c>
      <c r="X121">
        <f>HYPERLINK("https://klasma.github.io/Logging_1737/tillsyn/A 5726-2025 tillsynsbegäran.docx", "A 5726-2025")</f>
        <v/>
      </c>
      <c r="Y121">
        <f>HYPERLINK("https://klasma.github.io/Logging_1737/tillsynsmail/A 5726-2025 tillsynsbegäran mail.docx", "A 5726-2025")</f>
        <v/>
      </c>
    </row>
    <row r="122" ht="15" customHeight="1">
      <c r="A122" t="inlineStr">
        <is>
          <t>A 47689-2024</t>
        </is>
      </c>
      <c r="B122" s="1" t="n">
        <v>45588</v>
      </c>
      <c r="C122" s="1" t="n">
        <v>45937</v>
      </c>
      <c r="D122" t="inlineStr">
        <is>
          <t>VÄRMLANDS LÄN</t>
        </is>
      </c>
      <c r="E122" t="inlineStr">
        <is>
          <t>TORSBY</t>
        </is>
      </c>
      <c r="G122" t="n">
        <v>3.1</v>
      </c>
      <c r="H122" t="n">
        <v>0</v>
      </c>
      <c r="I122" t="n">
        <v>0</v>
      </c>
      <c r="J122" t="n">
        <v>1</v>
      </c>
      <c r="K122" t="n">
        <v>0</v>
      </c>
      <c r="L122" t="n">
        <v>0</v>
      </c>
      <c r="M122" t="n">
        <v>0</v>
      </c>
      <c r="N122" t="n">
        <v>0</v>
      </c>
      <c r="O122" t="n">
        <v>1</v>
      </c>
      <c r="P122" t="n">
        <v>0</v>
      </c>
      <c r="Q122" t="n">
        <v>1</v>
      </c>
      <c r="R122" s="2" t="inlineStr">
        <is>
          <t>Garnlav</t>
        </is>
      </c>
      <c r="S122">
        <f>HYPERLINK("https://klasma.github.io/Logging_1737/artfynd/A 47689-2024 artfynd.xlsx", "A 47689-2024")</f>
        <v/>
      </c>
      <c r="T122">
        <f>HYPERLINK("https://klasma.github.io/Logging_1737/kartor/A 47689-2024 karta.png", "A 47689-2024")</f>
        <v/>
      </c>
      <c r="V122">
        <f>HYPERLINK("https://klasma.github.io/Logging_1737/klagomål/A 47689-2024 FSC-klagomål.docx", "A 47689-2024")</f>
        <v/>
      </c>
      <c r="W122">
        <f>HYPERLINK("https://klasma.github.io/Logging_1737/klagomålsmail/A 47689-2024 FSC-klagomål mail.docx", "A 47689-2024")</f>
        <v/>
      </c>
      <c r="X122">
        <f>HYPERLINK("https://klasma.github.io/Logging_1737/tillsyn/A 47689-2024 tillsynsbegäran.docx", "A 47689-2024")</f>
        <v/>
      </c>
      <c r="Y122">
        <f>HYPERLINK("https://klasma.github.io/Logging_1737/tillsynsmail/A 47689-2024 tillsynsbegäran mail.docx", "A 47689-2024")</f>
        <v/>
      </c>
    </row>
    <row r="123" ht="15" customHeight="1">
      <c r="A123" t="inlineStr">
        <is>
          <t>A 32328-2025</t>
        </is>
      </c>
      <c r="B123" s="1" t="n">
        <v>45836.46289351852</v>
      </c>
      <c r="C123" s="1" t="n">
        <v>45937</v>
      </c>
      <c r="D123" t="inlineStr">
        <is>
          <t>VÄRMLANDS LÄN</t>
        </is>
      </c>
      <c r="E123" t="inlineStr">
        <is>
          <t>TORSBY</t>
        </is>
      </c>
      <c r="G123" t="n">
        <v>1.1</v>
      </c>
      <c r="H123" t="n">
        <v>0</v>
      </c>
      <c r="I123" t="n">
        <v>0</v>
      </c>
      <c r="J123" t="n">
        <v>1</v>
      </c>
      <c r="K123" t="n">
        <v>0</v>
      </c>
      <c r="L123" t="n">
        <v>0</v>
      </c>
      <c r="M123" t="n">
        <v>0</v>
      </c>
      <c r="N123" t="n">
        <v>0</v>
      </c>
      <c r="O123" t="n">
        <v>1</v>
      </c>
      <c r="P123" t="n">
        <v>0</v>
      </c>
      <c r="Q123" t="n">
        <v>1</v>
      </c>
      <c r="R123" s="2" t="inlineStr">
        <is>
          <t>Ullticka</t>
        </is>
      </c>
      <c r="S123">
        <f>HYPERLINK("https://klasma.github.io/Logging_1737/artfynd/A 32328-2025 artfynd.xlsx", "A 32328-2025")</f>
        <v/>
      </c>
      <c r="T123">
        <f>HYPERLINK("https://klasma.github.io/Logging_1737/kartor/A 32328-2025 karta.png", "A 32328-2025")</f>
        <v/>
      </c>
      <c r="V123">
        <f>HYPERLINK("https://klasma.github.io/Logging_1737/klagomål/A 32328-2025 FSC-klagomål.docx", "A 32328-2025")</f>
        <v/>
      </c>
      <c r="W123">
        <f>HYPERLINK("https://klasma.github.io/Logging_1737/klagomålsmail/A 32328-2025 FSC-klagomål mail.docx", "A 32328-2025")</f>
        <v/>
      </c>
      <c r="X123">
        <f>HYPERLINK("https://klasma.github.io/Logging_1737/tillsyn/A 32328-2025 tillsynsbegäran.docx", "A 32328-2025")</f>
        <v/>
      </c>
      <c r="Y123">
        <f>HYPERLINK("https://klasma.github.io/Logging_1737/tillsynsmail/A 32328-2025 tillsynsbegäran mail.docx", "A 32328-2025")</f>
        <v/>
      </c>
    </row>
    <row r="124" ht="15" customHeight="1">
      <c r="A124" t="inlineStr">
        <is>
          <t>A 15872-2025</t>
        </is>
      </c>
      <c r="B124" s="1" t="n">
        <v>45749</v>
      </c>
      <c r="C124" s="1" t="n">
        <v>45937</v>
      </c>
      <c r="D124" t="inlineStr">
        <is>
          <t>VÄRMLANDS LÄN</t>
        </is>
      </c>
      <c r="E124" t="inlineStr">
        <is>
          <t>TORSBY</t>
        </is>
      </c>
      <c r="F124" t="inlineStr">
        <is>
          <t>Bergvik skog väst AB</t>
        </is>
      </c>
      <c r="G124" t="n">
        <v>10.8</v>
      </c>
      <c r="H124" t="n">
        <v>1</v>
      </c>
      <c r="I124" t="n">
        <v>1</v>
      </c>
      <c r="J124" t="n">
        <v>0</v>
      </c>
      <c r="K124" t="n">
        <v>0</v>
      </c>
      <c r="L124" t="n">
        <v>0</v>
      </c>
      <c r="M124" t="n">
        <v>0</v>
      </c>
      <c r="N124" t="n">
        <v>0</v>
      </c>
      <c r="O124" t="n">
        <v>0</v>
      </c>
      <c r="P124" t="n">
        <v>0</v>
      </c>
      <c r="Q124" t="n">
        <v>1</v>
      </c>
      <c r="R124" s="2" t="inlineStr">
        <is>
          <t>Korallrot</t>
        </is>
      </c>
      <c r="S124">
        <f>HYPERLINK("https://klasma.github.io/Logging_1737/artfynd/A 15872-2025 artfynd.xlsx", "A 15872-2025")</f>
        <v/>
      </c>
      <c r="T124">
        <f>HYPERLINK("https://klasma.github.io/Logging_1737/kartor/A 15872-2025 karta.png", "A 15872-2025")</f>
        <v/>
      </c>
      <c r="V124">
        <f>HYPERLINK("https://klasma.github.io/Logging_1737/klagomål/A 15872-2025 FSC-klagomål.docx", "A 15872-2025")</f>
        <v/>
      </c>
      <c r="W124">
        <f>HYPERLINK("https://klasma.github.io/Logging_1737/klagomålsmail/A 15872-2025 FSC-klagomål mail.docx", "A 15872-2025")</f>
        <v/>
      </c>
      <c r="X124">
        <f>HYPERLINK("https://klasma.github.io/Logging_1737/tillsyn/A 15872-2025 tillsynsbegäran.docx", "A 15872-2025")</f>
        <v/>
      </c>
      <c r="Y124">
        <f>HYPERLINK("https://klasma.github.io/Logging_1737/tillsynsmail/A 15872-2025 tillsynsbegäran mail.docx", "A 15872-2025")</f>
        <v/>
      </c>
    </row>
    <row r="125" ht="15" customHeight="1">
      <c r="A125" t="inlineStr">
        <is>
          <t>A 15548-2023</t>
        </is>
      </c>
      <c r="B125" s="1" t="n">
        <v>45020</v>
      </c>
      <c r="C125" s="1" t="n">
        <v>45937</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14212-2025</t>
        </is>
      </c>
      <c r="B126" s="1" t="n">
        <v>45740</v>
      </c>
      <c r="C126" s="1" t="n">
        <v>45937</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16164-2025</t>
        </is>
      </c>
      <c r="B127" s="1" t="n">
        <v>45750</v>
      </c>
      <c r="C127" s="1" t="n">
        <v>45937</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Tallriska</t>
        </is>
      </c>
      <c r="S127">
        <f>HYPERLINK("https://klasma.github.io/Logging_1737/artfynd/A 16164-2025 artfynd.xlsx", "A 16164-2025")</f>
        <v/>
      </c>
      <c r="T127">
        <f>HYPERLINK("https://klasma.github.io/Logging_1737/kartor/A 16164-2025 karta.png", "A 16164-2025")</f>
        <v/>
      </c>
      <c r="V127">
        <f>HYPERLINK("https://klasma.github.io/Logging_1737/klagomål/A 16164-2025 FSC-klagomål.docx", "A 16164-2025")</f>
        <v/>
      </c>
      <c r="W127">
        <f>HYPERLINK("https://klasma.github.io/Logging_1737/klagomålsmail/A 16164-2025 FSC-klagomål mail.docx", "A 16164-2025")</f>
        <v/>
      </c>
      <c r="X127">
        <f>HYPERLINK("https://klasma.github.io/Logging_1737/tillsyn/A 16164-2025 tillsynsbegäran.docx", "A 16164-2025")</f>
        <v/>
      </c>
      <c r="Y127">
        <f>HYPERLINK("https://klasma.github.io/Logging_1737/tillsynsmail/A 16164-2025 tillsynsbegäran mail.docx", "A 16164-2025")</f>
        <v/>
      </c>
    </row>
    <row r="128" ht="15" customHeight="1">
      <c r="A128" t="inlineStr">
        <is>
          <t>A 42500-2022</t>
        </is>
      </c>
      <c r="B128" s="1" t="n">
        <v>44831</v>
      </c>
      <c r="C128" s="1" t="n">
        <v>45937</v>
      </c>
      <c r="D128" t="inlineStr">
        <is>
          <t>VÄRMLANDS LÄN</t>
        </is>
      </c>
      <c r="E128" t="inlineStr">
        <is>
          <t>TORSBY</t>
        </is>
      </c>
      <c r="F128" t="inlineStr">
        <is>
          <t>Kommuner</t>
        </is>
      </c>
      <c r="G128" t="n">
        <v>2.3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42500-2022 artfynd.xlsx", "A 42500-2022")</f>
        <v/>
      </c>
      <c r="T128">
        <f>HYPERLINK("https://klasma.github.io/Logging_1737/kartor/A 42500-2022 karta.png", "A 42500-2022")</f>
        <v/>
      </c>
      <c r="U128">
        <f>HYPERLINK("https://klasma.github.io/Logging_1737/knärot/A 42500-2022 karta knärot.png", "A 42500-2022")</f>
        <v/>
      </c>
      <c r="V128">
        <f>HYPERLINK("https://klasma.github.io/Logging_1737/klagomål/A 42500-2022 FSC-klagomål.docx", "A 42500-2022")</f>
        <v/>
      </c>
      <c r="W128">
        <f>HYPERLINK("https://klasma.github.io/Logging_1737/klagomålsmail/A 42500-2022 FSC-klagomål mail.docx", "A 42500-2022")</f>
        <v/>
      </c>
      <c r="X128">
        <f>HYPERLINK("https://klasma.github.io/Logging_1737/tillsyn/A 42500-2022 tillsynsbegäran.docx", "A 42500-2022")</f>
        <v/>
      </c>
      <c r="Y128">
        <f>HYPERLINK("https://klasma.github.io/Logging_1737/tillsynsmail/A 42500-2022 tillsynsbegäran mail.docx", "A 42500-2022")</f>
        <v/>
      </c>
    </row>
    <row r="129" ht="15" customHeight="1">
      <c r="A129" t="inlineStr">
        <is>
          <t>A 50236-2022</t>
        </is>
      </c>
      <c r="B129" s="1" t="n">
        <v>44865</v>
      </c>
      <c r="C129" s="1" t="n">
        <v>45937</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25276-2025</t>
        </is>
      </c>
      <c r="B130" s="1" t="n">
        <v>45800</v>
      </c>
      <c r="C130" s="1" t="n">
        <v>45937</v>
      </c>
      <c r="D130" t="inlineStr">
        <is>
          <t>VÄRMLANDS LÄN</t>
        </is>
      </c>
      <c r="E130" t="inlineStr">
        <is>
          <t>TORSBY</t>
        </is>
      </c>
      <c r="G130" t="n">
        <v>27.6</v>
      </c>
      <c r="H130" t="n">
        <v>0</v>
      </c>
      <c r="I130" t="n">
        <v>0</v>
      </c>
      <c r="J130" t="n">
        <v>1</v>
      </c>
      <c r="K130" t="n">
        <v>0</v>
      </c>
      <c r="L130" t="n">
        <v>0</v>
      </c>
      <c r="M130" t="n">
        <v>0</v>
      </c>
      <c r="N130" t="n">
        <v>0</v>
      </c>
      <c r="O130" t="n">
        <v>1</v>
      </c>
      <c r="P130" t="n">
        <v>0</v>
      </c>
      <c r="Q130" t="n">
        <v>1</v>
      </c>
      <c r="R130" s="2" t="inlineStr">
        <is>
          <t>Lunglav</t>
        </is>
      </c>
      <c r="S130">
        <f>HYPERLINK("https://klasma.github.io/Logging_1737/artfynd/A 25276-2025 artfynd.xlsx", "A 25276-2025")</f>
        <v/>
      </c>
      <c r="T130">
        <f>HYPERLINK("https://klasma.github.io/Logging_1737/kartor/A 25276-2025 karta.png", "A 25276-2025")</f>
        <v/>
      </c>
      <c r="V130">
        <f>HYPERLINK("https://klasma.github.io/Logging_1737/klagomål/A 25276-2025 FSC-klagomål.docx", "A 25276-2025")</f>
        <v/>
      </c>
      <c r="W130">
        <f>HYPERLINK("https://klasma.github.io/Logging_1737/klagomålsmail/A 25276-2025 FSC-klagomål mail.docx", "A 25276-2025")</f>
        <v/>
      </c>
      <c r="X130">
        <f>HYPERLINK("https://klasma.github.io/Logging_1737/tillsyn/A 25276-2025 tillsynsbegäran.docx", "A 25276-2025")</f>
        <v/>
      </c>
      <c r="Y130">
        <f>HYPERLINK("https://klasma.github.io/Logging_1737/tillsynsmail/A 25276-2025 tillsynsbegäran mail.docx", "A 25276-2025")</f>
        <v/>
      </c>
    </row>
    <row r="131" ht="15" customHeight="1">
      <c r="A131" t="inlineStr">
        <is>
          <t>A 39681-2023</t>
        </is>
      </c>
      <c r="B131" s="1" t="n">
        <v>45167</v>
      </c>
      <c r="C131" s="1" t="n">
        <v>45937</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49110-2021</t>
        </is>
      </c>
      <c r="B132" s="1" t="n">
        <v>44453</v>
      </c>
      <c r="C132" s="1" t="n">
        <v>45937</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58014-2024</t>
        </is>
      </c>
      <c r="B133" s="1" t="n">
        <v>45631</v>
      </c>
      <c r="C133" s="1" t="n">
        <v>45937</v>
      </c>
      <c r="D133" t="inlineStr">
        <is>
          <t>VÄRMLANDS LÄN</t>
        </is>
      </c>
      <c r="E133" t="inlineStr">
        <is>
          <t>TORSBY</t>
        </is>
      </c>
      <c r="G133" t="n">
        <v>2.2</v>
      </c>
      <c r="H133" t="n">
        <v>0</v>
      </c>
      <c r="I133" t="n">
        <v>1</v>
      </c>
      <c r="J133" t="n">
        <v>0</v>
      </c>
      <c r="K133" t="n">
        <v>0</v>
      </c>
      <c r="L133" t="n">
        <v>0</v>
      </c>
      <c r="M133" t="n">
        <v>0</v>
      </c>
      <c r="N133" t="n">
        <v>0</v>
      </c>
      <c r="O133" t="n">
        <v>0</v>
      </c>
      <c r="P133" t="n">
        <v>0</v>
      </c>
      <c r="Q133" t="n">
        <v>1</v>
      </c>
      <c r="R133" s="2" t="inlineStr">
        <is>
          <t>Kattfotslav</t>
        </is>
      </c>
      <c r="S133">
        <f>HYPERLINK("https://klasma.github.io/Logging_1737/artfynd/A 58014-2024 artfynd.xlsx", "A 58014-2024")</f>
        <v/>
      </c>
      <c r="T133">
        <f>HYPERLINK("https://klasma.github.io/Logging_1737/kartor/A 58014-2024 karta.png", "A 58014-2024")</f>
        <v/>
      </c>
      <c r="V133">
        <f>HYPERLINK("https://klasma.github.io/Logging_1737/klagomål/A 58014-2024 FSC-klagomål.docx", "A 58014-2024")</f>
        <v/>
      </c>
      <c r="W133">
        <f>HYPERLINK("https://klasma.github.io/Logging_1737/klagomålsmail/A 58014-2024 FSC-klagomål mail.docx", "A 58014-2024")</f>
        <v/>
      </c>
      <c r="X133">
        <f>HYPERLINK("https://klasma.github.io/Logging_1737/tillsyn/A 58014-2024 tillsynsbegäran.docx", "A 58014-2024")</f>
        <v/>
      </c>
      <c r="Y133">
        <f>HYPERLINK("https://klasma.github.io/Logging_1737/tillsynsmail/A 58014-2024 tillsynsbegäran mail.docx", "A 58014-2024")</f>
        <v/>
      </c>
    </row>
    <row r="134" ht="15" customHeight="1">
      <c r="A134" t="inlineStr">
        <is>
          <t>A 37292-2024</t>
        </is>
      </c>
      <c r="B134" s="1" t="n">
        <v>45540</v>
      </c>
      <c r="C134" s="1" t="n">
        <v>45937</v>
      </c>
      <c r="D134" t="inlineStr">
        <is>
          <t>VÄRMLANDS LÄN</t>
        </is>
      </c>
      <c r="E134" t="inlineStr">
        <is>
          <t>TORSBY</t>
        </is>
      </c>
      <c r="G134" t="n">
        <v>5.4</v>
      </c>
      <c r="H134" t="n">
        <v>0</v>
      </c>
      <c r="I134" t="n">
        <v>0</v>
      </c>
      <c r="J134" t="n">
        <v>1</v>
      </c>
      <c r="K134" t="n">
        <v>0</v>
      </c>
      <c r="L134" t="n">
        <v>0</v>
      </c>
      <c r="M134" t="n">
        <v>0</v>
      </c>
      <c r="N134" t="n">
        <v>0</v>
      </c>
      <c r="O134" t="n">
        <v>1</v>
      </c>
      <c r="P134" t="n">
        <v>0</v>
      </c>
      <c r="Q134" t="n">
        <v>1</v>
      </c>
      <c r="R134" s="2" t="inlineStr">
        <is>
          <t>Garnlav</t>
        </is>
      </c>
      <c r="S134">
        <f>HYPERLINK("https://klasma.github.io/Logging_1737/artfynd/A 37292-2024 artfynd.xlsx", "A 37292-2024")</f>
        <v/>
      </c>
      <c r="T134">
        <f>HYPERLINK("https://klasma.github.io/Logging_1737/kartor/A 37292-2024 karta.png", "A 37292-2024")</f>
        <v/>
      </c>
      <c r="V134">
        <f>HYPERLINK("https://klasma.github.io/Logging_1737/klagomål/A 37292-2024 FSC-klagomål.docx", "A 37292-2024")</f>
        <v/>
      </c>
      <c r="W134">
        <f>HYPERLINK("https://klasma.github.io/Logging_1737/klagomålsmail/A 37292-2024 FSC-klagomål mail.docx", "A 37292-2024")</f>
        <v/>
      </c>
      <c r="X134">
        <f>HYPERLINK("https://klasma.github.io/Logging_1737/tillsyn/A 37292-2024 tillsynsbegäran.docx", "A 37292-2024")</f>
        <v/>
      </c>
      <c r="Y134">
        <f>HYPERLINK("https://klasma.github.io/Logging_1737/tillsynsmail/A 37292-2024 tillsynsbegäran mail.docx", "A 37292-2024")</f>
        <v/>
      </c>
    </row>
    <row r="135" ht="15" customHeight="1">
      <c r="A135" t="inlineStr">
        <is>
          <t>A 37327-2025</t>
        </is>
      </c>
      <c r="B135" s="1" t="n">
        <v>45876.64902777778</v>
      </c>
      <c r="C135" s="1" t="n">
        <v>45937</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Garnlav</t>
        </is>
      </c>
      <c r="S135">
        <f>HYPERLINK("https://klasma.github.io/Logging_1737/artfynd/A 37327-2025 artfynd.xlsx", "A 37327-2025")</f>
        <v/>
      </c>
      <c r="T135">
        <f>HYPERLINK("https://klasma.github.io/Logging_1737/kartor/A 37327-2025 karta.png", "A 37327-2025")</f>
        <v/>
      </c>
      <c r="V135">
        <f>HYPERLINK("https://klasma.github.io/Logging_1737/klagomål/A 37327-2025 FSC-klagomål.docx", "A 37327-2025")</f>
        <v/>
      </c>
      <c r="W135">
        <f>HYPERLINK("https://klasma.github.io/Logging_1737/klagomålsmail/A 37327-2025 FSC-klagomål mail.docx", "A 37327-2025")</f>
        <v/>
      </c>
      <c r="X135">
        <f>HYPERLINK("https://klasma.github.io/Logging_1737/tillsyn/A 37327-2025 tillsynsbegäran.docx", "A 37327-2025")</f>
        <v/>
      </c>
      <c r="Y135">
        <f>HYPERLINK("https://klasma.github.io/Logging_1737/tillsynsmail/A 37327-2025 tillsynsbegäran mail.docx", "A 37327-2025")</f>
        <v/>
      </c>
    </row>
    <row r="136" ht="15" customHeight="1">
      <c r="A136" t="inlineStr">
        <is>
          <t>A 37548-2025</t>
        </is>
      </c>
      <c r="B136" s="1" t="n">
        <v>45879</v>
      </c>
      <c r="C136" s="1" t="n">
        <v>45937</v>
      </c>
      <c r="D136" t="inlineStr">
        <is>
          <t>VÄRMLANDS LÄN</t>
        </is>
      </c>
      <c r="E136" t="inlineStr">
        <is>
          <t>TORSBY</t>
        </is>
      </c>
      <c r="G136" t="n">
        <v>9.5</v>
      </c>
      <c r="H136" t="n">
        <v>1</v>
      </c>
      <c r="I136" t="n">
        <v>0</v>
      </c>
      <c r="J136" t="n">
        <v>1</v>
      </c>
      <c r="K136" t="n">
        <v>0</v>
      </c>
      <c r="L136" t="n">
        <v>0</v>
      </c>
      <c r="M136" t="n">
        <v>0</v>
      </c>
      <c r="N136" t="n">
        <v>0</v>
      </c>
      <c r="O136" t="n">
        <v>1</v>
      </c>
      <c r="P136" t="n">
        <v>0</v>
      </c>
      <c r="Q136" t="n">
        <v>1</v>
      </c>
      <c r="R136" s="2" t="inlineStr">
        <is>
          <t>Talltita</t>
        </is>
      </c>
      <c r="S136">
        <f>HYPERLINK("https://klasma.github.io/Logging_1737/artfynd/A 37548-2025 artfynd.xlsx", "A 37548-2025")</f>
        <v/>
      </c>
      <c r="T136">
        <f>HYPERLINK("https://klasma.github.io/Logging_1737/kartor/A 37548-2025 karta.png", "A 37548-2025")</f>
        <v/>
      </c>
      <c r="V136">
        <f>HYPERLINK("https://klasma.github.io/Logging_1737/klagomål/A 37548-2025 FSC-klagomål.docx", "A 37548-2025")</f>
        <v/>
      </c>
      <c r="W136">
        <f>HYPERLINK("https://klasma.github.io/Logging_1737/klagomålsmail/A 37548-2025 FSC-klagomål mail.docx", "A 37548-2025")</f>
        <v/>
      </c>
      <c r="X136">
        <f>HYPERLINK("https://klasma.github.io/Logging_1737/tillsyn/A 37548-2025 tillsynsbegäran.docx", "A 37548-2025")</f>
        <v/>
      </c>
      <c r="Y136">
        <f>HYPERLINK("https://klasma.github.io/Logging_1737/tillsynsmail/A 37548-2025 tillsynsbegäran mail.docx", "A 37548-2025")</f>
        <v/>
      </c>
      <c r="Z136">
        <f>HYPERLINK("https://klasma.github.io/Logging_1737/fåglar/A 37548-2025 prioriterade fågelarter.docx", "A 37548-2025")</f>
        <v/>
      </c>
    </row>
    <row r="137" ht="15" customHeight="1">
      <c r="A137" t="inlineStr">
        <is>
          <t>A 37699-2025</t>
        </is>
      </c>
      <c r="B137" s="1" t="n">
        <v>45880</v>
      </c>
      <c r="C137" s="1" t="n">
        <v>45937</v>
      </c>
      <c r="D137" t="inlineStr">
        <is>
          <t>VÄRMLANDS LÄN</t>
        </is>
      </c>
      <c r="E137" t="inlineStr">
        <is>
          <t>TORSBY</t>
        </is>
      </c>
      <c r="G137" t="n">
        <v>1.8</v>
      </c>
      <c r="H137" t="n">
        <v>1</v>
      </c>
      <c r="I137" t="n">
        <v>0</v>
      </c>
      <c r="J137" t="n">
        <v>0</v>
      </c>
      <c r="K137" t="n">
        <v>1</v>
      </c>
      <c r="L137" t="n">
        <v>0</v>
      </c>
      <c r="M137" t="n">
        <v>0</v>
      </c>
      <c r="N137" t="n">
        <v>0</v>
      </c>
      <c r="O137" t="n">
        <v>1</v>
      </c>
      <c r="P137" t="n">
        <v>1</v>
      </c>
      <c r="Q137" t="n">
        <v>1</v>
      </c>
      <c r="R137" s="2" t="inlineStr">
        <is>
          <t>Bombmurkla</t>
        </is>
      </c>
      <c r="S137">
        <f>HYPERLINK("https://klasma.github.io/Logging_1737/artfynd/A 37699-2025 artfynd.xlsx", "A 37699-2025")</f>
        <v/>
      </c>
      <c r="T137">
        <f>HYPERLINK("https://klasma.github.io/Logging_1737/kartor/A 37699-2025 karta.png", "A 37699-2025")</f>
        <v/>
      </c>
      <c r="V137">
        <f>HYPERLINK("https://klasma.github.io/Logging_1737/klagomål/A 37699-2025 FSC-klagomål.docx", "A 37699-2025")</f>
        <v/>
      </c>
      <c r="W137">
        <f>HYPERLINK("https://klasma.github.io/Logging_1737/klagomålsmail/A 37699-2025 FSC-klagomål mail.docx", "A 37699-2025")</f>
        <v/>
      </c>
      <c r="X137">
        <f>HYPERLINK("https://klasma.github.io/Logging_1737/tillsyn/A 37699-2025 tillsynsbegäran.docx", "A 37699-2025")</f>
        <v/>
      </c>
      <c r="Y137">
        <f>HYPERLINK("https://klasma.github.io/Logging_1737/tillsynsmail/A 37699-2025 tillsynsbegäran mail.docx", "A 37699-2025")</f>
        <v/>
      </c>
    </row>
    <row r="138" ht="15" customHeight="1">
      <c r="A138" t="inlineStr">
        <is>
          <t>A 26747-2023</t>
        </is>
      </c>
      <c r="B138" s="1" t="n">
        <v>45090</v>
      </c>
      <c r="C138" s="1" t="n">
        <v>45937</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38015-2025</t>
        </is>
      </c>
      <c r="B139" s="1" t="n">
        <v>45882</v>
      </c>
      <c r="C139" s="1" t="n">
        <v>45937</v>
      </c>
      <c r="D139" t="inlineStr">
        <is>
          <t>VÄRMLANDS LÄN</t>
        </is>
      </c>
      <c r="E139" t="inlineStr">
        <is>
          <t>TORSBY</t>
        </is>
      </c>
      <c r="F139" t="inlineStr">
        <is>
          <t>Bergvik skog väst AB</t>
        </is>
      </c>
      <c r="G139" t="n">
        <v>5</v>
      </c>
      <c r="H139" t="n">
        <v>0</v>
      </c>
      <c r="I139" t="n">
        <v>0</v>
      </c>
      <c r="J139" t="n">
        <v>1</v>
      </c>
      <c r="K139" t="n">
        <v>0</v>
      </c>
      <c r="L139" t="n">
        <v>0</v>
      </c>
      <c r="M139" t="n">
        <v>0</v>
      </c>
      <c r="N139" t="n">
        <v>0</v>
      </c>
      <c r="O139" t="n">
        <v>1</v>
      </c>
      <c r="P139" t="n">
        <v>0</v>
      </c>
      <c r="Q139" t="n">
        <v>1</v>
      </c>
      <c r="R139" s="2" t="inlineStr">
        <is>
          <t>Mörk kolflarnlav</t>
        </is>
      </c>
      <c r="S139">
        <f>HYPERLINK("https://klasma.github.io/Logging_1737/artfynd/A 38015-2025 artfynd.xlsx", "A 38015-2025")</f>
        <v/>
      </c>
      <c r="T139">
        <f>HYPERLINK("https://klasma.github.io/Logging_1737/kartor/A 38015-2025 karta.png", "A 38015-2025")</f>
        <v/>
      </c>
      <c r="V139">
        <f>HYPERLINK("https://klasma.github.io/Logging_1737/klagomål/A 38015-2025 FSC-klagomål.docx", "A 38015-2025")</f>
        <v/>
      </c>
      <c r="W139">
        <f>HYPERLINK("https://klasma.github.io/Logging_1737/klagomålsmail/A 38015-2025 FSC-klagomål mail.docx", "A 38015-2025")</f>
        <v/>
      </c>
      <c r="X139">
        <f>HYPERLINK("https://klasma.github.io/Logging_1737/tillsyn/A 38015-2025 tillsynsbegäran.docx", "A 38015-2025")</f>
        <v/>
      </c>
      <c r="Y139">
        <f>HYPERLINK("https://klasma.github.io/Logging_1737/tillsynsmail/A 38015-2025 tillsynsbegäran mail.docx", "A 38015-2025")</f>
        <v/>
      </c>
    </row>
    <row r="140" ht="15" customHeight="1">
      <c r="A140" t="inlineStr">
        <is>
          <t>A 44018-2025</t>
        </is>
      </c>
      <c r="B140" s="1" t="n">
        <v>45915</v>
      </c>
      <c r="C140" s="1" t="n">
        <v>45937</v>
      </c>
      <c r="D140" t="inlineStr">
        <is>
          <t>VÄRMLANDS LÄN</t>
        </is>
      </c>
      <c r="E140" t="inlineStr">
        <is>
          <t>TORSBY</t>
        </is>
      </c>
      <c r="G140" t="n">
        <v>8.1</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44018-2025 artfynd.xlsx", "A 44018-2025")</f>
        <v/>
      </c>
      <c r="T140">
        <f>HYPERLINK("https://klasma.github.io/Logging_1737/kartor/A 44018-2025 karta.png", "A 44018-2025")</f>
        <v/>
      </c>
      <c r="V140">
        <f>HYPERLINK("https://klasma.github.io/Logging_1737/klagomål/A 44018-2025 FSC-klagomål.docx", "A 44018-2025")</f>
        <v/>
      </c>
      <c r="W140">
        <f>HYPERLINK("https://klasma.github.io/Logging_1737/klagomålsmail/A 44018-2025 FSC-klagomål mail.docx", "A 44018-2025")</f>
        <v/>
      </c>
      <c r="X140">
        <f>HYPERLINK("https://klasma.github.io/Logging_1737/tillsyn/A 44018-2025 tillsynsbegäran.docx", "A 44018-2025")</f>
        <v/>
      </c>
      <c r="Y140">
        <f>HYPERLINK("https://klasma.github.io/Logging_1737/tillsynsmail/A 44018-2025 tillsynsbegäran mail.docx", "A 44018-2025")</f>
        <v/>
      </c>
    </row>
    <row r="141" ht="15" customHeight="1">
      <c r="A141" t="inlineStr">
        <is>
          <t>A 16572-2022</t>
        </is>
      </c>
      <c r="B141" s="1" t="n">
        <v>44672</v>
      </c>
      <c r="C141" s="1" t="n">
        <v>45937</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45937</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1526-2021</t>
        </is>
      </c>
      <c r="B143" s="1" t="n">
        <v>44209</v>
      </c>
      <c r="C143" s="1" t="n">
        <v>45937</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45937</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45937</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45937</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45937</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45937</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45937</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45937</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45937</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45937</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45937</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45937</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45937</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3397-2022</t>
        </is>
      </c>
      <c r="B156" s="1" t="n">
        <v>44585</v>
      </c>
      <c r="C156" s="1" t="n">
        <v>45937</v>
      </c>
      <c r="D156" t="inlineStr">
        <is>
          <t>VÄRMLANDS LÄN</t>
        </is>
      </c>
      <c r="E156" t="inlineStr">
        <is>
          <t>TORSBY</t>
        </is>
      </c>
      <c r="G156" t="n">
        <v>2</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45937</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45937</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45937</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45937</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45937</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61970-2020</t>
        </is>
      </c>
      <c r="B162" s="1" t="n">
        <v>44155</v>
      </c>
      <c r="C162" s="1" t="n">
        <v>45937</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56979-2020</t>
        </is>
      </c>
      <c r="B163" s="1" t="n">
        <v>44138</v>
      </c>
      <c r="C163" s="1" t="n">
        <v>45937</v>
      </c>
      <c r="D163" t="inlineStr">
        <is>
          <t>VÄRMLANDS LÄN</t>
        </is>
      </c>
      <c r="E163" t="inlineStr">
        <is>
          <t>TORSBY</t>
        </is>
      </c>
      <c r="G163" t="n">
        <v>3.2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45937</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45937</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45937</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45937</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45937</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45937</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45937</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45937</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45937</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45937</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45937</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45937</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45937</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45937</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45937</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45937</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45937</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45937</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45937</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45937</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45937</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45937</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45937</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45937</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45937</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45937</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45937</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45937</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45937</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70241-2021</t>
        </is>
      </c>
      <c r="B193" s="1" t="n">
        <v>44536</v>
      </c>
      <c r="C193" s="1" t="n">
        <v>45937</v>
      </c>
      <c r="D193" t="inlineStr">
        <is>
          <t>VÄRMLANDS LÄN</t>
        </is>
      </c>
      <c r="E193" t="inlineStr">
        <is>
          <t>TORSBY</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45937</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45937</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45937</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45937</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45937</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45937</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45937</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45937</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45937</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45937</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45937</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45937</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45937</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45937</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45937</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45937</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45937</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45937</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45937</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45937</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45937</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45937</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45937</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45937</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45937</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45937</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45937</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51385-2020</t>
        </is>
      </c>
      <c r="B221" s="1" t="n">
        <v>44113</v>
      </c>
      <c r="C221" s="1" t="n">
        <v>45937</v>
      </c>
      <c r="D221" t="inlineStr">
        <is>
          <t>VÄRMLANDS LÄN</t>
        </is>
      </c>
      <c r="E221" t="inlineStr">
        <is>
          <t>TORSBY</t>
        </is>
      </c>
      <c r="G221" t="n">
        <v>6.8</v>
      </c>
      <c r="H221" t="n">
        <v>0</v>
      </c>
      <c r="I221" t="n">
        <v>0</v>
      </c>
      <c r="J221" t="n">
        <v>0</v>
      </c>
      <c r="K221" t="n">
        <v>0</v>
      </c>
      <c r="L221" t="n">
        <v>0</v>
      </c>
      <c r="M221" t="n">
        <v>0</v>
      </c>
      <c r="N221" t="n">
        <v>0</v>
      </c>
      <c r="O221" t="n">
        <v>0</v>
      </c>
      <c r="P221" t="n">
        <v>0</v>
      </c>
      <c r="Q221" t="n">
        <v>0</v>
      </c>
      <c r="R221" s="2" t="inlineStr"/>
    </row>
    <row r="222" ht="15" customHeight="1">
      <c r="A222" t="inlineStr">
        <is>
          <t>A 51386-2020</t>
        </is>
      </c>
      <c r="B222" s="1" t="n">
        <v>44113.2850462963</v>
      </c>
      <c r="C222" s="1" t="n">
        <v>45937</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45666-2022</t>
        </is>
      </c>
      <c r="B223" s="1" t="n">
        <v>44845</v>
      </c>
      <c r="C223" s="1" t="n">
        <v>45937</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51383-2020</t>
        </is>
      </c>
      <c r="B224" s="1" t="n">
        <v>44113</v>
      </c>
      <c r="C224" s="1" t="n">
        <v>45937</v>
      </c>
      <c r="D224" t="inlineStr">
        <is>
          <t>VÄRMLANDS LÄN</t>
        </is>
      </c>
      <c r="E224" t="inlineStr">
        <is>
          <t>TORSBY</t>
        </is>
      </c>
      <c r="G224" t="n">
        <v>3.8</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45937</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3369-2022</t>
        </is>
      </c>
      <c r="B226" s="1" t="n">
        <v>44585</v>
      </c>
      <c r="C226" s="1" t="n">
        <v>45937</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2421-2022</t>
        </is>
      </c>
      <c r="B227" s="1" t="n">
        <v>44579.50670138889</v>
      </c>
      <c r="C227" s="1" t="n">
        <v>45937</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53906-2022</t>
        </is>
      </c>
      <c r="B228" s="1" t="n">
        <v>44880</v>
      </c>
      <c r="C228" s="1" t="n">
        <v>45937</v>
      </c>
      <c r="D228" t="inlineStr">
        <is>
          <t>VÄRMLANDS LÄN</t>
        </is>
      </c>
      <c r="E228" t="inlineStr">
        <is>
          <t>TORSBY</t>
        </is>
      </c>
      <c r="F228" t="inlineStr">
        <is>
          <t>Bergvik skog väst AB</t>
        </is>
      </c>
      <c r="G228" t="n">
        <v>5</v>
      </c>
      <c r="H228" t="n">
        <v>0</v>
      </c>
      <c r="I228" t="n">
        <v>0</v>
      </c>
      <c r="J228" t="n">
        <v>0</v>
      </c>
      <c r="K228" t="n">
        <v>0</v>
      </c>
      <c r="L228" t="n">
        <v>0</v>
      </c>
      <c r="M228" t="n">
        <v>0</v>
      </c>
      <c r="N228" t="n">
        <v>0</v>
      </c>
      <c r="O228" t="n">
        <v>0</v>
      </c>
      <c r="P228" t="n">
        <v>0</v>
      </c>
      <c r="Q228" t="n">
        <v>0</v>
      </c>
      <c r="R228" s="2" t="inlineStr"/>
    </row>
    <row r="229" ht="15" customHeight="1">
      <c r="A229" t="inlineStr">
        <is>
          <t>A 69275-2021</t>
        </is>
      </c>
      <c r="B229" s="1" t="n">
        <v>44526</v>
      </c>
      <c r="C229" s="1" t="n">
        <v>45937</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66080-2021</t>
        </is>
      </c>
      <c r="B230" s="1" t="n">
        <v>44517.66700231482</v>
      </c>
      <c r="C230" s="1" t="n">
        <v>45937</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28955-2022</t>
        </is>
      </c>
      <c r="B231" s="1" t="n">
        <v>44749.61657407408</v>
      </c>
      <c r="C231" s="1" t="n">
        <v>45937</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18779-2022</t>
        </is>
      </c>
      <c r="B232" s="1" t="n">
        <v>44689</v>
      </c>
      <c r="C232" s="1" t="n">
        <v>45937</v>
      </c>
      <c r="D232" t="inlineStr">
        <is>
          <t>VÄRMLANDS LÄN</t>
        </is>
      </c>
      <c r="E232" t="inlineStr">
        <is>
          <t>TORSBY</t>
        </is>
      </c>
      <c r="G232" t="n">
        <v>5.1</v>
      </c>
      <c r="H232" t="n">
        <v>0</v>
      </c>
      <c r="I232" t="n">
        <v>0</v>
      </c>
      <c r="J232" t="n">
        <v>0</v>
      </c>
      <c r="K232" t="n">
        <v>0</v>
      </c>
      <c r="L232" t="n">
        <v>0</v>
      </c>
      <c r="M232" t="n">
        <v>0</v>
      </c>
      <c r="N232" t="n">
        <v>0</v>
      </c>
      <c r="O232" t="n">
        <v>0</v>
      </c>
      <c r="P232" t="n">
        <v>0</v>
      </c>
      <c r="Q232" t="n">
        <v>0</v>
      </c>
      <c r="R232" s="2" t="inlineStr"/>
    </row>
    <row r="233" ht="15" customHeight="1">
      <c r="A233" t="inlineStr">
        <is>
          <t>A 27932-2021</t>
        </is>
      </c>
      <c r="B233" s="1" t="n">
        <v>44354</v>
      </c>
      <c r="C233" s="1" t="n">
        <v>45937</v>
      </c>
      <c r="D233" t="inlineStr">
        <is>
          <t>VÄRMLANDS LÄN</t>
        </is>
      </c>
      <c r="E233" t="inlineStr">
        <is>
          <t>TORSBY</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4711-2021</t>
        </is>
      </c>
      <c r="B234" s="1" t="n">
        <v>44225</v>
      </c>
      <c r="C234" s="1" t="n">
        <v>45937</v>
      </c>
      <c r="D234" t="inlineStr">
        <is>
          <t>VÄRMLANDS LÄN</t>
        </is>
      </c>
      <c r="E234" t="inlineStr">
        <is>
          <t>TORSBY</t>
        </is>
      </c>
      <c r="G234" t="n">
        <v>0.8</v>
      </c>
      <c r="H234" t="n">
        <v>0</v>
      </c>
      <c r="I234" t="n">
        <v>0</v>
      </c>
      <c r="J234" t="n">
        <v>0</v>
      </c>
      <c r="K234" t="n">
        <v>0</v>
      </c>
      <c r="L234" t="n">
        <v>0</v>
      </c>
      <c r="M234" t="n">
        <v>0</v>
      </c>
      <c r="N234" t="n">
        <v>0</v>
      </c>
      <c r="O234" t="n">
        <v>0</v>
      </c>
      <c r="P234" t="n">
        <v>0</v>
      </c>
      <c r="Q234" t="n">
        <v>0</v>
      </c>
      <c r="R234" s="2" t="inlineStr"/>
    </row>
    <row r="235" ht="15" customHeight="1">
      <c r="A235" t="inlineStr">
        <is>
          <t>A 65678-2020</t>
        </is>
      </c>
      <c r="B235" s="1" t="n">
        <v>44172</v>
      </c>
      <c r="C235" s="1" t="n">
        <v>45937</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58599-2020</t>
        </is>
      </c>
      <c r="B236" s="1" t="n">
        <v>44145.65825231482</v>
      </c>
      <c r="C236" s="1" t="n">
        <v>45937</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31511-2021</t>
        </is>
      </c>
      <c r="B237" s="1" t="n">
        <v>44369.45956018518</v>
      </c>
      <c r="C237" s="1" t="n">
        <v>45937</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68220-2020</t>
        </is>
      </c>
      <c r="B238" s="1" t="n">
        <v>44183</v>
      </c>
      <c r="C238" s="1" t="n">
        <v>45937</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63565-2020</t>
        </is>
      </c>
      <c r="B239" s="1" t="n">
        <v>44165</v>
      </c>
      <c r="C239" s="1" t="n">
        <v>45937</v>
      </c>
      <c r="D239" t="inlineStr">
        <is>
          <t>VÄRMLANDS LÄN</t>
        </is>
      </c>
      <c r="E239" t="inlineStr">
        <is>
          <t>TORSBY</t>
        </is>
      </c>
      <c r="G239" t="n">
        <v>10.3</v>
      </c>
      <c r="H239" t="n">
        <v>0</v>
      </c>
      <c r="I239" t="n">
        <v>0</v>
      </c>
      <c r="J239" t="n">
        <v>0</v>
      </c>
      <c r="K239" t="n">
        <v>0</v>
      </c>
      <c r="L239" t="n">
        <v>0</v>
      </c>
      <c r="M239" t="n">
        <v>0</v>
      </c>
      <c r="N239" t="n">
        <v>0</v>
      </c>
      <c r="O239" t="n">
        <v>0</v>
      </c>
      <c r="P239" t="n">
        <v>0</v>
      </c>
      <c r="Q239" t="n">
        <v>0</v>
      </c>
      <c r="R239" s="2" t="inlineStr"/>
    </row>
    <row r="240" ht="15" customHeight="1">
      <c r="A240" t="inlineStr">
        <is>
          <t>A 8034-2021</t>
        </is>
      </c>
      <c r="B240" s="1" t="n">
        <v>44243</v>
      </c>
      <c r="C240" s="1" t="n">
        <v>45937</v>
      </c>
      <c r="D240" t="inlineStr">
        <is>
          <t>VÄRMLANDS LÄN</t>
        </is>
      </c>
      <c r="E240" t="inlineStr">
        <is>
          <t>TORSBY</t>
        </is>
      </c>
      <c r="G240" t="n">
        <v>15.4</v>
      </c>
      <c r="H240" t="n">
        <v>0</v>
      </c>
      <c r="I240" t="n">
        <v>0</v>
      </c>
      <c r="J240" t="n">
        <v>0</v>
      </c>
      <c r="K240" t="n">
        <v>0</v>
      </c>
      <c r="L240" t="n">
        <v>0</v>
      </c>
      <c r="M240" t="n">
        <v>0</v>
      </c>
      <c r="N240" t="n">
        <v>0</v>
      </c>
      <c r="O240" t="n">
        <v>0</v>
      </c>
      <c r="P240" t="n">
        <v>0</v>
      </c>
      <c r="Q240" t="n">
        <v>0</v>
      </c>
      <c r="R240" s="2" t="inlineStr"/>
    </row>
    <row r="241" ht="15" customHeight="1">
      <c r="A241" t="inlineStr">
        <is>
          <t>A 28940-2021</t>
        </is>
      </c>
      <c r="B241" s="1" t="n">
        <v>44358</v>
      </c>
      <c r="C241" s="1" t="n">
        <v>45937</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41678-2021</t>
        </is>
      </c>
      <c r="B242" s="1" t="n">
        <v>44425</v>
      </c>
      <c r="C242" s="1" t="n">
        <v>45937</v>
      </c>
      <c r="D242" t="inlineStr">
        <is>
          <t>VÄRMLANDS LÄN</t>
        </is>
      </c>
      <c r="E242" t="inlineStr">
        <is>
          <t>TORSBY</t>
        </is>
      </c>
      <c r="G242" t="n">
        <v>4.3</v>
      </c>
      <c r="H242" t="n">
        <v>0</v>
      </c>
      <c r="I242" t="n">
        <v>0</v>
      </c>
      <c r="J242" t="n">
        <v>0</v>
      </c>
      <c r="K242" t="n">
        <v>0</v>
      </c>
      <c r="L242" t="n">
        <v>0</v>
      </c>
      <c r="M242" t="n">
        <v>0</v>
      </c>
      <c r="N242" t="n">
        <v>0</v>
      </c>
      <c r="O242" t="n">
        <v>0</v>
      </c>
      <c r="P242" t="n">
        <v>0</v>
      </c>
      <c r="Q242" t="n">
        <v>0</v>
      </c>
      <c r="R242" s="2" t="inlineStr"/>
    </row>
    <row r="243" ht="15" customHeight="1">
      <c r="A243" t="inlineStr">
        <is>
          <t>A 10118-2021</t>
        </is>
      </c>
      <c r="B243" s="1" t="n">
        <v>44256</v>
      </c>
      <c r="C243" s="1" t="n">
        <v>45937</v>
      </c>
      <c r="D243" t="inlineStr">
        <is>
          <t>VÄRMLANDS LÄN</t>
        </is>
      </c>
      <c r="E243" t="inlineStr">
        <is>
          <t>TORSBY</t>
        </is>
      </c>
      <c r="G243" t="n">
        <v>12.5</v>
      </c>
      <c r="H243" t="n">
        <v>0</v>
      </c>
      <c r="I243" t="n">
        <v>0</v>
      </c>
      <c r="J243" t="n">
        <v>0</v>
      </c>
      <c r="K243" t="n">
        <v>0</v>
      </c>
      <c r="L243" t="n">
        <v>0</v>
      </c>
      <c r="M243" t="n">
        <v>0</v>
      </c>
      <c r="N243" t="n">
        <v>0</v>
      </c>
      <c r="O243" t="n">
        <v>0</v>
      </c>
      <c r="P243" t="n">
        <v>0</v>
      </c>
      <c r="Q243" t="n">
        <v>0</v>
      </c>
      <c r="R243" s="2" t="inlineStr"/>
    </row>
    <row r="244" ht="15" customHeight="1">
      <c r="A244" t="inlineStr">
        <is>
          <t>A 13857-2021</t>
        </is>
      </c>
      <c r="B244" s="1" t="n">
        <v>44277</v>
      </c>
      <c r="C244" s="1" t="n">
        <v>45937</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54811-2022</t>
        </is>
      </c>
      <c r="B245" s="1" t="n">
        <v>44883.7496875</v>
      </c>
      <c r="C245" s="1" t="n">
        <v>45937</v>
      </c>
      <c r="D245" t="inlineStr">
        <is>
          <t>VÄRMLANDS LÄN</t>
        </is>
      </c>
      <c r="E245" t="inlineStr">
        <is>
          <t>TORSBY</t>
        </is>
      </c>
      <c r="G245" t="n">
        <v>2.5</v>
      </c>
      <c r="H245" t="n">
        <v>0</v>
      </c>
      <c r="I245" t="n">
        <v>0</v>
      </c>
      <c r="J245" t="n">
        <v>0</v>
      </c>
      <c r="K245" t="n">
        <v>0</v>
      </c>
      <c r="L245" t="n">
        <v>0</v>
      </c>
      <c r="M245" t="n">
        <v>0</v>
      </c>
      <c r="N245" t="n">
        <v>0</v>
      </c>
      <c r="O245" t="n">
        <v>0</v>
      </c>
      <c r="P245" t="n">
        <v>0</v>
      </c>
      <c r="Q245" t="n">
        <v>0</v>
      </c>
      <c r="R245" s="2" t="inlineStr"/>
    </row>
    <row r="246" ht="15" customHeight="1">
      <c r="A246" t="inlineStr">
        <is>
          <t>A 18174-2021</t>
        </is>
      </c>
      <c r="B246" s="1" t="n">
        <v>44302.63314814815</v>
      </c>
      <c r="C246" s="1" t="n">
        <v>45937</v>
      </c>
      <c r="D246" t="inlineStr">
        <is>
          <t>VÄRMLANDS LÄN</t>
        </is>
      </c>
      <c r="E246" t="inlineStr">
        <is>
          <t>TORSBY</t>
        </is>
      </c>
      <c r="G246" t="n">
        <v>4.5</v>
      </c>
      <c r="H246" t="n">
        <v>0</v>
      </c>
      <c r="I246" t="n">
        <v>0</v>
      </c>
      <c r="J246" t="n">
        <v>0</v>
      </c>
      <c r="K246" t="n">
        <v>0</v>
      </c>
      <c r="L246" t="n">
        <v>0</v>
      </c>
      <c r="M246" t="n">
        <v>0</v>
      </c>
      <c r="N246" t="n">
        <v>0</v>
      </c>
      <c r="O246" t="n">
        <v>0</v>
      </c>
      <c r="P246" t="n">
        <v>0</v>
      </c>
      <c r="Q246" t="n">
        <v>0</v>
      </c>
      <c r="R246" s="2" t="inlineStr"/>
    </row>
    <row r="247" ht="15" customHeight="1">
      <c r="A247" t="inlineStr">
        <is>
          <t>A 44923-2021</t>
        </is>
      </c>
      <c r="B247" s="1" t="n">
        <v>44438.6662037037</v>
      </c>
      <c r="C247" s="1" t="n">
        <v>45937</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33145-2021</t>
        </is>
      </c>
      <c r="B248" s="1" t="n">
        <v>44376.67375</v>
      </c>
      <c r="C248" s="1" t="n">
        <v>45937</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23803-2022</t>
        </is>
      </c>
      <c r="B249" s="1" t="n">
        <v>44720</v>
      </c>
      <c r="C249" s="1" t="n">
        <v>45937</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10778-2021</t>
        </is>
      </c>
      <c r="B250" s="1" t="n">
        <v>44259</v>
      </c>
      <c r="C250" s="1" t="n">
        <v>45937</v>
      </c>
      <c r="D250" t="inlineStr">
        <is>
          <t>VÄRMLANDS LÄN</t>
        </is>
      </c>
      <c r="E250" t="inlineStr">
        <is>
          <t>TORSBY</t>
        </is>
      </c>
      <c r="G250" t="n">
        <v>2.1</v>
      </c>
      <c r="H250" t="n">
        <v>0</v>
      </c>
      <c r="I250" t="n">
        <v>0</v>
      </c>
      <c r="J250" t="n">
        <v>0</v>
      </c>
      <c r="K250" t="n">
        <v>0</v>
      </c>
      <c r="L250" t="n">
        <v>0</v>
      </c>
      <c r="M250" t="n">
        <v>0</v>
      </c>
      <c r="N250" t="n">
        <v>0</v>
      </c>
      <c r="O250" t="n">
        <v>0</v>
      </c>
      <c r="P250" t="n">
        <v>0</v>
      </c>
      <c r="Q250" t="n">
        <v>0</v>
      </c>
      <c r="R250" s="2" t="inlineStr"/>
    </row>
    <row r="251" ht="15" customHeight="1">
      <c r="A251" t="inlineStr">
        <is>
          <t>A 68238-2020</t>
        </is>
      </c>
      <c r="B251" s="1" t="n">
        <v>44183</v>
      </c>
      <c r="C251" s="1" t="n">
        <v>45937</v>
      </c>
      <c r="D251" t="inlineStr">
        <is>
          <t>VÄRMLANDS LÄN</t>
        </is>
      </c>
      <c r="E251" t="inlineStr">
        <is>
          <t>TORSBY</t>
        </is>
      </c>
      <c r="F251" t="inlineStr">
        <is>
          <t>Bergvik skog väst AB</t>
        </is>
      </c>
      <c r="G251" t="n">
        <v>6.7</v>
      </c>
      <c r="H251" t="n">
        <v>0</v>
      </c>
      <c r="I251" t="n">
        <v>0</v>
      </c>
      <c r="J251" t="n">
        <v>0</v>
      </c>
      <c r="K251" t="n">
        <v>0</v>
      </c>
      <c r="L251" t="n">
        <v>0</v>
      </c>
      <c r="M251" t="n">
        <v>0</v>
      </c>
      <c r="N251" t="n">
        <v>0</v>
      </c>
      <c r="O251" t="n">
        <v>0</v>
      </c>
      <c r="P251" t="n">
        <v>0</v>
      </c>
      <c r="Q251" t="n">
        <v>0</v>
      </c>
      <c r="R251" s="2" t="inlineStr"/>
    </row>
    <row r="252" ht="15" customHeight="1">
      <c r="A252" t="inlineStr">
        <is>
          <t>A 5105-2021</t>
        </is>
      </c>
      <c r="B252" s="1" t="n">
        <v>44228</v>
      </c>
      <c r="C252" s="1" t="n">
        <v>45937</v>
      </c>
      <c r="D252" t="inlineStr">
        <is>
          <t>VÄRMLANDS LÄN</t>
        </is>
      </c>
      <c r="E252" t="inlineStr">
        <is>
          <t>TORSBY</t>
        </is>
      </c>
      <c r="G252" t="n">
        <v>5.6</v>
      </c>
      <c r="H252" t="n">
        <v>0</v>
      </c>
      <c r="I252" t="n">
        <v>0</v>
      </c>
      <c r="J252" t="n">
        <v>0</v>
      </c>
      <c r="K252" t="n">
        <v>0</v>
      </c>
      <c r="L252" t="n">
        <v>0</v>
      </c>
      <c r="M252" t="n">
        <v>0</v>
      </c>
      <c r="N252" t="n">
        <v>0</v>
      </c>
      <c r="O252" t="n">
        <v>0</v>
      </c>
      <c r="P252" t="n">
        <v>0</v>
      </c>
      <c r="Q252" t="n">
        <v>0</v>
      </c>
      <c r="R252" s="2" t="inlineStr"/>
    </row>
    <row r="253" ht="15" customHeight="1">
      <c r="A253" t="inlineStr">
        <is>
          <t>A 11922-2022</t>
        </is>
      </c>
      <c r="B253" s="1" t="n">
        <v>44635</v>
      </c>
      <c r="C253" s="1" t="n">
        <v>45937</v>
      </c>
      <c r="D253" t="inlineStr">
        <is>
          <t>VÄRMLANDS LÄN</t>
        </is>
      </c>
      <c r="E253" t="inlineStr">
        <is>
          <t>TORSBY</t>
        </is>
      </c>
      <c r="G253" t="n">
        <v>2.6</v>
      </c>
      <c r="H253" t="n">
        <v>0</v>
      </c>
      <c r="I253" t="n">
        <v>0</v>
      </c>
      <c r="J253" t="n">
        <v>0</v>
      </c>
      <c r="K253" t="n">
        <v>0</v>
      </c>
      <c r="L253" t="n">
        <v>0</v>
      </c>
      <c r="M253" t="n">
        <v>0</v>
      </c>
      <c r="N253" t="n">
        <v>0</v>
      </c>
      <c r="O253" t="n">
        <v>0</v>
      </c>
      <c r="P253" t="n">
        <v>0</v>
      </c>
      <c r="Q253" t="n">
        <v>0</v>
      </c>
      <c r="R253" s="2" t="inlineStr"/>
    </row>
    <row r="254" ht="15" customHeight="1">
      <c r="A254" t="inlineStr">
        <is>
          <t>A 33959-2022</t>
        </is>
      </c>
      <c r="B254" s="1" t="n">
        <v>44790.6815625</v>
      </c>
      <c r="C254" s="1" t="n">
        <v>45937</v>
      </c>
      <c r="D254" t="inlineStr">
        <is>
          <t>VÄRMLANDS LÄN</t>
        </is>
      </c>
      <c r="E254" t="inlineStr">
        <is>
          <t>TORSBY</t>
        </is>
      </c>
      <c r="G254" t="n">
        <v>0.6</v>
      </c>
      <c r="H254" t="n">
        <v>0</v>
      </c>
      <c r="I254" t="n">
        <v>0</v>
      </c>
      <c r="J254" t="n">
        <v>0</v>
      </c>
      <c r="K254" t="n">
        <v>0</v>
      </c>
      <c r="L254" t="n">
        <v>0</v>
      </c>
      <c r="M254" t="n">
        <v>0</v>
      </c>
      <c r="N254" t="n">
        <v>0</v>
      </c>
      <c r="O254" t="n">
        <v>0</v>
      </c>
      <c r="P254" t="n">
        <v>0</v>
      </c>
      <c r="Q254" t="n">
        <v>0</v>
      </c>
      <c r="R254" s="2" t="inlineStr"/>
    </row>
    <row r="255" ht="15" customHeight="1">
      <c r="A255" t="inlineStr">
        <is>
          <t>A 30802-2021</t>
        </is>
      </c>
      <c r="B255" s="1" t="n">
        <v>44365.52390046296</v>
      </c>
      <c r="C255" s="1" t="n">
        <v>45937</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51510-2021</t>
        </is>
      </c>
      <c r="B256" s="1" t="n">
        <v>44460</v>
      </c>
      <c r="C256" s="1" t="n">
        <v>45937</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17249-2021</t>
        </is>
      </c>
      <c r="B257" s="1" t="n">
        <v>44298</v>
      </c>
      <c r="C257" s="1" t="n">
        <v>45937</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31494-2021</t>
        </is>
      </c>
      <c r="B258" s="1" t="n">
        <v>44369</v>
      </c>
      <c r="C258" s="1" t="n">
        <v>45937</v>
      </c>
      <c r="D258" t="inlineStr">
        <is>
          <t>VÄRMLANDS LÄN</t>
        </is>
      </c>
      <c r="E258" t="inlineStr">
        <is>
          <t>TORSBY</t>
        </is>
      </c>
      <c r="G258" t="n">
        <v>3.5</v>
      </c>
      <c r="H258" t="n">
        <v>0</v>
      </c>
      <c r="I258" t="n">
        <v>0</v>
      </c>
      <c r="J258" t="n">
        <v>0</v>
      </c>
      <c r="K258" t="n">
        <v>0</v>
      </c>
      <c r="L258" t="n">
        <v>0</v>
      </c>
      <c r="M258" t="n">
        <v>0</v>
      </c>
      <c r="N258" t="n">
        <v>0</v>
      </c>
      <c r="O258" t="n">
        <v>0</v>
      </c>
      <c r="P258" t="n">
        <v>0</v>
      </c>
      <c r="Q258" t="n">
        <v>0</v>
      </c>
      <c r="R258" s="2" t="inlineStr"/>
    </row>
    <row r="259" ht="15" customHeight="1">
      <c r="A259" t="inlineStr">
        <is>
          <t>A 28172-2022</t>
        </is>
      </c>
      <c r="B259" s="1" t="n">
        <v>44746</v>
      </c>
      <c r="C259" s="1" t="n">
        <v>45937</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27362-2021</t>
        </is>
      </c>
      <c r="B260" s="1" t="n">
        <v>44351</v>
      </c>
      <c r="C260" s="1" t="n">
        <v>45937</v>
      </c>
      <c r="D260" t="inlineStr">
        <is>
          <t>VÄRMLANDS LÄN</t>
        </is>
      </c>
      <c r="E260" t="inlineStr">
        <is>
          <t>TORSBY</t>
        </is>
      </c>
      <c r="G260" t="n">
        <v>2.9</v>
      </c>
      <c r="H260" t="n">
        <v>0</v>
      </c>
      <c r="I260" t="n">
        <v>0</v>
      </c>
      <c r="J260" t="n">
        <v>0</v>
      </c>
      <c r="K260" t="n">
        <v>0</v>
      </c>
      <c r="L260" t="n">
        <v>0</v>
      </c>
      <c r="M260" t="n">
        <v>0</v>
      </c>
      <c r="N260" t="n">
        <v>0</v>
      </c>
      <c r="O260" t="n">
        <v>0</v>
      </c>
      <c r="P260" t="n">
        <v>0</v>
      </c>
      <c r="Q260" t="n">
        <v>0</v>
      </c>
      <c r="R260" s="2" t="inlineStr"/>
    </row>
    <row r="261" ht="15" customHeight="1">
      <c r="A261" t="inlineStr">
        <is>
          <t>A 65827-2020</t>
        </is>
      </c>
      <c r="B261" s="1" t="n">
        <v>44173</v>
      </c>
      <c r="C261" s="1" t="n">
        <v>45937</v>
      </c>
      <c r="D261" t="inlineStr">
        <is>
          <t>VÄRMLANDS LÄN</t>
        </is>
      </c>
      <c r="E261" t="inlineStr">
        <is>
          <t>TORSBY</t>
        </is>
      </c>
      <c r="G261" t="n">
        <v>6.7</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45937</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37225-2021</t>
        </is>
      </c>
      <c r="B263" s="1" t="n">
        <v>44396</v>
      </c>
      <c r="C263" s="1" t="n">
        <v>45937</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44018-2021</t>
        </is>
      </c>
      <c r="B264" s="1" t="n">
        <v>44434</v>
      </c>
      <c r="C264" s="1" t="n">
        <v>45937</v>
      </c>
      <c r="D264" t="inlineStr">
        <is>
          <t>VÄRMLANDS LÄN</t>
        </is>
      </c>
      <c r="E264" t="inlineStr">
        <is>
          <t>TORSBY</t>
        </is>
      </c>
      <c r="F264" t="inlineStr">
        <is>
          <t>Bergvik skog väst AB</t>
        </is>
      </c>
      <c r="G264" t="n">
        <v>2.7</v>
      </c>
      <c r="H264" t="n">
        <v>0</v>
      </c>
      <c r="I264" t="n">
        <v>0</v>
      </c>
      <c r="J264" t="n">
        <v>0</v>
      </c>
      <c r="K264" t="n">
        <v>0</v>
      </c>
      <c r="L264" t="n">
        <v>0</v>
      </c>
      <c r="M264" t="n">
        <v>0</v>
      </c>
      <c r="N264" t="n">
        <v>0</v>
      </c>
      <c r="O264" t="n">
        <v>0</v>
      </c>
      <c r="P264" t="n">
        <v>0</v>
      </c>
      <c r="Q264" t="n">
        <v>0</v>
      </c>
      <c r="R264" s="2" t="inlineStr"/>
    </row>
    <row r="265" ht="15" customHeight="1">
      <c r="A265" t="inlineStr">
        <is>
          <t>A 34885-2021</t>
        </is>
      </c>
      <c r="B265" s="1" t="n">
        <v>44383</v>
      </c>
      <c r="C265" s="1" t="n">
        <v>45937</v>
      </c>
      <c r="D265" t="inlineStr">
        <is>
          <t>VÄRMLANDS LÄN</t>
        </is>
      </c>
      <c r="E265" t="inlineStr">
        <is>
          <t>TORSBY</t>
        </is>
      </c>
      <c r="G265" t="n">
        <v>8.9</v>
      </c>
      <c r="H265" t="n">
        <v>0</v>
      </c>
      <c r="I265" t="n">
        <v>0</v>
      </c>
      <c r="J265" t="n">
        <v>0</v>
      </c>
      <c r="K265" t="n">
        <v>0</v>
      </c>
      <c r="L265" t="n">
        <v>0</v>
      </c>
      <c r="M265" t="n">
        <v>0</v>
      </c>
      <c r="N265" t="n">
        <v>0</v>
      </c>
      <c r="O265" t="n">
        <v>0</v>
      </c>
      <c r="P265" t="n">
        <v>0</v>
      </c>
      <c r="Q265" t="n">
        <v>0</v>
      </c>
      <c r="R265" s="2" t="inlineStr"/>
    </row>
    <row r="266" ht="15" customHeight="1">
      <c r="A266" t="inlineStr">
        <is>
          <t>A 65959-2021</t>
        </is>
      </c>
      <c r="B266" s="1" t="n">
        <v>44517</v>
      </c>
      <c r="C266" s="1" t="n">
        <v>45937</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69265-2021</t>
        </is>
      </c>
      <c r="B267" s="1" t="n">
        <v>44526</v>
      </c>
      <c r="C267" s="1" t="n">
        <v>45937</v>
      </c>
      <c r="D267" t="inlineStr">
        <is>
          <t>VÄRMLANDS LÄN</t>
        </is>
      </c>
      <c r="E267" t="inlineStr">
        <is>
          <t>TORSBY</t>
        </is>
      </c>
      <c r="G267" t="n">
        <v>11.1</v>
      </c>
      <c r="H267" t="n">
        <v>0</v>
      </c>
      <c r="I267" t="n">
        <v>0</v>
      </c>
      <c r="J267" t="n">
        <v>0</v>
      </c>
      <c r="K267" t="n">
        <v>0</v>
      </c>
      <c r="L267" t="n">
        <v>0</v>
      </c>
      <c r="M267" t="n">
        <v>0</v>
      </c>
      <c r="N267" t="n">
        <v>0</v>
      </c>
      <c r="O267" t="n">
        <v>0</v>
      </c>
      <c r="P267" t="n">
        <v>0</v>
      </c>
      <c r="Q267" t="n">
        <v>0</v>
      </c>
      <c r="R267" s="2" t="inlineStr"/>
    </row>
    <row r="268" ht="15" customHeight="1">
      <c r="A268" t="inlineStr">
        <is>
          <t>A 34626-2021</t>
        </is>
      </c>
      <c r="B268" s="1" t="n">
        <v>44382</v>
      </c>
      <c r="C268" s="1" t="n">
        <v>45937</v>
      </c>
      <c r="D268" t="inlineStr">
        <is>
          <t>VÄRMLANDS LÄN</t>
        </is>
      </c>
      <c r="E268" t="inlineStr">
        <is>
          <t>TORSBY</t>
        </is>
      </c>
      <c r="G268" t="n">
        <v>2.1</v>
      </c>
      <c r="H268" t="n">
        <v>0</v>
      </c>
      <c r="I268" t="n">
        <v>0</v>
      </c>
      <c r="J268" t="n">
        <v>0</v>
      </c>
      <c r="K268" t="n">
        <v>0</v>
      </c>
      <c r="L268" t="n">
        <v>0</v>
      </c>
      <c r="M268" t="n">
        <v>0</v>
      </c>
      <c r="N268" t="n">
        <v>0</v>
      </c>
      <c r="O268" t="n">
        <v>0</v>
      </c>
      <c r="P268" t="n">
        <v>0</v>
      </c>
      <c r="Q268" t="n">
        <v>0</v>
      </c>
      <c r="R268" s="2" t="inlineStr"/>
    </row>
    <row r="269" ht="15" customHeight="1">
      <c r="A269" t="inlineStr">
        <is>
          <t>A 19877-2021</t>
        </is>
      </c>
      <c r="B269" s="1" t="n">
        <v>44313</v>
      </c>
      <c r="C269" s="1" t="n">
        <v>45937</v>
      </c>
      <c r="D269" t="inlineStr">
        <is>
          <t>VÄRMLANDS LÄN</t>
        </is>
      </c>
      <c r="E269" t="inlineStr">
        <is>
          <t>TORSBY</t>
        </is>
      </c>
      <c r="G269" t="n">
        <v>1.7</v>
      </c>
      <c r="H269" t="n">
        <v>0</v>
      </c>
      <c r="I269" t="n">
        <v>0</v>
      </c>
      <c r="J269" t="n">
        <v>0</v>
      </c>
      <c r="K269" t="n">
        <v>0</v>
      </c>
      <c r="L269" t="n">
        <v>0</v>
      </c>
      <c r="M269" t="n">
        <v>0</v>
      </c>
      <c r="N269" t="n">
        <v>0</v>
      </c>
      <c r="O269" t="n">
        <v>0</v>
      </c>
      <c r="P269" t="n">
        <v>0</v>
      </c>
      <c r="Q269" t="n">
        <v>0</v>
      </c>
      <c r="R269" s="2" t="inlineStr"/>
    </row>
    <row r="270" ht="15" customHeight="1">
      <c r="A270" t="inlineStr">
        <is>
          <t>A 32821-2021</t>
        </is>
      </c>
      <c r="B270" s="1" t="n">
        <v>44375</v>
      </c>
      <c r="C270" s="1" t="n">
        <v>45937</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62576-2021</t>
        </is>
      </c>
      <c r="B271" s="1" t="n">
        <v>44502</v>
      </c>
      <c r="C271" s="1" t="n">
        <v>45937</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51381-2020</t>
        </is>
      </c>
      <c r="B272" s="1" t="n">
        <v>44113</v>
      </c>
      <c r="C272" s="1" t="n">
        <v>45937</v>
      </c>
      <c r="D272" t="inlineStr">
        <is>
          <t>VÄRMLANDS LÄN</t>
        </is>
      </c>
      <c r="E272" t="inlineStr">
        <is>
          <t>TORSBY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50549-2021</t>
        </is>
      </c>
      <c r="B273" s="1" t="n">
        <v>44459</v>
      </c>
      <c r="C273" s="1" t="n">
        <v>45937</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4967-2022</t>
        </is>
      </c>
      <c r="B274" s="1" t="n">
        <v>44593</v>
      </c>
      <c r="C274" s="1" t="n">
        <v>45937</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20199-2021</t>
        </is>
      </c>
      <c r="B275" s="1" t="n">
        <v>44312</v>
      </c>
      <c r="C275" s="1" t="n">
        <v>45937</v>
      </c>
      <c r="D275" t="inlineStr">
        <is>
          <t>VÄRMLANDS LÄN</t>
        </is>
      </c>
      <c r="E275" t="inlineStr">
        <is>
          <t>TORSBY</t>
        </is>
      </c>
      <c r="G275" t="n">
        <v>11.4</v>
      </c>
      <c r="H275" t="n">
        <v>0</v>
      </c>
      <c r="I275" t="n">
        <v>0</v>
      </c>
      <c r="J275" t="n">
        <v>0</v>
      </c>
      <c r="K275" t="n">
        <v>0</v>
      </c>
      <c r="L275" t="n">
        <v>0</v>
      </c>
      <c r="M275" t="n">
        <v>0</v>
      </c>
      <c r="N275" t="n">
        <v>0</v>
      </c>
      <c r="O275" t="n">
        <v>0</v>
      </c>
      <c r="P275" t="n">
        <v>0</v>
      </c>
      <c r="Q275" t="n">
        <v>0</v>
      </c>
      <c r="R275" s="2" t="inlineStr"/>
    </row>
    <row r="276" ht="15" customHeight="1">
      <c r="A276" t="inlineStr">
        <is>
          <t>A 14942-2021</t>
        </is>
      </c>
      <c r="B276" s="1" t="n">
        <v>44281</v>
      </c>
      <c r="C276" s="1" t="n">
        <v>45937</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46551-2022</t>
        </is>
      </c>
      <c r="B277" s="1" t="n">
        <v>44848</v>
      </c>
      <c r="C277" s="1" t="n">
        <v>45937</v>
      </c>
      <c r="D277" t="inlineStr">
        <is>
          <t>VÄRMLANDS LÄN</t>
        </is>
      </c>
      <c r="E277" t="inlineStr">
        <is>
          <t>TORSBY</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23524-2021</t>
        </is>
      </c>
      <c r="B278" s="1" t="n">
        <v>44301</v>
      </c>
      <c r="C278" s="1" t="n">
        <v>45937</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35545-2021</t>
        </is>
      </c>
      <c r="B279" s="1" t="n">
        <v>44385</v>
      </c>
      <c r="C279" s="1" t="n">
        <v>45937</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25247-2021</t>
        </is>
      </c>
      <c r="B280" s="1" t="n">
        <v>44342</v>
      </c>
      <c r="C280" s="1" t="n">
        <v>45937</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61009-2020</t>
        </is>
      </c>
      <c r="B281" s="1" t="n">
        <v>44154</v>
      </c>
      <c r="C281" s="1" t="n">
        <v>45937</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52543-2022</t>
        </is>
      </c>
      <c r="B282" s="1" t="n">
        <v>44874</v>
      </c>
      <c r="C282" s="1" t="n">
        <v>45937</v>
      </c>
      <c r="D282" t="inlineStr">
        <is>
          <t>VÄRMLANDS LÄN</t>
        </is>
      </c>
      <c r="E282" t="inlineStr">
        <is>
          <t>TORSBY</t>
        </is>
      </c>
      <c r="G282" t="n">
        <v>10.1</v>
      </c>
      <c r="H282" t="n">
        <v>0</v>
      </c>
      <c r="I282" t="n">
        <v>0</v>
      </c>
      <c r="J282" t="n">
        <v>0</v>
      </c>
      <c r="K282" t="n">
        <v>0</v>
      </c>
      <c r="L282" t="n">
        <v>0</v>
      </c>
      <c r="M282" t="n">
        <v>0</v>
      </c>
      <c r="N282" t="n">
        <v>0</v>
      </c>
      <c r="O282" t="n">
        <v>0</v>
      </c>
      <c r="P282" t="n">
        <v>0</v>
      </c>
      <c r="Q282" t="n">
        <v>0</v>
      </c>
      <c r="R282" s="2" t="inlineStr"/>
    </row>
    <row r="283" ht="15" customHeight="1">
      <c r="A283" t="inlineStr">
        <is>
          <t>A 43095-2021</t>
        </is>
      </c>
      <c r="B283" s="1" t="n">
        <v>44431</v>
      </c>
      <c r="C283" s="1" t="n">
        <v>45937</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20819-2022</t>
        </is>
      </c>
      <c r="B284" s="1" t="n">
        <v>44699</v>
      </c>
      <c r="C284" s="1" t="n">
        <v>45937</v>
      </c>
      <c r="D284" t="inlineStr">
        <is>
          <t>VÄRMLANDS LÄN</t>
        </is>
      </c>
      <c r="E284" t="inlineStr">
        <is>
          <t>TORSBY</t>
        </is>
      </c>
      <c r="G284" t="n">
        <v>3.1</v>
      </c>
      <c r="H284" t="n">
        <v>0</v>
      </c>
      <c r="I284" t="n">
        <v>0</v>
      </c>
      <c r="J284" t="n">
        <v>0</v>
      </c>
      <c r="K284" t="n">
        <v>0</v>
      </c>
      <c r="L284" t="n">
        <v>0</v>
      </c>
      <c r="M284" t="n">
        <v>0</v>
      </c>
      <c r="N284" t="n">
        <v>0</v>
      </c>
      <c r="O284" t="n">
        <v>0</v>
      </c>
      <c r="P284" t="n">
        <v>0</v>
      </c>
      <c r="Q284" t="n">
        <v>0</v>
      </c>
      <c r="R284" s="2" t="inlineStr"/>
    </row>
    <row r="285" ht="15" customHeight="1">
      <c r="A285" t="inlineStr">
        <is>
          <t>A 65998-2021</t>
        </is>
      </c>
      <c r="B285" s="1" t="n">
        <v>44517</v>
      </c>
      <c r="C285" s="1" t="n">
        <v>45937</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65398-2020</t>
        </is>
      </c>
      <c r="B286" s="1" t="n">
        <v>44169</v>
      </c>
      <c r="C286" s="1" t="n">
        <v>45937</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17765-2022</t>
        </is>
      </c>
      <c r="B287" s="1" t="n">
        <v>44681.41195601852</v>
      </c>
      <c r="C287" s="1" t="n">
        <v>45937</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49192-2021</t>
        </is>
      </c>
      <c r="B288" s="1" t="n">
        <v>44454.33175925926</v>
      </c>
      <c r="C288" s="1" t="n">
        <v>45937</v>
      </c>
      <c r="D288" t="inlineStr">
        <is>
          <t>VÄRMLANDS LÄN</t>
        </is>
      </c>
      <c r="E288" t="inlineStr">
        <is>
          <t>TORSBY</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28562-2021</t>
        </is>
      </c>
      <c r="B289" s="1" t="n">
        <v>44356.69538194445</v>
      </c>
      <c r="C289" s="1" t="n">
        <v>45937</v>
      </c>
      <c r="D289" t="inlineStr">
        <is>
          <t>VÄRMLANDS LÄN</t>
        </is>
      </c>
      <c r="E289" t="inlineStr">
        <is>
          <t>TORSBY</t>
        </is>
      </c>
      <c r="G289" t="n">
        <v>4.4</v>
      </c>
      <c r="H289" t="n">
        <v>0</v>
      </c>
      <c r="I289" t="n">
        <v>0</v>
      </c>
      <c r="J289" t="n">
        <v>0</v>
      </c>
      <c r="K289" t="n">
        <v>0</v>
      </c>
      <c r="L289" t="n">
        <v>0</v>
      </c>
      <c r="M289" t="n">
        <v>0</v>
      </c>
      <c r="N289" t="n">
        <v>0</v>
      </c>
      <c r="O289" t="n">
        <v>0</v>
      </c>
      <c r="P289" t="n">
        <v>0</v>
      </c>
      <c r="Q289" t="n">
        <v>0</v>
      </c>
      <c r="R289" s="2" t="inlineStr"/>
    </row>
    <row r="290" ht="15" customHeight="1">
      <c r="A290" t="inlineStr">
        <is>
          <t>A 36587-2022</t>
        </is>
      </c>
      <c r="B290" s="1" t="n">
        <v>44804.62511574074</v>
      </c>
      <c r="C290" s="1" t="n">
        <v>45937</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55401-2020</t>
        </is>
      </c>
      <c r="B291" s="1" t="n">
        <v>44131</v>
      </c>
      <c r="C291" s="1" t="n">
        <v>45937</v>
      </c>
      <c r="D291" t="inlineStr">
        <is>
          <t>VÄRMLANDS LÄN</t>
        </is>
      </c>
      <c r="E291" t="inlineStr">
        <is>
          <t>TORSBY</t>
        </is>
      </c>
      <c r="G291" t="n">
        <v>1.9</v>
      </c>
      <c r="H291" t="n">
        <v>0</v>
      </c>
      <c r="I291" t="n">
        <v>0</v>
      </c>
      <c r="J291" t="n">
        <v>0</v>
      </c>
      <c r="K291" t="n">
        <v>0</v>
      </c>
      <c r="L291" t="n">
        <v>0</v>
      </c>
      <c r="M291" t="n">
        <v>0</v>
      </c>
      <c r="N291" t="n">
        <v>0</v>
      </c>
      <c r="O291" t="n">
        <v>0</v>
      </c>
      <c r="P291" t="n">
        <v>0</v>
      </c>
      <c r="Q291" t="n">
        <v>0</v>
      </c>
      <c r="R291" s="2" t="inlineStr"/>
    </row>
    <row r="292" ht="15" customHeight="1">
      <c r="A292" t="inlineStr">
        <is>
          <t>A 33958-2022</t>
        </is>
      </c>
      <c r="B292" s="1" t="n">
        <v>44790.67916666667</v>
      </c>
      <c r="C292" s="1" t="n">
        <v>45937</v>
      </c>
      <c r="D292" t="inlineStr">
        <is>
          <t>VÄRMLANDS LÄN</t>
        </is>
      </c>
      <c r="E292" t="inlineStr">
        <is>
          <t>TORSBY</t>
        </is>
      </c>
      <c r="G292" t="n">
        <v>13.2</v>
      </c>
      <c r="H292" t="n">
        <v>0</v>
      </c>
      <c r="I292" t="n">
        <v>0</v>
      </c>
      <c r="J292" t="n">
        <v>0</v>
      </c>
      <c r="K292" t="n">
        <v>0</v>
      </c>
      <c r="L292" t="n">
        <v>0</v>
      </c>
      <c r="M292" t="n">
        <v>0</v>
      </c>
      <c r="N292" t="n">
        <v>0</v>
      </c>
      <c r="O292" t="n">
        <v>0</v>
      </c>
      <c r="P292" t="n">
        <v>0</v>
      </c>
      <c r="Q292" t="n">
        <v>0</v>
      </c>
      <c r="R292" s="2" t="inlineStr"/>
    </row>
    <row r="293" ht="15" customHeight="1">
      <c r="A293" t="inlineStr">
        <is>
          <t>A 65369-2020</t>
        </is>
      </c>
      <c r="B293" s="1" t="n">
        <v>44169</v>
      </c>
      <c r="C293" s="1" t="n">
        <v>45937</v>
      </c>
      <c r="D293" t="inlineStr">
        <is>
          <t>VÄRMLANDS LÄN</t>
        </is>
      </c>
      <c r="E293" t="inlineStr">
        <is>
          <t>TORSBY</t>
        </is>
      </c>
      <c r="G293" t="n">
        <v>32.5</v>
      </c>
      <c r="H293" t="n">
        <v>0</v>
      </c>
      <c r="I293" t="n">
        <v>0</v>
      </c>
      <c r="J293" t="n">
        <v>0</v>
      </c>
      <c r="K293" t="n">
        <v>0</v>
      </c>
      <c r="L293" t="n">
        <v>0</v>
      </c>
      <c r="M293" t="n">
        <v>0</v>
      </c>
      <c r="N293" t="n">
        <v>0</v>
      </c>
      <c r="O293" t="n">
        <v>0</v>
      </c>
      <c r="P293" t="n">
        <v>0</v>
      </c>
      <c r="Q293" t="n">
        <v>0</v>
      </c>
      <c r="R293" s="2" t="inlineStr"/>
    </row>
    <row r="294" ht="15" customHeight="1">
      <c r="A294" t="inlineStr">
        <is>
          <t>A 52900-2021</t>
        </is>
      </c>
      <c r="B294" s="1" t="n">
        <v>44467</v>
      </c>
      <c r="C294" s="1" t="n">
        <v>45937</v>
      </c>
      <c r="D294" t="inlineStr">
        <is>
          <t>VÄRMLANDS LÄN</t>
        </is>
      </c>
      <c r="E294" t="inlineStr">
        <is>
          <t>TORSBY</t>
        </is>
      </c>
      <c r="G294" t="n">
        <v>3.8</v>
      </c>
      <c r="H294" t="n">
        <v>0</v>
      </c>
      <c r="I294" t="n">
        <v>0</v>
      </c>
      <c r="J294" t="n">
        <v>0</v>
      </c>
      <c r="K294" t="n">
        <v>0</v>
      </c>
      <c r="L294" t="n">
        <v>0</v>
      </c>
      <c r="M294" t="n">
        <v>0</v>
      </c>
      <c r="N294" t="n">
        <v>0</v>
      </c>
      <c r="O294" t="n">
        <v>0</v>
      </c>
      <c r="P294" t="n">
        <v>0</v>
      </c>
      <c r="Q294" t="n">
        <v>0</v>
      </c>
      <c r="R294" s="2" t="inlineStr"/>
    </row>
    <row r="295" ht="15" customHeight="1">
      <c r="A295" t="inlineStr">
        <is>
          <t>A 29509-2022</t>
        </is>
      </c>
      <c r="B295" s="1" t="n">
        <v>44753</v>
      </c>
      <c r="C295" s="1" t="n">
        <v>45937</v>
      </c>
      <c r="D295" t="inlineStr">
        <is>
          <t>VÄRMLANDS LÄN</t>
        </is>
      </c>
      <c r="E295" t="inlineStr">
        <is>
          <t>TORSBY</t>
        </is>
      </c>
      <c r="G295" t="n">
        <v>2.5</v>
      </c>
      <c r="H295" t="n">
        <v>0</v>
      </c>
      <c r="I295" t="n">
        <v>0</v>
      </c>
      <c r="J295" t="n">
        <v>0</v>
      </c>
      <c r="K295" t="n">
        <v>0</v>
      </c>
      <c r="L295" t="n">
        <v>0</v>
      </c>
      <c r="M295" t="n">
        <v>0</v>
      </c>
      <c r="N295" t="n">
        <v>0</v>
      </c>
      <c r="O295" t="n">
        <v>0</v>
      </c>
      <c r="P295" t="n">
        <v>0</v>
      </c>
      <c r="Q295" t="n">
        <v>0</v>
      </c>
      <c r="R295" s="2" t="inlineStr"/>
    </row>
    <row r="296" ht="15" customHeight="1">
      <c r="A296" t="inlineStr">
        <is>
          <t>A 20907-2022</t>
        </is>
      </c>
      <c r="B296" s="1" t="n">
        <v>44701.60076388889</v>
      </c>
      <c r="C296" s="1" t="n">
        <v>45937</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22671-2021</t>
        </is>
      </c>
      <c r="B297" s="1" t="n">
        <v>44327</v>
      </c>
      <c r="C297" s="1" t="n">
        <v>45937</v>
      </c>
      <c r="D297" t="inlineStr">
        <is>
          <t>VÄRMLANDS LÄN</t>
        </is>
      </c>
      <c r="E297" t="inlineStr">
        <is>
          <t>TORSBY</t>
        </is>
      </c>
      <c r="G297" t="n">
        <v>1.3</v>
      </c>
      <c r="H297" t="n">
        <v>0</v>
      </c>
      <c r="I297" t="n">
        <v>0</v>
      </c>
      <c r="J297" t="n">
        <v>0</v>
      </c>
      <c r="K297" t="n">
        <v>0</v>
      </c>
      <c r="L297" t="n">
        <v>0</v>
      </c>
      <c r="M297" t="n">
        <v>0</v>
      </c>
      <c r="N297" t="n">
        <v>0</v>
      </c>
      <c r="O297" t="n">
        <v>0</v>
      </c>
      <c r="P297" t="n">
        <v>0</v>
      </c>
      <c r="Q297" t="n">
        <v>0</v>
      </c>
      <c r="R297" s="2" t="inlineStr"/>
    </row>
    <row r="298" ht="15" customHeight="1">
      <c r="A298" t="inlineStr">
        <is>
          <t>A 5050-2021</t>
        </is>
      </c>
      <c r="B298" s="1" t="n">
        <v>44228.5018287037</v>
      </c>
      <c r="C298" s="1" t="n">
        <v>45937</v>
      </c>
      <c r="D298" t="inlineStr">
        <is>
          <t>VÄRMLANDS LÄN</t>
        </is>
      </c>
      <c r="E298" t="inlineStr">
        <is>
          <t>TORSBY</t>
        </is>
      </c>
      <c r="G298" t="n">
        <v>1.4</v>
      </c>
      <c r="H298" t="n">
        <v>0</v>
      </c>
      <c r="I298" t="n">
        <v>0</v>
      </c>
      <c r="J298" t="n">
        <v>0</v>
      </c>
      <c r="K298" t="n">
        <v>0</v>
      </c>
      <c r="L298" t="n">
        <v>0</v>
      </c>
      <c r="M298" t="n">
        <v>0</v>
      </c>
      <c r="N298" t="n">
        <v>0</v>
      </c>
      <c r="O298" t="n">
        <v>0</v>
      </c>
      <c r="P298" t="n">
        <v>0</v>
      </c>
      <c r="Q298" t="n">
        <v>0</v>
      </c>
      <c r="R298" s="2" t="inlineStr"/>
    </row>
    <row r="299" ht="15" customHeight="1">
      <c r="A299" t="inlineStr">
        <is>
          <t>A 54916-2020</t>
        </is>
      </c>
      <c r="B299" s="1" t="n">
        <v>44127</v>
      </c>
      <c r="C299" s="1" t="n">
        <v>45937</v>
      </c>
      <c r="D299" t="inlineStr">
        <is>
          <t>VÄRMLANDS LÄN</t>
        </is>
      </c>
      <c r="E299" t="inlineStr">
        <is>
          <t>TORSBY</t>
        </is>
      </c>
      <c r="F299" t="inlineStr">
        <is>
          <t>Kyrkan</t>
        </is>
      </c>
      <c r="G299" t="n">
        <v>0.7</v>
      </c>
      <c r="H299" t="n">
        <v>0</v>
      </c>
      <c r="I299" t="n">
        <v>0</v>
      </c>
      <c r="J299" t="n">
        <v>0</v>
      </c>
      <c r="K299" t="n">
        <v>0</v>
      </c>
      <c r="L299" t="n">
        <v>0</v>
      </c>
      <c r="M299" t="n">
        <v>0</v>
      </c>
      <c r="N299" t="n">
        <v>0</v>
      </c>
      <c r="O299" t="n">
        <v>0</v>
      </c>
      <c r="P299" t="n">
        <v>0</v>
      </c>
      <c r="Q299" t="n">
        <v>0</v>
      </c>
      <c r="R299" s="2" t="inlineStr"/>
    </row>
    <row r="300" ht="15" customHeight="1">
      <c r="A300" t="inlineStr">
        <is>
          <t>A 52141-2020</t>
        </is>
      </c>
      <c r="B300" s="1" t="n">
        <v>44117</v>
      </c>
      <c r="C300" s="1" t="n">
        <v>45937</v>
      </c>
      <c r="D300" t="inlineStr">
        <is>
          <t>VÄRMLANDS LÄN</t>
        </is>
      </c>
      <c r="E300" t="inlineStr">
        <is>
          <t>TORSBY</t>
        </is>
      </c>
      <c r="G300" t="n">
        <v>4.1</v>
      </c>
      <c r="H300" t="n">
        <v>0</v>
      </c>
      <c r="I300" t="n">
        <v>0</v>
      </c>
      <c r="J300" t="n">
        <v>0</v>
      </c>
      <c r="K300" t="n">
        <v>0</v>
      </c>
      <c r="L300" t="n">
        <v>0</v>
      </c>
      <c r="M300" t="n">
        <v>0</v>
      </c>
      <c r="N300" t="n">
        <v>0</v>
      </c>
      <c r="O300" t="n">
        <v>0</v>
      </c>
      <c r="P300" t="n">
        <v>0</v>
      </c>
      <c r="Q300" t="n">
        <v>0</v>
      </c>
      <c r="R300" s="2" t="inlineStr"/>
    </row>
    <row r="301" ht="15" customHeight="1">
      <c r="A301" t="inlineStr">
        <is>
          <t>A 997-2022</t>
        </is>
      </c>
      <c r="B301" s="1" t="n">
        <v>44571</v>
      </c>
      <c r="C301" s="1" t="n">
        <v>45937</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26558-2021</t>
        </is>
      </c>
      <c r="B302" s="1" t="n">
        <v>44348</v>
      </c>
      <c r="C302" s="1" t="n">
        <v>45937</v>
      </c>
      <c r="D302" t="inlineStr">
        <is>
          <t>VÄRMLANDS LÄN</t>
        </is>
      </c>
      <c r="E302" t="inlineStr">
        <is>
          <t>TORSBY</t>
        </is>
      </c>
      <c r="G302" t="n">
        <v>19.7</v>
      </c>
      <c r="H302" t="n">
        <v>0</v>
      </c>
      <c r="I302" t="n">
        <v>0</v>
      </c>
      <c r="J302" t="n">
        <v>0</v>
      </c>
      <c r="K302" t="n">
        <v>0</v>
      </c>
      <c r="L302" t="n">
        <v>0</v>
      </c>
      <c r="M302" t="n">
        <v>0</v>
      </c>
      <c r="N302" t="n">
        <v>0</v>
      </c>
      <c r="O302" t="n">
        <v>0</v>
      </c>
      <c r="P302" t="n">
        <v>0</v>
      </c>
      <c r="Q302" t="n">
        <v>0</v>
      </c>
      <c r="R302" s="2" t="inlineStr"/>
    </row>
    <row r="303" ht="15" customHeight="1">
      <c r="A303" t="inlineStr">
        <is>
          <t>A 33149-2021</t>
        </is>
      </c>
      <c r="B303" s="1" t="n">
        <v>44376.67658564815</v>
      </c>
      <c r="C303" s="1" t="n">
        <v>45937</v>
      </c>
      <c r="D303" t="inlineStr">
        <is>
          <t>VÄRMLANDS LÄN</t>
        </is>
      </c>
      <c r="E303" t="inlineStr">
        <is>
          <t>TORSBY</t>
        </is>
      </c>
      <c r="G303" t="n">
        <v>1.2</v>
      </c>
      <c r="H303" t="n">
        <v>0</v>
      </c>
      <c r="I303" t="n">
        <v>0</v>
      </c>
      <c r="J303" t="n">
        <v>0</v>
      </c>
      <c r="K303" t="n">
        <v>0</v>
      </c>
      <c r="L303" t="n">
        <v>0</v>
      </c>
      <c r="M303" t="n">
        <v>0</v>
      </c>
      <c r="N303" t="n">
        <v>0</v>
      </c>
      <c r="O303" t="n">
        <v>0</v>
      </c>
      <c r="P303" t="n">
        <v>0</v>
      </c>
      <c r="Q303" t="n">
        <v>0</v>
      </c>
      <c r="R303" s="2" t="inlineStr"/>
    </row>
    <row r="304" ht="15" customHeight="1">
      <c r="A304" t="inlineStr">
        <is>
          <t>A 56062-2021</t>
        </is>
      </c>
      <c r="B304" s="1" t="n">
        <v>44477.51216435185</v>
      </c>
      <c r="C304" s="1" t="n">
        <v>45937</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33515-2021</t>
        </is>
      </c>
      <c r="B305" s="1" t="n">
        <v>44377</v>
      </c>
      <c r="C305" s="1" t="n">
        <v>45937</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33517-2021</t>
        </is>
      </c>
      <c r="B306" s="1" t="n">
        <v>44377</v>
      </c>
      <c r="C306" s="1" t="n">
        <v>45937</v>
      </c>
      <c r="D306" t="inlineStr">
        <is>
          <t>VÄRMLANDS LÄN</t>
        </is>
      </c>
      <c r="E306" t="inlineStr">
        <is>
          <t>TORSBY</t>
        </is>
      </c>
      <c r="G306" t="n">
        <v>2.2</v>
      </c>
      <c r="H306" t="n">
        <v>0</v>
      </c>
      <c r="I306" t="n">
        <v>0</v>
      </c>
      <c r="J306" t="n">
        <v>0</v>
      </c>
      <c r="K306" t="n">
        <v>0</v>
      </c>
      <c r="L306" t="n">
        <v>0</v>
      </c>
      <c r="M306" t="n">
        <v>0</v>
      </c>
      <c r="N306" t="n">
        <v>0</v>
      </c>
      <c r="O306" t="n">
        <v>0</v>
      </c>
      <c r="P306" t="n">
        <v>0</v>
      </c>
      <c r="Q306" t="n">
        <v>0</v>
      </c>
      <c r="R306" s="2" t="inlineStr"/>
    </row>
    <row r="307" ht="15" customHeight="1">
      <c r="A307" t="inlineStr">
        <is>
          <t>A 67734-2020</t>
        </is>
      </c>
      <c r="B307" s="1" t="n">
        <v>44182</v>
      </c>
      <c r="C307" s="1" t="n">
        <v>45937</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7898-2021</t>
        </is>
      </c>
      <c r="B308" s="1" t="n">
        <v>44243</v>
      </c>
      <c r="C308" s="1" t="n">
        <v>45937</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37608-2021</t>
        </is>
      </c>
      <c r="B309" s="1" t="n">
        <v>44399</v>
      </c>
      <c r="C309" s="1" t="n">
        <v>45937</v>
      </c>
      <c r="D309" t="inlineStr">
        <is>
          <t>VÄRMLANDS LÄN</t>
        </is>
      </c>
      <c r="E309" t="inlineStr">
        <is>
          <t>TORSBY</t>
        </is>
      </c>
      <c r="G309" t="n">
        <v>1.7</v>
      </c>
      <c r="H309" t="n">
        <v>0</v>
      </c>
      <c r="I309" t="n">
        <v>0</v>
      </c>
      <c r="J309" t="n">
        <v>0</v>
      </c>
      <c r="K309" t="n">
        <v>0</v>
      </c>
      <c r="L309" t="n">
        <v>0</v>
      </c>
      <c r="M309" t="n">
        <v>0</v>
      </c>
      <c r="N309" t="n">
        <v>0</v>
      </c>
      <c r="O309" t="n">
        <v>0</v>
      </c>
      <c r="P309" t="n">
        <v>0</v>
      </c>
      <c r="Q309" t="n">
        <v>0</v>
      </c>
      <c r="R309" s="2" t="inlineStr"/>
    </row>
    <row r="310" ht="15" customHeight="1">
      <c r="A310" t="inlineStr">
        <is>
          <t>A 20045-2022</t>
        </is>
      </c>
      <c r="B310" s="1" t="n">
        <v>44697</v>
      </c>
      <c r="C310" s="1" t="n">
        <v>45937</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29720-2022</t>
        </is>
      </c>
      <c r="B311" s="1" t="n">
        <v>44755</v>
      </c>
      <c r="C311" s="1" t="n">
        <v>45937</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21031-2021</t>
        </is>
      </c>
      <c r="B312" s="1" t="n">
        <v>44319</v>
      </c>
      <c r="C312" s="1" t="n">
        <v>45937</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67147-2021</t>
        </is>
      </c>
      <c r="B313" s="1" t="n">
        <v>44523</v>
      </c>
      <c r="C313" s="1" t="n">
        <v>45937</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45937</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7543-2022</t>
        </is>
      </c>
      <c r="B315" s="1" t="n">
        <v>44607</v>
      </c>
      <c r="C315" s="1" t="n">
        <v>45937</v>
      </c>
      <c r="D315" t="inlineStr">
        <is>
          <t>VÄRMLANDS LÄN</t>
        </is>
      </c>
      <c r="E315" t="inlineStr">
        <is>
          <t>TORSBY</t>
        </is>
      </c>
      <c r="G315" t="n">
        <v>0.5</v>
      </c>
      <c r="H315" t="n">
        <v>0</v>
      </c>
      <c r="I315" t="n">
        <v>0</v>
      </c>
      <c r="J315" t="n">
        <v>0</v>
      </c>
      <c r="K315" t="n">
        <v>0</v>
      </c>
      <c r="L315" t="n">
        <v>0</v>
      </c>
      <c r="M315" t="n">
        <v>0</v>
      </c>
      <c r="N315" t="n">
        <v>0</v>
      </c>
      <c r="O315" t="n">
        <v>0</v>
      </c>
      <c r="P315" t="n">
        <v>0</v>
      </c>
      <c r="Q315" t="n">
        <v>0</v>
      </c>
      <c r="R315" s="2" t="inlineStr"/>
    </row>
    <row r="316" ht="15" customHeight="1">
      <c r="A316" t="inlineStr">
        <is>
          <t>A 62039-2021</t>
        </is>
      </c>
      <c r="B316" s="1" t="n">
        <v>44502</v>
      </c>
      <c r="C316" s="1" t="n">
        <v>45937</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43136-2021</t>
        </is>
      </c>
      <c r="B317" s="1" t="n">
        <v>44431.6690625</v>
      </c>
      <c r="C317" s="1" t="n">
        <v>45937</v>
      </c>
      <c r="D317" t="inlineStr">
        <is>
          <t>VÄRMLANDS LÄN</t>
        </is>
      </c>
      <c r="E317" t="inlineStr">
        <is>
          <t>TORSBY</t>
        </is>
      </c>
      <c r="G317" t="n">
        <v>14.4</v>
      </c>
      <c r="H317" t="n">
        <v>0</v>
      </c>
      <c r="I317" t="n">
        <v>0</v>
      </c>
      <c r="J317" t="n">
        <v>0</v>
      </c>
      <c r="K317" t="n">
        <v>0</v>
      </c>
      <c r="L317" t="n">
        <v>0</v>
      </c>
      <c r="M317" t="n">
        <v>0</v>
      </c>
      <c r="N317" t="n">
        <v>0</v>
      </c>
      <c r="O317" t="n">
        <v>0</v>
      </c>
      <c r="P317" t="n">
        <v>0</v>
      </c>
      <c r="Q317" t="n">
        <v>0</v>
      </c>
      <c r="R317" s="2" t="inlineStr"/>
    </row>
    <row r="318" ht="15" customHeight="1">
      <c r="A318" t="inlineStr">
        <is>
          <t>A 44327-2022</t>
        </is>
      </c>
      <c r="B318" s="1" t="n">
        <v>44839</v>
      </c>
      <c r="C318" s="1" t="n">
        <v>45937</v>
      </c>
      <c r="D318" t="inlineStr">
        <is>
          <t>VÄRMLANDS LÄN</t>
        </is>
      </c>
      <c r="E318" t="inlineStr">
        <is>
          <t>TORSBY</t>
        </is>
      </c>
      <c r="G318" t="n">
        <v>3.5</v>
      </c>
      <c r="H318" t="n">
        <v>0</v>
      </c>
      <c r="I318" t="n">
        <v>0</v>
      </c>
      <c r="J318" t="n">
        <v>0</v>
      </c>
      <c r="K318" t="n">
        <v>0</v>
      </c>
      <c r="L318" t="n">
        <v>0</v>
      </c>
      <c r="M318" t="n">
        <v>0</v>
      </c>
      <c r="N318" t="n">
        <v>0</v>
      </c>
      <c r="O318" t="n">
        <v>0</v>
      </c>
      <c r="P318" t="n">
        <v>0</v>
      </c>
      <c r="Q318" t="n">
        <v>0</v>
      </c>
      <c r="R318" s="2" t="inlineStr"/>
    </row>
    <row r="319" ht="15" customHeight="1">
      <c r="A319" t="inlineStr">
        <is>
          <t>A 4960-2022</t>
        </is>
      </c>
      <c r="B319" s="1" t="n">
        <v>44593</v>
      </c>
      <c r="C319" s="1" t="n">
        <v>45937</v>
      </c>
      <c r="D319" t="inlineStr">
        <is>
          <t>VÄRMLANDS LÄN</t>
        </is>
      </c>
      <c r="E319" t="inlineStr">
        <is>
          <t>TORSBY</t>
        </is>
      </c>
      <c r="G319" t="n">
        <v>4.8</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45937</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45937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13698-2022</t>
        </is>
      </c>
      <c r="B322" s="1" t="n">
        <v>44648</v>
      </c>
      <c r="C322" s="1" t="n">
        <v>45937</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71084-2021</t>
        </is>
      </c>
      <c r="B323" s="1" t="n">
        <v>44538.96543981481</v>
      </c>
      <c r="C323" s="1" t="n">
        <v>45937</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66103-2021</t>
        </is>
      </c>
      <c r="B324" s="1" t="n">
        <v>44517</v>
      </c>
      <c r="C324" s="1" t="n">
        <v>45937</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8739-2022</t>
        </is>
      </c>
      <c r="B325" s="1" t="n">
        <v>44615</v>
      </c>
      <c r="C325" s="1" t="n">
        <v>45937</v>
      </c>
      <c r="D325" t="inlineStr">
        <is>
          <t>VÄRMLANDS LÄN</t>
        </is>
      </c>
      <c r="E325" t="inlineStr">
        <is>
          <t>TORSBY</t>
        </is>
      </c>
      <c r="G325" t="n">
        <v>1.8</v>
      </c>
      <c r="H325" t="n">
        <v>0</v>
      </c>
      <c r="I325" t="n">
        <v>0</v>
      </c>
      <c r="J325" t="n">
        <v>0</v>
      </c>
      <c r="K325" t="n">
        <v>0</v>
      </c>
      <c r="L325" t="n">
        <v>0</v>
      </c>
      <c r="M325" t="n">
        <v>0</v>
      </c>
      <c r="N325" t="n">
        <v>0</v>
      </c>
      <c r="O325" t="n">
        <v>0</v>
      </c>
      <c r="P325" t="n">
        <v>0</v>
      </c>
      <c r="Q325" t="n">
        <v>0</v>
      </c>
      <c r="R325" s="2" t="inlineStr"/>
    </row>
    <row r="326" ht="15" customHeight="1">
      <c r="A326" t="inlineStr">
        <is>
          <t>A 18628-2022</t>
        </is>
      </c>
      <c r="B326" s="1" t="n">
        <v>44687</v>
      </c>
      <c r="C326" s="1" t="n">
        <v>45937</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46934-2021</t>
        </is>
      </c>
      <c r="B327" s="1" t="n">
        <v>44446.49893518518</v>
      </c>
      <c r="C327" s="1" t="n">
        <v>45937</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8910-2021</t>
        </is>
      </c>
      <c r="B328" s="1" t="n">
        <v>44246</v>
      </c>
      <c r="C328" s="1" t="n">
        <v>45937</v>
      </c>
      <c r="D328" t="inlineStr">
        <is>
          <t>VÄRMLANDS LÄN</t>
        </is>
      </c>
      <c r="E328" t="inlineStr">
        <is>
          <t>TORSBY</t>
        </is>
      </c>
      <c r="G328" t="n">
        <v>3.7</v>
      </c>
      <c r="H328" t="n">
        <v>0</v>
      </c>
      <c r="I328" t="n">
        <v>0</v>
      </c>
      <c r="J328" t="n">
        <v>0</v>
      </c>
      <c r="K328" t="n">
        <v>0</v>
      </c>
      <c r="L328" t="n">
        <v>0</v>
      </c>
      <c r="M328" t="n">
        <v>0</v>
      </c>
      <c r="N328" t="n">
        <v>0</v>
      </c>
      <c r="O328" t="n">
        <v>0</v>
      </c>
      <c r="P328" t="n">
        <v>0</v>
      </c>
      <c r="Q328" t="n">
        <v>0</v>
      </c>
      <c r="R328" s="2" t="inlineStr"/>
    </row>
    <row r="329" ht="15" customHeight="1">
      <c r="A329" t="inlineStr">
        <is>
          <t>A 44517-2022</t>
        </is>
      </c>
      <c r="B329" s="1" t="n">
        <v>44840.43184027778</v>
      </c>
      <c r="C329" s="1" t="n">
        <v>45937</v>
      </c>
      <c r="D329" t="inlineStr">
        <is>
          <t>VÄRMLANDS LÄN</t>
        </is>
      </c>
      <c r="E329" t="inlineStr">
        <is>
          <t>TORSBY</t>
        </is>
      </c>
      <c r="G329" t="n">
        <v>0.6</v>
      </c>
      <c r="H329" t="n">
        <v>0</v>
      </c>
      <c r="I329" t="n">
        <v>0</v>
      </c>
      <c r="J329" t="n">
        <v>0</v>
      </c>
      <c r="K329" t="n">
        <v>0</v>
      </c>
      <c r="L329" t="n">
        <v>0</v>
      </c>
      <c r="M329" t="n">
        <v>0</v>
      </c>
      <c r="N329" t="n">
        <v>0</v>
      </c>
      <c r="O329" t="n">
        <v>0</v>
      </c>
      <c r="P329" t="n">
        <v>0</v>
      </c>
      <c r="Q329" t="n">
        <v>0</v>
      </c>
      <c r="R329" s="2" t="inlineStr"/>
    </row>
    <row r="330" ht="15" customHeight="1">
      <c r="A330" t="inlineStr">
        <is>
          <t>A 3382-2022</t>
        </is>
      </c>
      <c r="B330" s="1" t="n">
        <v>44585</v>
      </c>
      <c r="C330" s="1" t="n">
        <v>45937</v>
      </c>
      <c r="D330" t="inlineStr">
        <is>
          <t>VÄRMLANDS LÄN</t>
        </is>
      </c>
      <c r="E330" t="inlineStr">
        <is>
          <t>TORSBY</t>
        </is>
      </c>
      <c r="G330" t="n">
        <v>0.6</v>
      </c>
      <c r="H330" t="n">
        <v>0</v>
      </c>
      <c r="I330" t="n">
        <v>0</v>
      </c>
      <c r="J330" t="n">
        <v>0</v>
      </c>
      <c r="K330" t="n">
        <v>0</v>
      </c>
      <c r="L330" t="n">
        <v>0</v>
      </c>
      <c r="M330" t="n">
        <v>0</v>
      </c>
      <c r="N330" t="n">
        <v>0</v>
      </c>
      <c r="O330" t="n">
        <v>0</v>
      </c>
      <c r="P330" t="n">
        <v>0</v>
      </c>
      <c r="Q330" t="n">
        <v>0</v>
      </c>
      <c r="R330" s="2" t="inlineStr"/>
    </row>
    <row r="331" ht="15" customHeight="1">
      <c r="A331" t="inlineStr">
        <is>
          <t>A 71255-2021</t>
        </is>
      </c>
      <c r="B331" s="1" t="n">
        <v>44538</v>
      </c>
      <c r="C331" s="1" t="n">
        <v>45937</v>
      </c>
      <c r="D331" t="inlineStr">
        <is>
          <t>VÄRMLANDS LÄN</t>
        </is>
      </c>
      <c r="E331" t="inlineStr">
        <is>
          <t>TORSBY</t>
        </is>
      </c>
      <c r="G331" t="n">
        <v>3.1</v>
      </c>
      <c r="H331" t="n">
        <v>0</v>
      </c>
      <c r="I331" t="n">
        <v>0</v>
      </c>
      <c r="J331" t="n">
        <v>0</v>
      </c>
      <c r="K331" t="n">
        <v>0</v>
      </c>
      <c r="L331" t="n">
        <v>0</v>
      </c>
      <c r="M331" t="n">
        <v>0</v>
      </c>
      <c r="N331" t="n">
        <v>0</v>
      </c>
      <c r="O331" t="n">
        <v>0</v>
      </c>
      <c r="P331" t="n">
        <v>0</v>
      </c>
      <c r="Q331" t="n">
        <v>0</v>
      </c>
      <c r="R331" s="2" t="inlineStr"/>
    </row>
    <row r="332" ht="15" customHeight="1">
      <c r="A332" t="inlineStr">
        <is>
          <t>A 54072-2020</t>
        </is>
      </c>
      <c r="B332" s="1" t="n">
        <v>44125</v>
      </c>
      <c r="C332" s="1" t="n">
        <v>45937</v>
      </c>
      <c r="D332" t="inlineStr">
        <is>
          <t>VÄRMLANDS LÄN</t>
        </is>
      </c>
      <c r="E332" t="inlineStr">
        <is>
          <t>TORSBY</t>
        </is>
      </c>
      <c r="G332" t="n">
        <v>5</v>
      </c>
      <c r="H332" t="n">
        <v>0</v>
      </c>
      <c r="I332" t="n">
        <v>0</v>
      </c>
      <c r="J332" t="n">
        <v>0</v>
      </c>
      <c r="K332" t="n">
        <v>0</v>
      </c>
      <c r="L332" t="n">
        <v>0</v>
      </c>
      <c r="M332" t="n">
        <v>0</v>
      </c>
      <c r="N332" t="n">
        <v>0</v>
      </c>
      <c r="O332" t="n">
        <v>0</v>
      </c>
      <c r="P332" t="n">
        <v>0</v>
      </c>
      <c r="Q332" t="n">
        <v>0</v>
      </c>
      <c r="R332" s="2" t="inlineStr"/>
    </row>
    <row r="333" ht="15" customHeight="1">
      <c r="A333" t="inlineStr">
        <is>
          <t>A 34694-2021</t>
        </is>
      </c>
      <c r="B333" s="1" t="n">
        <v>44382.61398148148</v>
      </c>
      <c r="C333" s="1" t="n">
        <v>45937</v>
      </c>
      <c r="D333" t="inlineStr">
        <is>
          <t>VÄRMLANDS LÄN</t>
        </is>
      </c>
      <c r="E333" t="inlineStr">
        <is>
          <t>TORSBY</t>
        </is>
      </c>
      <c r="G333" t="n">
        <v>0.8</v>
      </c>
      <c r="H333" t="n">
        <v>0</v>
      </c>
      <c r="I333" t="n">
        <v>0</v>
      </c>
      <c r="J333" t="n">
        <v>0</v>
      </c>
      <c r="K333" t="n">
        <v>0</v>
      </c>
      <c r="L333" t="n">
        <v>0</v>
      </c>
      <c r="M333" t="n">
        <v>0</v>
      </c>
      <c r="N333" t="n">
        <v>0</v>
      </c>
      <c r="O333" t="n">
        <v>0</v>
      </c>
      <c r="P333" t="n">
        <v>0</v>
      </c>
      <c r="Q333" t="n">
        <v>0</v>
      </c>
      <c r="R333" s="2" t="inlineStr"/>
    </row>
    <row r="334" ht="15" customHeight="1">
      <c r="A334" t="inlineStr">
        <is>
          <t>A 14145-2022</t>
        </is>
      </c>
      <c r="B334" s="1" t="n">
        <v>44651</v>
      </c>
      <c r="C334" s="1" t="n">
        <v>45937</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38179-2022</t>
        </is>
      </c>
      <c r="B335" s="1" t="n">
        <v>44812</v>
      </c>
      <c r="C335" s="1" t="n">
        <v>45937</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47083-2021</t>
        </is>
      </c>
      <c r="B336" s="1" t="n">
        <v>44446.66114583334</v>
      </c>
      <c r="C336" s="1" t="n">
        <v>45937</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37917-2022</t>
        </is>
      </c>
      <c r="B337" s="1" t="n">
        <v>44811.44335648148</v>
      </c>
      <c r="C337" s="1" t="n">
        <v>45937</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52386-2022</t>
        </is>
      </c>
      <c r="B338" s="1" t="n">
        <v>44874.3750462963</v>
      </c>
      <c r="C338" s="1" t="n">
        <v>45937</v>
      </c>
      <c r="D338" t="inlineStr">
        <is>
          <t>VÄRMLANDS LÄN</t>
        </is>
      </c>
      <c r="E338" t="inlineStr">
        <is>
          <t>TORSBY</t>
        </is>
      </c>
      <c r="G338" t="n">
        <v>6.7</v>
      </c>
      <c r="H338" t="n">
        <v>0</v>
      </c>
      <c r="I338" t="n">
        <v>0</v>
      </c>
      <c r="J338" t="n">
        <v>0</v>
      </c>
      <c r="K338" t="n">
        <v>0</v>
      </c>
      <c r="L338" t="n">
        <v>0</v>
      </c>
      <c r="M338" t="n">
        <v>0</v>
      </c>
      <c r="N338" t="n">
        <v>0</v>
      </c>
      <c r="O338" t="n">
        <v>0</v>
      </c>
      <c r="P338" t="n">
        <v>0</v>
      </c>
      <c r="Q338" t="n">
        <v>0</v>
      </c>
      <c r="R338" s="2" t="inlineStr"/>
    </row>
    <row r="339" ht="15" customHeight="1">
      <c r="A339" t="inlineStr">
        <is>
          <t>A 47098-2021</t>
        </is>
      </c>
      <c r="B339" s="1" t="n">
        <v>44446.67429398148</v>
      </c>
      <c r="C339" s="1" t="n">
        <v>45937</v>
      </c>
      <c r="D339" t="inlineStr">
        <is>
          <t>VÄRMLANDS LÄN</t>
        </is>
      </c>
      <c r="E339" t="inlineStr">
        <is>
          <t>TORSBY</t>
        </is>
      </c>
      <c r="G339" t="n">
        <v>1.8</v>
      </c>
      <c r="H339" t="n">
        <v>0</v>
      </c>
      <c r="I339" t="n">
        <v>0</v>
      </c>
      <c r="J339" t="n">
        <v>0</v>
      </c>
      <c r="K339" t="n">
        <v>0</v>
      </c>
      <c r="L339" t="n">
        <v>0</v>
      </c>
      <c r="M339" t="n">
        <v>0</v>
      </c>
      <c r="N339" t="n">
        <v>0</v>
      </c>
      <c r="O339" t="n">
        <v>0</v>
      </c>
      <c r="P339" t="n">
        <v>0</v>
      </c>
      <c r="Q339" t="n">
        <v>0</v>
      </c>
      <c r="R339" s="2" t="inlineStr"/>
    </row>
    <row r="340" ht="15" customHeight="1">
      <c r="A340" t="inlineStr">
        <is>
          <t>A 30162-2021</t>
        </is>
      </c>
      <c r="B340" s="1" t="n">
        <v>44363</v>
      </c>
      <c r="C340" s="1" t="n">
        <v>45937</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33182-2021</t>
        </is>
      </c>
      <c r="B341" s="1" t="n">
        <v>44376</v>
      </c>
      <c r="C341" s="1" t="n">
        <v>45937</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47206-2022</t>
        </is>
      </c>
      <c r="B342" s="1" t="n">
        <v>44852.67550925926</v>
      </c>
      <c r="C342" s="1" t="n">
        <v>45937</v>
      </c>
      <c r="D342" t="inlineStr">
        <is>
          <t>VÄRMLANDS LÄN</t>
        </is>
      </c>
      <c r="E342" t="inlineStr">
        <is>
          <t>TORSBY</t>
        </is>
      </c>
      <c r="G342" t="n">
        <v>8.5</v>
      </c>
      <c r="H342" t="n">
        <v>0</v>
      </c>
      <c r="I342" t="n">
        <v>0</v>
      </c>
      <c r="J342" t="n">
        <v>0</v>
      </c>
      <c r="K342" t="n">
        <v>0</v>
      </c>
      <c r="L342" t="n">
        <v>0</v>
      </c>
      <c r="M342" t="n">
        <v>0</v>
      </c>
      <c r="N342" t="n">
        <v>0</v>
      </c>
      <c r="O342" t="n">
        <v>0</v>
      </c>
      <c r="P342" t="n">
        <v>0</v>
      </c>
      <c r="Q342" t="n">
        <v>0</v>
      </c>
      <c r="R342" s="2" t="inlineStr"/>
    </row>
    <row r="343" ht="15" customHeight="1">
      <c r="A343" t="inlineStr">
        <is>
          <t>A 51838-2020</t>
        </is>
      </c>
      <c r="B343" s="1" t="n">
        <v>44116</v>
      </c>
      <c r="C343" s="1" t="n">
        <v>45937</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47466-2022</t>
        </is>
      </c>
      <c r="B344" s="1" t="n">
        <v>44852</v>
      </c>
      <c r="C344" s="1" t="n">
        <v>45937</v>
      </c>
      <c r="D344" t="inlineStr">
        <is>
          <t>VÄRMLANDS LÄN</t>
        </is>
      </c>
      <c r="E344" t="inlineStr">
        <is>
          <t>TORSBY</t>
        </is>
      </c>
      <c r="G344" t="n">
        <v>3</v>
      </c>
      <c r="H344" t="n">
        <v>0</v>
      </c>
      <c r="I344" t="n">
        <v>0</v>
      </c>
      <c r="J344" t="n">
        <v>0</v>
      </c>
      <c r="K344" t="n">
        <v>0</v>
      </c>
      <c r="L344" t="n">
        <v>0</v>
      </c>
      <c r="M344" t="n">
        <v>0</v>
      </c>
      <c r="N344" t="n">
        <v>0</v>
      </c>
      <c r="O344" t="n">
        <v>0</v>
      </c>
      <c r="P344" t="n">
        <v>0</v>
      </c>
      <c r="Q344" t="n">
        <v>0</v>
      </c>
      <c r="R344" s="2" t="inlineStr"/>
    </row>
    <row r="345" ht="15" customHeight="1">
      <c r="A345" t="inlineStr">
        <is>
          <t>A 52799-2020</t>
        </is>
      </c>
      <c r="B345" s="1" t="n">
        <v>44119.5903125</v>
      </c>
      <c r="C345" s="1" t="n">
        <v>45937</v>
      </c>
      <c r="D345" t="inlineStr">
        <is>
          <t>VÄRMLANDS LÄN</t>
        </is>
      </c>
      <c r="E345" t="inlineStr">
        <is>
          <t>TORSBY</t>
        </is>
      </c>
      <c r="G345" t="n">
        <v>6.2</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45937</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29495-2021</t>
        </is>
      </c>
      <c r="B347" s="1" t="n">
        <v>44361</v>
      </c>
      <c r="C347" s="1" t="n">
        <v>45937</v>
      </c>
      <c r="D347" t="inlineStr">
        <is>
          <t>VÄRMLANDS LÄN</t>
        </is>
      </c>
      <c r="E347" t="inlineStr">
        <is>
          <t>TORSBY</t>
        </is>
      </c>
      <c r="F347" t="inlineStr">
        <is>
          <t>Övriga Aktiebolag</t>
        </is>
      </c>
      <c r="G347" t="n">
        <v>38.2</v>
      </c>
      <c r="H347" t="n">
        <v>0</v>
      </c>
      <c r="I347" t="n">
        <v>0</v>
      </c>
      <c r="J347" t="n">
        <v>0</v>
      </c>
      <c r="K347" t="n">
        <v>0</v>
      </c>
      <c r="L347" t="n">
        <v>0</v>
      </c>
      <c r="M347" t="n">
        <v>0</v>
      </c>
      <c r="N347" t="n">
        <v>0</v>
      </c>
      <c r="O347" t="n">
        <v>0</v>
      </c>
      <c r="P347" t="n">
        <v>0</v>
      </c>
      <c r="Q347" t="n">
        <v>0</v>
      </c>
      <c r="R347" s="2" t="inlineStr"/>
    </row>
    <row r="348" ht="15" customHeight="1">
      <c r="A348" t="inlineStr">
        <is>
          <t>A 51380-2020</t>
        </is>
      </c>
      <c r="B348" s="1" t="n">
        <v>44113</v>
      </c>
      <c r="C348" s="1" t="n">
        <v>45937</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51382-2020</t>
        </is>
      </c>
      <c r="B349" s="1" t="n">
        <v>44113</v>
      </c>
      <c r="C349" s="1" t="n">
        <v>45937</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19375-2021</t>
        </is>
      </c>
      <c r="B350" s="1" t="n">
        <v>44309.6765625</v>
      </c>
      <c r="C350" s="1" t="n">
        <v>45937</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29142-2022</t>
        </is>
      </c>
      <c r="B351" s="1" t="n">
        <v>44750</v>
      </c>
      <c r="C351" s="1" t="n">
        <v>45937</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43128-2021</t>
        </is>
      </c>
      <c r="B352" s="1" t="n">
        <v>44431.65930555556</v>
      </c>
      <c r="C352" s="1" t="n">
        <v>45937</v>
      </c>
      <c r="D352" t="inlineStr">
        <is>
          <t>VÄRMLANDS LÄN</t>
        </is>
      </c>
      <c r="E352" t="inlineStr">
        <is>
          <t>TORSBY</t>
        </is>
      </c>
      <c r="G352" t="n">
        <v>10.9</v>
      </c>
      <c r="H352" t="n">
        <v>0</v>
      </c>
      <c r="I352" t="n">
        <v>0</v>
      </c>
      <c r="J352" t="n">
        <v>0</v>
      </c>
      <c r="K352" t="n">
        <v>0</v>
      </c>
      <c r="L352" t="n">
        <v>0</v>
      </c>
      <c r="M352" t="n">
        <v>0</v>
      </c>
      <c r="N352" t="n">
        <v>0</v>
      </c>
      <c r="O352" t="n">
        <v>0</v>
      </c>
      <c r="P352" t="n">
        <v>0</v>
      </c>
      <c r="Q352" t="n">
        <v>0</v>
      </c>
      <c r="R352" s="2" t="inlineStr"/>
    </row>
    <row r="353" ht="15" customHeight="1">
      <c r="A353" t="inlineStr">
        <is>
          <t>A 43169-2021</t>
        </is>
      </c>
      <c r="B353" s="1" t="n">
        <v>44431</v>
      </c>
      <c r="C353" s="1" t="n">
        <v>45937</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60167-2020</t>
        </is>
      </c>
      <c r="B354" s="1" t="n">
        <v>44152</v>
      </c>
      <c r="C354" s="1" t="n">
        <v>45937</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58078-2020</t>
        </is>
      </c>
      <c r="B355" s="1" t="n">
        <v>44144</v>
      </c>
      <c r="C355" s="1" t="n">
        <v>45937</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61998-2020</t>
        </is>
      </c>
      <c r="B356" s="1" t="n">
        <v>44158</v>
      </c>
      <c r="C356" s="1" t="n">
        <v>45937</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60428-2021</t>
        </is>
      </c>
      <c r="B357" s="1" t="n">
        <v>44496.42145833333</v>
      </c>
      <c r="C357" s="1" t="n">
        <v>45937</v>
      </c>
      <c r="D357" t="inlineStr">
        <is>
          <t>VÄRMLANDS LÄN</t>
        </is>
      </c>
      <c r="E357" t="inlineStr">
        <is>
          <t>TORSBY</t>
        </is>
      </c>
      <c r="G357" t="n">
        <v>0.5</v>
      </c>
      <c r="H357" t="n">
        <v>0</v>
      </c>
      <c r="I357" t="n">
        <v>0</v>
      </c>
      <c r="J357" t="n">
        <v>0</v>
      </c>
      <c r="K357" t="n">
        <v>0</v>
      </c>
      <c r="L357" t="n">
        <v>0</v>
      </c>
      <c r="M357" t="n">
        <v>0</v>
      </c>
      <c r="N357" t="n">
        <v>0</v>
      </c>
      <c r="O357" t="n">
        <v>0</v>
      </c>
      <c r="P357" t="n">
        <v>0</v>
      </c>
      <c r="Q357" t="n">
        <v>0</v>
      </c>
      <c r="R357" s="2" t="inlineStr"/>
    </row>
    <row r="358" ht="15" customHeight="1">
      <c r="A358" t="inlineStr">
        <is>
          <t>A 16375-2021</t>
        </is>
      </c>
      <c r="B358" s="1" t="n">
        <v>44292</v>
      </c>
      <c r="C358" s="1" t="n">
        <v>45937</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73442-2021</t>
        </is>
      </c>
      <c r="B359" s="1" t="n">
        <v>44551.55063657407</v>
      </c>
      <c r="C359" s="1" t="n">
        <v>45937</v>
      </c>
      <c r="D359" t="inlineStr">
        <is>
          <t>VÄRMLANDS LÄN</t>
        </is>
      </c>
      <c r="E359" t="inlineStr">
        <is>
          <t>TORSBY</t>
        </is>
      </c>
      <c r="F359" t="inlineStr">
        <is>
          <t>Bergvik skog väst AB</t>
        </is>
      </c>
      <c r="G359" t="n">
        <v>4.1</v>
      </c>
      <c r="H359" t="n">
        <v>0</v>
      </c>
      <c r="I359" t="n">
        <v>0</v>
      </c>
      <c r="J359" t="n">
        <v>0</v>
      </c>
      <c r="K359" t="n">
        <v>0</v>
      </c>
      <c r="L359" t="n">
        <v>0</v>
      </c>
      <c r="M359" t="n">
        <v>0</v>
      </c>
      <c r="N359" t="n">
        <v>0</v>
      </c>
      <c r="O359" t="n">
        <v>0</v>
      </c>
      <c r="P359" t="n">
        <v>0</v>
      </c>
      <c r="Q359" t="n">
        <v>0</v>
      </c>
      <c r="R359" s="2" t="inlineStr"/>
    </row>
    <row r="360" ht="15" customHeight="1">
      <c r="A360" t="inlineStr">
        <is>
          <t>A 23011-2022</t>
        </is>
      </c>
      <c r="B360" s="1" t="n">
        <v>44719.35471064815</v>
      </c>
      <c r="C360" s="1" t="n">
        <v>45937</v>
      </c>
      <c r="D360" t="inlineStr">
        <is>
          <t>VÄRMLANDS LÄN</t>
        </is>
      </c>
      <c r="E360" t="inlineStr">
        <is>
          <t>TORSBY</t>
        </is>
      </c>
      <c r="F360" t="inlineStr">
        <is>
          <t>Bergvik skog väst AB</t>
        </is>
      </c>
      <c r="G360" t="n">
        <v>5.2</v>
      </c>
      <c r="H360" t="n">
        <v>0</v>
      </c>
      <c r="I360" t="n">
        <v>0</v>
      </c>
      <c r="J360" t="n">
        <v>0</v>
      </c>
      <c r="K360" t="n">
        <v>0</v>
      </c>
      <c r="L360" t="n">
        <v>0</v>
      </c>
      <c r="M360" t="n">
        <v>0</v>
      </c>
      <c r="N360" t="n">
        <v>0</v>
      </c>
      <c r="O360" t="n">
        <v>0</v>
      </c>
      <c r="P360" t="n">
        <v>0</v>
      </c>
      <c r="Q360" t="n">
        <v>0</v>
      </c>
      <c r="R360" s="2" t="inlineStr"/>
    </row>
    <row r="361" ht="15" customHeight="1">
      <c r="A361" t="inlineStr">
        <is>
          <t>A 24960-2022</t>
        </is>
      </c>
      <c r="B361" s="1" t="n">
        <v>44728</v>
      </c>
      <c r="C361" s="1" t="n">
        <v>45937</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35221-2021</t>
        </is>
      </c>
      <c r="B362" s="1" t="n">
        <v>44384</v>
      </c>
      <c r="C362" s="1" t="n">
        <v>45937</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23823-2022</t>
        </is>
      </c>
      <c r="B363" s="1" t="n">
        <v>44722</v>
      </c>
      <c r="C363" s="1" t="n">
        <v>45937</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32438-2022</t>
        </is>
      </c>
      <c r="B364" s="1" t="n">
        <v>44782</v>
      </c>
      <c r="C364" s="1" t="n">
        <v>45937</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69281-2021</t>
        </is>
      </c>
      <c r="B365" s="1" t="n">
        <v>44526</v>
      </c>
      <c r="C365" s="1" t="n">
        <v>45937</v>
      </c>
      <c r="D365" t="inlineStr">
        <is>
          <t>VÄRMLANDS LÄN</t>
        </is>
      </c>
      <c r="E365" t="inlineStr">
        <is>
          <t>TORSBY</t>
        </is>
      </c>
      <c r="G365" t="n">
        <v>7.5</v>
      </c>
      <c r="H365" t="n">
        <v>0</v>
      </c>
      <c r="I365" t="n">
        <v>0</v>
      </c>
      <c r="J365" t="n">
        <v>0</v>
      </c>
      <c r="K365" t="n">
        <v>0</v>
      </c>
      <c r="L365" t="n">
        <v>0</v>
      </c>
      <c r="M365" t="n">
        <v>0</v>
      </c>
      <c r="N365" t="n">
        <v>0</v>
      </c>
      <c r="O365" t="n">
        <v>0</v>
      </c>
      <c r="P365" t="n">
        <v>0</v>
      </c>
      <c r="Q365" t="n">
        <v>0</v>
      </c>
      <c r="R365" s="2" t="inlineStr"/>
    </row>
    <row r="366" ht="15" customHeight="1">
      <c r="A366" t="inlineStr">
        <is>
          <t>A 36527-2022</t>
        </is>
      </c>
      <c r="B366" s="1" t="n">
        <v>44804</v>
      </c>
      <c r="C366" s="1" t="n">
        <v>45937</v>
      </c>
      <c r="D366" t="inlineStr">
        <is>
          <t>VÄRMLANDS LÄN</t>
        </is>
      </c>
      <c r="E366" t="inlineStr">
        <is>
          <t>TORSBY</t>
        </is>
      </c>
      <c r="G366" t="n">
        <v>0.9</v>
      </c>
      <c r="H366" t="n">
        <v>0</v>
      </c>
      <c r="I366" t="n">
        <v>0</v>
      </c>
      <c r="J366" t="n">
        <v>0</v>
      </c>
      <c r="K366" t="n">
        <v>0</v>
      </c>
      <c r="L366" t="n">
        <v>0</v>
      </c>
      <c r="M366" t="n">
        <v>0</v>
      </c>
      <c r="N366" t="n">
        <v>0</v>
      </c>
      <c r="O366" t="n">
        <v>0</v>
      </c>
      <c r="P366" t="n">
        <v>0</v>
      </c>
      <c r="Q366" t="n">
        <v>0</v>
      </c>
      <c r="R366" s="2" t="inlineStr"/>
    </row>
    <row r="367" ht="15" customHeight="1">
      <c r="A367" t="inlineStr">
        <is>
          <t>A 36572-2022</t>
        </is>
      </c>
      <c r="B367" s="1" t="n">
        <v>44804.60271990741</v>
      </c>
      <c r="C367" s="1" t="n">
        <v>45937</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22113-2021</t>
        </is>
      </c>
      <c r="B368" s="1" t="n">
        <v>44323</v>
      </c>
      <c r="C368" s="1" t="n">
        <v>45937</v>
      </c>
      <c r="D368" t="inlineStr">
        <is>
          <t>VÄRMLANDS LÄN</t>
        </is>
      </c>
      <c r="E368" t="inlineStr">
        <is>
          <t>TORSBY</t>
        </is>
      </c>
      <c r="G368" t="n">
        <v>1.7</v>
      </c>
      <c r="H368" t="n">
        <v>0</v>
      </c>
      <c r="I368" t="n">
        <v>0</v>
      </c>
      <c r="J368" t="n">
        <v>0</v>
      </c>
      <c r="K368" t="n">
        <v>0</v>
      </c>
      <c r="L368" t="n">
        <v>0</v>
      </c>
      <c r="M368" t="n">
        <v>0</v>
      </c>
      <c r="N368" t="n">
        <v>0</v>
      </c>
      <c r="O368" t="n">
        <v>0</v>
      </c>
      <c r="P368" t="n">
        <v>0</v>
      </c>
      <c r="Q368" t="n">
        <v>0</v>
      </c>
      <c r="R368" s="2" t="inlineStr"/>
    </row>
    <row r="369" ht="15" customHeight="1">
      <c r="A369" t="inlineStr">
        <is>
          <t>A 42646-2021</t>
        </is>
      </c>
      <c r="B369" s="1" t="n">
        <v>44428.45663194444</v>
      </c>
      <c r="C369" s="1" t="n">
        <v>45937</v>
      </c>
      <c r="D369" t="inlineStr">
        <is>
          <t>VÄRMLANDS LÄN</t>
        </is>
      </c>
      <c r="E369" t="inlineStr">
        <is>
          <t>TORSBY</t>
        </is>
      </c>
      <c r="F369" t="inlineStr">
        <is>
          <t>Bergvik skog väst AB</t>
        </is>
      </c>
      <c r="G369" t="n">
        <v>21.4</v>
      </c>
      <c r="H369" t="n">
        <v>0</v>
      </c>
      <c r="I369" t="n">
        <v>0</v>
      </c>
      <c r="J369" t="n">
        <v>0</v>
      </c>
      <c r="K369" t="n">
        <v>0</v>
      </c>
      <c r="L369" t="n">
        <v>0</v>
      </c>
      <c r="M369" t="n">
        <v>0</v>
      </c>
      <c r="N369" t="n">
        <v>0</v>
      </c>
      <c r="O369" t="n">
        <v>0</v>
      </c>
      <c r="P369" t="n">
        <v>0</v>
      </c>
      <c r="Q369" t="n">
        <v>0</v>
      </c>
      <c r="R369" s="2" t="inlineStr"/>
    </row>
    <row r="370" ht="15" customHeight="1">
      <c r="A370" t="inlineStr">
        <is>
          <t>A 7921-2022</t>
        </is>
      </c>
      <c r="B370" s="1" t="n">
        <v>44608</v>
      </c>
      <c r="C370" s="1" t="n">
        <v>45937</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27686-2022</t>
        </is>
      </c>
      <c r="B371" s="1" t="n">
        <v>44743.43273148148</v>
      </c>
      <c r="C371" s="1" t="n">
        <v>45937</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70775-2021</t>
        </is>
      </c>
      <c r="B372" s="1" t="n">
        <v>44537</v>
      </c>
      <c r="C372" s="1" t="n">
        <v>45937</v>
      </c>
      <c r="D372" t="inlineStr">
        <is>
          <t>VÄRMLANDS LÄN</t>
        </is>
      </c>
      <c r="E372" t="inlineStr">
        <is>
          <t>TORSBY</t>
        </is>
      </c>
      <c r="G372" t="n">
        <v>0.3</v>
      </c>
      <c r="H372" t="n">
        <v>0</v>
      </c>
      <c r="I372" t="n">
        <v>0</v>
      </c>
      <c r="J372" t="n">
        <v>0</v>
      </c>
      <c r="K372" t="n">
        <v>0</v>
      </c>
      <c r="L372" t="n">
        <v>0</v>
      </c>
      <c r="M372" t="n">
        <v>0</v>
      </c>
      <c r="N372" t="n">
        <v>0</v>
      </c>
      <c r="O372" t="n">
        <v>0</v>
      </c>
      <c r="P372" t="n">
        <v>0</v>
      </c>
      <c r="Q372" t="n">
        <v>0</v>
      </c>
      <c r="R372" s="2" t="inlineStr"/>
    </row>
    <row r="373" ht="15" customHeight="1">
      <c r="A373" t="inlineStr">
        <is>
          <t>A 35909-2021</t>
        </is>
      </c>
      <c r="B373" s="1" t="n">
        <v>44387</v>
      </c>
      <c r="C373" s="1" t="n">
        <v>45937</v>
      </c>
      <c r="D373" t="inlineStr">
        <is>
          <t>VÄRMLANDS LÄN</t>
        </is>
      </c>
      <c r="E373" t="inlineStr">
        <is>
          <t>TORSBY</t>
        </is>
      </c>
      <c r="G373" t="n">
        <v>3.3</v>
      </c>
      <c r="H373" t="n">
        <v>0</v>
      </c>
      <c r="I373" t="n">
        <v>0</v>
      </c>
      <c r="J373" t="n">
        <v>0</v>
      </c>
      <c r="K373" t="n">
        <v>0</v>
      </c>
      <c r="L373" t="n">
        <v>0</v>
      </c>
      <c r="M373" t="n">
        <v>0</v>
      </c>
      <c r="N373" t="n">
        <v>0</v>
      </c>
      <c r="O373" t="n">
        <v>0</v>
      </c>
      <c r="P373" t="n">
        <v>0</v>
      </c>
      <c r="Q373" t="n">
        <v>0</v>
      </c>
      <c r="R373" s="2" t="inlineStr"/>
    </row>
    <row r="374" ht="15" customHeight="1">
      <c r="A374" t="inlineStr">
        <is>
          <t>A 61594-2020</t>
        </is>
      </c>
      <c r="B374" s="1" t="n">
        <v>44154</v>
      </c>
      <c r="C374" s="1" t="n">
        <v>45937</v>
      </c>
      <c r="D374" t="inlineStr">
        <is>
          <t>VÄRMLANDS LÄN</t>
        </is>
      </c>
      <c r="E374" t="inlineStr">
        <is>
          <t>TORSBY</t>
        </is>
      </c>
      <c r="G374" t="n">
        <v>6</v>
      </c>
      <c r="H374" t="n">
        <v>0</v>
      </c>
      <c r="I374" t="n">
        <v>0</v>
      </c>
      <c r="J374" t="n">
        <v>0</v>
      </c>
      <c r="K374" t="n">
        <v>0</v>
      </c>
      <c r="L374" t="n">
        <v>0</v>
      </c>
      <c r="M374" t="n">
        <v>0</v>
      </c>
      <c r="N374" t="n">
        <v>0</v>
      </c>
      <c r="O374" t="n">
        <v>0</v>
      </c>
      <c r="P374" t="n">
        <v>0</v>
      </c>
      <c r="Q374" t="n">
        <v>0</v>
      </c>
      <c r="R374" s="2" t="inlineStr"/>
    </row>
    <row r="375" ht="15" customHeight="1">
      <c r="A375" t="inlineStr">
        <is>
          <t>A 41995-2022</t>
        </is>
      </c>
      <c r="B375" s="1" t="n">
        <v>44830</v>
      </c>
      <c r="C375" s="1" t="n">
        <v>45937</v>
      </c>
      <c r="D375" t="inlineStr">
        <is>
          <t>VÄRMLANDS LÄN</t>
        </is>
      </c>
      <c r="E375" t="inlineStr">
        <is>
          <t>TORSBY</t>
        </is>
      </c>
      <c r="F375" t="inlineStr">
        <is>
          <t>Bergvik skog väst AB</t>
        </is>
      </c>
      <c r="G375" t="n">
        <v>5.2</v>
      </c>
      <c r="H375" t="n">
        <v>0</v>
      </c>
      <c r="I375" t="n">
        <v>0</v>
      </c>
      <c r="J375" t="n">
        <v>0</v>
      </c>
      <c r="K375" t="n">
        <v>0</v>
      </c>
      <c r="L375" t="n">
        <v>0</v>
      </c>
      <c r="M375" t="n">
        <v>0</v>
      </c>
      <c r="N375" t="n">
        <v>0</v>
      </c>
      <c r="O375" t="n">
        <v>0</v>
      </c>
      <c r="P375" t="n">
        <v>0</v>
      </c>
      <c r="Q375" t="n">
        <v>0</v>
      </c>
      <c r="R375" s="2" t="inlineStr"/>
    </row>
    <row r="376" ht="15" customHeight="1">
      <c r="A376" t="inlineStr">
        <is>
          <t>A 40221-2022</t>
        </is>
      </c>
      <c r="B376" s="1" t="n">
        <v>44820.6512037037</v>
      </c>
      <c r="C376" s="1" t="n">
        <v>45937</v>
      </c>
      <c r="D376" t="inlineStr">
        <is>
          <t>VÄRMLANDS LÄN</t>
        </is>
      </c>
      <c r="E376" t="inlineStr">
        <is>
          <t>TORSBY</t>
        </is>
      </c>
      <c r="G376" t="n">
        <v>2.1</v>
      </c>
      <c r="H376" t="n">
        <v>0</v>
      </c>
      <c r="I376" t="n">
        <v>0</v>
      </c>
      <c r="J376" t="n">
        <v>0</v>
      </c>
      <c r="K376" t="n">
        <v>0</v>
      </c>
      <c r="L376" t="n">
        <v>0</v>
      </c>
      <c r="M376" t="n">
        <v>0</v>
      </c>
      <c r="N376" t="n">
        <v>0</v>
      </c>
      <c r="O376" t="n">
        <v>0</v>
      </c>
      <c r="P376" t="n">
        <v>0</v>
      </c>
      <c r="Q376" t="n">
        <v>0</v>
      </c>
      <c r="R376" s="2" t="inlineStr"/>
    </row>
    <row r="377" ht="15" customHeight="1">
      <c r="A377" t="inlineStr">
        <is>
          <t>A 45303-2022</t>
        </is>
      </c>
      <c r="B377" s="1" t="n">
        <v>44844</v>
      </c>
      <c r="C377" s="1" t="n">
        <v>45937</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1516-2021</t>
        </is>
      </c>
      <c r="B378" s="1" t="n">
        <v>44209</v>
      </c>
      <c r="C378" s="1" t="n">
        <v>45937</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32003-2022</t>
        </is>
      </c>
      <c r="B379" s="1" t="n">
        <v>44778</v>
      </c>
      <c r="C379" s="1" t="n">
        <v>45937</v>
      </c>
      <c r="D379" t="inlineStr">
        <is>
          <t>VÄRMLANDS LÄN</t>
        </is>
      </c>
      <c r="E379" t="inlineStr">
        <is>
          <t>TORSBY</t>
        </is>
      </c>
      <c r="G379" t="n">
        <v>1.4</v>
      </c>
      <c r="H379" t="n">
        <v>0</v>
      </c>
      <c r="I379" t="n">
        <v>0</v>
      </c>
      <c r="J379" t="n">
        <v>0</v>
      </c>
      <c r="K379" t="n">
        <v>0</v>
      </c>
      <c r="L379" t="n">
        <v>0</v>
      </c>
      <c r="M379" t="n">
        <v>0</v>
      </c>
      <c r="N379" t="n">
        <v>0</v>
      </c>
      <c r="O379" t="n">
        <v>0</v>
      </c>
      <c r="P379" t="n">
        <v>0</v>
      </c>
      <c r="Q379" t="n">
        <v>0</v>
      </c>
      <c r="R379" s="2" t="inlineStr"/>
    </row>
    <row r="380" ht="15" customHeight="1">
      <c r="A380" t="inlineStr">
        <is>
          <t>A 23194-2021</t>
        </is>
      </c>
      <c r="B380" s="1" t="n">
        <v>44328</v>
      </c>
      <c r="C380" s="1" t="n">
        <v>45937</v>
      </c>
      <c r="D380" t="inlineStr">
        <is>
          <t>VÄRMLANDS LÄN</t>
        </is>
      </c>
      <c r="E380" t="inlineStr">
        <is>
          <t>TORSBY</t>
        </is>
      </c>
      <c r="G380" t="n">
        <v>4.3</v>
      </c>
      <c r="H380" t="n">
        <v>0</v>
      </c>
      <c r="I380" t="n">
        <v>0</v>
      </c>
      <c r="J380" t="n">
        <v>0</v>
      </c>
      <c r="K380" t="n">
        <v>0</v>
      </c>
      <c r="L380" t="n">
        <v>0</v>
      </c>
      <c r="M380" t="n">
        <v>0</v>
      </c>
      <c r="N380" t="n">
        <v>0</v>
      </c>
      <c r="O380" t="n">
        <v>0</v>
      </c>
      <c r="P380" t="n">
        <v>0</v>
      </c>
      <c r="Q380" t="n">
        <v>0</v>
      </c>
      <c r="R380" s="2" t="inlineStr"/>
    </row>
    <row r="381" ht="15" customHeight="1">
      <c r="A381" t="inlineStr">
        <is>
          <t>A 54924-2020</t>
        </is>
      </c>
      <c r="B381" s="1" t="n">
        <v>44127</v>
      </c>
      <c r="C381" s="1" t="n">
        <v>45937</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70253-2021</t>
        </is>
      </c>
      <c r="B382" s="1" t="n">
        <v>44536</v>
      </c>
      <c r="C382" s="1" t="n">
        <v>45937</v>
      </c>
      <c r="D382" t="inlineStr">
        <is>
          <t>VÄRMLANDS LÄN</t>
        </is>
      </c>
      <c r="E382" t="inlineStr">
        <is>
          <t>TORSBY</t>
        </is>
      </c>
      <c r="G382" t="n">
        <v>4.3</v>
      </c>
      <c r="H382" t="n">
        <v>0</v>
      </c>
      <c r="I382" t="n">
        <v>0</v>
      </c>
      <c r="J382" t="n">
        <v>0</v>
      </c>
      <c r="K382" t="n">
        <v>0</v>
      </c>
      <c r="L382" t="n">
        <v>0</v>
      </c>
      <c r="M382" t="n">
        <v>0</v>
      </c>
      <c r="N382" t="n">
        <v>0</v>
      </c>
      <c r="O382" t="n">
        <v>0</v>
      </c>
      <c r="P382" t="n">
        <v>0</v>
      </c>
      <c r="Q382" t="n">
        <v>0</v>
      </c>
      <c r="R382" s="2" t="inlineStr"/>
    </row>
    <row r="383" ht="15" customHeight="1">
      <c r="A383" t="inlineStr">
        <is>
          <t>A 34581-2022</t>
        </is>
      </c>
      <c r="B383" s="1" t="n">
        <v>44792</v>
      </c>
      <c r="C383" s="1" t="n">
        <v>45937</v>
      </c>
      <c r="D383" t="inlineStr">
        <is>
          <t>VÄRMLANDS LÄN</t>
        </is>
      </c>
      <c r="E383" t="inlineStr">
        <is>
          <t>TORSBY</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37754-2022</t>
        </is>
      </c>
      <c r="B384" s="1" t="n">
        <v>44810</v>
      </c>
      <c r="C384" s="1" t="n">
        <v>45937</v>
      </c>
      <c r="D384" t="inlineStr">
        <is>
          <t>VÄRMLANDS LÄN</t>
        </is>
      </c>
      <c r="E384" t="inlineStr">
        <is>
          <t>TORSBY</t>
        </is>
      </c>
      <c r="F384" t="inlineStr">
        <is>
          <t>Kyrkan</t>
        </is>
      </c>
      <c r="G384" t="n">
        <v>0.9</v>
      </c>
      <c r="H384" t="n">
        <v>0</v>
      </c>
      <c r="I384" t="n">
        <v>0</v>
      </c>
      <c r="J384" t="n">
        <v>0</v>
      </c>
      <c r="K384" t="n">
        <v>0</v>
      </c>
      <c r="L384" t="n">
        <v>0</v>
      </c>
      <c r="M384" t="n">
        <v>0</v>
      </c>
      <c r="N384" t="n">
        <v>0</v>
      </c>
      <c r="O384" t="n">
        <v>0</v>
      </c>
      <c r="P384" t="n">
        <v>0</v>
      </c>
      <c r="Q384" t="n">
        <v>0</v>
      </c>
      <c r="R384" s="2" t="inlineStr"/>
    </row>
    <row r="385" ht="15" customHeight="1">
      <c r="A385" t="inlineStr">
        <is>
          <t>A 33181-2022</t>
        </is>
      </c>
      <c r="B385" s="1" t="n">
        <v>44785</v>
      </c>
      <c r="C385" s="1" t="n">
        <v>45937</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33268-2023</t>
        </is>
      </c>
      <c r="B386" s="1" t="n">
        <v>45127.58094907407</v>
      </c>
      <c r="C386" s="1" t="n">
        <v>45937</v>
      </c>
      <c r="D386" t="inlineStr">
        <is>
          <t>VÄRMLANDS LÄN</t>
        </is>
      </c>
      <c r="E386" t="inlineStr">
        <is>
          <t>TORSBY</t>
        </is>
      </c>
      <c r="G386" t="n">
        <v>1.3</v>
      </c>
      <c r="H386" t="n">
        <v>0</v>
      </c>
      <c r="I386" t="n">
        <v>0</v>
      </c>
      <c r="J386" t="n">
        <v>0</v>
      </c>
      <c r="K386" t="n">
        <v>0</v>
      </c>
      <c r="L386" t="n">
        <v>0</v>
      </c>
      <c r="M386" t="n">
        <v>0</v>
      </c>
      <c r="N386" t="n">
        <v>0</v>
      </c>
      <c r="O386" t="n">
        <v>0</v>
      </c>
      <c r="P386" t="n">
        <v>0</v>
      </c>
      <c r="Q386" t="n">
        <v>0</v>
      </c>
      <c r="R386" s="2" t="inlineStr"/>
    </row>
    <row r="387" ht="15" customHeight="1">
      <c r="A387" t="inlineStr">
        <is>
          <t>A 32988-2024</t>
        </is>
      </c>
      <c r="B387" s="1" t="n">
        <v>45517.46616898148</v>
      </c>
      <c r="C387" s="1" t="n">
        <v>45937</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25932-2024</t>
        </is>
      </c>
      <c r="B388" s="1" t="n">
        <v>45467.62097222222</v>
      </c>
      <c r="C388" s="1" t="n">
        <v>45937</v>
      </c>
      <c r="D388" t="inlineStr">
        <is>
          <t>VÄRMLANDS LÄN</t>
        </is>
      </c>
      <c r="E388" t="inlineStr">
        <is>
          <t>TORSBY</t>
        </is>
      </c>
      <c r="G388" t="n">
        <v>1.7</v>
      </c>
      <c r="H388" t="n">
        <v>0</v>
      </c>
      <c r="I388" t="n">
        <v>0</v>
      </c>
      <c r="J388" t="n">
        <v>0</v>
      </c>
      <c r="K388" t="n">
        <v>0</v>
      </c>
      <c r="L388" t="n">
        <v>0</v>
      </c>
      <c r="M388" t="n">
        <v>0</v>
      </c>
      <c r="N388" t="n">
        <v>0</v>
      </c>
      <c r="O388" t="n">
        <v>0</v>
      </c>
      <c r="P388" t="n">
        <v>0</v>
      </c>
      <c r="Q388" t="n">
        <v>0</v>
      </c>
      <c r="R388" s="2" t="inlineStr"/>
    </row>
    <row r="389" ht="15" customHeight="1">
      <c r="A389" t="inlineStr">
        <is>
          <t>A 39186-2022</t>
        </is>
      </c>
      <c r="B389" s="1" t="n">
        <v>44817.51549768518</v>
      </c>
      <c r="C389" s="1" t="n">
        <v>45937</v>
      </c>
      <c r="D389" t="inlineStr">
        <is>
          <t>VÄRMLANDS LÄN</t>
        </is>
      </c>
      <c r="E389" t="inlineStr">
        <is>
          <t>TORSBY</t>
        </is>
      </c>
      <c r="F389" t="inlineStr">
        <is>
          <t>Bergvik skog väst AB</t>
        </is>
      </c>
      <c r="G389" t="n">
        <v>20.3</v>
      </c>
      <c r="H389" t="n">
        <v>0</v>
      </c>
      <c r="I389" t="n">
        <v>0</v>
      </c>
      <c r="J389" t="n">
        <v>0</v>
      </c>
      <c r="K389" t="n">
        <v>0</v>
      </c>
      <c r="L389" t="n">
        <v>0</v>
      </c>
      <c r="M389" t="n">
        <v>0</v>
      </c>
      <c r="N389" t="n">
        <v>0</v>
      </c>
      <c r="O389" t="n">
        <v>0</v>
      </c>
      <c r="P389" t="n">
        <v>0</v>
      </c>
      <c r="Q389" t="n">
        <v>0</v>
      </c>
      <c r="R389" s="2" t="inlineStr"/>
    </row>
    <row r="390" ht="15" customHeight="1">
      <c r="A390" t="inlineStr">
        <is>
          <t>A 35851-2022</t>
        </is>
      </c>
      <c r="B390" s="1" t="n">
        <v>44802</v>
      </c>
      <c r="C390" s="1" t="n">
        <v>45937</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57119-2020</t>
        </is>
      </c>
      <c r="B391" s="1" t="n">
        <v>44139</v>
      </c>
      <c r="C391" s="1" t="n">
        <v>45937</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39780-2022</t>
        </is>
      </c>
      <c r="B392" s="1" t="n">
        <v>44819.46672453704</v>
      </c>
      <c r="C392" s="1" t="n">
        <v>45937</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24261-2024</t>
        </is>
      </c>
      <c r="B393" s="1" t="n">
        <v>45457</v>
      </c>
      <c r="C393" s="1" t="n">
        <v>45937</v>
      </c>
      <c r="D393" t="inlineStr">
        <is>
          <t>VÄRMLANDS LÄN</t>
        </is>
      </c>
      <c r="E393" t="inlineStr">
        <is>
          <t>TORSBY</t>
        </is>
      </c>
      <c r="G393" t="n">
        <v>3.5</v>
      </c>
      <c r="H393" t="n">
        <v>0</v>
      </c>
      <c r="I393" t="n">
        <v>0</v>
      </c>
      <c r="J393" t="n">
        <v>0</v>
      </c>
      <c r="K393" t="n">
        <v>0</v>
      </c>
      <c r="L393" t="n">
        <v>0</v>
      </c>
      <c r="M393" t="n">
        <v>0</v>
      </c>
      <c r="N393" t="n">
        <v>0</v>
      </c>
      <c r="O393" t="n">
        <v>0</v>
      </c>
      <c r="P393" t="n">
        <v>0</v>
      </c>
      <c r="Q393" t="n">
        <v>0</v>
      </c>
      <c r="R393" s="2" t="inlineStr"/>
    </row>
    <row r="394" ht="15" customHeight="1">
      <c r="A394" t="inlineStr">
        <is>
          <t>A 60058-2023</t>
        </is>
      </c>
      <c r="B394" s="1" t="n">
        <v>45258.37978009259</v>
      </c>
      <c r="C394" s="1" t="n">
        <v>45937</v>
      </c>
      <c r="D394" t="inlineStr">
        <is>
          <t>VÄRMLANDS LÄN</t>
        </is>
      </c>
      <c r="E394" t="inlineStr">
        <is>
          <t>TORSBY</t>
        </is>
      </c>
      <c r="G394" t="n">
        <v>5</v>
      </c>
      <c r="H394" t="n">
        <v>0</v>
      </c>
      <c r="I394" t="n">
        <v>0</v>
      </c>
      <c r="J394" t="n">
        <v>0</v>
      </c>
      <c r="K394" t="n">
        <v>0</v>
      </c>
      <c r="L394" t="n">
        <v>0</v>
      </c>
      <c r="M394" t="n">
        <v>0</v>
      </c>
      <c r="N394" t="n">
        <v>0</v>
      </c>
      <c r="O394" t="n">
        <v>0</v>
      </c>
      <c r="P394" t="n">
        <v>0</v>
      </c>
      <c r="Q394" t="n">
        <v>0</v>
      </c>
      <c r="R394" s="2" t="inlineStr"/>
    </row>
    <row r="395" ht="15" customHeight="1">
      <c r="A395" t="inlineStr">
        <is>
          <t>A 11664-2022</t>
        </is>
      </c>
      <c r="B395" s="1" t="n">
        <v>44632.86525462963</v>
      </c>
      <c r="C395" s="1" t="n">
        <v>45937</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3666-2023</t>
        </is>
      </c>
      <c r="B396" s="1" t="n">
        <v>44950</v>
      </c>
      <c r="C396" s="1" t="n">
        <v>45937</v>
      </c>
      <c r="D396" t="inlineStr">
        <is>
          <t>VÄRMLANDS LÄN</t>
        </is>
      </c>
      <c r="E396" t="inlineStr">
        <is>
          <t>TORSBY</t>
        </is>
      </c>
      <c r="G396" t="n">
        <v>6.8</v>
      </c>
      <c r="H396" t="n">
        <v>0</v>
      </c>
      <c r="I396" t="n">
        <v>0</v>
      </c>
      <c r="J396" t="n">
        <v>0</v>
      </c>
      <c r="K396" t="n">
        <v>0</v>
      </c>
      <c r="L396" t="n">
        <v>0</v>
      </c>
      <c r="M396" t="n">
        <v>0</v>
      </c>
      <c r="N396" t="n">
        <v>0</v>
      </c>
      <c r="O396" t="n">
        <v>0</v>
      </c>
      <c r="P396" t="n">
        <v>0</v>
      </c>
      <c r="Q396" t="n">
        <v>0</v>
      </c>
      <c r="R396" s="2" t="inlineStr"/>
    </row>
    <row r="397" ht="15" customHeight="1">
      <c r="A397" t="inlineStr">
        <is>
          <t>A 3670-2023</t>
        </is>
      </c>
      <c r="B397" s="1" t="n">
        <v>44950</v>
      </c>
      <c r="C397" s="1" t="n">
        <v>45937</v>
      </c>
      <c r="D397" t="inlineStr">
        <is>
          <t>VÄRMLANDS LÄN</t>
        </is>
      </c>
      <c r="E397" t="inlineStr">
        <is>
          <t>TORSBY</t>
        </is>
      </c>
      <c r="G397" t="n">
        <v>15.4</v>
      </c>
      <c r="H397" t="n">
        <v>0</v>
      </c>
      <c r="I397" t="n">
        <v>0</v>
      </c>
      <c r="J397" t="n">
        <v>0</v>
      </c>
      <c r="K397" t="n">
        <v>0</v>
      </c>
      <c r="L397" t="n">
        <v>0</v>
      </c>
      <c r="M397" t="n">
        <v>0</v>
      </c>
      <c r="N397" t="n">
        <v>0</v>
      </c>
      <c r="O397" t="n">
        <v>0</v>
      </c>
      <c r="P397" t="n">
        <v>0</v>
      </c>
      <c r="Q397" t="n">
        <v>0</v>
      </c>
      <c r="R397" s="2" t="inlineStr"/>
    </row>
    <row r="398" ht="15" customHeight="1">
      <c r="A398" t="inlineStr">
        <is>
          <t>A 46795-2021</t>
        </is>
      </c>
      <c r="B398" s="1" t="n">
        <v>44446</v>
      </c>
      <c r="C398" s="1" t="n">
        <v>45937</v>
      </c>
      <c r="D398" t="inlineStr">
        <is>
          <t>VÄRMLANDS LÄN</t>
        </is>
      </c>
      <c r="E398" t="inlineStr">
        <is>
          <t>TORSBY</t>
        </is>
      </c>
      <c r="G398" t="n">
        <v>6</v>
      </c>
      <c r="H398" t="n">
        <v>0</v>
      </c>
      <c r="I398" t="n">
        <v>0</v>
      </c>
      <c r="J398" t="n">
        <v>0</v>
      </c>
      <c r="K398" t="n">
        <v>0</v>
      </c>
      <c r="L398" t="n">
        <v>0</v>
      </c>
      <c r="M398" t="n">
        <v>0</v>
      </c>
      <c r="N398" t="n">
        <v>0</v>
      </c>
      <c r="O398" t="n">
        <v>0</v>
      </c>
      <c r="P398" t="n">
        <v>0</v>
      </c>
      <c r="Q398" t="n">
        <v>0</v>
      </c>
      <c r="R398" s="2" t="inlineStr"/>
    </row>
    <row r="399" ht="15" customHeight="1">
      <c r="A399" t="inlineStr">
        <is>
          <t>A 39642-2021</t>
        </is>
      </c>
      <c r="B399" s="1" t="n">
        <v>44417</v>
      </c>
      <c r="C399" s="1" t="n">
        <v>45937</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3590-2024</t>
        </is>
      </c>
      <c r="B400" s="1" t="n">
        <v>45320</v>
      </c>
      <c r="C400" s="1" t="n">
        <v>45937</v>
      </c>
      <c r="D400" t="inlineStr">
        <is>
          <t>VÄRMLANDS LÄN</t>
        </is>
      </c>
      <c r="E400" t="inlineStr">
        <is>
          <t>TORSBY</t>
        </is>
      </c>
      <c r="G400" t="n">
        <v>3.5</v>
      </c>
      <c r="H400" t="n">
        <v>0</v>
      </c>
      <c r="I400" t="n">
        <v>0</v>
      </c>
      <c r="J400" t="n">
        <v>0</v>
      </c>
      <c r="K400" t="n">
        <v>0</v>
      </c>
      <c r="L400" t="n">
        <v>0</v>
      </c>
      <c r="M400" t="n">
        <v>0</v>
      </c>
      <c r="N400" t="n">
        <v>0</v>
      </c>
      <c r="O400" t="n">
        <v>0</v>
      </c>
      <c r="P400" t="n">
        <v>0</v>
      </c>
      <c r="Q400" t="n">
        <v>0</v>
      </c>
      <c r="R400" s="2" t="inlineStr"/>
    </row>
    <row r="401" ht="15" customHeight="1">
      <c r="A401" t="inlineStr">
        <is>
          <t>A 22421-2024</t>
        </is>
      </c>
      <c r="B401" s="1" t="n">
        <v>45446.70890046296</v>
      </c>
      <c r="C401" s="1" t="n">
        <v>45937</v>
      </c>
      <c r="D401" t="inlineStr">
        <is>
          <t>VÄRMLANDS LÄN</t>
        </is>
      </c>
      <c r="E401" t="inlineStr">
        <is>
          <t>TORSBY</t>
        </is>
      </c>
      <c r="G401" t="n">
        <v>8.9</v>
      </c>
      <c r="H401" t="n">
        <v>0</v>
      </c>
      <c r="I401" t="n">
        <v>0</v>
      </c>
      <c r="J401" t="n">
        <v>0</v>
      </c>
      <c r="K401" t="n">
        <v>0</v>
      </c>
      <c r="L401" t="n">
        <v>0</v>
      </c>
      <c r="M401" t="n">
        <v>0</v>
      </c>
      <c r="N401" t="n">
        <v>0</v>
      </c>
      <c r="O401" t="n">
        <v>0</v>
      </c>
      <c r="P401" t="n">
        <v>0</v>
      </c>
      <c r="Q401" t="n">
        <v>0</v>
      </c>
      <c r="R401" s="2" t="inlineStr"/>
    </row>
    <row r="402" ht="15" customHeight="1">
      <c r="A402" t="inlineStr">
        <is>
          <t>A 53044-2022</t>
        </is>
      </c>
      <c r="B402" s="1" t="n">
        <v>44876</v>
      </c>
      <c r="C402" s="1" t="n">
        <v>45937</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53076-2022</t>
        </is>
      </c>
      <c r="B403" s="1" t="n">
        <v>44876.38284722222</v>
      </c>
      <c r="C403" s="1" t="n">
        <v>45937</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23735-2022</t>
        </is>
      </c>
      <c r="B404" s="1" t="n">
        <v>44722.35103009259</v>
      </c>
      <c r="C404" s="1" t="n">
        <v>45937</v>
      </c>
      <c r="D404" t="inlineStr">
        <is>
          <t>VÄRMLANDS LÄN</t>
        </is>
      </c>
      <c r="E404" t="inlineStr">
        <is>
          <t>TORSBY</t>
        </is>
      </c>
      <c r="G404" t="n">
        <v>1.9</v>
      </c>
      <c r="H404" t="n">
        <v>0</v>
      </c>
      <c r="I404" t="n">
        <v>0</v>
      </c>
      <c r="J404" t="n">
        <v>0</v>
      </c>
      <c r="K404" t="n">
        <v>0</v>
      </c>
      <c r="L404" t="n">
        <v>0</v>
      </c>
      <c r="M404" t="n">
        <v>0</v>
      </c>
      <c r="N404" t="n">
        <v>0</v>
      </c>
      <c r="O404" t="n">
        <v>0</v>
      </c>
      <c r="P404" t="n">
        <v>0</v>
      </c>
      <c r="Q404" t="n">
        <v>0</v>
      </c>
      <c r="R404" s="2" t="inlineStr"/>
    </row>
    <row r="405" ht="15" customHeight="1">
      <c r="A405" t="inlineStr">
        <is>
          <t>A 55217-2020</t>
        </is>
      </c>
      <c r="B405" s="1" t="n">
        <v>44130</v>
      </c>
      <c r="C405" s="1" t="n">
        <v>45937</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1123-2023</t>
        </is>
      </c>
      <c r="B406" s="1" t="n">
        <v>44935</v>
      </c>
      <c r="C406" s="1" t="n">
        <v>45937</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36700-2021</t>
        </is>
      </c>
      <c r="B407" s="1" t="n">
        <v>44392</v>
      </c>
      <c r="C407" s="1" t="n">
        <v>45937</v>
      </c>
      <c r="D407" t="inlineStr">
        <is>
          <t>VÄRMLANDS LÄN</t>
        </is>
      </c>
      <c r="E407" t="inlineStr">
        <is>
          <t>TORSBY</t>
        </is>
      </c>
      <c r="F407" t="inlineStr">
        <is>
          <t>Bergvik skog väst AB</t>
        </is>
      </c>
      <c r="G407" t="n">
        <v>9.9</v>
      </c>
      <c r="H407" t="n">
        <v>0</v>
      </c>
      <c r="I407" t="n">
        <v>0</v>
      </c>
      <c r="J407" t="n">
        <v>0</v>
      </c>
      <c r="K407" t="n">
        <v>0</v>
      </c>
      <c r="L407" t="n">
        <v>0</v>
      </c>
      <c r="M407" t="n">
        <v>0</v>
      </c>
      <c r="N407" t="n">
        <v>0</v>
      </c>
      <c r="O407" t="n">
        <v>0</v>
      </c>
      <c r="P407" t="n">
        <v>0</v>
      </c>
      <c r="Q407" t="n">
        <v>0</v>
      </c>
      <c r="R407" s="2" t="inlineStr"/>
    </row>
    <row r="408" ht="15" customHeight="1">
      <c r="A408" t="inlineStr">
        <is>
          <t>A 45445-2021</t>
        </is>
      </c>
      <c r="B408" s="1" t="n">
        <v>44440</v>
      </c>
      <c r="C408" s="1" t="n">
        <v>45937</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43248-2022</t>
        </is>
      </c>
      <c r="B409" s="1" t="n">
        <v>44834</v>
      </c>
      <c r="C409" s="1" t="n">
        <v>45937</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43289-2022</t>
        </is>
      </c>
      <c r="B410" s="1" t="n">
        <v>44834.51623842592</v>
      </c>
      <c r="C410" s="1" t="n">
        <v>45937</v>
      </c>
      <c r="D410" t="inlineStr">
        <is>
          <t>VÄRMLANDS LÄN</t>
        </is>
      </c>
      <c r="E410" t="inlineStr">
        <is>
          <t>TORSBY</t>
        </is>
      </c>
      <c r="G410" t="n">
        <v>11.2</v>
      </c>
      <c r="H410" t="n">
        <v>0</v>
      </c>
      <c r="I410" t="n">
        <v>0</v>
      </c>
      <c r="J410" t="n">
        <v>0</v>
      </c>
      <c r="K410" t="n">
        <v>0</v>
      </c>
      <c r="L410" t="n">
        <v>0</v>
      </c>
      <c r="M410" t="n">
        <v>0</v>
      </c>
      <c r="N410" t="n">
        <v>0</v>
      </c>
      <c r="O410" t="n">
        <v>0</v>
      </c>
      <c r="P410" t="n">
        <v>0</v>
      </c>
      <c r="Q410" t="n">
        <v>0</v>
      </c>
      <c r="R410" s="2" t="inlineStr"/>
    </row>
    <row r="411" ht="15" customHeight="1">
      <c r="A411" t="inlineStr">
        <is>
          <t>A 26086-2024</t>
        </is>
      </c>
      <c r="B411" s="1" t="n">
        <v>45468</v>
      </c>
      <c r="C411" s="1" t="n">
        <v>45937</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40278-2021</t>
        </is>
      </c>
      <c r="B412" s="1" t="n">
        <v>44419</v>
      </c>
      <c r="C412" s="1" t="n">
        <v>45937</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43052-2021</t>
        </is>
      </c>
      <c r="B413" s="1" t="n">
        <v>44431</v>
      </c>
      <c r="C413" s="1" t="n">
        <v>45937</v>
      </c>
      <c r="D413" t="inlineStr">
        <is>
          <t>VÄRMLANDS LÄN</t>
        </is>
      </c>
      <c r="E413" t="inlineStr">
        <is>
          <t>TORSBY</t>
        </is>
      </c>
      <c r="G413" t="n">
        <v>25.1</v>
      </c>
      <c r="H413" t="n">
        <v>0</v>
      </c>
      <c r="I413" t="n">
        <v>0</v>
      </c>
      <c r="J413" t="n">
        <v>0</v>
      </c>
      <c r="K413" t="n">
        <v>0</v>
      </c>
      <c r="L413" t="n">
        <v>0</v>
      </c>
      <c r="M413" t="n">
        <v>0</v>
      </c>
      <c r="N413" t="n">
        <v>0</v>
      </c>
      <c r="O413" t="n">
        <v>0</v>
      </c>
      <c r="P413" t="n">
        <v>0</v>
      </c>
      <c r="Q413" t="n">
        <v>0</v>
      </c>
      <c r="R413" s="2" t="inlineStr"/>
    </row>
    <row r="414" ht="15" customHeight="1">
      <c r="A414" t="inlineStr">
        <is>
          <t>A 48159-2021</t>
        </is>
      </c>
      <c r="B414" s="1" t="n">
        <v>44449.51302083334</v>
      </c>
      <c r="C414" s="1" t="n">
        <v>45937</v>
      </c>
      <c r="D414" t="inlineStr">
        <is>
          <t>VÄRMLANDS LÄN</t>
        </is>
      </c>
      <c r="E414" t="inlineStr">
        <is>
          <t>TORSBY</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57287-2021</t>
        </is>
      </c>
      <c r="B415" s="1" t="n">
        <v>44482</v>
      </c>
      <c r="C415" s="1" t="n">
        <v>45937</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54528-2023</t>
        </is>
      </c>
      <c r="B416" s="1" t="n">
        <v>45233.59122685185</v>
      </c>
      <c r="C416" s="1" t="n">
        <v>45937</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25629-2024</t>
        </is>
      </c>
      <c r="B417" s="1" t="n">
        <v>45463</v>
      </c>
      <c r="C417" s="1" t="n">
        <v>45937</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3071-2022</t>
        </is>
      </c>
      <c r="B418" s="1" t="n">
        <v>44582.42109953704</v>
      </c>
      <c r="C418" s="1" t="n">
        <v>45937</v>
      </c>
      <c r="D418" t="inlineStr">
        <is>
          <t>VÄRMLANDS LÄN</t>
        </is>
      </c>
      <c r="E418" t="inlineStr">
        <is>
          <t>TORSBY</t>
        </is>
      </c>
      <c r="G418" t="n">
        <v>7.9</v>
      </c>
      <c r="H418" t="n">
        <v>0</v>
      </c>
      <c r="I418" t="n">
        <v>0</v>
      </c>
      <c r="J418" t="n">
        <v>0</v>
      </c>
      <c r="K418" t="n">
        <v>0</v>
      </c>
      <c r="L418" t="n">
        <v>0</v>
      </c>
      <c r="M418" t="n">
        <v>0</v>
      </c>
      <c r="N418" t="n">
        <v>0</v>
      </c>
      <c r="O418" t="n">
        <v>0</v>
      </c>
      <c r="P418" t="n">
        <v>0</v>
      </c>
      <c r="Q418" t="n">
        <v>0</v>
      </c>
      <c r="R418" s="2" t="inlineStr"/>
    </row>
    <row r="419" ht="15" customHeight="1">
      <c r="A419" t="inlineStr">
        <is>
          <t>A 55794-2021</t>
        </is>
      </c>
      <c r="B419" s="1" t="n">
        <v>44476</v>
      </c>
      <c r="C419" s="1" t="n">
        <v>45937</v>
      </c>
      <c r="D419" t="inlineStr">
        <is>
          <t>VÄRMLANDS LÄN</t>
        </is>
      </c>
      <c r="E419" t="inlineStr">
        <is>
          <t>TORSBY</t>
        </is>
      </c>
      <c r="G419" t="n">
        <v>2.2</v>
      </c>
      <c r="H419" t="n">
        <v>0</v>
      </c>
      <c r="I419" t="n">
        <v>0</v>
      </c>
      <c r="J419" t="n">
        <v>0</v>
      </c>
      <c r="K419" t="n">
        <v>0</v>
      </c>
      <c r="L419" t="n">
        <v>0</v>
      </c>
      <c r="M419" t="n">
        <v>0</v>
      </c>
      <c r="N419" t="n">
        <v>0</v>
      </c>
      <c r="O419" t="n">
        <v>0</v>
      </c>
      <c r="P419" t="n">
        <v>0</v>
      </c>
      <c r="Q419" t="n">
        <v>0</v>
      </c>
      <c r="R419" s="2" t="inlineStr"/>
    </row>
    <row r="420" ht="15" customHeight="1">
      <c r="A420" t="inlineStr">
        <is>
          <t>A 33937-2021</t>
        </is>
      </c>
      <c r="B420" s="1" t="n">
        <v>44378.79297453703</v>
      </c>
      <c r="C420" s="1" t="n">
        <v>45937</v>
      </c>
      <c r="D420" t="inlineStr">
        <is>
          <t>VÄRMLANDS LÄN</t>
        </is>
      </c>
      <c r="E420" t="inlineStr">
        <is>
          <t>TORSBY</t>
        </is>
      </c>
      <c r="G420" t="n">
        <v>3.1</v>
      </c>
      <c r="H420" t="n">
        <v>0</v>
      </c>
      <c r="I420" t="n">
        <v>0</v>
      </c>
      <c r="J420" t="n">
        <v>0</v>
      </c>
      <c r="K420" t="n">
        <v>0</v>
      </c>
      <c r="L420" t="n">
        <v>0</v>
      </c>
      <c r="M420" t="n">
        <v>0</v>
      </c>
      <c r="N420" t="n">
        <v>0</v>
      </c>
      <c r="O420" t="n">
        <v>0</v>
      </c>
      <c r="P420" t="n">
        <v>0</v>
      </c>
      <c r="Q420" t="n">
        <v>0</v>
      </c>
      <c r="R420" s="2" t="inlineStr"/>
    </row>
    <row r="421" ht="15" customHeight="1">
      <c r="A421" t="inlineStr">
        <is>
          <t>A 35553-2023</t>
        </is>
      </c>
      <c r="B421" s="1" t="n">
        <v>45147</v>
      </c>
      <c r="C421" s="1" t="n">
        <v>45937</v>
      </c>
      <c r="D421" t="inlineStr">
        <is>
          <t>VÄRMLANDS LÄN</t>
        </is>
      </c>
      <c r="E421" t="inlineStr">
        <is>
          <t>TORSBY</t>
        </is>
      </c>
      <c r="G421" t="n">
        <v>6.2</v>
      </c>
      <c r="H421" t="n">
        <v>0</v>
      </c>
      <c r="I421" t="n">
        <v>0</v>
      </c>
      <c r="J421" t="n">
        <v>0</v>
      </c>
      <c r="K421" t="n">
        <v>0</v>
      </c>
      <c r="L421" t="n">
        <v>0</v>
      </c>
      <c r="M421" t="n">
        <v>0</v>
      </c>
      <c r="N421" t="n">
        <v>0</v>
      </c>
      <c r="O421" t="n">
        <v>0</v>
      </c>
      <c r="P421" t="n">
        <v>0</v>
      </c>
      <c r="Q421" t="n">
        <v>0</v>
      </c>
      <c r="R421" s="2" t="inlineStr"/>
    </row>
    <row r="422" ht="15" customHeight="1">
      <c r="A422" t="inlineStr">
        <is>
          <t>A 20647-2024</t>
        </is>
      </c>
      <c r="B422" s="1" t="n">
        <v>45436</v>
      </c>
      <c r="C422" s="1" t="n">
        <v>45937</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50380-2024</t>
        </is>
      </c>
      <c r="B423" s="1" t="n">
        <v>45601.30582175926</v>
      </c>
      <c r="C423" s="1" t="n">
        <v>45937</v>
      </c>
      <c r="D423" t="inlineStr">
        <is>
          <t>VÄRMLANDS LÄN</t>
        </is>
      </c>
      <c r="E423" t="inlineStr">
        <is>
          <t>TORSBY</t>
        </is>
      </c>
      <c r="F423" t="inlineStr">
        <is>
          <t>Bergvik skog väst AB</t>
        </is>
      </c>
      <c r="G423" t="n">
        <v>7.9</v>
      </c>
      <c r="H423" t="n">
        <v>0</v>
      </c>
      <c r="I423" t="n">
        <v>0</v>
      </c>
      <c r="J423" t="n">
        <v>0</v>
      </c>
      <c r="K423" t="n">
        <v>0</v>
      </c>
      <c r="L423" t="n">
        <v>0</v>
      </c>
      <c r="M423" t="n">
        <v>0</v>
      </c>
      <c r="N423" t="n">
        <v>0</v>
      </c>
      <c r="O423" t="n">
        <v>0</v>
      </c>
      <c r="P423" t="n">
        <v>0</v>
      </c>
      <c r="Q423" t="n">
        <v>0</v>
      </c>
      <c r="R423" s="2" t="inlineStr"/>
    </row>
    <row r="424" ht="15" customHeight="1">
      <c r="A424" t="inlineStr">
        <is>
          <t>A 67084-2020</t>
        </is>
      </c>
      <c r="B424" s="1" t="n">
        <v>44179</v>
      </c>
      <c r="C424" s="1" t="n">
        <v>45937</v>
      </c>
      <c r="D424" t="inlineStr">
        <is>
          <t>VÄRMLANDS LÄN</t>
        </is>
      </c>
      <c r="E424" t="inlineStr">
        <is>
          <t>TORSBY</t>
        </is>
      </c>
      <c r="G424" t="n">
        <v>1.9</v>
      </c>
      <c r="H424" t="n">
        <v>0</v>
      </c>
      <c r="I424" t="n">
        <v>0</v>
      </c>
      <c r="J424" t="n">
        <v>0</v>
      </c>
      <c r="K424" t="n">
        <v>0</v>
      </c>
      <c r="L424" t="n">
        <v>0</v>
      </c>
      <c r="M424" t="n">
        <v>0</v>
      </c>
      <c r="N424" t="n">
        <v>0</v>
      </c>
      <c r="O424" t="n">
        <v>0</v>
      </c>
      <c r="P424" t="n">
        <v>0</v>
      </c>
      <c r="Q424" t="n">
        <v>0</v>
      </c>
      <c r="R424" s="2" t="inlineStr"/>
    </row>
    <row r="425" ht="15" customHeight="1">
      <c r="A425" t="inlineStr">
        <is>
          <t>A 55092-2022</t>
        </is>
      </c>
      <c r="B425" s="1" t="n">
        <v>44886.61493055556</v>
      </c>
      <c r="C425" s="1" t="n">
        <v>45937</v>
      </c>
      <c r="D425" t="inlineStr">
        <is>
          <t>VÄRMLANDS LÄN</t>
        </is>
      </c>
      <c r="E425" t="inlineStr">
        <is>
          <t>TORSBY</t>
        </is>
      </c>
      <c r="G425" t="n">
        <v>2</v>
      </c>
      <c r="H425" t="n">
        <v>0</v>
      </c>
      <c r="I425" t="n">
        <v>0</v>
      </c>
      <c r="J425" t="n">
        <v>0</v>
      </c>
      <c r="K425" t="n">
        <v>0</v>
      </c>
      <c r="L425" t="n">
        <v>0</v>
      </c>
      <c r="M425" t="n">
        <v>0</v>
      </c>
      <c r="N425" t="n">
        <v>0</v>
      </c>
      <c r="O425" t="n">
        <v>0</v>
      </c>
      <c r="P425" t="n">
        <v>0</v>
      </c>
      <c r="Q425" t="n">
        <v>0</v>
      </c>
      <c r="R425" s="2" t="inlineStr"/>
    </row>
    <row r="426" ht="15" customHeight="1">
      <c r="A426" t="inlineStr">
        <is>
          <t>A 64434-2020</t>
        </is>
      </c>
      <c r="B426" s="1" t="n">
        <v>44168</v>
      </c>
      <c r="C426" s="1" t="n">
        <v>45937</v>
      </c>
      <c r="D426" t="inlineStr">
        <is>
          <t>VÄRMLANDS LÄN</t>
        </is>
      </c>
      <c r="E426" t="inlineStr">
        <is>
          <t>TORSBY</t>
        </is>
      </c>
      <c r="G426" t="n">
        <v>7.7</v>
      </c>
      <c r="H426" t="n">
        <v>0</v>
      </c>
      <c r="I426" t="n">
        <v>0</v>
      </c>
      <c r="J426" t="n">
        <v>0</v>
      </c>
      <c r="K426" t="n">
        <v>0</v>
      </c>
      <c r="L426" t="n">
        <v>0</v>
      </c>
      <c r="M426" t="n">
        <v>0</v>
      </c>
      <c r="N426" t="n">
        <v>0</v>
      </c>
      <c r="O426" t="n">
        <v>0</v>
      </c>
      <c r="P426" t="n">
        <v>0</v>
      </c>
      <c r="Q426" t="n">
        <v>0</v>
      </c>
      <c r="R426" s="2" t="inlineStr"/>
    </row>
    <row r="427" ht="15" customHeight="1">
      <c r="A427" t="inlineStr">
        <is>
          <t>A 38699-2022</t>
        </is>
      </c>
      <c r="B427" s="1" t="n">
        <v>44814.53259259259</v>
      </c>
      <c r="C427" s="1" t="n">
        <v>45937</v>
      </c>
      <c r="D427" t="inlineStr">
        <is>
          <t>VÄRMLANDS LÄN</t>
        </is>
      </c>
      <c r="E427" t="inlineStr">
        <is>
          <t>TORSBY</t>
        </is>
      </c>
      <c r="F427" t="inlineStr">
        <is>
          <t>Bergvik skog väst AB</t>
        </is>
      </c>
      <c r="G427" t="n">
        <v>22.6</v>
      </c>
      <c r="H427" t="n">
        <v>0</v>
      </c>
      <c r="I427" t="n">
        <v>0</v>
      </c>
      <c r="J427" t="n">
        <v>0</v>
      </c>
      <c r="K427" t="n">
        <v>0</v>
      </c>
      <c r="L427" t="n">
        <v>0</v>
      </c>
      <c r="M427" t="n">
        <v>0</v>
      </c>
      <c r="N427" t="n">
        <v>0</v>
      </c>
      <c r="O427" t="n">
        <v>0</v>
      </c>
      <c r="P427" t="n">
        <v>0</v>
      </c>
      <c r="Q427" t="n">
        <v>0</v>
      </c>
      <c r="R427" s="2" t="inlineStr"/>
    </row>
    <row r="428" ht="15" customHeight="1">
      <c r="A428" t="inlineStr">
        <is>
          <t>A 49983-2022</t>
        </is>
      </c>
      <c r="B428" s="1" t="n">
        <v>44865</v>
      </c>
      <c r="C428" s="1" t="n">
        <v>45937</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48320-2022</t>
        </is>
      </c>
      <c r="B429" s="1" t="n">
        <v>44853</v>
      </c>
      <c r="C429" s="1" t="n">
        <v>45937</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40573-2024</t>
        </is>
      </c>
      <c r="B430" s="1" t="n">
        <v>45555.69518518518</v>
      </c>
      <c r="C430" s="1" t="n">
        <v>45937</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67172-2021</t>
        </is>
      </c>
      <c r="B431" s="1" t="n">
        <v>44523.4271875</v>
      </c>
      <c r="C431" s="1" t="n">
        <v>45937</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58185-2023</t>
        </is>
      </c>
      <c r="B432" s="1" t="n">
        <v>45250.41873842593</v>
      </c>
      <c r="C432" s="1" t="n">
        <v>45937</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2009-2025</t>
        </is>
      </c>
      <c r="B433" s="1" t="n">
        <v>45672</v>
      </c>
      <c r="C433" s="1" t="n">
        <v>45937</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29457-2021</t>
        </is>
      </c>
      <c r="B434" s="1" t="n">
        <v>44361</v>
      </c>
      <c r="C434" s="1" t="n">
        <v>45937</v>
      </c>
      <c r="D434" t="inlineStr">
        <is>
          <t>VÄRMLANDS LÄN</t>
        </is>
      </c>
      <c r="E434" t="inlineStr">
        <is>
          <t>TORSBY</t>
        </is>
      </c>
      <c r="G434" t="n">
        <v>7.6</v>
      </c>
      <c r="H434" t="n">
        <v>0</v>
      </c>
      <c r="I434" t="n">
        <v>0</v>
      </c>
      <c r="J434" t="n">
        <v>0</v>
      </c>
      <c r="K434" t="n">
        <v>0</v>
      </c>
      <c r="L434" t="n">
        <v>0</v>
      </c>
      <c r="M434" t="n">
        <v>0</v>
      </c>
      <c r="N434" t="n">
        <v>0</v>
      </c>
      <c r="O434" t="n">
        <v>0</v>
      </c>
      <c r="P434" t="n">
        <v>0</v>
      </c>
      <c r="Q434" t="n">
        <v>0</v>
      </c>
      <c r="R434" s="2" t="inlineStr"/>
    </row>
    <row r="435" ht="15" customHeight="1">
      <c r="A435" t="inlineStr">
        <is>
          <t>A 37238-2024</t>
        </is>
      </c>
      <c r="B435" s="1" t="n">
        <v>45540</v>
      </c>
      <c r="C435" s="1" t="n">
        <v>45937</v>
      </c>
      <c r="D435" t="inlineStr">
        <is>
          <t>VÄRMLANDS LÄN</t>
        </is>
      </c>
      <c r="E435" t="inlineStr">
        <is>
          <t>TORSBY</t>
        </is>
      </c>
      <c r="F435" t="inlineStr">
        <is>
          <t>Bergvik skog väst AB</t>
        </is>
      </c>
      <c r="G435" t="n">
        <v>11.9</v>
      </c>
      <c r="H435" t="n">
        <v>0</v>
      </c>
      <c r="I435" t="n">
        <v>0</v>
      </c>
      <c r="J435" t="n">
        <v>0</v>
      </c>
      <c r="K435" t="n">
        <v>0</v>
      </c>
      <c r="L435" t="n">
        <v>0</v>
      </c>
      <c r="M435" t="n">
        <v>0</v>
      </c>
      <c r="N435" t="n">
        <v>0</v>
      </c>
      <c r="O435" t="n">
        <v>0</v>
      </c>
      <c r="P435" t="n">
        <v>0</v>
      </c>
      <c r="Q435" t="n">
        <v>0</v>
      </c>
      <c r="R435" s="2" t="inlineStr"/>
    </row>
    <row r="436" ht="15" customHeight="1">
      <c r="A436" t="inlineStr">
        <is>
          <t>A 41808-2021</t>
        </is>
      </c>
      <c r="B436" s="1" t="n">
        <v>44425</v>
      </c>
      <c r="C436" s="1" t="n">
        <v>45937</v>
      </c>
      <c r="D436" t="inlineStr">
        <is>
          <t>VÄRMLANDS LÄN</t>
        </is>
      </c>
      <c r="E436" t="inlineStr">
        <is>
          <t>TORSBY</t>
        </is>
      </c>
      <c r="G436" t="n">
        <v>2.7</v>
      </c>
      <c r="H436" t="n">
        <v>0</v>
      </c>
      <c r="I436" t="n">
        <v>0</v>
      </c>
      <c r="J436" t="n">
        <v>0</v>
      </c>
      <c r="K436" t="n">
        <v>0</v>
      </c>
      <c r="L436" t="n">
        <v>0</v>
      </c>
      <c r="M436" t="n">
        <v>0</v>
      </c>
      <c r="N436" t="n">
        <v>0</v>
      </c>
      <c r="O436" t="n">
        <v>0</v>
      </c>
      <c r="P436" t="n">
        <v>0</v>
      </c>
      <c r="Q436" t="n">
        <v>0</v>
      </c>
      <c r="R436" s="2" t="inlineStr"/>
    </row>
    <row r="437" ht="15" customHeight="1">
      <c r="A437" t="inlineStr">
        <is>
          <t>A 2308-2024</t>
        </is>
      </c>
      <c r="B437" s="1" t="n">
        <v>45310</v>
      </c>
      <c r="C437" s="1" t="n">
        <v>45937</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13191-2025</t>
        </is>
      </c>
      <c r="B438" s="1" t="n">
        <v>45735.40501157408</v>
      </c>
      <c r="C438" s="1" t="n">
        <v>45937</v>
      </c>
      <c r="D438" t="inlineStr">
        <is>
          <t>VÄRMLANDS LÄN</t>
        </is>
      </c>
      <c r="E438" t="inlineStr">
        <is>
          <t>TORSBY</t>
        </is>
      </c>
      <c r="G438" t="n">
        <v>10.6</v>
      </c>
      <c r="H438" t="n">
        <v>0</v>
      </c>
      <c r="I438" t="n">
        <v>0</v>
      </c>
      <c r="J438" t="n">
        <v>0</v>
      </c>
      <c r="K438" t="n">
        <v>0</v>
      </c>
      <c r="L438" t="n">
        <v>0</v>
      </c>
      <c r="M438" t="n">
        <v>0</v>
      </c>
      <c r="N438" t="n">
        <v>0</v>
      </c>
      <c r="O438" t="n">
        <v>0</v>
      </c>
      <c r="P438" t="n">
        <v>0</v>
      </c>
      <c r="Q438" t="n">
        <v>0</v>
      </c>
      <c r="R438" s="2" t="inlineStr"/>
    </row>
    <row r="439" ht="15" customHeight="1">
      <c r="A439" t="inlineStr">
        <is>
          <t>A 1911-2022</t>
        </is>
      </c>
      <c r="B439" s="1" t="n">
        <v>44575</v>
      </c>
      <c r="C439" s="1" t="n">
        <v>45937</v>
      </c>
      <c r="D439" t="inlineStr">
        <is>
          <t>VÄRMLANDS LÄN</t>
        </is>
      </c>
      <c r="E439" t="inlineStr">
        <is>
          <t>TORSBY</t>
        </is>
      </c>
      <c r="F439" t="inlineStr">
        <is>
          <t>Kommuner</t>
        </is>
      </c>
      <c r="G439" t="n">
        <v>0.8</v>
      </c>
      <c r="H439" t="n">
        <v>0</v>
      </c>
      <c r="I439" t="n">
        <v>0</v>
      </c>
      <c r="J439" t="n">
        <v>0</v>
      </c>
      <c r="K439" t="n">
        <v>0</v>
      </c>
      <c r="L439" t="n">
        <v>0</v>
      </c>
      <c r="M439" t="n">
        <v>0</v>
      </c>
      <c r="N439" t="n">
        <v>0</v>
      </c>
      <c r="O439" t="n">
        <v>0</v>
      </c>
      <c r="P439" t="n">
        <v>0</v>
      </c>
      <c r="Q439" t="n">
        <v>0</v>
      </c>
      <c r="R439" s="2" t="inlineStr"/>
    </row>
    <row r="440" ht="15" customHeight="1">
      <c r="A440" t="inlineStr">
        <is>
          <t>A 10473-2023</t>
        </is>
      </c>
      <c r="B440" s="1" t="n">
        <v>44981</v>
      </c>
      <c r="C440" s="1" t="n">
        <v>45937</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9775-2021</t>
        </is>
      </c>
      <c r="B441" s="1" t="n">
        <v>44252</v>
      </c>
      <c r="C441" s="1" t="n">
        <v>45937</v>
      </c>
      <c r="D441" t="inlineStr">
        <is>
          <t>VÄRMLANDS LÄN</t>
        </is>
      </c>
      <c r="E441" t="inlineStr">
        <is>
          <t>TORSBY</t>
        </is>
      </c>
      <c r="G441" t="n">
        <v>2.7</v>
      </c>
      <c r="H441" t="n">
        <v>0</v>
      </c>
      <c r="I441" t="n">
        <v>0</v>
      </c>
      <c r="J441" t="n">
        <v>0</v>
      </c>
      <c r="K441" t="n">
        <v>0</v>
      </c>
      <c r="L441" t="n">
        <v>0</v>
      </c>
      <c r="M441" t="n">
        <v>0</v>
      </c>
      <c r="N441" t="n">
        <v>0</v>
      </c>
      <c r="O441" t="n">
        <v>0</v>
      </c>
      <c r="P441" t="n">
        <v>0</v>
      </c>
      <c r="Q441" t="n">
        <v>0</v>
      </c>
      <c r="R441" s="2" t="inlineStr"/>
    </row>
    <row r="442" ht="15" customHeight="1">
      <c r="A442" t="inlineStr">
        <is>
          <t>A 17488-2023</t>
        </is>
      </c>
      <c r="B442" s="1" t="n">
        <v>45036</v>
      </c>
      <c r="C442" s="1" t="n">
        <v>45937</v>
      </c>
      <c r="D442" t="inlineStr">
        <is>
          <t>VÄRMLANDS LÄN</t>
        </is>
      </c>
      <c r="E442" t="inlineStr">
        <is>
          <t>TORSBY</t>
        </is>
      </c>
      <c r="G442" t="n">
        <v>15.6</v>
      </c>
      <c r="H442" t="n">
        <v>0</v>
      </c>
      <c r="I442" t="n">
        <v>0</v>
      </c>
      <c r="J442" t="n">
        <v>0</v>
      </c>
      <c r="K442" t="n">
        <v>0</v>
      </c>
      <c r="L442" t="n">
        <v>0</v>
      </c>
      <c r="M442" t="n">
        <v>0</v>
      </c>
      <c r="N442" t="n">
        <v>0</v>
      </c>
      <c r="O442" t="n">
        <v>0</v>
      </c>
      <c r="P442" t="n">
        <v>0</v>
      </c>
      <c r="Q442" t="n">
        <v>0</v>
      </c>
      <c r="R442" s="2" t="inlineStr"/>
    </row>
    <row r="443" ht="15" customHeight="1">
      <c r="A443" t="inlineStr">
        <is>
          <t>A 38100-2024</t>
        </is>
      </c>
      <c r="B443" s="1" t="n">
        <v>45545</v>
      </c>
      <c r="C443" s="1" t="n">
        <v>45937</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4231-2024</t>
        </is>
      </c>
      <c r="B444" s="1" t="n">
        <v>45324.42771990741</v>
      </c>
      <c r="C444" s="1" t="n">
        <v>45937</v>
      </c>
      <c r="D444" t="inlineStr">
        <is>
          <t>VÄRMLANDS LÄN</t>
        </is>
      </c>
      <c r="E444" t="inlineStr">
        <is>
          <t>TORSBY</t>
        </is>
      </c>
      <c r="G444" t="n">
        <v>3.6</v>
      </c>
      <c r="H444" t="n">
        <v>0</v>
      </c>
      <c r="I444" t="n">
        <v>0</v>
      </c>
      <c r="J444" t="n">
        <v>0</v>
      </c>
      <c r="K444" t="n">
        <v>0</v>
      </c>
      <c r="L444" t="n">
        <v>0</v>
      </c>
      <c r="M444" t="n">
        <v>0</v>
      </c>
      <c r="N444" t="n">
        <v>0</v>
      </c>
      <c r="O444" t="n">
        <v>0</v>
      </c>
      <c r="P444" t="n">
        <v>0</v>
      </c>
      <c r="Q444" t="n">
        <v>0</v>
      </c>
      <c r="R444" s="2" t="inlineStr"/>
    </row>
    <row r="445" ht="15" customHeight="1">
      <c r="A445" t="inlineStr">
        <is>
          <t>A 38062-2024</t>
        </is>
      </c>
      <c r="B445" s="1" t="n">
        <v>45544</v>
      </c>
      <c r="C445" s="1" t="n">
        <v>45937</v>
      </c>
      <c r="D445" t="inlineStr">
        <is>
          <t>VÄRMLANDS LÄN</t>
        </is>
      </c>
      <c r="E445" t="inlineStr">
        <is>
          <t>TORSBY</t>
        </is>
      </c>
      <c r="F445" t="inlineStr">
        <is>
          <t>Bergvik skog väst AB</t>
        </is>
      </c>
      <c r="G445" t="n">
        <v>7.9</v>
      </c>
      <c r="H445" t="n">
        <v>0</v>
      </c>
      <c r="I445" t="n">
        <v>0</v>
      </c>
      <c r="J445" t="n">
        <v>0</v>
      </c>
      <c r="K445" t="n">
        <v>0</v>
      </c>
      <c r="L445" t="n">
        <v>0</v>
      </c>
      <c r="M445" t="n">
        <v>0</v>
      </c>
      <c r="N445" t="n">
        <v>0</v>
      </c>
      <c r="O445" t="n">
        <v>0</v>
      </c>
      <c r="P445" t="n">
        <v>0</v>
      </c>
      <c r="Q445" t="n">
        <v>0</v>
      </c>
      <c r="R445" s="2" t="inlineStr"/>
    </row>
    <row r="446" ht="15" customHeight="1">
      <c r="A446" t="inlineStr">
        <is>
          <t>A 18883-2024</t>
        </is>
      </c>
      <c r="B446" s="1" t="n">
        <v>45426</v>
      </c>
      <c r="C446" s="1" t="n">
        <v>45937</v>
      </c>
      <c r="D446" t="inlineStr">
        <is>
          <t>VÄRMLANDS LÄN</t>
        </is>
      </c>
      <c r="E446" t="inlineStr">
        <is>
          <t>TORSBY</t>
        </is>
      </c>
      <c r="G446" t="n">
        <v>2.5</v>
      </c>
      <c r="H446" t="n">
        <v>0</v>
      </c>
      <c r="I446" t="n">
        <v>0</v>
      </c>
      <c r="J446" t="n">
        <v>0</v>
      </c>
      <c r="K446" t="n">
        <v>0</v>
      </c>
      <c r="L446" t="n">
        <v>0</v>
      </c>
      <c r="M446" t="n">
        <v>0</v>
      </c>
      <c r="N446" t="n">
        <v>0</v>
      </c>
      <c r="O446" t="n">
        <v>0</v>
      </c>
      <c r="P446" t="n">
        <v>0</v>
      </c>
      <c r="Q446" t="n">
        <v>0</v>
      </c>
      <c r="R446" s="2" t="inlineStr"/>
    </row>
    <row r="447" ht="15" customHeight="1">
      <c r="A447" t="inlineStr">
        <is>
          <t>A 7643-2025</t>
        </is>
      </c>
      <c r="B447" s="1" t="n">
        <v>45705.78703703704</v>
      </c>
      <c r="C447" s="1" t="n">
        <v>45937</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57072-2022</t>
        </is>
      </c>
      <c r="B448" s="1" t="n">
        <v>44895.4252662037</v>
      </c>
      <c r="C448" s="1" t="n">
        <v>45937</v>
      </c>
      <c r="D448" t="inlineStr">
        <is>
          <t>VÄRMLANDS LÄN</t>
        </is>
      </c>
      <c r="E448" t="inlineStr">
        <is>
          <t>TORSBY</t>
        </is>
      </c>
      <c r="F448" t="inlineStr">
        <is>
          <t>Övriga statliga verk och myndigheter</t>
        </is>
      </c>
      <c r="G448" t="n">
        <v>7.8</v>
      </c>
      <c r="H448" t="n">
        <v>0</v>
      </c>
      <c r="I448" t="n">
        <v>0</v>
      </c>
      <c r="J448" t="n">
        <v>0</v>
      </c>
      <c r="K448" t="n">
        <v>0</v>
      </c>
      <c r="L448" t="n">
        <v>0</v>
      </c>
      <c r="M448" t="n">
        <v>0</v>
      </c>
      <c r="N448" t="n">
        <v>0</v>
      </c>
      <c r="O448" t="n">
        <v>0</v>
      </c>
      <c r="P448" t="n">
        <v>0</v>
      </c>
      <c r="Q448" t="n">
        <v>0</v>
      </c>
      <c r="R448" s="2" t="inlineStr"/>
    </row>
    <row r="449" ht="15" customHeight="1">
      <c r="A449" t="inlineStr">
        <is>
          <t>A 53331-2024</t>
        </is>
      </c>
      <c r="B449" s="1" t="n">
        <v>45614</v>
      </c>
      <c r="C449" s="1" t="n">
        <v>45937</v>
      </c>
      <c r="D449" t="inlineStr">
        <is>
          <t>VÄRMLANDS LÄN</t>
        </is>
      </c>
      <c r="E449" t="inlineStr">
        <is>
          <t>TORSBY</t>
        </is>
      </c>
      <c r="F449" t="inlineStr">
        <is>
          <t>Bergvik skog väst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35107-2024</t>
        </is>
      </c>
      <c r="B450" s="1" t="n">
        <v>45529.5588425926</v>
      </c>
      <c r="C450" s="1" t="n">
        <v>45937</v>
      </c>
      <c r="D450" t="inlineStr">
        <is>
          <t>VÄRMLANDS LÄN</t>
        </is>
      </c>
      <c r="E450" t="inlineStr">
        <is>
          <t>TORSBY</t>
        </is>
      </c>
      <c r="G450" t="n">
        <v>5.1</v>
      </c>
      <c r="H450" t="n">
        <v>0</v>
      </c>
      <c r="I450" t="n">
        <v>0</v>
      </c>
      <c r="J450" t="n">
        <v>0</v>
      </c>
      <c r="K450" t="n">
        <v>0</v>
      </c>
      <c r="L450" t="n">
        <v>0</v>
      </c>
      <c r="M450" t="n">
        <v>0</v>
      </c>
      <c r="N450" t="n">
        <v>0</v>
      </c>
      <c r="O450" t="n">
        <v>0</v>
      </c>
      <c r="P450" t="n">
        <v>0</v>
      </c>
      <c r="Q450" t="n">
        <v>0</v>
      </c>
      <c r="R450" s="2" t="inlineStr"/>
    </row>
    <row r="451" ht="15" customHeight="1">
      <c r="A451" t="inlineStr">
        <is>
          <t>A 18480-2025</t>
        </is>
      </c>
      <c r="B451" s="1" t="n">
        <v>45762.9171412037</v>
      </c>
      <c r="C451" s="1" t="n">
        <v>45937</v>
      </c>
      <c r="D451" t="inlineStr">
        <is>
          <t>VÄRMLANDS LÄN</t>
        </is>
      </c>
      <c r="E451" t="inlineStr">
        <is>
          <t>TORSBY</t>
        </is>
      </c>
      <c r="G451" t="n">
        <v>2.8</v>
      </c>
      <c r="H451" t="n">
        <v>0</v>
      </c>
      <c r="I451" t="n">
        <v>0</v>
      </c>
      <c r="J451" t="n">
        <v>0</v>
      </c>
      <c r="K451" t="n">
        <v>0</v>
      </c>
      <c r="L451" t="n">
        <v>0</v>
      </c>
      <c r="M451" t="n">
        <v>0</v>
      </c>
      <c r="N451" t="n">
        <v>0</v>
      </c>
      <c r="O451" t="n">
        <v>0</v>
      </c>
      <c r="P451" t="n">
        <v>0</v>
      </c>
      <c r="Q451" t="n">
        <v>0</v>
      </c>
      <c r="R451" s="2" t="inlineStr"/>
    </row>
    <row r="452" ht="15" customHeight="1">
      <c r="A452" t="inlineStr">
        <is>
          <t>A 492-2025</t>
        </is>
      </c>
      <c r="B452" s="1" t="n">
        <v>45664.46337962963</v>
      </c>
      <c r="C452" s="1" t="n">
        <v>45937</v>
      </c>
      <c r="D452" t="inlineStr">
        <is>
          <t>VÄRMLANDS LÄN</t>
        </is>
      </c>
      <c r="E452" t="inlineStr">
        <is>
          <t>TORSBY</t>
        </is>
      </c>
      <c r="G452" t="n">
        <v>6.9</v>
      </c>
      <c r="H452" t="n">
        <v>0</v>
      </c>
      <c r="I452" t="n">
        <v>0</v>
      </c>
      <c r="J452" t="n">
        <v>0</v>
      </c>
      <c r="K452" t="n">
        <v>0</v>
      </c>
      <c r="L452" t="n">
        <v>0</v>
      </c>
      <c r="M452" t="n">
        <v>0</v>
      </c>
      <c r="N452" t="n">
        <v>0</v>
      </c>
      <c r="O452" t="n">
        <v>0</v>
      </c>
      <c r="P452" t="n">
        <v>0</v>
      </c>
      <c r="Q452" t="n">
        <v>0</v>
      </c>
      <c r="R452" s="2" t="inlineStr"/>
    </row>
    <row r="453" ht="15" customHeight="1">
      <c r="A453" t="inlineStr">
        <is>
          <t>A 13791-2023</t>
        </is>
      </c>
      <c r="B453" s="1" t="n">
        <v>45005</v>
      </c>
      <c r="C453" s="1" t="n">
        <v>45937</v>
      </c>
      <c r="D453" t="inlineStr">
        <is>
          <t>VÄRMLANDS LÄN</t>
        </is>
      </c>
      <c r="E453" t="inlineStr">
        <is>
          <t>TORSBY</t>
        </is>
      </c>
      <c r="G453" t="n">
        <v>3.5</v>
      </c>
      <c r="H453" t="n">
        <v>0</v>
      </c>
      <c r="I453" t="n">
        <v>0</v>
      </c>
      <c r="J453" t="n">
        <v>0</v>
      </c>
      <c r="K453" t="n">
        <v>0</v>
      </c>
      <c r="L453" t="n">
        <v>0</v>
      </c>
      <c r="M453" t="n">
        <v>0</v>
      </c>
      <c r="N453" t="n">
        <v>0</v>
      </c>
      <c r="O453" t="n">
        <v>0</v>
      </c>
      <c r="P453" t="n">
        <v>0</v>
      </c>
      <c r="Q453" t="n">
        <v>0</v>
      </c>
      <c r="R453" s="2" t="inlineStr"/>
    </row>
    <row r="454" ht="15" customHeight="1">
      <c r="A454" t="inlineStr">
        <is>
          <t>A 36589-2021</t>
        </is>
      </c>
      <c r="B454" s="1" t="n">
        <v>44391</v>
      </c>
      <c r="C454" s="1" t="n">
        <v>45937</v>
      </c>
      <c r="D454" t="inlineStr">
        <is>
          <t>VÄRMLANDS LÄN</t>
        </is>
      </c>
      <c r="E454" t="inlineStr">
        <is>
          <t>TORSBY</t>
        </is>
      </c>
      <c r="G454" t="n">
        <v>3.9</v>
      </c>
      <c r="H454" t="n">
        <v>0</v>
      </c>
      <c r="I454" t="n">
        <v>0</v>
      </c>
      <c r="J454" t="n">
        <v>0</v>
      </c>
      <c r="K454" t="n">
        <v>0</v>
      </c>
      <c r="L454" t="n">
        <v>0</v>
      </c>
      <c r="M454" t="n">
        <v>0</v>
      </c>
      <c r="N454" t="n">
        <v>0</v>
      </c>
      <c r="O454" t="n">
        <v>0</v>
      </c>
      <c r="P454" t="n">
        <v>0</v>
      </c>
      <c r="Q454" t="n">
        <v>0</v>
      </c>
      <c r="R454" s="2" t="inlineStr"/>
    </row>
    <row r="455" ht="15" customHeight="1">
      <c r="A455" t="inlineStr">
        <is>
          <t>A 67913-2021</t>
        </is>
      </c>
      <c r="B455" s="1" t="n">
        <v>44525.60017361111</v>
      </c>
      <c r="C455" s="1" t="n">
        <v>45937</v>
      </c>
      <c r="D455" t="inlineStr">
        <is>
          <t>VÄRMLANDS LÄN</t>
        </is>
      </c>
      <c r="E455" t="inlineStr">
        <is>
          <t>TORSBY</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2662-2024</t>
        </is>
      </c>
      <c r="B456" s="1" t="n">
        <v>45314.38747685185</v>
      </c>
      <c r="C456" s="1" t="n">
        <v>45937</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33656-2023</t>
        </is>
      </c>
      <c r="B457" s="1" t="n">
        <v>45132.57922453704</v>
      </c>
      <c r="C457" s="1" t="n">
        <v>45937</v>
      </c>
      <c r="D457" t="inlineStr">
        <is>
          <t>VÄRMLANDS LÄN</t>
        </is>
      </c>
      <c r="E457" t="inlineStr">
        <is>
          <t>TORSBY</t>
        </is>
      </c>
      <c r="F457" t="inlineStr">
        <is>
          <t>Bergvik skog väst AB</t>
        </is>
      </c>
      <c r="G457" t="n">
        <v>15</v>
      </c>
      <c r="H457" t="n">
        <v>0</v>
      </c>
      <c r="I457" t="n">
        <v>0</v>
      </c>
      <c r="J457" t="n">
        <v>0</v>
      </c>
      <c r="K457" t="n">
        <v>0</v>
      </c>
      <c r="L457" t="n">
        <v>0</v>
      </c>
      <c r="M457" t="n">
        <v>0</v>
      </c>
      <c r="N457" t="n">
        <v>0</v>
      </c>
      <c r="O457" t="n">
        <v>0</v>
      </c>
      <c r="P457" t="n">
        <v>0</v>
      </c>
      <c r="Q457" t="n">
        <v>0</v>
      </c>
      <c r="R457" s="2" t="inlineStr"/>
    </row>
    <row r="458" ht="15" customHeight="1">
      <c r="A458" t="inlineStr">
        <is>
          <t>A 54865-2022</t>
        </is>
      </c>
      <c r="B458" s="1" t="n">
        <v>44884</v>
      </c>
      <c r="C458" s="1" t="n">
        <v>45937</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27270-2024</t>
        </is>
      </c>
      <c r="B459" s="1" t="n">
        <v>45471.81967592592</v>
      </c>
      <c r="C459" s="1" t="n">
        <v>45937</v>
      </c>
      <c r="D459" t="inlineStr">
        <is>
          <t>VÄRMLANDS LÄN</t>
        </is>
      </c>
      <c r="E459" t="inlineStr">
        <is>
          <t>TORSBY</t>
        </is>
      </c>
      <c r="G459" t="n">
        <v>6.9</v>
      </c>
      <c r="H459" t="n">
        <v>0</v>
      </c>
      <c r="I459" t="n">
        <v>0</v>
      </c>
      <c r="J459" t="n">
        <v>0</v>
      </c>
      <c r="K459" t="n">
        <v>0</v>
      </c>
      <c r="L459" t="n">
        <v>0</v>
      </c>
      <c r="M459" t="n">
        <v>0</v>
      </c>
      <c r="N459" t="n">
        <v>0</v>
      </c>
      <c r="O459" t="n">
        <v>0</v>
      </c>
      <c r="P459" t="n">
        <v>0</v>
      </c>
      <c r="Q459" t="n">
        <v>0</v>
      </c>
      <c r="R459" s="2" t="inlineStr"/>
    </row>
    <row r="460" ht="15" customHeight="1">
      <c r="A460" t="inlineStr">
        <is>
          <t>A 27358-2024</t>
        </is>
      </c>
      <c r="B460" s="1" t="n">
        <v>45473.71635416667</v>
      </c>
      <c r="C460" s="1" t="n">
        <v>45937</v>
      </c>
      <c r="D460" t="inlineStr">
        <is>
          <t>VÄRMLANDS LÄN</t>
        </is>
      </c>
      <c r="E460" t="inlineStr">
        <is>
          <t>TORSBY</t>
        </is>
      </c>
      <c r="G460" t="n">
        <v>4.2</v>
      </c>
      <c r="H460" t="n">
        <v>0</v>
      </c>
      <c r="I460" t="n">
        <v>0</v>
      </c>
      <c r="J460" t="n">
        <v>0</v>
      </c>
      <c r="K460" t="n">
        <v>0</v>
      </c>
      <c r="L460" t="n">
        <v>0</v>
      </c>
      <c r="M460" t="n">
        <v>0</v>
      </c>
      <c r="N460" t="n">
        <v>0</v>
      </c>
      <c r="O460" t="n">
        <v>0</v>
      </c>
      <c r="P460" t="n">
        <v>0</v>
      </c>
      <c r="Q460" t="n">
        <v>0</v>
      </c>
      <c r="R460" s="2" t="inlineStr"/>
    </row>
    <row r="461" ht="15" customHeight="1">
      <c r="A461" t="inlineStr">
        <is>
          <t>A 27360-2024</t>
        </is>
      </c>
      <c r="B461" s="1" t="n">
        <v>45473</v>
      </c>
      <c r="C461" s="1" t="n">
        <v>45937</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27195-2023</t>
        </is>
      </c>
      <c r="B462" s="1" t="n">
        <v>45096</v>
      </c>
      <c r="C462" s="1" t="n">
        <v>45937</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39217-2022</t>
        </is>
      </c>
      <c r="B463" s="1" t="n">
        <v>44817.57174768519</v>
      </c>
      <c r="C463" s="1" t="n">
        <v>45937</v>
      </c>
      <c r="D463" t="inlineStr">
        <is>
          <t>VÄRMLANDS LÄN</t>
        </is>
      </c>
      <c r="E463" t="inlineStr">
        <is>
          <t>TORSBY</t>
        </is>
      </c>
      <c r="G463" t="n">
        <v>4.6</v>
      </c>
      <c r="H463" t="n">
        <v>0</v>
      </c>
      <c r="I463" t="n">
        <v>0</v>
      </c>
      <c r="J463" t="n">
        <v>0</v>
      </c>
      <c r="K463" t="n">
        <v>0</v>
      </c>
      <c r="L463" t="n">
        <v>0</v>
      </c>
      <c r="M463" t="n">
        <v>0</v>
      </c>
      <c r="N463" t="n">
        <v>0</v>
      </c>
      <c r="O463" t="n">
        <v>0</v>
      </c>
      <c r="P463" t="n">
        <v>0</v>
      </c>
      <c r="Q463" t="n">
        <v>0</v>
      </c>
      <c r="R463" s="2" t="inlineStr"/>
    </row>
    <row r="464" ht="15" customHeight="1">
      <c r="A464" t="inlineStr">
        <is>
          <t>A 39221-2022</t>
        </is>
      </c>
      <c r="B464" s="1" t="n">
        <v>44817.57484953704</v>
      </c>
      <c r="C464" s="1" t="n">
        <v>45937</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21757-2024</t>
        </is>
      </c>
      <c r="B465" s="1" t="n">
        <v>45442</v>
      </c>
      <c r="C465" s="1" t="n">
        <v>45937</v>
      </c>
      <c r="D465" t="inlineStr">
        <is>
          <t>VÄRMLANDS LÄN</t>
        </is>
      </c>
      <c r="E465" t="inlineStr">
        <is>
          <t>TORSBY</t>
        </is>
      </c>
      <c r="G465" t="n">
        <v>1.6</v>
      </c>
      <c r="H465" t="n">
        <v>0</v>
      </c>
      <c r="I465" t="n">
        <v>0</v>
      </c>
      <c r="J465" t="n">
        <v>0</v>
      </c>
      <c r="K465" t="n">
        <v>0</v>
      </c>
      <c r="L465" t="n">
        <v>0</v>
      </c>
      <c r="M465" t="n">
        <v>0</v>
      </c>
      <c r="N465" t="n">
        <v>0</v>
      </c>
      <c r="O465" t="n">
        <v>0</v>
      </c>
      <c r="P465" t="n">
        <v>0</v>
      </c>
      <c r="Q465" t="n">
        <v>0</v>
      </c>
      <c r="R465" s="2" t="inlineStr"/>
    </row>
    <row r="466" ht="15" customHeight="1">
      <c r="A466" t="inlineStr">
        <is>
          <t>A 35762-2024</t>
        </is>
      </c>
      <c r="B466" s="1" t="n">
        <v>45532.57373842593</v>
      </c>
      <c r="C466" s="1" t="n">
        <v>45937</v>
      </c>
      <c r="D466" t="inlineStr">
        <is>
          <t>VÄRMLANDS LÄN</t>
        </is>
      </c>
      <c r="E466" t="inlineStr">
        <is>
          <t>TORSBY</t>
        </is>
      </c>
      <c r="G466" t="n">
        <v>11.8</v>
      </c>
      <c r="H466" t="n">
        <v>0</v>
      </c>
      <c r="I466" t="n">
        <v>0</v>
      </c>
      <c r="J466" t="n">
        <v>0</v>
      </c>
      <c r="K466" t="n">
        <v>0</v>
      </c>
      <c r="L466" t="n">
        <v>0</v>
      </c>
      <c r="M466" t="n">
        <v>0</v>
      </c>
      <c r="N466" t="n">
        <v>0</v>
      </c>
      <c r="O466" t="n">
        <v>0</v>
      </c>
      <c r="P466" t="n">
        <v>0</v>
      </c>
      <c r="Q466" t="n">
        <v>0</v>
      </c>
      <c r="R466" s="2" t="inlineStr"/>
    </row>
    <row r="467" ht="15" customHeight="1">
      <c r="A467" t="inlineStr">
        <is>
          <t>A 30110-2023</t>
        </is>
      </c>
      <c r="B467" s="1" t="n">
        <v>45110</v>
      </c>
      <c r="C467" s="1" t="n">
        <v>45937</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36775-2024</t>
        </is>
      </c>
      <c r="B468" s="1" t="n">
        <v>45538</v>
      </c>
      <c r="C468" s="1" t="n">
        <v>45937</v>
      </c>
      <c r="D468" t="inlineStr">
        <is>
          <t>VÄRMLANDS LÄN</t>
        </is>
      </c>
      <c r="E468" t="inlineStr">
        <is>
          <t>TORSBY</t>
        </is>
      </c>
      <c r="F468" t="inlineStr">
        <is>
          <t>Kyrkan</t>
        </is>
      </c>
      <c r="G468" t="n">
        <v>2.6</v>
      </c>
      <c r="H468" t="n">
        <v>0</v>
      </c>
      <c r="I468" t="n">
        <v>0</v>
      </c>
      <c r="J468" t="n">
        <v>0</v>
      </c>
      <c r="K468" t="n">
        <v>0</v>
      </c>
      <c r="L468" t="n">
        <v>0</v>
      </c>
      <c r="M468" t="n">
        <v>0</v>
      </c>
      <c r="N468" t="n">
        <v>0</v>
      </c>
      <c r="O468" t="n">
        <v>0</v>
      </c>
      <c r="P468" t="n">
        <v>0</v>
      </c>
      <c r="Q468" t="n">
        <v>0</v>
      </c>
      <c r="R468" s="2" t="inlineStr"/>
    </row>
    <row r="469" ht="15" customHeight="1">
      <c r="A469" t="inlineStr">
        <is>
          <t>A 35609-2024</t>
        </is>
      </c>
      <c r="B469" s="1" t="n">
        <v>45531.68758101852</v>
      </c>
      <c r="C469" s="1" t="n">
        <v>45937</v>
      </c>
      <c r="D469" t="inlineStr">
        <is>
          <t>VÄRMLANDS LÄN</t>
        </is>
      </c>
      <c r="E469" t="inlineStr">
        <is>
          <t>TORSBY</t>
        </is>
      </c>
      <c r="G469" t="n">
        <v>38.3</v>
      </c>
      <c r="H469" t="n">
        <v>0</v>
      </c>
      <c r="I469" t="n">
        <v>0</v>
      </c>
      <c r="J469" t="n">
        <v>0</v>
      </c>
      <c r="K469" t="n">
        <v>0</v>
      </c>
      <c r="L469" t="n">
        <v>0</v>
      </c>
      <c r="M469" t="n">
        <v>0</v>
      </c>
      <c r="N469" t="n">
        <v>0</v>
      </c>
      <c r="O469" t="n">
        <v>0</v>
      </c>
      <c r="P469" t="n">
        <v>0</v>
      </c>
      <c r="Q469" t="n">
        <v>0</v>
      </c>
      <c r="R469" s="2" t="inlineStr"/>
    </row>
    <row r="470" ht="15" customHeight="1">
      <c r="A470" t="inlineStr">
        <is>
          <t>A 26166-2024</t>
        </is>
      </c>
      <c r="B470" s="1" t="n">
        <v>45468.55357638889</v>
      </c>
      <c r="C470" s="1" t="n">
        <v>45937</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27588-2024</t>
        </is>
      </c>
      <c r="B471" s="1" t="n">
        <v>45474</v>
      </c>
      <c r="C471" s="1" t="n">
        <v>45937</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43037-2024</t>
        </is>
      </c>
      <c r="B472" s="1" t="n">
        <v>45567</v>
      </c>
      <c r="C472" s="1" t="n">
        <v>45937</v>
      </c>
      <c r="D472" t="inlineStr">
        <is>
          <t>VÄRMLANDS LÄN</t>
        </is>
      </c>
      <c r="E472" t="inlineStr">
        <is>
          <t>TORSBY</t>
        </is>
      </c>
      <c r="F472" t="inlineStr">
        <is>
          <t>Bergvik skog väst AB</t>
        </is>
      </c>
      <c r="G472" t="n">
        <v>0.5</v>
      </c>
      <c r="H472" t="n">
        <v>0</v>
      </c>
      <c r="I472" t="n">
        <v>0</v>
      </c>
      <c r="J472" t="n">
        <v>0</v>
      </c>
      <c r="K472" t="n">
        <v>0</v>
      </c>
      <c r="L472" t="n">
        <v>0</v>
      </c>
      <c r="M472" t="n">
        <v>0</v>
      </c>
      <c r="N472" t="n">
        <v>0</v>
      </c>
      <c r="O472" t="n">
        <v>0</v>
      </c>
      <c r="P472" t="n">
        <v>0</v>
      </c>
      <c r="Q472" t="n">
        <v>0</v>
      </c>
      <c r="R472" s="2" t="inlineStr"/>
    </row>
    <row r="473" ht="15" customHeight="1">
      <c r="A473" t="inlineStr">
        <is>
          <t>A 52689-2024</t>
        </is>
      </c>
      <c r="B473" s="1" t="n">
        <v>45610.39621527777</v>
      </c>
      <c r="C473" s="1" t="n">
        <v>45937</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24639-2023</t>
        </is>
      </c>
      <c r="B474" s="1" t="n">
        <v>45084</v>
      </c>
      <c r="C474" s="1" t="n">
        <v>45937</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54714-2023</t>
        </is>
      </c>
      <c r="B475" s="1" t="n">
        <v>45236.3515162037</v>
      </c>
      <c r="C475" s="1" t="n">
        <v>45937</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18959-2024</t>
        </is>
      </c>
      <c r="B476" s="1" t="n">
        <v>45427.53032407408</v>
      </c>
      <c r="C476" s="1" t="n">
        <v>45937</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53499-2023</t>
        </is>
      </c>
      <c r="B477" s="1" t="n">
        <v>45223</v>
      </c>
      <c r="C477" s="1" t="n">
        <v>45937</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38257-2023</t>
        </is>
      </c>
      <c r="B478" s="1" t="n">
        <v>45161.58917824074</v>
      </c>
      <c r="C478" s="1" t="n">
        <v>45937</v>
      </c>
      <c r="D478" t="inlineStr">
        <is>
          <t>VÄRMLANDS LÄN</t>
        </is>
      </c>
      <c r="E478" t="inlineStr">
        <is>
          <t>TORSBY</t>
        </is>
      </c>
      <c r="G478" t="n">
        <v>1.3</v>
      </c>
      <c r="H478" t="n">
        <v>0</v>
      </c>
      <c r="I478" t="n">
        <v>0</v>
      </c>
      <c r="J478" t="n">
        <v>0</v>
      </c>
      <c r="K478" t="n">
        <v>0</v>
      </c>
      <c r="L478" t="n">
        <v>0</v>
      </c>
      <c r="M478" t="n">
        <v>0</v>
      </c>
      <c r="N478" t="n">
        <v>0</v>
      </c>
      <c r="O478" t="n">
        <v>0</v>
      </c>
      <c r="P478" t="n">
        <v>0</v>
      </c>
      <c r="Q478" t="n">
        <v>0</v>
      </c>
      <c r="R478" s="2" t="inlineStr"/>
    </row>
    <row r="479" ht="15" customHeight="1">
      <c r="A479" t="inlineStr">
        <is>
          <t>A 60525-2023</t>
        </is>
      </c>
      <c r="B479" s="1" t="n">
        <v>45259</v>
      </c>
      <c r="C479" s="1" t="n">
        <v>45937</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4342-2025</t>
        </is>
      </c>
      <c r="B480" s="1" t="n">
        <v>45685</v>
      </c>
      <c r="C480" s="1" t="n">
        <v>45937</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8025-2025</t>
        </is>
      </c>
      <c r="B481" s="1" t="n">
        <v>45707</v>
      </c>
      <c r="C481" s="1" t="n">
        <v>45937</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63251-2021</t>
        </is>
      </c>
      <c r="B482" s="1" t="n">
        <v>44508.37935185185</v>
      </c>
      <c r="C482" s="1" t="n">
        <v>45937</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24995-2024</t>
        </is>
      </c>
      <c r="B483" s="1" t="n">
        <v>45461</v>
      </c>
      <c r="C483" s="1" t="n">
        <v>45937</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423-2024</t>
        </is>
      </c>
      <c r="B484" s="1" t="n">
        <v>45296.53034722222</v>
      </c>
      <c r="C484" s="1" t="n">
        <v>45937</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11395-2025</t>
        </is>
      </c>
      <c r="B485" s="1" t="n">
        <v>45726.5728125</v>
      </c>
      <c r="C485" s="1" t="n">
        <v>45937</v>
      </c>
      <c r="D485" t="inlineStr">
        <is>
          <t>VÄRMLANDS LÄN</t>
        </is>
      </c>
      <c r="E485" t="inlineStr">
        <is>
          <t>TORSBY</t>
        </is>
      </c>
      <c r="G485" t="n">
        <v>25.3</v>
      </c>
      <c r="H485" t="n">
        <v>0</v>
      </c>
      <c r="I485" t="n">
        <v>0</v>
      </c>
      <c r="J485" t="n">
        <v>0</v>
      </c>
      <c r="K485" t="n">
        <v>0</v>
      </c>
      <c r="L485" t="n">
        <v>0</v>
      </c>
      <c r="M485" t="n">
        <v>0</v>
      </c>
      <c r="N485" t="n">
        <v>0</v>
      </c>
      <c r="O485" t="n">
        <v>0</v>
      </c>
      <c r="P485" t="n">
        <v>0</v>
      </c>
      <c r="Q485" t="n">
        <v>0</v>
      </c>
      <c r="R485" s="2" t="inlineStr"/>
    </row>
    <row r="486" ht="15" customHeight="1">
      <c r="A486" t="inlineStr">
        <is>
          <t>A 10583-2023</t>
        </is>
      </c>
      <c r="B486" s="1" t="n">
        <v>44988.36435185185</v>
      </c>
      <c r="C486" s="1" t="n">
        <v>45937</v>
      </c>
      <c r="D486" t="inlineStr">
        <is>
          <t>VÄRMLANDS LÄN</t>
        </is>
      </c>
      <c r="E486" t="inlineStr">
        <is>
          <t>TORSBY</t>
        </is>
      </c>
      <c r="G486" t="n">
        <v>3.6</v>
      </c>
      <c r="H486" t="n">
        <v>0</v>
      </c>
      <c r="I486" t="n">
        <v>0</v>
      </c>
      <c r="J486" t="n">
        <v>0</v>
      </c>
      <c r="K486" t="n">
        <v>0</v>
      </c>
      <c r="L486" t="n">
        <v>0</v>
      </c>
      <c r="M486" t="n">
        <v>0</v>
      </c>
      <c r="N486" t="n">
        <v>0</v>
      </c>
      <c r="O486" t="n">
        <v>0</v>
      </c>
      <c r="P486" t="n">
        <v>0</v>
      </c>
      <c r="Q486" t="n">
        <v>0</v>
      </c>
      <c r="R486" s="2" t="inlineStr"/>
    </row>
    <row r="487" ht="15" customHeight="1">
      <c r="A487" t="inlineStr">
        <is>
          <t>A 41022-2023</t>
        </is>
      </c>
      <c r="B487" s="1" t="n">
        <v>45173</v>
      </c>
      <c r="C487" s="1" t="n">
        <v>45937</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30700-2024</t>
        </is>
      </c>
      <c r="B488" s="1" t="n">
        <v>45496.35869212963</v>
      </c>
      <c r="C488" s="1" t="n">
        <v>45937</v>
      </c>
      <c r="D488" t="inlineStr">
        <is>
          <t>VÄRMLANDS LÄN</t>
        </is>
      </c>
      <c r="E488" t="inlineStr">
        <is>
          <t>TORSBY</t>
        </is>
      </c>
      <c r="G488" t="n">
        <v>7.2</v>
      </c>
      <c r="H488" t="n">
        <v>0</v>
      </c>
      <c r="I488" t="n">
        <v>0</v>
      </c>
      <c r="J488" t="n">
        <v>0</v>
      </c>
      <c r="K488" t="n">
        <v>0</v>
      </c>
      <c r="L488" t="n">
        <v>0</v>
      </c>
      <c r="M488" t="n">
        <v>0</v>
      </c>
      <c r="N488" t="n">
        <v>0</v>
      </c>
      <c r="O488" t="n">
        <v>0</v>
      </c>
      <c r="P488" t="n">
        <v>0</v>
      </c>
      <c r="Q488" t="n">
        <v>0</v>
      </c>
      <c r="R488" s="2" t="inlineStr"/>
    </row>
    <row r="489" ht="15" customHeight="1">
      <c r="A489" t="inlineStr">
        <is>
          <t>A 30705-2024</t>
        </is>
      </c>
      <c r="B489" s="1" t="n">
        <v>45496.38092592593</v>
      </c>
      <c r="C489" s="1" t="n">
        <v>45937</v>
      </c>
      <c r="D489" t="inlineStr">
        <is>
          <t>VÄRMLANDS LÄN</t>
        </is>
      </c>
      <c r="E489" t="inlineStr">
        <is>
          <t>TORSBY</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39215-2022</t>
        </is>
      </c>
      <c r="B490" s="1" t="n">
        <v>44817</v>
      </c>
      <c r="C490" s="1" t="n">
        <v>45937</v>
      </c>
      <c r="D490" t="inlineStr">
        <is>
          <t>VÄRMLANDS LÄN</t>
        </is>
      </c>
      <c r="E490" t="inlineStr">
        <is>
          <t>TORSBY</t>
        </is>
      </c>
      <c r="G490" t="n">
        <v>3.8</v>
      </c>
      <c r="H490" t="n">
        <v>0</v>
      </c>
      <c r="I490" t="n">
        <v>0</v>
      </c>
      <c r="J490" t="n">
        <v>0</v>
      </c>
      <c r="K490" t="n">
        <v>0</v>
      </c>
      <c r="L490" t="n">
        <v>0</v>
      </c>
      <c r="M490" t="n">
        <v>0</v>
      </c>
      <c r="N490" t="n">
        <v>0</v>
      </c>
      <c r="O490" t="n">
        <v>0</v>
      </c>
      <c r="P490" t="n">
        <v>0</v>
      </c>
      <c r="Q490" t="n">
        <v>0</v>
      </c>
      <c r="R490" s="2" t="inlineStr"/>
    </row>
    <row r="491" ht="15" customHeight="1">
      <c r="A491" t="inlineStr">
        <is>
          <t>A 20740-2025</t>
        </is>
      </c>
      <c r="B491" s="1" t="n">
        <v>45776.54284722222</v>
      </c>
      <c r="C491" s="1" t="n">
        <v>45937</v>
      </c>
      <c r="D491" t="inlineStr">
        <is>
          <t>VÄRMLANDS LÄN</t>
        </is>
      </c>
      <c r="E491" t="inlineStr">
        <is>
          <t>TORSBY</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21518-2024</t>
        </is>
      </c>
      <c r="B492" s="1" t="n">
        <v>45441</v>
      </c>
      <c r="C492" s="1" t="n">
        <v>45937</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12051-2024</t>
        </is>
      </c>
      <c r="B493" s="1" t="n">
        <v>45377</v>
      </c>
      <c r="C493" s="1" t="n">
        <v>45937</v>
      </c>
      <c r="D493" t="inlineStr">
        <is>
          <t>VÄRMLANDS LÄN</t>
        </is>
      </c>
      <c r="E493" t="inlineStr">
        <is>
          <t>TORSBY</t>
        </is>
      </c>
      <c r="F493" t="inlineStr">
        <is>
          <t>Bergvik skog väst AB</t>
        </is>
      </c>
      <c r="G493" t="n">
        <v>2</v>
      </c>
      <c r="H493" t="n">
        <v>0</v>
      </c>
      <c r="I493" t="n">
        <v>0</v>
      </c>
      <c r="J493" t="n">
        <v>0</v>
      </c>
      <c r="K493" t="n">
        <v>0</v>
      </c>
      <c r="L493" t="n">
        <v>0</v>
      </c>
      <c r="M493" t="n">
        <v>0</v>
      </c>
      <c r="N493" t="n">
        <v>0</v>
      </c>
      <c r="O493" t="n">
        <v>0</v>
      </c>
      <c r="P493" t="n">
        <v>0</v>
      </c>
      <c r="Q493" t="n">
        <v>0</v>
      </c>
      <c r="R493" s="2" t="inlineStr"/>
    </row>
    <row r="494" ht="15" customHeight="1">
      <c r="A494" t="inlineStr">
        <is>
          <t>A 49298-2024</t>
        </is>
      </c>
      <c r="B494" s="1" t="n">
        <v>45595.54357638889</v>
      </c>
      <c r="C494" s="1" t="n">
        <v>45937</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39216-2022</t>
        </is>
      </c>
      <c r="B495" s="1" t="n">
        <v>44817</v>
      </c>
      <c r="C495" s="1" t="n">
        <v>45937</v>
      </c>
      <c r="D495" t="inlineStr">
        <is>
          <t>VÄRMLANDS LÄN</t>
        </is>
      </c>
      <c r="E495" t="inlineStr">
        <is>
          <t>TORSBY</t>
        </is>
      </c>
      <c r="G495" t="n">
        <v>6.6</v>
      </c>
      <c r="H495" t="n">
        <v>0</v>
      </c>
      <c r="I495" t="n">
        <v>0</v>
      </c>
      <c r="J495" t="n">
        <v>0</v>
      </c>
      <c r="K495" t="n">
        <v>0</v>
      </c>
      <c r="L495" t="n">
        <v>0</v>
      </c>
      <c r="M495" t="n">
        <v>0</v>
      </c>
      <c r="N495" t="n">
        <v>0</v>
      </c>
      <c r="O495" t="n">
        <v>0</v>
      </c>
      <c r="P495" t="n">
        <v>0</v>
      </c>
      <c r="Q495" t="n">
        <v>0</v>
      </c>
      <c r="R495" s="2" t="inlineStr"/>
    </row>
    <row r="496" ht="15" customHeight="1">
      <c r="A496" t="inlineStr">
        <is>
          <t>A 9067-2023</t>
        </is>
      </c>
      <c r="B496" s="1" t="n">
        <v>44979</v>
      </c>
      <c r="C496" s="1" t="n">
        <v>45937</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44659-2024</t>
        </is>
      </c>
      <c r="B497" s="1" t="n">
        <v>45574</v>
      </c>
      <c r="C497" s="1" t="n">
        <v>45937</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57785-2024</t>
        </is>
      </c>
      <c r="B498" s="1" t="n">
        <v>45631</v>
      </c>
      <c r="C498" s="1" t="n">
        <v>45937</v>
      </c>
      <c r="D498" t="inlineStr">
        <is>
          <t>VÄRMLANDS LÄN</t>
        </is>
      </c>
      <c r="E498" t="inlineStr">
        <is>
          <t>TORSBY</t>
        </is>
      </c>
      <c r="F498" t="inlineStr">
        <is>
          <t>Bergvik skog väst AB</t>
        </is>
      </c>
      <c r="G498" t="n">
        <v>10.9</v>
      </c>
      <c r="H498" t="n">
        <v>0</v>
      </c>
      <c r="I498" t="n">
        <v>0</v>
      </c>
      <c r="J498" t="n">
        <v>0</v>
      </c>
      <c r="K498" t="n">
        <v>0</v>
      </c>
      <c r="L498" t="n">
        <v>0</v>
      </c>
      <c r="M498" t="n">
        <v>0</v>
      </c>
      <c r="N498" t="n">
        <v>0</v>
      </c>
      <c r="O498" t="n">
        <v>0</v>
      </c>
      <c r="P498" t="n">
        <v>0</v>
      </c>
      <c r="Q498" t="n">
        <v>0</v>
      </c>
      <c r="R498" s="2" t="inlineStr"/>
    </row>
    <row r="499" ht="15" customHeight="1">
      <c r="A499" t="inlineStr">
        <is>
          <t>A 51490-2022</t>
        </is>
      </c>
      <c r="B499" s="1" t="n">
        <v>44869.59972222222</v>
      </c>
      <c r="C499" s="1" t="n">
        <v>45937</v>
      </c>
      <c r="D499" t="inlineStr">
        <is>
          <t>VÄRMLANDS LÄN</t>
        </is>
      </c>
      <c r="E499" t="inlineStr">
        <is>
          <t>TORSBY</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60385-2024</t>
        </is>
      </c>
      <c r="B500" s="1" t="n">
        <v>45643</v>
      </c>
      <c r="C500" s="1" t="n">
        <v>45937</v>
      </c>
      <c r="D500" t="inlineStr">
        <is>
          <t>VÄRMLANDS LÄN</t>
        </is>
      </c>
      <c r="E500" t="inlineStr">
        <is>
          <t>TORSBY</t>
        </is>
      </c>
      <c r="G500" t="n">
        <v>2.4</v>
      </c>
      <c r="H500" t="n">
        <v>0</v>
      </c>
      <c r="I500" t="n">
        <v>0</v>
      </c>
      <c r="J500" t="n">
        <v>0</v>
      </c>
      <c r="K500" t="n">
        <v>0</v>
      </c>
      <c r="L500" t="n">
        <v>0</v>
      </c>
      <c r="M500" t="n">
        <v>0</v>
      </c>
      <c r="N500" t="n">
        <v>0</v>
      </c>
      <c r="O500" t="n">
        <v>0</v>
      </c>
      <c r="P500" t="n">
        <v>0</v>
      </c>
      <c r="Q500" t="n">
        <v>0</v>
      </c>
      <c r="R500" s="2" t="inlineStr"/>
    </row>
    <row r="501" ht="15" customHeight="1">
      <c r="A501" t="inlineStr">
        <is>
          <t>A 36718-2024</t>
        </is>
      </c>
      <c r="B501" s="1" t="n">
        <v>45537</v>
      </c>
      <c r="C501" s="1" t="n">
        <v>45937</v>
      </c>
      <c r="D501" t="inlineStr">
        <is>
          <t>VÄRMLANDS LÄN</t>
        </is>
      </c>
      <c r="E501" t="inlineStr">
        <is>
          <t>TORSBY</t>
        </is>
      </c>
      <c r="G501" t="n">
        <v>3.7</v>
      </c>
      <c r="H501" t="n">
        <v>0</v>
      </c>
      <c r="I501" t="n">
        <v>0</v>
      </c>
      <c r="J501" t="n">
        <v>0</v>
      </c>
      <c r="K501" t="n">
        <v>0</v>
      </c>
      <c r="L501" t="n">
        <v>0</v>
      </c>
      <c r="M501" t="n">
        <v>0</v>
      </c>
      <c r="N501" t="n">
        <v>0</v>
      </c>
      <c r="O501" t="n">
        <v>0</v>
      </c>
      <c r="P501" t="n">
        <v>0</v>
      </c>
      <c r="Q501" t="n">
        <v>0</v>
      </c>
      <c r="R501" s="2" t="inlineStr"/>
    </row>
    <row r="502" ht="15" customHeight="1">
      <c r="A502" t="inlineStr">
        <is>
          <t>A 37075-2021</t>
        </is>
      </c>
      <c r="B502" s="1" t="n">
        <v>44394</v>
      </c>
      <c r="C502" s="1" t="n">
        <v>45937</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20816-2025</t>
        </is>
      </c>
      <c r="B503" s="1" t="n">
        <v>45776</v>
      </c>
      <c r="C503" s="1" t="n">
        <v>45937</v>
      </c>
      <c r="D503" t="inlineStr">
        <is>
          <t>VÄRMLANDS LÄN</t>
        </is>
      </c>
      <c r="E503" t="inlineStr">
        <is>
          <t>TORSBY</t>
        </is>
      </c>
      <c r="F503" t="inlineStr">
        <is>
          <t>Bergvik skog väst AB</t>
        </is>
      </c>
      <c r="G503" t="n">
        <v>2.9</v>
      </c>
      <c r="H503" t="n">
        <v>0</v>
      </c>
      <c r="I503" t="n">
        <v>0</v>
      </c>
      <c r="J503" t="n">
        <v>0</v>
      </c>
      <c r="K503" t="n">
        <v>0</v>
      </c>
      <c r="L503" t="n">
        <v>0</v>
      </c>
      <c r="M503" t="n">
        <v>0</v>
      </c>
      <c r="N503" t="n">
        <v>0</v>
      </c>
      <c r="O503" t="n">
        <v>0</v>
      </c>
      <c r="P503" t="n">
        <v>0</v>
      </c>
      <c r="Q503" t="n">
        <v>0</v>
      </c>
      <c r="R503" s="2" t="inlineStr"/>
    </row>
    <row r="504" ht="15" customHeight="1">
      <c r="A504" t="inlineStr">
        <is>
          <t>A 20773-2025</t>
        </is>
      </c>
      <c r="B504" s="1" t="n">
        <v>45776.59321759259</v>
      </c>
      <c r="C504" s="1" t="n">
        <v>45937</v>
      </c>
      <c r="D504" t="inlineStr">
        <is>
          <t>VÄRMLANDS LÄN</t>
        </is>
      </c>
      <c r="E504" t="inlineStr">
        <is>
          <t>TORSBY</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9574-2023</t>
        </is>
      </c>
      <c r="B505" s="1" t="n">
        <v>44982.55168981481</v>
      </c>
      <c r="C505" s="1" t="n">
        <v>45937</v>
      </c>
      <c r="D505" t="inlineStr">
        <is>
          <t>VÄRMLANDS LÄN</t>
        </is>
      </c>
      <c r="E505" t="inlineStr">
        <is>
          <t>TORSBY</t>
        </is>
      </c>
      <c r="F505" t="inlineStr">
        <is>
          <t>Övriga statliga verk och myndigheter</t>
        </is>
      </c>
      <c r="G505" t="n">
        <v>6.2</v>
      </c>
      <c r="H505" t="n">
        <v>0</v>
      </c>
      <c r="I505" t="n">
        <v>0</v>
      </c>
      <c r="J505" t="n">
        <v>0</v>
      </c>
      <c r="K505" t="n">
        <v>0</v>
      </c>
      <c r="L505" t="n">
        <v>0</v>
      </c>
      <c r="M505" t="n">
        <v>0</v>
      </c>
      <c r="N505" t="n">
        <v>0</v>
      </c>
      <c r="O505" t="n">
        <v>0</v>
      </c>
      <c r="P505" t="n">
        <v>0</v>
      </c>
      <c r="Q505" t="n">
        <v>0</v>
      </c>
      <c r="R505" s="2" t="inlineStr"/>
    </row>
    <row r="506" ht="15" customHeight="1">
      <c r="A506" t="inlineStr">
        <is>
          <t>A 39075-2024</t>
        </is>
      </c>
      <c r="B506" s="1" t="n">
        <v>45548</v>
      </c>
      <c r="C506" s="1" t="n">
        <v>45937</v>
      </c>
      <c r="D506" t="inlineStr">
        <is>
          <t>VÄRMLANDS LÄN</t>
        </is>
      </c>
      <c r="E506" t="inlineStr">
        <is>
          <t>TORSBY</t>
        </is>
      </c>
      <c r="G506" t="n">
        <v>5.8</v>
      </c>
      <c r="H506" t="n">
        <v>0</v>
      </c>
      <c r="I506" t="n">
        <v>0</v>
      </c>
      <c r="J506" t="n">
        <v>0</v>
      </c>
      <c r="K506" t="n">
        <v>0</v>
      </c>
      <c r="L506" t="n">
        <v>0</v>
      </c>
      <c r="M506" t="n">
        <v>0</v>
      </c>
      <c r="N506" t="n">
        <v>0</v>
      </c>
      <c r="O506" t="n">
        <v>0</v>
      </c>
      <c r="P506" t="n">
        <v>0</v>
      </c>
      <c r="Q506" t="n">
        <v>0</v>
      </c>
      <c r="R506" s="2" t="inlineStr"/>
    </row>
    <row r="507" ht="15" customHeight="1">
      <c r="A507" t="inlineStr">
        <is>
          <t>A 15992-2023</t>
        </is>
      </c>
      <c r="B507" s="1" t="n">
        <v>45023.5066087963</v>
      </c>
      <c r="C507" s="1" t="n">
        <v>45937</v>
      </c>
      <c r="D507" t="inlineStr">
        <is>
          <t>VÄRMLANDS LÄN</t>
        </is>
      </c>
      <c r="E507" t="inlineStr">
        <is>
          <t>TORSBY</t>
        </is>
      </c>
      <c r="G507" t="n">
        <v>5.4</v>
      </c>
      <c r="H507" t="n">
        <v>0</v>
      </c>
      <c r="I507" t="n">
        <v>0</v>
      </c>
      <c r="J507" t="n">
        <v>0</v>
      </c>
      <c r="K507" t="n">
        <v>0</v>
      </c>
      <c r="L507" t="n">
        <v>0</v>
      </c>
      <c r="M507" t="n">
        <v>0</v>
      </c>
      <c r="N507" t="n">
        <v>0</v>
      </c>
      <c r="O507" t="n">
        <v>0</v>
      </c>
      <c r="P507" t="n">
        <v>0</v>
      </c>
      <c r="Q507" t="n">
        <v>0</v>
      </c>
      <c r="R507" s="2" t="inlineStr"/>
    </row>
    <row r="508" ht="15" customHeight="1">
      <c r="A508" t="inlineStr">
        <is>
          <t>A 16044-2023</t>
        </is>
      </c>
      <c r="B508" s="1" t="n">
        <v>45027</v>
      </c>
      <c r="C508" s="1" t="n">
        <v>45937</v>
      </c>
      <c r="D508" t="inlineStr">
        <is>
          <t>VÄRMLANDS LÄN</t>
        </is>
      </c>
      <c r="E508" t="inlineStr">
        <is>
          <t>TORSBY</t>
        </is>
      </c>
      <c r="G508" t="n">
        <v>4.3</v>
      </c>
      <c r="H508" t="n">
        <v>0</v>
      </c>
      <c r="I508" t="n">
        <v>0</v>
      </c>
      <c r="J508" t="n">
        <v>0</v>
      </c>
      <c r="K508" t="n">
        <v>0</v>
      </c>
      <c r="L508" t="n">
        <v>0</v>
      </c>
      <c r="M508" t="n">
        <v>0</v>
      </c>
      <c r="N508" t="n">
        <v>0</v>
      </c>
      <c r="O508" t="n">
        <v>0</v>
      </c>
      <c r="P508" t="n">
        <v>0</v>
      </c>
      <c r="Q508" t="n">
        <v>0</v>
      </c>
      <c r="R508" s="2" t="inlineStr"/>
    </row>
    <row r="509" ht="15" customHeight="1">
      <c r="A509" t="inlineStr">
        <is>
          <t>A 20843-2025</t>
        </is>
      </c>
      <c r="B509" s="1" t="n">
        <v>45776.9233912037</v>
      </c>
      <c r="C509" s="1" t="n">
        <v>45937</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15083-2024</t>
        </is>
      </c>
      <c r="B510" s="1" t="n">
        <v>45399.63163194444</v>
      </c>
      <c r="C510" s="1" t="n">
        <v>45937</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20914-2025</t>
        </is>
      </c>
      <c r="B511" s="1" t="n">
        <v>45777</v>
      </c>
      <c r="C511" s="1" t="n">
        <v>45937</v>
      </c>
      <c r="D511" t="inlineStr">
        <is>
          <t>VÄRMLANDS LÄN</t>
        </is>
      </c>
      <c r="E511" t="inlineStr">
        <is>
          <t>TORSBY</t>
        </is>
      </c>
      <c r="F511" t="inlineStr">
        <is>
          <t>Bergvik skog väst AB</t>
        </is>
      </c>
      <c r="G511" t="n">
        <v>2.8</v>
      </c>
      <c r="H511" t="n">
        <v>0</v>
      </c>
      <c r="I511" t="n">
        <v>0</v>
      </c>
      <c r="J511" t="n">
        <v>0</v>
      </c>
      <c r="K511" t="n">
        <v>0</v>
      </c>
      <c r="L511" t="n">
        <v>0</v>
      </c>
      <c r="M511" t="n">
        <v>0</v>
      </c>
      <c r="N511" t="n">
        <v>0</v>
      </c>
      <c r="O511" t="n">
        <v>0</v>
      </c>
      <c r="P511" t="n">
        <v>0</v>
      </c>
      <c r="Q511" t="n">
        <v>0</v>
      </c>
      <c r="R511" s="2" t="inlineStr"/>
    </row>
    <row r="512" ht="15" customHeight="1">
      <c r="A512" t="inlineStr">
        <is>
          <t>A 56101-2024</t>
        </is>
      </c>
      <c r="B512" s="1" t="n">
        <v>45624</v>
      </c>
      <c r="C512" s="1" t="n">
        <v>45937</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48540-2024</t>
        </is>
      </c>
      <c r="B513" s="1" t="n">
        <v>45593</v>
      </c>
      <c r="C513" s="1" t="n">
        <v>45937</v>
      </c>
      <c r="D513" t="inlineStr">
        <is>
          <t>VÄRMLANDS LÄN</t>
        </is>
      </c>
      <c r="E513" t="inlineStr">
        <is>
          <t>TORSBY</t>
        </is>
      </c>
      <c r="G513" t="n">
        <v>16.5</v>
      </c>
      <c r="H513" t="n">
        <v>0</v>
      </c>
      <c r="I513" t="n">
        <v>0</v>
      </c>
      <c r="J513" t="n">
        <v>0</v>
      </c>
      <c r="K513" t="n">
        <v>0</v>
      </c>
      <c r="L513" t="n">
        <v>0</v>
      </c>
      <c r="M513" t="n">
        <v>0</v>
      </c>
      <c r="N513" t="n">
        <v>0</v>
      </c>
      <c r="O513" t="n">
        <v>0</v>
      </c>
      <c r="P513" t="n">
        <v>0</v>
      </c>
      <c r="Q513" t="n">
        <v>0</v>
      </c>
      <c r="R513" s="2" t="inlineStr"/>
    </row>
    <row r="514" ht="15" customHeight="1">
      <c r="A514" t="inlineStr">
        <is>
          <t>A 32847-2024</t>
        </is>
      </c>
      <c r="B514" s="1" t="n">
        <v>45516.63021990741</v>
      </c>
      <c r="C514" s="1" t="n">
        <v>45937</v>
      </c>
      <c r="D514" t="inlineStr">
        <is>
          <t>VÄRMLANDS LÄN</t>
        </is>
      </c>
      <c r="E514" t="inlineStr">
        <is>
          <t>TORSBY</t>
        </is>
      </c>
      <c r="F514" t="inlineStr">
        <is>
          <t>Bergvik skog väst AB</t>
        </is>
      </c>
      <c r="G514" t="n">
        <v>3.9</v>
      </c>
      <c r="H514" t="n">
        <v>0</v>
      </c>
      <c r="I514" t="n">
        <v>0</v>
      </c>
      <c r="J514" t="n">
        <v>0</v>
      </c>
      <c r="K514" t="n">
        <v>0</v>
      </c>
      <c r="L514" t="n">
        <v>0</v>
      </c>
      <c r="M514" t="n">
        <v>0</v>
      </c>
      <c r="N514" t="n">
        <v>0</v>
      </c>
      <c r="O514" t="n">
        <v>0</v>
      </c>
      <c r="P514" t="n">
        <v>0</v>
      </c>
      <c r="Q514" t="n">
        <v>0</v>
      </c>
      <c r="R514" s="2" t="inlineStr"/>
    </row>
    <row r="515" ht="15" customHeight="1">
      <c r="A515" t="inlineStr">
        <is>
          <t>A 32138-2024</t>
        </is>
      </c>
      <c r="B515" s="1" t="n">
        <v>45511</v>
      </c>
      <c r="C515" s="1" t="n">
        <v>45937</v>
      </c>
      <c r="D515" t="inlineStr">
        <is>
          <t>VÄRMLANDS LÄN</t>
        </is>
      </c>
      <c r="E515" t="inlineStr">
        <is>
          <t>TORSBY</t>
        </is>
      </c>
      <c r="F515" t="inlineStr">
        <is>
          <t>Bergvik skog väst AB</t>
        </is>
      </c>
      <c r="G515" t="n">
        <v>26.3</v>
      </c>
      <c r="H515" t="n">
        <v>0</v>
      </c>
      <c r="I515" t="n">
        <v>0</v>
      </c>
      <c r="J515" t="n">
        <v>0</v>
      </c>
      <c r="K515" t="n">
        <v>0</v>
      </c>
      <c r="L515" t="n">
        <v>0</v>
      </c>
      <c r="M515" t="n">
        <v>0</v>
      </c>
      <c r="N515" t="n">
        <v>0</v>
      </c>
      <c r="O515" t="n">
        <v>0</v>
      </c>
      <c r="P515" t="n">
        <v>0</v>
      </c>
      <c r="Q515" t="n">
        <v>0</v>
      </c>
      <c r="R515" s="2" t="inlineStr"/>
    </row>
    <row r="516" ht="15" customHeight="1">
      <c r="A516" t="inlineStr">
        <is>
          <t>A 20872-2024</t>
        </is>
      </c>
      <c r="B516" s="1" t="n">
        <v>45439.44173611111</v>
      </c>
      <c r="C516" s="1" t="n">
        <v>45937</v>
      </c>
      <c r="D516" t="inlineStr">
        <is>
          <t>VÄRMLANDS LÄN</t>
        </is>
      </c>
      <c r="E516" t="inlineStr">
        <is>
          <t>TORSBY</t>
        </is>
      </c>
      <c r="G516" t="n">
        <v>7.4</v>
      </c>
      <c r="H516" t="n">
        <v>0</v>
      </c>
      <c r="I516" t="n">
        <v>0</v>
      </c>
      <c r="J516" t="n">
        <v>0</v>
      </c>
      <c r="K516" t="n">
        <v>0</v>
      </c>
      <c r="L516" t="n">
        <v>0</v>
      </c>
      <c r="M516" t="n">
        <v>0</v>
      </c>
      <c r="N516" t="n">
        <v>0</v>
      </c>
      <c r="O516" t="n">
        <v>0</v>
      </c>
      <c r="P516" t="n">
        <v>0</v>
      </c>
      <c r="Q516" t="n">
        <v>0</v>
      </c>
      <c r="R516" s="2" t="inlineStr"/>
    </row>
    <row r="517" ht="15" customHeight="1">
      <c r="A517" t="inlineStr">
        <is>
          <t>A 54618-2024</t>
        </is>
      </c>
      <c r="B517" s="1" t="n">
        <v>45617</v>
      </c>
      <c r="C517" s="1" t="n">
        <v>45937</v>
      </c>
      <c r="D517" t="inlineStr">
        <is>
          <t>VÄRMLANDS LÄN</t>
        </is>
      </c>
      <c r="E517" t="inlineStr">
        <is>
          <t>TORSBY</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25949-2024</t>
        </is>
      </c>
      <c r="B518" s="1" t="n">
        <v>45467.6442824074</v>
      </c>
      <c r="C518" s="1" t="n">
        <v>45937</v>
      </c>
      <c r="D518" t="inlineStr">
        <is>
          <t>VÄRMLANDS LÄN</t>
        </is>
      </c>
      <c r="E518" t="inlineStr">
        <is>
          <t>TORSBY</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21462-2025</t>
        </is>
      </c>
      <c r="B519" s="1" t="n">
        <v>45782.56770833334</v>
      </c>
      <c r="C519" s="1" t="n">
        <v>45937</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73165-2021</t>
        </is>
      </c>
      <c r="B520" s="1" t="n">
        <v>44550</v>
      </c>
      <c r="C520" s="1" t="n">
        <v>45937</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61956-2020</t>
        </is>
      </c>
      <c r="B521" s="1" t="n">
        <v>44159</v>
      </c>
      <c r="C521" s="1" t="n">
        <v>45937</v>
      </c>
      <c r="D521" t="inlineStr">
        <is>
          <t>VÄRMLANDS LÄN</t>
        </is>
      </c>
      <c r="E521" t="inlineStr">
        <is>
          <t>TORSBY</t>
        </is>
      </c>
      <c r="F521" t="inlineStr">
        <is>
          <t>Kommuner</t>
        </is>
      </c>
      <c r="G521" t="n">
        <v>7.5</v>
      </c>
      <c r="H521" t="n">
        <v>0</v>
      </c>
      <c r="I521" t="n">
        <v>0</v>
      </c>
      <c r="J521" t="n">
        <v>0</v>
      </c>
      <c r="K521" t="n">
        <v>0</v>
      </c>
      <c r="L521" t="n">
        <v>0</v>
      </c>
      <c r="M521" t="n">
        <v>0</v>
      </c>
      <c r="N521" t="n">
        <v>0</v>
      </c>
      <c r="O521" t="n">
        <v>0</v>
      </c>
      <c r="P521" t="n">
        <v>0</v>
      </c>
      <c r="Q521" t="n">
        <v>0</v>
      </c>
      <c r="R521" s="2" t="inlineStr"/>
    </row>
    <row r="522" ht="15" customHeight="1">
      <c r="A522" t="inlineStr">
        <is>
          <t>A 21365-2023</t>
        </is>
      </c>
      <c r="B522" s="1" t="n">
        <v>45063.26761574074</v>
      </c>
      <c r="C522" s="1" t="n">
        <v>45937</v>
      </c>
      <c r="D522" t="inlineStr">
        <is>
          <t>VÄRMLANDS LÄN</t>
        </is>
      </c>
      <c r="E522" t="inlineStr">
        <is>
          <t>TORSBY</t>
        </is>
      </c>
      <c r="F522" t="inlineStr">
        <is>
          <t>Kyrkan</t>
        </is>
      </c>
      <c r="G522" t="n">
        <v>4</v>
      </c>
      <c r="H522" t="n">
        <v>0</v>
      </c>
      <c r="I522" t="n">
        <v>0</v>
      </c>
      <c r="J522" t="n">
        <v>0</v>
      </c>
      <c r="K522" t="n">
        <v>0</v>
      </c>
      <c r="L522" t="n">
        <v>0</v>
      </c>
      <c r="M522" t="n">
        <v>0</v>
      </c>
      <c r="N522" t="n">
        <v>0</v>
      </c>
      <c r="O522" t="n">
        <v>0</v>
      </c>
      <c r="P522" t="n">
        <v>0</v>
      </c>
      <c r="Q522" t="n">
        <v>0</v>
      </c>
      <c r="R522" s="2" t="inlineStr"/>
    </row>
    <row r="523" ht="15" customHeight="1">
      <c r="A523" t="inlineStr">
        <is>
          <t>A 21274-2025</t>
        </is>
      </c>
      <c r="B523" s="1" t="n">
        <v>45779.62877314815</v>
      </c>
      <c r="C523" s="1" t="n">
        <v>45937</v>
      </c>
      <c r="D523" t="inlineStr">
        <is>
          <t>VÄRMLANDS LÄN</t>
        </is>
      </c>
      <c r="E523" t="inlineStr">
        <is>
          <t>TORSBY</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60781-2024</t>
        </is>
      </c>
      <c r="B524" s="1" t="n">
        <v>45642</v>
      </c>
      <c r="C524" s="1" t="n">
        <v>45937</v>
      </c>
      <c r="D524" t="inlineStr">
        <is>
          <t>VÄRMLANDS LÄN</t>
        </is>
      </c>
      <c r="E524" t="inlineStr">
        <is>
          <t>TORSBY</t>
        </is>
      </c>
      <c r="G524" t="n">
        <v>4.3</v>
      </c>
      <c r="H524" t="n">
        <v>0</v>
      </c>
      <c r="I524" t="n">
        <v>0</v>
      </c>
      <c r="J524" t="n">
        <v>0</v>
      </c>
      <c r="K524" t="n">
        <v>0</v>
      </c>
      <c r="L524" t="n">
        <v>0</v>
      </c>
      <c r="M524" t="n">
        <v>0</v>
      </c>
      <c r="N524" t="n">
        <v>0</v>
      </c>
      <c r="O524" t="n">
        <v>0</v>
      </c>
      <c r="P524" t="n">
        <v>0</v>
      </c>
      <c r="Q524" t="n">
        <v>0</v>
      </c>
      <c r="R524" s="2" t="inlineStr"/>
    </row>
    <row r="525" ht="15" customHeight="1">
      <c r="A525" t="inlineStr">
        <is>
          <t>A 37357-2023</t>
        </is>
      </c>
      <c r="B525" s="1" t="n">
        <v>45156.48006944444</v>
      </c>
      <c r="C525" s="1" t="n">
        <v>45937</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66978-2021</t>
        </is>
      </c>
      <c r="B526" s="1" t="n">
        <v>44522</v>
      </c>
      <c r="C526" s="1" t="n">
        <v>45937</v>
      </c>
      <c r="D526" t="inlineStr">
        <is>
          <t>VÄRMLANDS LÄN</t>
        </is>
      </c>
      <c r="E526" t="inlineStr">
        <is>
          <t>TORSBY</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29375-2024</t>
        </is>
      </c>
      <c r="B527" s="1" t="n">
        <v>45483.58712962963</v>
      </c>
      <c r="C527" s="1" t="n">
        <v>45937</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58386-2023</t>
        </is>
      </c>
      <c r="B528" s="1" t="n">
        <v>45250</v>
      </c>
      <c r="C528" s="1" t="n">
        <v>45937</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41633-2021</t>
        </is>
      </c>
      <c r="B529" s="1" t="n">
        <v>44425</v>
      </c>
      <c r="C529" s="1" t="n">
        <v>45937</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21324-2025</t>
        </is>
      </c>
      <c r="B530" s="1" t="n">
        <v>45782.34947916667</v>
      </c>
      <c r="C530" s="1" t="n">
        <v>45937</v>
      </c>
      <c r="D530" t="inlineStr">
        <is>
          <t>VÄRMLANDS LÄN</t>
        </is>
      </c>
      <c r="E530" t="inlineStr">
        <is>
          <t>TORSBY</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17898-2023</t>
        </is>
      </c>
      <c r="B531" s="1" t="n">
        <v>45039.72086805556</v>
      </c>
      <c r="C531" s="1" t="n">
        <v>45937</v>
      </c>
      <c r="D531" t="inlineStr">
        <is>
          <t>VÄRMLANDS LÄN</t>
        </is>
      </c>
      <c r="E531" t="inlineStr">
        <is>
          <t>TORSBY</t>
        </is>
      </c>
      <c r="G531" t="n">
        <v>0.3</v>
      </c>
      <c r="H531" t="n">
        <v>0</v>
      </c>
      <c r="I531" t="n">
        <v>0</v>
      </c>
      <c r="J531" t="n">
        <v>0</v>
      </c>
      <c r="K531" t="n">
        <v>0</v>
      </c>
      <c r="L531" t="n">
        <v>0</v>
      </c>
      <c r="M531" t="n">
        <v>0</v>
      </c>
      <c r="N531" t="n">
        <v>0</v>
      </c>
      <c r="O531" t="n">
        <v>0</v>
      </c>
      <c r="P531" t="n">
        <v>0</v>
      </c>
      <c r="Q531" t="n">
        <v>0</v>
      </c>
      <c r="R531" s="2" t="inlineStr"/>
    </row>
    <row r="532" ht="15" customHeight="1">
      <c r="A532" t="inlineStr">
        <is>
          <t>A 25313-2024</t>
        </is>
      </c>
      <c r="B532" s="1" t="n">
        <v>45462</v>
      </c>
      <c r="C532" s="1" t="n">
        <v>45937</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11121-2024</t>
        </is>
      </c>
      <c r="B533" s="1" t="n">
        <v>45371.40634259259</v>
      </c>
      <c r="C533" s="1" t="n">
        <v>45937</v>
      </c>
      <c r="D533" t="inlineStr">
        <is>
          <t>VÄRMLANDS LÄN</t>
        </is>
      </c>
      <c r="E533" t="inlineStr">
        <is>
          <t>TORSBY</t>
        </is>
      </c>
      <c r="G533" t="n">
        <v>2.3</v>
      </c>
      <c r="H533" t="n">
        <v>0</v>
      </c>
      <c r="I533" t="n">
        <v>0</v>
      </c>
      <c r="J533" t="n">
        <v>0</v>
      </c>
      <c r="K533" t="n">
        <v>0</v>
      </c>
      <c r="L533" t="n">
        <v>0</v>
      </c>
      <c r="M533" t="n">
        <v>0</v>
      </c>
      <c r="N533" t="n">
        <v>0</v>
      </c>
      <c r="O533" t="n">
        <v>0</v>
      </c>
      <c r="P533" t="n">
        <v>0</v>
      </c>
      <c r="Q533" t="n">
        <v>0</v>
      </c>
      <c r="R533" s="2" t="inlineStr"/>
    </row>
    <row r="534" ht="15" customHeight="1">
      <c r="A534" t="inlineStr">
        <is>
          <t>A 8428-2025</t>
        </is>
      </c>
      <c r="B534" s="1" t="n">
        <v>45709.41995370371</v>
      </c>
      <c r="C534" s="1" t="n">
        <v>45937</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33227-2024</t>
        </is>
      </c>
      <c r="B535" s="1" t="n">
        <v>45518.5708912037</v>
      </c>
      <c r="C535" s="1" t="n">
        <v>45937</v>
      </c>
      <c r="D535" t="inlineStr">
        <is>
          <t>VÄRMLANDS LÄN</t>
        </is>
      </c>
      <c r="E535" t="inlineStr">
        <is>
          <t>TORSBY</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21858-2025</t>
        </is>
      </c>
      <c r="B536" s="1" t="n">
        <v>45784.36265046296</v>
      </c>
      <c r="C536" s="1" t="n">
        <v>45937</v>
      </c>
      <c r="D536" t="inlineStr">
        <is>
          <t>VÄRMLANDS LÄN</t>
        </is>
      </c>
      <c r="E536" t="inlineStr">
        <is>
          <t>TORSBY</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21860-2025</t>
        </is>
      </c>
      <c r="B537" s="1" t="n">
        <v>45784.36465277777</v>
      </c>
      <c r="C537" s="1" t="n">
        <v>45937</v>
      </c>
      <c r="D537" t="inlineStr">
        <is>
          <t>VÄRMLANDS LÄN</t>
        </is>
      </c>
      <c r="E537" t="inlineStr">
        <is>
          <t>TORSBY</t>
        </is>
      </c>
      <c r="G537" t="n">
        <v>13.7</v>
      </c>
      <c r="H537" t="n">
        <v>0</v>
      </c>
      <c r="I537" t="n">
        <v>0</v>
      </c>
      <c r="J537" t="n">
        <v>0</v>
      </c>
      <c r="K537" t="n">
        <v>0</v>
      </c>
      <c r="L537" t="n">
        <v>0</v>
      </c>
      <c r="M537" t="n">
        <v>0</v>
      </c>
      <c r="N537" t="n">
        <v>0</v>
      </c>
      <c r="O537" t="n">
        <v>0</v>
      </c>
      <c r="P537" t="n">
        <v>0</v>
      </c>
      <c r="Q537" t="n">
        <v>0</v>
      </c>
      <c r="R537" s="2" t="inlineStr"/>
    </row>
    <row r="538" ht="15" customHeight="1">
      <c r="A538" t="inlineStr">
        <is>
          <t>A 27292-2024</t>
        </is>
      </c>
      <c r="B538" s="1" t="n">
        <v>45471.93378472222</v>
      </c>
      <c r="C538" s="1" t="n">
        <v>45937</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21974-2025</t>
        </is>
      </c>
      <c r="B539" s="1" t="n">
        <v>45784.63689814815</v>
      </c>
      <c r="C539" s="1" t="n">
        <v>45937</v>
      </c>
      <c r="D539" t="inlineStr">
        <is>
          <t>VÄRMLANDS LÄN</t>
        </is>
      </c>
      <c r="E539" t="inlineStr">
        <is>
          <t>TORSBY</t>
        </is>
      </c>
      <c r="F539" t="inlineStr">
        <is>
          <t>Bergvik skog väst AB</t>
        </is>
      </c>
      <c r="G539" t="n">
        <v>6.9</v>
      </c>
      <c r="H539" t="n">
        <v>0</v>
      </c>
      <c r="I539" t="n">
        <v>0</v>
      </c>
      <c r="J539" t="n">
        <v>0</v>
      </c>
      <c r="K539" t="n">
        <v>0</v>
      </c>
      <c r="L539" t="n">
        <v>0</v>
      </c>
      <c r="M539" t="n">
        <v>0</v>
      </c>
      <c r="N539" t="n">
        <v>0</v>
      </c>
      <c r="O539" t="n">
        <v>0</v>
      </c>
      <c r="P539" t="n">
        <v>0</v>
      </c>
      <c r="Q539" t="n">
        <v>0</v>
      </c>
      <c r="R539" s="2" t="inlineStr"/>
    </row>
    <row r="540" ht="15" customHeight="1">
      <c r="A540" t="inlineStr">
        <is>
          <t>A 21963-2025</t>
        </is>
      </c>
      <c r="B540" s="1" t="n">
        <v>45784</v>
      </c>
      <c r="C540" s="1" t="n">
        <v>45937</v>
      </c>
      <c r="D540" t="inlineStr">
        <is>
          <t>VÄRMLANDS LÄN</t>
        </is>
      </c>
      <c r="E540" t="inlineStr">
        <is>
          <t>TORSBY</t>
        </is>
      </c>
      <c r="F540" t="inlineStr">
        <is>
          <t>Bergvik skog väst AB</t>
        </is>
      </c>
      <c r="G540" t="n">
        <v>12.3</v>
      </c>
      <c r="H540" t="n">
        <v>0</v>
      </c>
      <c r="I540" t="n">
        <v>0</v>
      </c>
      <c r="J540" t="n">
        <v>0</v>
      </c>
      <c r="K540" t="n">
        <v>0</v>
      </c>
      <c r="L540" t="n">
        <v>0</v>
      </c>
      <c r="M540" t="n">
        <v>0</v>
      </c>
      <c r="N540" t="n">
        <v>0</v>
      </c>
      <c r="O540" t="n">
        <v>0</v>
      </c>
      <c r="P540" t="n">
        <v>0</v>
      </c>
      <c r="Q540" t="n">
        <v>0</v>
      </c>
      <c r="R540" s="2" t="inlineStr"/>
    </row>
    <row r="541" ht="15" customHeight="1">
      <c r="A541" t="inlineStr">
        <is>
          <t>A 23044-2024</t>
        </is>
      </c>
      <c r="B541" s="1" t="n">
        <v>45450</v>
      </c>
      <c r="C541" s="1" t="n">
        <v>45937</v>
      </c>
      <c r="D541" t="inlineStr">
        <is>
          <t>VÄRMLANDS LÄN</t>
        </is>
      </c>
      <c r="E541" t="inlineStr">
        <is>
          <t>TORSBY</t>
        </is>
      </c>
      <c r="G541" t="n">
        <v>2.9</v>
      </c>
      <c r="H541" t="n">
        <v>0</v>
      </c>
      <c r="I541" t="n">
        <v>0</v>
      </c>
      <c r="J541" t="n">
        <v>0</v>
      </c>
      <c r="K541" t="n">
        <v>0</v>
      </c>
      <c r="L541" t="n">
        <v>0</v>
      </c>
      <c r="M541" t="n">
        <v>0</v>
      </c>
      <c r="N541" t="n">
        <v>0</v>
      </c>
      <c r="O541" t="n">
        <v>0</v>
      </c>
      <c r="P541" t="n">
        <v>0</v>
      </c>
      <c r="Q541" t="n">
        <v>0</v>
      </c>
      <c r="R541" s="2" t="inlineStr"/>
    </row>
    <row r="542" ht="15" customHeight="1">
      <c r="A542" t="inlineStr">
        <is>
          <t>A 24182-2024</t>
        </is>
      </c>
      <c r="B542" s="1" t="n">
        <v>45456</v>
      </c>
      <c r="C542" s="1" t="n">
        <v>45937</v>
      </c>
      <c r="D542" t="inlineStr">
        <is>
          <t>VÄRMLANDS LÄN</t>
        </is>
      </c>
      <c r="E542" t="inlineStr">
        <is>
          <t>TORSBY</t>
        </is>
      </c>
      <c r="F542" t="inlineStr">
        <is>
          <t>Bergvik skog väst AB</t>
        </is>
      </c>
      <c r="G542" t="n">
        <v>28.9</v>
      </c>
      <c r="H542" t="n">
        <v>0</v>
      </c>
      <c r="I542" t="n">
        <v>0</v>
      </c>
      <c r="J542" t="n">
        <v>0</v>
      </c>
      <c r="K542" t="n">
        <v>0</v>
      </c>
      <c r="L542" t="n">
        <v>0</v>
      </c>
      <c r="M542" t="n">
        <v>0</v>
      </c>
      <c r="N542" t="n">
        <v>0</v>
      </c>
      <c r="O542" t="n">
        <v>0</v>
      </c>
      <c r="P542" t="n">
        <v>0</v>
      </c>
      <c r="Q542" t="n">
        <v>0</v>
      </c>
      <c r="R542" s="2" t="inlineStr"/>
    </row>
    <row r="543" ht="15" customHeight="1">
      <c r="A543" t="inlineStr">
        <is>
          <t>A 24708-2024</t>
        </is>
      </c>
      <c r="B543" s="1" t="n">
        <v>45460</v>
      </c>
      <c r="C543" s="1" t="n">
        <v>45937</v>
      </c>
      <c r="D543" t="inlineStr">
        <is>
          <t>VÄRMLANDS LÄN</t>
        </is>
      </c>
      <c r="E543" t="inlineStr">
        <is>
          <t>TORSBY</t>
        </is>
      </c>
      <c r="G543" t="n">
        <v>3.9</v>
      </c>
      <c r="H543" t="n">
        <v>0</v>
      </c>
      <c r="I543" t="n">
        <v>0</v>
      </c>
      <c r="J543" t="n">
        <v>0</v>
      </c>
      <c r="K543" t="n">
        <v>0</v>
      </c>
      <c r="L543" t="n">
        <v>0</v>
      </c>
      <c r="M543" t="n">
        <v>0</v>
      </c>
      <c r="N543" t="n">
        <v>0</v>
      </c>
      <c r="O543" t="n">
        <v>0</v>
      </c>
      <c r="P543" t="n">
        <v>0</v>
      </c>
      <c r="Q543" t="n">
        <v>0</v>
      </c>
      <c r="R543" s="2" t="inlineStr"/>
    </row>
    <row r="544" ht="15" customHeight="1">
      <c r="A544" t="inlineStr">
        <is>
          <t>A 26799-2024</t>
        </is>
      </c>
      <c r="B544" s="1" t="n">
        <v>45470.5071875</v>
      </c>
      <c r="C544" s="1" t="n">
        <v>45937</v>
      </c>
      <c r="D544" t="inlineStr">
        <is>
          <t>VÄRMLANDS LÄN</t>
        </is>
      </c>
      <c r="E544" t="inlineStr">
        <is>
          <t>TORSBY</t>
        </is>
      </c>
      <c r="G544" t="n">
        <v>0.9</v>
      </c>
      <c r="H544" t="n">
        <v>0</v>
      </c>
      <c r="I544" t="n">
        <v>0</v>
      </c>
      <c r="J544" t="n">
        <v>0</v>
      </c>
      <c r="K544" t="n">
        <v>0</v>
      </c>
      <c r="L544" t="n">
        <v>0</v>
      </c>
      <c r="M544" t="n">
        <v>0</v>
      </c>
      <c r="N544" t="n">
        <v>0</v>
      </c>
      <c r="O544" t="n">
        <v>0</v>
      </c>
      <c r="P544" t="n">
        <v>0</v>
      </c>
      <c r="Q544" t="n">
        <v>0</v>
      </c>
      <c r="R544" s="2" t="inlineStr"/>
    </row>
    <row r="545" ht="15" customHeight="1">
      <c r="A545" t="inlineStr">
        <is>
          <t>A 54796-2024</t>
        </is>
      </c>
      <c r="B545" s="1" t="n">
        <v>45618</v>
      </c>
      <c r="C545" s="1" t="n">
        <v>45937</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52057-2024</t>
        </is>
      </c>
      <c r="B546" s="1" t="n">
        <v>45608</v>
      </c>
      <c r="C546" s="1" t="n">
        <v>45937</v>
      </c>
      <c r="D546" t="inlineStr">
        <is>
          <t>VÄRMLANDS LÄN</t>
        </is>
      </c>
      <c r="E546" t="inlineStr">
        <is>
          <t>TORSBY</t>
        </is>
      </c>
      <c r="G546" t="n">
        <v>3.6</v>
      </c>
      <c r="H546" t="n">
        <v>0</v>
      </c>
      <c r="I546" t="n">
        <v>0</v>
      </c>
      <c r="J546" t="n">
        <v>0</v>
      </c>
      <c r="K546" t="n">
        <v>0</v>
      </c>
      <c r="L546" t="n">
        <v>0</v>
      </c>
      <c r="M546" t="n">
        <v>0</v>
      </c>
      <c r="N546" t="n">
        <v>0</v>
      </c>
      <c r="O546" t="n">
        <v>0</v>
      </c>
      <c r="P546" t="n">
        <v>0</v>
      </c>
      <c r="Q546" t="n">
        <v>0</v>
      </c>
      <c r="R546" s="2" t="inlineStr"/>
    </row>
    <row r="547" ht="15" customHeight="1">
      <c r="A547" t="inlineStr">
        <is>
          <t>A 16369-2024</t>
        </is>
      </c>
      <c r="B547" s="1" t="n">
        <v>45407</v>
      </c>
      <c r="C547" s="1" t="n">
        <v>45937</v>
      </c>
      <c r="D547" t="inlineStr">
        <is>
          <t>VÄRMLANDS LÄN</t>
        </is>
      </c>
      <c r="E547" t="inlineStr">
        <is>
          <t>TORSBY</t>
        </is>
      </c>
      <c r="F547" t="inlineStr">
        <is>
          <t>Kommuner</t>
        </is>
      </c>
      <c r="G547" t="n">
        <v>2.2</v>
      </c>
      <c r="H547" t="n">
        <v>0</v>
      </c>
      <c r="I547" t="n">
        <v>0</v>
      </c>
      <c r="J547" t="n">
        <v>0</v>
      </c>
      <c r="K547" t="n">
        <v>0</v>
      </c>
      <c r="L547" t="n">
        <v>0</v>
      </c>
      <c r="M547" t="n">
        <v>0</v>
      </c>
      <c r="N547" t="n">
        <v>0</v>
      </c>
      <c r="O547" t="n">
        <v>0</v>
      </c>
      <c r="P547" t="n">
        <v>0</v>
      </c>
      <c r="Q547" t="n">
        <v>0</v>
      </c>
      <c r="R547" s="2" t="inlineStr"/>
    </row>
    <row r="548" ht="15" customHeight="1">
      <c r="A548" t="inlineStr">
        <is>
          <t>A 21808-2025</t>
        </is>
      </c>
      <c r="B548" s="1" t="n">
        <v>45783.70846064815</v>
      </c>
      <c r="C548" s="1" t="n">
        <v>45937</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7221-2024</t>
        </is>
      </c>
      <c r="B549" s="1" t="n">
        <v>45344.63927083334</v>
      </c>
      <c r="C549" s="1" t="n">
        <v>45937</v>
      </c>
      <c r="D549" t="inlineStr">
        <is>
          <t>VÄRMLANDS LÄN</t>
        </is>
      </c>
      <c r="E549" t="inlineStr">
        <is>
          <t>TORSBY</t>
        </is>
      </c>
      <c r="G549" t="n">
        <v>8.1</v>
      </c>
      <c r="H549" t="n">
        <v>0</v>
      </c>
      <c r="I549" t="n">
        <v>0</v>
      </c>
      <c r="J549" t="n">
        <v>0</v>
      </c>
      <c r="K549" t="n">
        <v>0</v>
      </c>
      <c r="L549" t="n">
        <v>0</v>
      </c>
      <c r="M549" t="n">
        <v>0</v>
      </c>
      <c r="N549" t="n">
        <v>0</v>
      </c>
      <c r="O549" t="n">
        <v>0</v>
      </c>
      <c r="P549" t="n">
        <v>0</v>
      </c>
      <c r="Q549" t="n">
        <v>0</v>
      </c>
      <c r="R549" s="2" t="inlineStr"/>
    </row>
    <row r="550" ht="15" customHeight="1">
      <c r="A550" t="inlineStr">
        <is>
          <t>A 61128-2022</t>
        </is>
      </c>
      <c r="B550" s="1" t="n">
        <v>44915.4455787037</v>
      </c>
      <c r="C550" s="1" t="n">
        <v>45937</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41671-2021</t>
        </is>
      </c>
      <c r="B551" s="1" t="n">
        <v>44425</v>
      </c>
      <c r="C551" s="1" t="n">
        <v>45937</v>
      </c>
      <c r="D551" t="inlineStr">
        <is>
          <t>VÄRMLANDS LÄN</t>
        </is>
      </c>
      <c r="E551" t="inlineStr">
        <is>
          <t>TORSBY</t>
        </is>
      </c>
      <c r="F551" t="inlineStr">
        <is>
          <t>Övriga Aktiebolag</t>
        </is>
      </c>
      <c r="G551" t="n">
        <v>10.1</v>
      </c>
      <c r="H551" t="n">
        <v>0</v>
      </c>
      <c r="I551" t="n">
        <v>0</v>
      </c>
      <c r="J551" t="n">
        <v>0</v>
      </c>
      <c r="K551" t="n">
        <v>0</v>
      </c>
      <c r="L551" t="n">
        <v>0</v>
      </c>
      <c r="M551" t="n">
        <v>0</v>
      </c>
      <c r="N551" t="n">
        <v>0</v>
      </c>
      <c r="O551" t="n">
        <v>0</v>
      </c>
      <c r="P551" t="n">
        <v>0</v>
      </c>
      <c r="Q551" t="n">
        <v>0</v>
      </c>
      <c r="R551" s="2" t="inlineStr"/>
    </row>
    <row r="552" ht="15" customHeight="1">
      <c r="A552" t="inlineStr">
        <is>
          <t>A 27086-2024</t>
        </is>
      </c>
      <c r="B552" s="1" t="n">
        <v>45471</v>
      </c>
      <c r="C552" s="1" t="n">
        <v>45937</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63409-2023</t>
        </is>
      </c>
      <c r="B553" s="1" t="n">
        <v>45274.51719907407</v>
      </c>
      <c r="C553" s="1" t="n">
        <v>45937</v>
      </c>
      <c r="D553" t="inlineStr">
        <is>
          <t>VÄRMLANDS LÄN</t>
        </is>
      </c>
      <c r="E553" t="inlineStr">
        <is>
          <t>TORSBY</t>
        </is>
      </c>
      <c r="G553" t="n">
        <v>1.4</v>
      </c>
      <c r="H553" t="n">
        <v>0</v>
      </c>
      <c r="I553" t="n">
        <v>0</v>
      </c>
      <c r="J553" t="n">
        <v>0</v>
      </c>
      <c r="K553" t="n">
        <v>0</v>
      </c>
      <c r="L553" t="n">
        <v>0</v>
      </c>
      <c r="M553" t="n">
        <v>0</v>
      </c>
      <c r="N553" t="n">
        <v>0</v>
      </c>
      <c r="O553" t="n">
        <v>0</v>
      </c>
      <c r="P553" t="n">
        <v>0</v>
      </c>
      <c r="Q553" t="n">
        <v>0</v>
      </c>
      <c r="R553" s="2" t="inlineStr"/>
    </row>
    <row r="554" ht="15" customHeight="1">
      <c r="A554" t="inlineStr">
        <is>
          <t>A 3269-2025</t>
        </is>
      </c>
      <c r="B554" s="1" t="n">
        <v>45679.58148148148</v>
      </c>
      <c r="C554" s="1" t="n">
        <v>45937</v>
      </c>
      <c r="D554" t="inlineStr">
        <is>
          <t>VÄRMLANDS LÄN</t>
        </is>
      </c>
      <c r="E554" t="inlineStr">
        <is>
          <t>TORSBY</t>
        </is>
      </c>
      <c r="G554" t="n">
        <v>6.9</v>
      </c>
      <c r="H554" t="n">
        <v>0</v>
      </c>
      <c r="I554" t="n">
        <v>0</v>
      </c>
      <c r="J554" t="n">
        <v>0</v>
      </c>
      <c r="K554" t="n">
        <v>0</v>
      </c>
      <c r="L554" t="n">
        <v>0</v>
      </c>
      <c r="M554" t="n">
        <v>0</v>
      </c>
      <c r="N554" t="n">
        <v>0</v>
      </c>
      <c r="O554" t="n">
        <v>0</v>
      </c>
      <c r="P554" t="n">
        <v>0</v>
      </c>
      <c r="Q554" t="n">
        <v>0</v>
      </c>
      <c r="R554" s="2" t="inlineStr"/>
    </row>
    <row r="555" ht="15" customHeight="1">
      <c r="A555" t="inlineStr">
        <is>
          <t>A 44710-2023</t>
        </is>
      </c>
      <c r="B555" s="1" t="n">
        <v>45190</v>
      </c>
      <c r="C555" s="1" t="n">
        <v>45937</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14025-2025</t>
        </is>
      </c>
      <c r="B556" s="1" t="n">
        <v>45740</v>
      </c>
      <c r="C556" s="1" t="n">
        <v>45937</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21576-2025</t>
        </is>
      </c>
      <c r="B557" s="1" t="n">
        <v>45782.86440972222</v>
      </c>
      <c r="C557" s="1" t="n">
        <v>45937</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50943-2020</t>
        </is>
      </c>
      <c r="B558" s="1" t="n">
        <v>44111</v>
      </c>
      <c r="C558" s="1" t="n">
        <v>45937</v>
      </c>
      <c r="D558" t="inlineStr">
        <is>
          <t>VÄRMLANDS LÄN</t>
        </is>
      </c>
      <c r="E558" t="inlineStr">
        <is>
          <t>TORSBY</t>
        </is>
      </c>
      <c r="F558" t="inlineStr">
        <is>
          <t>Bergvik skog väst AB</t>
        </is>
      </c>
      <c r="G558" t="n">
        <v>18.4</v>
      </c>
      <c r="H558" t="n">
        <v>0</v>
      </c>
      <c r="I558" t="n">
        <v>0</v>
      </c>
      <c r="J558" t="n">
        <v>0</v>
      </c>
      <c r="K558" t="n">
        <v>0</v>
      </c>
      <c r="L558" t="n">
        <v>0</v>
      </c>
      <c r="M558" t="n">
        <v>0</v>
      </c>
      <c r="N558" t="n">
        <v>0</v>
      </c>
      <c r="O558" t="n">
        <v>0</v>
      </c>
      <c r="P558" t="n">
        <v>0</v>
      </c>
      <c r="Q558" t="n">
        <v>0</v>
      </c>
      <c r="R558" s="2" t="inlineStr"/>
    </row>
    <row r="559" ht="15" customHeight="1">
      <c r="A559" t="inlineStr">
        <is>
          <t>A 21759-2025</t>
        </is>
      </c>
      <c r="B559" s="1" t="n">
        <v>45783</v>
      </c>
      <c r="C559" s="1" t="n">
        <v>45937</v>
      </c>
      <c r="D559" t="inlineStr">
        <is>
          <t>VÄRMLANDS LÄN</t>
        </is>
      </c>
      <c r="E559" t="inlineStr">
        <is>
          <t>TORSBY</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38541-2023</t>
        </is>
      </c>
      <c r="B560" s="1" t="n">
        <v>45162</v>
      </c>
      <c r="C560" s="1" t="n">
        <v>45937</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14303-2023</t>
        </is>
      </c>
      <c r="B561" s="1" t="n">
        <v>45011.75886574074</v>
      </c>
      <c r="C561" s="1" t="n">
        <v>45937</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34427-2023</t>
        </is>
      </c>
      <c r="B562" s="1" t="n">
        <v>45139.61741898148</v>
      </c>
      <c r="C562" s="1" t="n">
        <v>45937</v>
      </c>
      <c r="D562" t="inlineStr">
        <is>
          <t>VÄRMLANDS LÄN</t>
        </is>
      </c>
      <c r="E562" t="inlineStr">
        <is>
          <t>TORSBY</t>
        </is>
      </c>
      <c r="G562" t="n">
        <v>3.9</v>
      </c>
      <c r="H562" t="n">
        <v>0</v>
      </c>
      <c r="I562" t="n">
        <v>0</v>
      </c>
      <c r="J562" t="n">
        <v>0</v>
      </c>
      <c r="K562" t="n">
        <v>0</v>
      </c>
      <c r="L562" t="n">
        <v>0</v>
      </c>
      <c r="M562" t="n">
        <v>0</v>
      </c>
      <c r="N562" t="n">
        <v>0</v>
      </c>
      <c r="O562" t="n">
        <v>0</v>
      </c>
      <c r="P562" t="n">
        <v>0</v>
      </c>
      <c r="Q562" t="n">
        <v>0</v>
      </c>
      <c r="R562" s="2" t="inlineStr"/>
    </row>
    <row r="563" ht="15" customHeight="1">
      <c r="A563" t="inlineStr">
        <is>
          <t>A 15087-2023</t>
        </is>
      </c>
      <c r="B563" s="1" t="n">
        <v>45016</v>
      </c>
      <c r="C563" s="1" t="n">
        <v>45937</v>
      </c>
      <c r="D563" t="inlineStr">
        <is>
          <t>VÄRMLANDS LÄN</t>
        </is>
      </c>
      <c r="E563" t="inlineStr">
        <is>
          <t>TORSBY</t>
        </is>
      </c>
      <c r="F563" t="inlineStr">
        <is>
          <t>Bergvik skog väst AB</t>
        </is>
      </c>
      <c r="G563" t="n">
        <v>11.4</v>
      </c>
      <c r="H563" t="n">
        <v>0</v>
      </c>
      <c r="I563" t="n">
        <v>0</v>
      </c>
      <c r="J563" t="n">
        <v>0</v>
      </c>
      <c r="K563" t="n">
        <v>0</v>
      </c>
      <c r="L563" t="n">
        <v>0</v>
      </c>
      <c r="M563" t="n">
        <v>0</v>
      </c>
      <c r="N563" t="n">
        <v>0</v>
      </c>
      <c r="O563" t="n">
        <v>0</v>
      </c>
      <c r="P563" t="n">
        <v>0</v>
      </c>
      <c r="Q563" t="n">
        <v>0</v>
      </c>
      <c r="R563" s="2" t="inlineStr"/>
    </row>
    <row r="564" ht="15" customHeight="1">
      <c r="A564" t="inlineStr">
        <is>
          <t>A 39781-2022</t>
        </is>
      </c>
      <c r="B564" s="1" t="n">
        <v>44819</v>
      </c>
      <c r="C564" s="1" t="n">
        <v>45937</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9942-2025</t>
        </is>
      </c>
      <c r="B565" s="1" t="n">
        <v>45719</v>
      </c>
      <c r="C565" s="1" t="n">
        <v>45937</v>
      </c>
      <c r="D565" t="inlineStr">
        <is>
          <t>VÄRMLANDS LÄN</t>
        </is>
      </c>
      <c r="E565" t="inlineStr">
        <is>
          <t>TORSBY</t>
        </is>
      </c>
      <c r="G565" t="n">
        <v>2.6</v>
      </c>
      <c r="H565" t="n">
        <v>0</v>
      </c>
      <c r="I565" t="n">
        <v>0</v>
      </c>
      <c r="J565" t="n">
        <v>0</v>
      </c>
      <c r="K565" t="n">
        <v>0</v>
      </c>
      <c r="L565" t="n">
        <v>0</v>
      </c>
      <c r="M565" t="n">
        <v>0</v>
      </c>
      <c r="N565" t="n">
        <v>0</v>
      </c>
      <c r="O565" t="n">
        <v>0</v>
      </c>
      <c r="P565" t="n">
        <v>0</v>
      </c>
      <c r="Q565" t="n">
        <v>0</v>
      </c>
      <c r="R565" s="2" t="inlineStr"/>
    </row>
    <row r="566" ht="15" customHeight="1">
      <c r="A566" t="inlineStr">
        <is>
          <t>A 33088-2024</t>
        </is>
      </c>
      <c r="B566" s="1" t="n">
        <v>45517</v>
      </c>
      <c r="C566" s="1" t="n">
        <v>45937</v>
      </c>
      <c r="D566" t="inlineStr">
        <is>
          <t>VÄRMLANDS LÄN</t>
        </is>
      </c>
      <c r="E566" t="inlineStr">
        <is>
          <t>TORSBY</t>
        </is>
      </c>
      <c r="G566" t="n">
        <v>1.3</v>
      </c>
      <c r="H566" t="n">
        <v>0</v>
      </c>
      <c r="I566" t="n">
        <v>0</v>
      </c>
      <c r="J566" t="n">
        <v>0</v>
      </c>
      <c r="K566" t="n">
        <v>0</v>
      </c>
      <c r="L566" t="n">
        <v>0</v>
      </c>
      <c r="M566" t="n">
        <v>0</v>
      </c>
      <c r="N566" t="n">
        <v>0</v>
      </c>
      <c r="O566" t="n">
        <v>0</v>
      </c>
      <c r="P566" t="n">
        <v>0</v>
      </c>
      <c r="Q566" t="n">
        <v>0</v>
      </c>
      <c r="R566" s="2" t="inlineStr"/>
    </row>
    <row r="567" ht="15" customHeight="1">
      <c r="A567" t="inlineStr">
        <is>
          <t>A 22269-2025</t>
        </is>
      </c>
      <c r="B567" s="1" t="n">
        <v>45785</v>
      </c>
      <c r="C567" s="1" t="n">
        <v>45937</v>
      </c>
      <c r="D567" t="inlineStr">
        <is>
          <t>VÄRMLANDS LÄN</t>
        </is>
      </c>
      <c r="E567" t="inlineStr">
        <is>
          <t>TORSBY</t>
        </is>
      </c>
      <c r="G567" t="n">
        <v>2.3</v>
      </c>
      <c r="H567" t="n">
        <v>0</v>
      </c>
      <c r="I567" t="n">
        <v>0</v>
      </c>
      <c r="J567" t="n">
        <v>0</v>
      </c>
      <c r="K567" t="n">
        <v>0</v>
      </c>
      <c r="L567" t="n">
        <v>0</v>
      </c>
      <c r="M567" t="n">
        <v>0</v>
      </c>
      <c r="N567" t="n">
        <v>0</v>
      </c>
      <c r="O567" t="n">
        <v>0</v>
      </c>
      <c r="P567" t="n">
        <v>0</v>
      </c>
      <c r="Q567" t="n">
        <v>0</v>
      </c>
      <c r="R567" s="2" t="inlineStr"/>
    </row>
    <row r="568" ht="15" customHeight="1">
      <c r="A568" t="inlineStr">
        <is>
          <t>A 22331-2025</t>
        </is>
      </c>
      <c r="B568" s="1" t="n">
        <v>45786</v>
      </c>
      <c r="C568" s="1" t="n">
        <v>45937</v>
      </c>
      <c r="D568" t="inlineStr">
        <is>
          <t>VÄRMLANDS LÄN</t>
        </is>
      </c>
      <c r="E568" t="inlineStr">
        <is>
          <t>TORSBY</t>
        </is>
      </c>
      <c r="F568" t="inlineStr">
        <is>
          <t>Bergvik skog väst AB</t>
        </is>
      </c>
      <c r="G568" t="n">
        <v>13.5</v>
      </c>
      <c r="H568" t="n">
        <v>0</v>
      </c>
      <c r="I568" t="n">
        <v>0</v>
      </c>
      <c r="J568" t="n">
        <v>0</v>
      </c>
      <c r="K568" t="n">
        <v>0</v>
      </c>
      <c r="L568" t="n">
        <v>0</v>
      </c>
      <c r="M568" t="n">
        <v>0</v>
      </c>
      <c r="N568" t="n">
        <v>0</v>
      </c>
      <c r="O568" t="n">
        <v>0</v>
      </c>
      <c r="P568" t="n">
        <v>0</v>
      </c>
      <c r="Q568" t="n">
        <v>0</v>
      </c>
      <c r="R568" s="2" t="inlineStr"/>
    </row>
    <row r="569" ht="15" customHeight="1">
      <c r="A569" t="inlineStr">
        <is>
          <t>A 17001-2024</t>
        </is>
      </c>
      <c r="B569" s="1" t="n">
        <v>45412.35605324074</v>
      </c>
      <c r="C569" s="1" t="n">
        <v>45937</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11143-2024</t>
        </is>
      </c>
      <c r="B570" s="1" t="n">
        <v>45371</v>
      </c>
      <c r="C570" s="1" t="n">
        <v>45937</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21744-2024</t>
        </is>
      </c>
      <c r="B571" s="1" t="n">
        <v>45442</v>
      </c>
      <c r="C571" s="1" t="n">
        <v>45937</v>
      </c>
      <c r="D571" t="inlineStr">
        <is>
          <t>VÄRMLANDS LÄN</t>
        </is>
      </c>
      <c r="E571" t="inlineStr">
        <is>
          <t>TORSBY</t>
        </is>
      </c>
      <c r="G571" t="n">
        <v>3.3</v>
      </c>
      <c r="H571" t="n">
        <v>0</v>
      </c>
      <c r="I571" t="n">
        <v>0</v>
      </c>
      <c r="J571" t="n">
        <v>0</v>
      </c>
      <c r="K571" t="n">
        <v>0</v>
      </c>
      <c r="L571" t="n">
        <v>0</v>
      </c>
      <c r="M571" t="n">
        <v>0</v>
      </c>
      <c r="N571" t="n">
        <v>0</v>
      </c>
      <c r="O571" t="n">
        <v>0</v>
      </c>
      <c r="P571" t="n">
        <v>0</v>
      </c>
      <c r="Q571" t="n">
        <v>0</v>
      </c>
      <c r="R571" s="2" t="inlineStr"/>
    </row>
    <row r="572" ht="15" customHeight="1">
      <c r="A572" t="inlineStr">
        <is>
          <t>A 43545-2024</t>
        </is>
      </c>
      <c r="B572" s="1" t="n">
        <v>45569.36980324074</v>
      </c>
      <c r="C572" s="1" t="n">
        <v>45937</v>
      </c>
      <c r="D572" t="inlineStr">
        <is>
          <t>VÄRMLANDS LÄN</t>
        </is>
      </c>
      <c r="E572" t="inlineStr">
        <is>
          <t>TORSBY</t>
        </is>
      </c>
      <c r="F572" t="inlineStr">
        <is>
          <t>Bergvik skog väst AB</t>
        </is>
      </c>
      <c r="G572" t="n">
        <v>5.5</v>
      </c>
      <c r="H572" t="n">
        <v>0</v>
      </c>
      <c r="I572" t="n">
        <v>0</v>
      </c>
      <c r="J572" t="n">
        <v>0</v>
      </c>
      <c r="K572" t="n">
        <v>0</v>
      </c>
      <c r="L572" t="n">
        <v>0</v>
      </c>
      <c r="M572" t="n">
        <v>0</v>
      </c>
      <c r="N572" t="n">
        <v>0</v>
      </c>
      <c r="O572" t="n">
        <v>0</v>
      </c>
      <c r="P572" t="n">
        <v>0</v>
      </c>
      <c r="Q572" t="n">
        <v>0</v>
      </c>
      <c r="R572" s="2" t="inlineStr"/>
    </row>
    <row r="573" ht="15" customHeight="1">
      <c r="A573" t="inlineStr">
        <is>
          <t>A 45587-2023</t>
        </is>
      </c>
      <c r="B573" s="1" t="n">
        <v>45194.62877314815</v>
      </c>
      <c r="C573" s="1" t="n">
        <v>45937</v>
      </c>
      <c r="D573" t="inlineStr">
        <is>
          <t>VÄRMLANDS LÄN</t>
        </is>
      </c>
      <c r="E573" t="inlineStr">
        <is>
          <t>TORSBY</t>
        </is>
      </c>
      <c r="G573" t="n">
        <v>1.6</v>
      </c>
      <c r="H573" t="n">
        <v>0</v>
      </c>
      <c r="I573" t="n">
        <v>0</v>
      </c>
      <c r="J573" t="n">
        <v>0</v>
      </c>
      <c r="K573" t="n">
        <v>0</v>
      </c>
      <c r="L573" t="n">
        <v>0</v>
      </c>
      <c r="M573" t="n">
        <v>0</v>
      </c>
      <c r="N573" t="n">
        <v>0</v>
      </c>
      <c r="O573" t="n">
        <v>0</v>
      </c>
      <c r="P573" t="n">
        <v>0</v>
      </c>
      <c r="Q573" t="n">
        <v>0</v>
      </c>
      <c r="R573" s="2" t="inlineStr"/>
    </row>
    <row r="574" ht="15" customHeight="1">
      <c r="A574" t="inlineStr">
        <is>
          <t>A 73874-2021</t>
        </is>
      </c>
      <c r="B574" s="1" t="n">
        <v>44553.39755787037</v>
      </c>
      <c r="C574" s="1" t="n">
        <v>45937</v>
      </c>
      <c r="D574" t="inlineStr">
        <is>
          <t>VÄRMLANDS LÄN</t>
        </is>
      </c>
      <c r="E574" t="inlineStr">
        <is>
          <t>TORSBY</t>
        </is>
      </c>
      <c r="G574" t="n">
        <v>6.6</v>
      </c>
      <c r="H574" t="n">
        <v>0</v>
      </c>
      <c r="I574" t="n">
        <v>0</v>
      </c>
      <c r="J574" t="n">
        <v>0</v>
      </c>
      <c r="K574" t="n">
        <v>0</v>
      </c>
      <c r="L574" t="n">
        <v>0</v>
      </c>
      <c r="M574" t="n">
        <v>0</v>
      </c>
      <c r="N574" t="n">
        <v>0</v>
      </c>
      <c r="O574" t="n">
        <v>0</v>
      </c>
      <c r="P574" t="n">
        <v>0</v>
      </c>
      <c r="Q574" t="n">
        <v>0</v>
      </c>
      <c r="R574" s="2" t="inlineStr"/>
    </row>
    <row r="575" ht="15" customHeight="1">
      <c r="A575" t="inlineStr">
        <is>
          <t>A 30267-2023</t>
        </is>
      </c>
      <c r="B575" s="1" t="n">
        <v>45110.75915509259</v>
      </c>
      <c r="C575" s="1" t="n">
        <v>45937</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30269-2023</t>
        </is>
      </c>
      <c r="B576" s="1" t="n">
        <v>45110.76082175926</v>
      </c>
      <c r="C576" s="1" t="n">
        <v>45937</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56240-2024</t>
        </is>
      </c>
      <c r="B577" s="1" t="n">
        <v>45624.63012731481</v>
      </c>
      <c r="C577" s="1" t="n">
        <v>45937</v>
      </c>
      <c r="D577" t="inlineStr">
        <is>
          <t>VÄRMLANDS LÄN</t>
        </is>
      </c>
      <c r="E577" t="inlineStr">
        <is>
          <t>TORSBY</t>
        </is>
      </c>
      <c r="G577" t="n">
        <v>1.5</v>
      </c>
      <c r="H577" t="n">
        <v>0</v>
      </c>
      <c r="I577" t="n">
        <v>0</v>
      </c>
      <c r="J577" t="n">
        <v>0</v>
      </c>
      <c r="K577" t="n">
        <v>0</v>
      </c>
      <c r="L577" t="n">
        <v>0</v>
      </c>
      <c r="M577" t="n">
        <v>0</v>
      </c>
      <c r="N577" t="n">
        <v>0</v>
      </c>
      <c r="O577" t="n">
        <v>0</v>
      </c>
      <c r="P577" t="n">
        <v>0</v>
      </c>
      <c r="Q577" t="n">
        <v>0</v>
      </c>
      <c r="R577" s="2" t="inlineStr"/>
    </row>
    <row r="578" ht="15" customHeight="1">
      <c r="A578" t="inlineStr">
        <is>
          <t>A 2387-2025</t>
        </is>
      </c>
      <c r="B578" s="1" t="n">
        <v>45674</v>
      </c>
      <c r="C578" s="1" t="n">
        <v>45937</v>
      </c>
      <c r="D578" t="inlineStr">
        <is>
          <t>VÄRMLANDS LÄN</t>
        </is>
      </c>
      <c r="E578" t="inlineStr">
        <is>
          <t>TORSBY</t>
        </is>
      </c>
      <c r="G578" t="n">
        <v>2.1</v>
      </c>
      <c r="H578" t="n">
        <v>0</v>
      </c>
      <c r="I578" t="n">
        <v>0</v>
      </c>
      <c r="J578" t="n">
        <v>0</v>
      </c>
      <c r="K578" t="n">
        <v>0</v>
      </c>
      <c r="L578" t="n">
        <v>0</v>
      </c>
      <c r="M578" t="n">
        <v>0</v>
      </c>
      <c r="N578" t="n">
        <v>0</v>
      </c>
      <c r="O578" t="n">
        <v>0</v>
      </c>
      <c r="P578" t="n">
        <v>0</v>
      </c>
      <c r="Q578" t="n">
        <v>0</v>
      </c>
      <c r="R578" s="2" t="inlineStr"/>
    </row>
    <row r="579" ht="15" customHeight="1">
      <c r="A579" t="inlineStr">
        <is>
          <t>A 70926-2021</t>
        </is>
      </c>
      <c r="B579" s="1" t="n">
        <v>44538</v>
      </c>
      <c r="C579" s="1" t="n">
        <v>45937</v>
      </c>
      <c r="D579" t="inlineStr">
        <is>
          <t>VÄRMLANDS LÄN</t>
        </is>
      </c>
      <c r="E579" t="inlineStr">
        <is>
          <t>TORSBY</t>
        </is>
      </c>
      <c r="G579" t="n">
        <v>6.5</v>
      </c>
      <c r="H579" t="n">
        <v>0</v>
      </c>
      <c r="I579" t="n">
        <v>0</v>
      </c>
      <c r="J579" t="n">
        <v>0</v>
      </c>
      <c r="K579" t="n">
        <v>0</v>
      </c>
      <c r="L579" t="n">
        <v>0</v>
      </c>
      <c r="M579" t="n">
        <v>0</v>
      </c>
      <c r="N579" t="n">
        <v>0</v>
      </c>
      <c r="O579" t="n">
        <v>0</v>
      </c>
      <c r="P579" t="n">
        <v>0</v>
      </c>
      <c r="Q579" t="n">
        <v>0</v>
      </c>
      <c r="R579" s="2" t="inlineStr"/>
    </row>
    <row r="580" ht="15" customHeight="1">
      <c r="A580" t="inlineStr">
        <is>
          <t>A 42834-2024</t>
        </is>
      </c>
      <c r="B580" s="1" t="n">
        <v>45566</v>
      </c>
      <c r="C580" s="1" t="n">
        <v>45937</v>
      </c>
      <c r="D580" t="inlineStr">
        <is>
          <t>VÄRMLANDS LÄN</t>
        </is>
      </c>
      <c r="E580" t="inlineStr">
        <is>
          <t>TORSBY</t>
        </is>
      </c>
      <c r="G580" t="n">
        <v>5.8</v>
      </c>
      <c r="H580" t="n">
        <v>0</v>
      </c>
      <c r="I580" t="n">
        <v>0</v>
      </c>
      <c r="J580" t="n">
        <v>0</v>
      </c>
      <c r="K580" t="n">
        <v>0</v>
      </c>
      <c r="L580" t="n">
        <v>0</v>
      </c>
      <c r="M580" t="n">
        <v>0</v>
      </c>
      <c r="N580" t="n">
        <v>0</v>
      </c>
      <c r="O580" t="n">
        <v>0</v>
      </c>
      <c r="P580" t="n">
        <v>0</v>
      </c>
      <c r="Q580" t="n">
        <v>0</v>
      </c>
      <c r="R580" s="2" t="inlineStr"/>
    </row>
    <row r="581" ht="15" customHeight="1">
      <c r="A581" t="inlineStr">
        <is>
          <t>A 21580-2024</t>
        </is>
      </c>
      <c r="B581" s="1" t="n">
        <v>45441</v>
      </c>
      <c r="C581" s="1" t="n">
        <v>45937</v>
      </c>
      <c r="D581" t="inlineStr">
        <is>
          <t>VÄRMLANDS LÄN</t>
        </is>
      </c>
      <c r="E581" t="inlineStr">
        <is>
          <t>TORSBY</t>
        </is>
      </c>
      <c r="G581" t="n">
        <v>2.8</v>
      </c>
      <c r="H581" t="n">
        <v>0</v>
      </c>
      <c r="I581" t="n">
        <v>0</v>
      </c>
      <c r="J581" t="n">
        <v>0</v>
      </c>
      <c r="K581" t="n">
        <v>0</v>
      </c>
      <c r="L581" t="n">
        <v>0</v>
      </c>
      <c r="M581" t="n">
        <v>0</v>
      </c>
      <c r="N581" t="n">
        <v>0</v>
      </c>
      <c r="O581" t="n">
        <v>0</v>
      </c>
      <c r="P581" t="n">
        <v>0</v>
      </c>
      <c r="Q581" t="n">
        <v>0</v>
      </c>
      <c r="R581" s="2" t="inlineStr"/>
    </row>
    <row r="582" ht="15" customHeight="1">
      <c r="A582" t="inlineStr">
        <is>
          <t>A 19031-2021</t>
        </is>
      </c>
      <c r="B582" s="1" t="n">
        <v>44308.51076388889</v>
      </c>
      <c r="C582" s="1" t="n">
        <v>45937</v>
      </c>
      <c r="D582" t="inlineStr">
        <is>
          <t>VÄRMLANDS LÄN</t>
        </is>
      </c>
      <c r="E582" t="inlineStr">
        <is>
          <t>TORSBY</t>
        </is>
      </c>
      <c r="G582" t="n">
        <v>1.8</v>
      </c>
      <c r="H582" t="n">
        <v>0</v>
      </c>
      <c r="I582" t="n">
        <v>0</v>
      </c>
      <c r="J582" t="n">
        <v>0</v>
      </c>
      <c r="K582" t="n">
        <v>0</v>
      </c>
      <c r="L582" t="n">
        <v>0</v>
      </c>
      <c r="M582" t="n">
        <v>0</v>
      </c>
      <c r="N582" t="n">
        <v>0</v>
      </c>
      <c r="O582" t="n">
        <v>0</v>
      </c>
      <c r="P582" t="n">
        <v>0</v>
      </c>
      <c r="Q582" t="n">
        <v>0</v>
      </c>
      <c r="R582" s="2" t="inlineStr"/>
    </row>
    <row r="583" ht="15" customHeight="1">
      <c r="A583" t="inlineStr">
        <is>
          <t>A 24004-2024</t>
        </is>
      </c>
      <c r="B583" s="1" t="n">
        <v>45456</v>
      </c>
      <c r="C583" s="1" t="n">
        <v>45937</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36558-2024</t>
        </is>
      </c>
      <c r="B584" s="1" t="n">
        <v>45537</v>
      </c>
      <c r="C584" s="1" t="n">
        <v>45937</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56430-2024</t>
        </is>
      </c>
      <c r="B585" s="1" t="n">
        <v>45625</v>
      </c>
      <c r="C585" s="1" t="n">
        <v>45937</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10979-2025</t>
        </is>
      </c>
      <c r="B586" s="1" t="n">
        <v>45723.39988425926</v>
      </c>
      <c r="C586" s="1" t="n">
        <v>45937</v>
      </c>
      <c r="D586" t="inlineStr">
        <is>
          <t>VÄRMLANDS LÄN</t>
        </is>
      </c>
      <c r="E586" t="inlineStr">
        <is>
          <t>TORSBY</t>
        </is>
      </c>
      <c r="G586" t="n">
        <v>5.2</v>
      </c>
      <c r="H586" t="n">
        <v>0</v>
      </c>
      <c r="I586" t="n">
        <v>0</v>
      </c>
      <c r="J586" t="n">
        <v>0</v>
      </c>
      <c r="K586" t="n">
        <v>0</v>
      </c>
      <c r="L586" t="n">
        <v>0</v>
      </c>
      <c r="M586" t="n">
        <v>0</v>
      </c>
      <c r="N586" t="n">
        <v>0</v>
      </c>
      <c r="O586" t="n">
        <v>0</v>
      </c>
      <c r="P586" t="n">
        <v>0</v>
      </c>
      <c r="Q586" t="n">
        <v>0</v>
      </c>
      <c r="R586" s="2" t="inlineStr"/>
    </row>
    <row r="587" ht="15" customHeight="1">
      <c r="A587" t="inlineStr">
        <is>
          <t>A 10888-2023</t>
        </is>
      </c>
      <c r="B587" s="1" t="n">
        <v>44985</v>
      </c>
      <c r="C587" s="1" t="n">
        <v>45937</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46343-2024</t>
        </is>
      </c>
      <c r="B588" s="1" t="n">
        <v>45582</v>
      </c>
      <c r="C588" s="1" t="n">
        <v>45937</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34434-2022</t>
        </is>
      </c>
      <c r="B589" s="1" t="n">
        <v>44792</v>
      </c>
      <c r="C589" s="1" t="n">
        <v>45937</v>
      </c>
      <c r="D589" t="inlineStr">
        <is>
          <t>VÄRMLANDS LÄN</t>
        </is>
      </c>
      <c r="E589" t="inlineStr">
        <is>
          <t>TORSBY</t>
        </is>
      </c>
      <c r="G589" t="n">
        <v>4.6</v>
      </c>
      <c r="H589" t="n">
        <v>0</v>
      </c>
      <c r="I589" t="n">
        <v>0</v>
      </c>
      <c r="J589" t="n">
        <v>0</v>
      </c>
      <c r="K589" t="n">
        <v>0</v>
      </c>
      <c r="L589" t="n">
        <v>0</v>
      </c>
      <c r="M589" t="n">
        <v>0</v>
      </c>
      <c r="N589" t="n">
        <v>0</v>
      </c>
      <c r="O589" t="n">
        <v>0</v>
      </c>
      <c r="P589" t="n">
        <v>0</v>
      </c>
      <c r="Q589" t="n">
        <v>0</v>
      </c>
      <c r="R589" s="2" t="inlineStr"/>
    </row>
    <row r="590" ht="15" customHeight="1">
      <c r="A590" t="inlineStr">
        <is>
          <t>A 44448-2024</t>
        </is>
      </c>
      <c r="B590" s="1" t="n">
        <v>45574</v>
      </c>
      <c r="C590" s="1" t="n">
        <v>45937</v>
      </c>
      <c r="D590" t="inlineStr">
        <is>
          <t>VÄRMLANDS LÄN</t>
        </is>
      </c>
      <c r="E590" t="inlineStr">
        <is>
          <t>TORSBY</t>
        </is>
      </c>
      <c r="G590" t="n">
        <v>8.9</v>
      </c>
      <c r="H590" t="n">
        <v>0</v>
      </c>
      <c r="I590" t="n">
        <v>0</v>
      </c>
      <c r="J590" t="n">
        <v>0</v>
      </c>
      <c r="K590" t="n">
        <v>0</v>
      </c>
      <c r="L590" t="n">
        <v>0</v>
      </c>
      <c r="M590" t="n">
        <v>0</v>
      </c>
      <c r="N590" t="n">
        <v>0</v>
      </c>
      <c r="O590" t="n">
        <v>0</v>
      </c>
      <c r="P590" t="n">
        <v>0</v>
      </c>
      <c r="Q590" t="n">
        <v>0</v>
      </c>
      <c r="R590" s="2" t="inlineStr"/>
    </row>
    <row r="591" ht="15" customHeight="1">
      <c r="A591" t="inlineStr">
        <is>
          <t>A 36917-2024</t>
        </is>
      </c>
      <c r="B591" s="1" t="n">
        <v>45538.65065972223</v>
      </c>
      <c r="C591" s="1" t="n">
        <v>45937</v>
      </c>
      <c r="D591" t="inlineStr">
        <is>
          <t>VÄRMLANDS LÄN</t>
        </is>
      </c>
      <c r="E591" t="inlineStr">
        <is>
          <t>TORSBY</t>
        </is>
      </c>
      <c r="G591" t="n">
        <v>2.9</v>
      </c>
      <c r="H591" t="n">
        <v>0</v>
      </c>
      <c r="I591" t="n">
        <v>0</v>
      </c>
      <c r="J591" t="n">
        <v>0</v>
      </c>
      <c r="K591" t="n">
        <v>0</v>
      </c>
      <c r="L591" t="n">
        <v>0</v>
      </c>
      <c r="M591" t="n">
        <v>0</v>
      </c>
      <c r="N591" t="n">
        <v>0</v>
      </c>
      <c r="O591" t="n">
        <v>0</v>
      </c>
      <c r="P591" t="n">
        <v>0</v>
      </c>
      <c r="Q591" t="n">
        <v>0</v>
      </c>
      <c r="R591" s="2" t="inlineStr"/>
    </row>
    <row r="592" ht="15" customHeight="1">
      <c r="A592" t="inlineStr">
        <is>
          <t>A 36922-2024</t>
        </is>
      </c>
      <c r="B592" s="1" t="n">
        <v>45538</v>
      </c>
      <c r="C592" s="1" t="n">
        <v>45937</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22278-2025</t>
        </is>
      </c>
      <c r="B593" s="1" t="n">
        <v>45786.33332175926</v>
      </c>
      <c r="C593" s="1" t="n">
        <v>45937</v>
      </c>
      <c r="D593" t="inlineStr">
        <is>
          <t>VÄRMLANDS LÄN</t>
        </is>
      </c>
      <c r="E593" t="inlineStr">
        <is>
          <t>TORSBY</t>
        </is>
      </c>
      <c r="F593" t="inlineStr">
        <is>
          <t>Bergvik skog väst AB</t>
        </is>
      </c>
      <c r="G593" t="n">
        <v>6.9</v>
      </c>
      <c r="H593" t="n">
        <v>0</v>
      </c>
      <c r="I593" t="n">
        <v>0</v>
      </c>
      <c r="J593" t="n">
        <v>0</v>
      </c>
      <c r="K593" t="n">
        <v>0</v>
      </c>
      <c r="L593" t="n">
        <v>0</v>
      </c>
      <c r="M593" t="n">
        <v>0</v>
      </c>
      <c r="N593" t="n">
        <v>0</v>
      </c>
      <c r="O593" t="n">
        <v>0</v>
      </c>
      <c r="P593" t="n">
        <v>0</v>
      </c>
      <c r="Q593" t="n">
        <v>0</v>
      </c>
      <c r="R593" s="2" t="inlineStr"/>
    </row>
    <row r="594" ht="15" customHeight="1">
      <c r="A594" t="inlineStr">
        <is>
          <t>A 14709-2023</t>
        </is>
      </c>
      <c r="B594" s="1" t="n">
        <v>45014.41900462963</v>
      </c>
      <c r="C594" s="1" t="n">
        <v>45937</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3841-2022</t>
        </is>
      </c>
      <c r="B595" s="1" t="n">
        <v>44587</v>
      </c>
      <c r="C595" s="1" t="n">
        <v>45937</v>
      </c>
      <c r="D595" t="inlineStr">
        <is>
          <t>VÄRMLANDS LÄN</t>
        </is>
      </c>
      <c r="E595" t="inlineStr">
        <is>
          <t>TORSBY</t>
        </is>
      </c>
      <c r="G595" t="n">
        <v>6.4</v>
      </c>
      <c r="H595" t="n">
        <v>0</v>
      </c>
      <c r="I595" t="n">
        <v>0</v>
      </c>
      <c r="J595" t="n">
        <v>0</v>
      </c>
      <c r="K595" t="n">
        <v>0</v>
      </c>
      <c r="L595" t="n">
        <v>0</v>
      </c>
      <c r="M595" t="n">
        <v>0</v>
      </c>
      <c r="N595" t="n">
        <v>0</v>
      </c>
      <c r="O595" t="n">
        <v>0</v>
      </c>
      <c r="P595" t="n">
        <v>0</v>
      </c>
      <c r="Q595" t="n">
        <v>0</v>
      </c>
      <c r="R595" s="2" t="inlineStr"/>
    </row>
    <row r="596" ht="15" customHeight="1">
      <c r="A596" t="inlineStr">
        <is>
          <t>A 22320-2025</t>
        </is>
      </c>
      <c r="B596" s="1" t="n">
        <v>45786.40542824074</v>
      </c>
      <c r="C596" s="1" t="n">
        <v>45937</v>
      </c>
      <c r="D596" t="inlineStr">
        <is>
          <t>VÄRMLANDS LÄN</t>
        </is>
      </c>
      <c r="E596" t="inlineStr">
        <is>
          <t>TORSBY</t>
        </is>
      </c>
      <c r="F596" t="inlineStr">
        <is>
          <t>Bergvik skog väst AB</t>
        </is>
      </c>
      <c r="G596" t="n">
        <v>0.6</v>
      </c>
      <c r="H596" t="n">
        <v>0</v>
      </c>
      <c r="I596" t="n">
        <v>0</v>
      </c>
      <c r="J596" t="n">
        <v>0</v>
      </c>
      <c r="K596" t="n">
        <v>0</v>
      </c>
      <c r="L596" t="n">
        <v>0</v>
      </c>
      <c r="M596" t="n">
        <v>0</v>
      </c>
      <c r="N596" t="n">
        <v>0</v>
      </c>
      <c r="O596" t="n">
        <v>0</v>
      </c>
      <c r="P596" t="n">
        <v>0</v>
      </c>
      <c r="Q596" t="n">
        <v>0</v>
      </c>
      <c r="R596" s="2" t="inlineStr"/>
    </row>
    <row r="597" ht="15" customHeight="1">
      <c r="A597" t="inlineStr">
        <is>
          <t>A 22339-2025</t>
        </is>
      </c>
      <c r="B597" s="1" t="n">
        <v>45786</v>
      </c>
      <c r="C597" s="1" t="n">
        <v>45937</v>
      </c>
      <c r="D597" t="inlineStr">
        <is>
          <t>VÄRMLANDS LÄN</t>
        </is>
      </c>
      <c r="E597" t="inlineStr">
        <is>
          <t>TORSBY</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50973-2023</t>
        </is>
      </c>
      <c r="B598" s="1" t="n">
        <v>45218.50408564815</v>
      </c>
      <c r="C598" s="1" t="n">
        <v>45937</v>
      </c>
      <c r="D598" t="inlineStr">
        <is>
          <t>VÄRMLANDS LÄN</t>
        </is>
      </c>
      <c r="E598" t="inlineStr">
        <is>
          <t>TORSBY</t>
        </is>
      </c>
      <c r="G598" t="n">
        <v>10.7</v>
      </c>
      <c r="H598" t="n">
        <v>0</v>
      </c>
      <c r="I598" t="n">
        <v>0</v>
      </c>
      <c r="J598" t="n">
        <v>0</v>
      </c>
      <c r="K598" t="n">
        <v>0</v>
      </c>
      <c r="L598" t="n">
        <v>0</v>
      </c>
      <c r="M598" t="n">
        <v>0</v>
      </c>
      <c r="N598" t="n">
        <v>0</v>
      </c>
      <c r="O598" t="n">
        <v>0</v>
      </c>
      <c r="P598" t="n">
        <v>0</v>
      </c>
      <c r="Q598" t="n">
        <v>0</v>
      </c>
      <c r="R598" s="2" t="inlineStr"/>
    </row>
    <row r="599" ht="15" customHeight="1">
      <c r="A599" t="inlineStr">
        <is>
          <t>A 54060-2020</t>
        </is>
      </c>
      <c r="B599" s="1" t="n">
        <v>44125</v>
      </c>
      <c r="C599" s="1" t="n">
        <v>45937</v>
      </c>
      <c r="D599" t="inlineStr">
        <is>
          <t>VÄRMLANDS LÄN</t>
        </is>
      </c>
      <c r="E599" t="inlineStr">
        <is>
          <t>TORSBY</t>
        </is>
      </c>
      <c r="G599" t="n">
        <v>3.2</v>
      </c>
      <c r="H599" t="n">
        <v>0</v>
      </c>
      <c r="I599" t="n">
        <v>0</v>
      </c>
      <c r="J599" t="n">
        <v>0</v>
      </c>
      <c r="K599" t="n">
        <v>0</v>
      </c>
      <c r="L599" t="n">
        <v>0</v>
      </c>
      <c r="M599" t="n">
        <v>0</v>
      </c>
      <c r="N599" t="n">
        <v>0</v>
      </c>
      <c r="O599" t="n">
        <v>0</v>
      </c>
      <c r="P599" t="n">
        <v>0</v>
      </c>
      <c r="Q599" t="n">
        <v>0</v>
      </c>
      <c r="R599" s="2" t="inlineStr"/>
    </row>
    <row r="600" ht="15" customHeight="1">
      <c r="A600" t="inlineStr">
        <is>
          <t>A 43536-2023</t>
        </is>
      </c>
      <c r="B600" s="1" t="n">
        <v>45181</v>
      </c>
      <c r="C600" s="1" t="n">
        <v>45937</v>
      </c>
      <c r="D600" t="inlineStr">
        <is>
          <t>VÄRMLANDS LÄN</t>
        </is>
      </c>
      <c r="E600" t="inlineStr">
        <is>
          <t>TORSBY</t>
        </is>
      </c>
      <c r="G600" t="n">
        <v>0.6</v>
      </c>
      <c r="H600" t="n">
        <v>0</v>
      </c>
      <c r="I600" t="n">
        <v>0</v>
      </c>
      <c r="J600" t="n">
        <v>0</v>
      </c>
      <c r="K600" t="n">
        <v>0</v>
      </c>
      <c r="L600" t="n">
        <v>0</v>
      </c>
      <c r="M600" t="n">
        <v>0</v>
      </c>
      <c r="N600" t="n">
        <v>0</v>
      </c>
      <c r="O600" t="n">
        <v>0</v>
      </c>
      <c r="P600" t="n">
        <v>0</v>
      </c>
      <c r="Q600" t="n">
        <v>0</v>
      </c>
      <c r="R600" s="2" t="inlineStr"/>
    </row>
    <row r="601" ht="15" customHeight="1">
      <c r="A601" t="inlineStr">
        <is>
          <t>A 63158-2023</t>
        </is>
      </c>
      <c r="B601" s="1" t="n">
        <v>45273.51715277778</v>
      </c>
      <c r="C601" s="1" t="n">
        <v>45937</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20170-2021</t>
        </is>
      </c>
      <c r="B602" s="1" t="n">
        <v>44312</v>
      </c>
      <c r="C602" s="1" t="n">
        <v>45937</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62507-2023</t>
        </is>
      </c>
      <c r="B603" s="1" t="n">
        <v>45267</v>
      </c>
      <c r="C603" s="1" t="n">
        <v>45937</v>
      </c>
      <c r="D603" t="inlineStr">
        <is>
          <t>VÄRMLANDS LÄN</t>
        </is>
      </c>
      <c r="E603" t="inlineStr">
        <is>
          <t>TORSBY</t>
        </is>
      </c>
      <c r="G603" t="n">
        <v>3.3</v>
      </c>
      <c r="H603" t="n">
        <v>0</v>
      </c>
      <c r="I603" t="n">
        <v>0</v>
      </c>
      <c r="J603" t="n">
        <v>0</v>
      </c>
      <c r="K603" t="n">
        <v>0</v>
      </c>
      <c r="L603" t="n">
        <v>0</v>
      </c>
      <c r="M603" t="n">
        <v>0</v>
      </c>
      <c r="N603" t="n">
        <v>0</v>
      </c>
      <c r="O603" t="n">
        <v>0</v>
      </c>
      <c r="P603" t="n">
        <v>0</v>
      </c>
      <c r="Q603" t="n">
        <v>0</v>
      </c>
      <c r="R603" s="2" t="inlineStr"/>
    </row>
    <row r="604" ht="15" customHeight="1">
      <c r="A604" t="inlineStr">
        <is>
          <t>A 7636-2024</t>
        </is>
      </c>
      <c r="B604" s="1" t="n">
        <v>45348</v>
      </c>
      <c r="C604" s="1" t="n">
        <v>45937</v>
      </c>
      <c r="D604" t="inlineStr">
        <is>
          <t>VÄRMLANDS LÄN</t>
        </is>
      </c>
      <c r="E604" t="inlineStr">
        <is>
          <t>TORSBY</t>
        </is>
      </c>
      <c r="G604" t="n">
        <v>5.1</v>
      </c>
      <c r="H604" t="n">
        <v>0</v>
      </c>
      <c r="I604" t="n">
        <v>0</v>
      </c>
      <c r="J604" t="n">
        <v>0</v>
      </c>
      <c r="K604" t="n">
        <v>0</v>
      </c>
      <c r="L604" t="n">
        <v>0</v>
      </c>
      <c r="M604" t="n">
        <v>0</v>
      </c>
      <c r="N604" t="n">
        <v>0</v>
      </c>
      <c r="O604" t="n">
        <v>0</v>
      </c>
      <c r="P604" t="n">
        <v>0</v>
      </c>
      <c r="Q604" t="n">
        <v>0</v>
      </c>
      <c r="R604" s="2" t="inlineStr"/>
    </row>
    <row r="605" ht="15" customHeight="1">
      <c r="A605" t="inlineStr">
        <is>
          <t>A 5351-2024</t>
        </is>
      </c>
      <c r="B605" s="1" t="n">
        <v>45331.45199074074</v>
      </c>
      <c r="C605" s="1" t="n">
        <v>45937</v>
      </c>
      <c r="D605" t="inlineStr">
        <is>
          <t>VÄRMLANDS LÄN</t>
        </is>
      </c>
      <c r="E605" t="inlineStr">
        <is>
          <t>TORSBY</t>
        </is>
      </c>
      <c r="G605" t="n">
        <v>8.9</v>
      </c>
      <c r="H605" t="n">
        <v>0</v>
      </c>
      <c r="I605" t="n">
        <v>0</v>
      </c>
      <c r="J605" t="n">
        <v>0</v>
      </c>
      <c r="K605" t="n">
        <v>0</v>
      </c>
      <c r="L605" t="n">
        <v>0</v>
      </c>
      <c r="M605" t="n">
        <v>0</v>
      </c>
      <c r="N605" t="n">
        <v>0</v>
      </c>
      <c r="O605" t="n">
        <v>0</v>
      </c>
      <c r="P605" t="n">
        <v>0</v>
      </c>
      <c r="Q605" t="n">
        <v>0</v>
      </c>
      <c r="R605" s="2" t="inlineStr"/>
    </row>
    <row r="606" ht="15" customHeight="1">
      <c r="A606" t="inlineStr">
        <is>
          <t>A 47355-2023</t>
        </is>
      </c>
      <c r="B606" s="1" t="n">
        <v>45202</v>
      </c>
      <c r="C606" s="1" t="n">
        <v>45937</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60537-2024</t>
        </is>
      </c>
      <c r="B607" s="1" t="n">
        <v>45643.77138888889</v>
      </c>
      <c r="C607" s="1" t="n">
        <v>45937</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41065-2022</t>
        </is>
      </c>
      <c r="B608" s="1" t="n">
        <v>44825.59258101852</v>
      </c>
      <c r="C608" s="1" t="n">
        <v>45937</v>
      </c>
      <c r="D608" t="inlineStr">
        <is>
          <t>VÄRMLANDS LÄN</t>
        </is>
      </c>
      <c r="E608" t="inlineStr">
        <is>
          <t>TORSBY</t>
        </is>
      </c>
      <c r="F608" t="inlineStr">
        <is>
          <t>Kommuner</t>
        </is>
      </c>
      <c r="G608" t="n">
        <v>1.8</v>
      </c>
      <c r="H608" t="n">
        <v>0</v>
      </c>
      <c r="I608" t="n">
        <v>0</v>
      </c>
      <c r="J608" t="n">
        <v>0</v>
      </c>
      <c r="K608" t="n">
        <v>0</v>
      </c>
      <c r="L608" t="n">
        <v>0</v>
      </c>
      <c r="M608" t="n">
        <v>0</v>
      </c>
      <c r="N608" t="n">
        <v>0</v>
      </c>
      <c r="O608" t="n">
        <v>0</v>
      </c>
      <c r="P608" t="n">
        <v>0</v>
      </c>
      <c r="Q608" t="n">
        <v>0</v>
      </c>
      <c r="R608" s="2" t="inlineStr"/>
    </row>
    <row r="609" ht="15" customHeight="1">
      <c r="A609" t="inlineStr">
        <is>
          <t>A 62250-2023</t>
        </is>
      </c>
      <c r="B609" s="1" t="n">
        <v>45266</v>
      </c>
      <c r="C609" s="1" t="n">
        <v>45937</v>
      </c>
      <c r="D609" t="inlineStr">
        <is>
          <t>VÄRMLANDS LÄN</t>
        </is>
      </c>
      <c r="E609" t="inlineStr">
        <is>
          <t>TORSBY</t>
        </is>
      </c>
      <c r="G609" t="n">
        <v>4.7</v>
      </c>
      <c r="H609" t="n">
        <v>0</v>
      </c>
      <c r="I609" t="n">
        <v>0</v>
      </c>
      <c r="J609" t="n">
        <v>0</v>
      </c>
      <c r="K609" t="n">
        <v>0</v>
      </c>
      <c r="L609" t="n">
        <v>0</v>
      </c>
      <c r="M609" t="n">
        <v>0</v>
      </c>
      <c r="N609" t="n">
        <v>0</v>
      </c>
      <c r="O609" t="n">
        <v>0</v>
      </c>
      <c r="P609" t="n">
        <v>0</v>
      </c>
      <c r="Q609" t="n">
        <v>0</v>
      </c>
      <c r="R609" s="2" t="inlineStr"/>
    </row>
    <row r="610" ht="15" customHeight="1">
      <c r="A610" t="inlineStr">
        <is>
          <t>A 55036-2024</t>
        </is>
      </c>
      <c r="B610" s="1" t="n">
        <v>45621.38342592592</v>
      </c>
      <c r="C610" s="1" t="n">
        <v>45937</v>
      </c>
      <c r="D610" t="inlineStr">
        <is>
          <t>VÄRMLANDS LÄN</t>
        </is>
      </c>
      <c r="E610" t="inlineStr">
        <is>
          <t>TORSBY</t>
        </is>
      </c>
      <c r="G610" t="n">
        <v>5.5</v>
      </c>
      <c r="H610" t="n">
        <v>0</v>
      </c>
      <c r="I610" t="n">
        <v>0</v>
      </c>
      <c r="J610" t="n">
        <v>0</v>
      </c>
      <c r="K610" t="n">
        <v>0</v>
      </c>
      <c r="L610" t="n">
        <v>0</v>
      </c>
      <c r="M610" t="n">
        <v>0</v>
      </c>
      <c r="N610" t="n">
        <v>0</v>
      </c>
      <c r="O610" t="n">
        <v>0</v>
      </c>
      <c r="P610" t="n">
        <v>0</v>
      </c>
      <c r="Q610" t="n">
        <v>0</v>
      </c>
      <c r="R610" s="2" t="inlineStr"/>
    </row>
    <row r="611" ht="15" customHeight="1">
      <c r="A611" t="inlineStr">
        <is>
          <t>A 32340-2024</t>
        </is>
      </c>
      <c r="B611" s="1" t="n">
        <v>45512.50826388889</v>
      </c>
      <c r="C611" s="1" t="n">
        <v>45937</v>
      </c>
      <c r="D611" t="inlineStr">
        <is>
          <t>VÄRMLANDS LÄN</t>
        </is>
      </c>
      <c r="E611" t="inlineStr">
        <is>
          <t>TORSBY</t>
        </is>
      </c>
      <c r="G611" t="n">
        <v>9.9</v>
      </c>
      <c r="H611" t="n">
        <v>0</v>
      </c>
      <c r="I611" t="n">
        <v>0</v>
      </c>
      <c r="J611" t="n">
        <v>0</v>
      </c>
      <c r="K611" t="n">
        <v>0</v>
      </c>
      <c r="L611" t="n">
        <v>0</v>
      </c>
      <c r="M611" t="n">
        <v>0</v>
      </c>
      <c r="N611" t="n">
        <v>0</v>
      </c>
      <c r="O611" t="n">
        <v>0</v>
      </c>
      <c r="P611" t="n">
        <v>0</v>
      </c>
      <c r="Q611" t="n">
        <v>0</v>
      </c>
      <c r="R611" s="2" t="inlineStr"/>
    </row>
    <row r="612" ht="15" customHeight="1">
      <c r="A612" t="inlineStr">
        <is>
          <t>A 18676-2025</t>
        </is>
      </c>
      <c r="B612" s="1" t="n">
        <v>45763</v>
      </c>
      <c r="C612" s="1" t="n">
        <v>45937</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11447-2022</t>
        </is>
      </c>
      <c r="B613" s="1" t="n">
        <v>44630</v>
      </c>
      <c r="C613" s="1" t="n">
        <v>45937</v>
      </c>
      <c r="D613" t="inlineStr">
        <is>
          <t>VÄRMLANDS LÄN</t>
        </is>
      </c>
      <c r="E613" t="inlineStr">
        <is>
          <t>TORSBY</t>
        </is>
      </c>
      <c r="G613" t="n">
        <v>2.4</v>
      </c>
      <c r="H613" t="n">
        <v>0</v>
      </c>
      <c r="I613" t="n">
        <v>0</v>
      </c>
      <c r="J613" t="n">
        <v>0</v>
      </c>
      <c r="K613" t="n">
        <v>0</v>
      </c>
      <c r="L613" t="n">
        <v>0</v>
      </c>
      <c r="M613" t="n">
        <v>0</v>
      </c>
      <c r="N613" t="n">
        <v>0</v>
      </c>
      <c r="O613" t="n">
        <v>0</v>
      </c>
      <c r="P613" t="n">
        <v>0</v>
      </c>
      <c r="Q613" t="n">
        <v>0</v>
      </c>
      <c r="R613" s="2" t="inlineStr"/>
    </row>
    <row r="614" ht="15" customHeight="1">
      <c r="A614" t="inlineStr">
        <is>
          <t>A 58948-2024</t>
        </is>
      </c>
      <c r="B614" s="1" t="n">
        <v>45636</v>
      </c>
      <c r="C614" s="1" t="n">
        <v>45937</v>
      </c>
      <c r="D614" t="inlineStr">
        <is>
          <t>VÄRMLANDS LÄN</t>
        </is>
      </c>
      <c r="E614" t="inlineStr">
        <is>
          <t>TORSBY</t>
        </is>
      </c>
      <c r="F614" t="inlineStr">
        <is>
          <t>Bergvik skog väst AB</t>
        </is>
      </c>
      <c r="G614" t="n">
        <v>6.6</v>
      </c>
      <c r="H614" t="n">
        <v>0</v>
      </c>
      <c r="I614" t="n">
        <v>0</v>
      </c>
      <c r="J614" t="n">
        <v>0</v>
      </c>
      <c r="K614" t="n">
        <v>0</v>
      </c>
      <c r="L614" t="n">
        <v>0</v>
      </c>
      <c r="M614" t="n">
        <v>0</v>
      </c>
      <c r="N614" t="n">
        <v>0</v>
      </c>
      <c r="O614" t="n">
        <v>0</v>
      </c>
      <c r="P614" t="n">
        <v>0</v>
      </c>
      <c r="Q614" t="n">
        <v>0</v>
      </c>
      <c r="R614" s="2" t="inlineStr"/>
    </row>
    <row r="615" ht="15" customHeight="1">
      <c r="A615" t="inlineStr">
        <is>
          <t>A 20298-2023</t>
        </is>
      </c>
      <c r="B615" s="1" t="n">
        <v>45056</v>
      </c>
      <c r="C615" s="1" t="n">
        <v>45937</v>
      </c>
      <c r="D615" t="inlineStr">
        <is>
          <t>VÄRMLANDS LÄN</t>
        </is>
      </c>
      <c r="E615" t="inlineStr">
        <is>
          <t>TORSBY</t>
        </is>
      </c>
      <c r="F615" t="inlineStr">
        <is>
          <t>Kyrkan</t>
        </is>
      </c>
      <c r="G615" t="n">
        <v>2</v>
      </c>
      <c r="H615" t="n">
        <v>0</v>
      </c>
      <c r="I615" t="n">
        <v>0</v>
      </c>
      <c r="J615" t="n">
        <v>0</v>
      </c>
      <c r="K615" t="n">
        <v>0</v>
      </c>
      <c r="L615" t="n">
        <v>0</v>
      </c>
      <c r="M615" t="n">
        <v>0</v>
      </c>
      <c r="N615" t="n">
        <v>0</v>
      </c>
      <c r="O615" t="n">
        <v>0</v>
      </c>
      <c r="P615" t="n">
        <v>0</v>
      </c>
      <c r="Q615" t="n">
        <v>0</v>
      </c>
      <c r="R615" s="2" t="inlineStr"/>
    </row>
    <row r="616" ht="15" customHeight="1">
      <c r="A616" t="inlineStr">
        <is>
          <t>A 15773-2023</t>
        </is>
      </c>
      <c r="B616" s="1" t="n">
        <v>45021</v>
      </c>
      <c r="C616" s="1" t="n">
        <v>45937</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4908-2024</t>
        </is>
      </c>
      <c r="B617" s="1" t="n">
        <v>45329</v>
      </c>
      <c r="C617" s="1" t="n">
        <v>45937</v>
      </c>
      <c r="D617" t="inlineStr">
        <is>
          <t>VÄRMLANDS LÄN</t>
        </is>
      </c>
      <c r="E617" t="inlineStr">
        <is>
          <t>TORSBY</t>
        </is>
      </c>
      <c r="G617" t="n">
        <v>4</v>
      </c>
      <c r="H617" t="n">
        <v>0</v>
      </c>
      <c r="I617" t="n">
        <v>0</v>
      </c>
      <c r="J617" t="n">
        <v>0</v>
      </c>
      <c r="K617" t="n">
        <v>0</v>
      </c>
      <c r="L617" t="n">
        <v>0</v>
      </c>
      <c r="M617" t="n">
        <v>0</v>
      </c>
      <c r="N617" t="n">
        <v>0</v>
      </c>
      <c r="O617" t="n">
        <v>0</v>
      </c>
      <c r="P617" t="n">
        <v>0</v>
      </c>
      <c r="Q617" t="n">
        <v>0</v>
      </c>
      <c r="R617" s="2" t="inlineStr"/>
    </row>
    <row r="618" ht="15" customHeight="1">
      <c r="A618" t="inlineStr">
        <is>
          <t>A 22464-2021</t>
        </is>
      </c>
      <c r="B618" s="1" t="n">
        <v>44326.67932870371</v>
      </c>
      <c r="C618" s="1" t="n">
        <v>45937</v>
      </c>
      <c r="D618" t="inlineStr">
        <is>
          <t>VÄRMLANDS LÄN</t>
        </is>
      </c>
      <c r="E618" t="inlineStr">
        <is>
          <t>TORSBY</t>
        </is>
      </c>
      <c r="G618" t="n">
        <v>6</v>
      </c>
      <c r="H618" t="n">
        <v>0</v>
      </c>
      <c r="I618" t="n">
        <v>0</v>
      </c>
      <c r="J618" t="n">
        <v>0</v>
      </c>
      <c r="K618" t="n">
        <v>0</v>
      </c>
      <c r="L618" t="n">
        <v>0</v>
      </c>
      <c r="M618" t="n">
        <v>0</v>
      </c>
      <c r="N618" t="n">
        <v>0</v>
      </c>
      <c r="O618" t="n">
        <v>0</v>
      </c>
      <c r="P618" t="n">
        <v>0</v>
      </c>
      <c r="Q618" t="n">
        <v>0</v>
      </c>
      <c r="R618" s="2" t="inlineStr"/>
    </row>
    <row r="619" ht="15" customHeight="1">
      <c r="A619" t="inlineStr">
        <is>
          <t>A 57393-2022</t>
        </is>
      </c>
      <c r="B619" s="1" t="n">
        <v>44896.47630787037</v>
      </c>
      <c r="C619" s="1" t="n">
        <v>45937</v>
      </c>
      <c r="D619" t="inlineStr">
        <is>
          <t>VÄRMLANDS LÄN</t>
        </is>
      </c>
      <c r="E619" t="inlineStr">
        <is>
          <t>TORSBY</t>
        </is>
      </c>
      <c r="G619" t="n">
        <v>5</v>
      </c>
      <c r="H619" t="n">
        <v>0</v>
      </c>
      <c r="I619" t="n">
        <v>0</v>
      </c>
      <c r="J619" t="n">
        <v>0</v>
      </c>
      <c r="K619" t="n">
        <v>0</v>
      </c>
      <c r="L619" t="n">
        <v>0</v>
      </c>
      <c r="M619" t="n">
        <v>0</v>
      </c>
      <c r="N619" t="n">
        <v>0</v>
      </c>
      <c r="O619" t="n">
        <v>0</v>
      </c>
      <c r="P619" t="n">
        <v>0</v>
      </c>
      <c r="Q619" t="n">
        <v>0</v>
      </c>
      <c r="R619" s="2" t="inlineStr"/>
    </row>
    <row r="620" ht="15" customHeight="1">
      <c r="A620" t="inlineStr">
        <is>
          <t>A 63032-2023</t>
        </is>
      </c>
      <c r="B620" s="1" t="n">
        <v>45272.72728009259</v>
      </c>
      <c r="C620" s="1" t="n">
        <v>45937</v>
      </c>
      <c r="D620" t="inlineStr">
        <is>
          <t>VÄRMLANDS LÄN</t>
        </is>
      </c>
      <c r="E620" t="inlineStr">
        <is>
          <t>TORSBY</t>
        </is>
      </c>
      <c r="G620" t="n">
        <v>2.8</v>
      </c>
      <c r="H620" t="n">
        <v>0</v>
      </c>
      <c r="I620" t="n">
        <v>0</v>
      </c>
      <c r="J620" t="n">
        <v>0</v>
      </c>
      <c r="K620" t="n">
        <v>0</v>
      </c>
      <c r="L620" t="n">
        <v>0</v>
      </c>
      <c r="M620" t="n">
        <v>0</v>
      </c>
      <c r="N620" t="n">
        <v>0</v>
      </c>
      <c r="O620" t="n">
        <v>0</v>
      </c>
      <c r="P620" t="n">
        <v>0</v>
      </c>
      <c r="Q620" t="n">
        <v>0</v>
      </c>
      <c r="R620" s="2" t="inlineStr"/>
    </row>
    <row r="621" ht="15" customHeight="1">
      <c r="A621" t="inlineStr">
        <is>
          <t>A 60533-2020</t>
        </is>
      </c>
      <c r="B621" s="1" t="n">
        <v>44153</v>
      </c>
      <c r="C621" s="1" t="n">
        <v>45937</v>
      </c>
      <c r="D621" t="inlineStr">
        <is>
          <t>VÄRMLANDS LÄN</t>
        </is>
      </c>
      <c r="E621" t="inlineStr">
        <is>
          <t>TORSBY</t>
        </is>
      </c>
      <c r="G621" t="n">
        <v>1.6</v>
      </c>
      <c r="H621" t="n">
        <v>0</v>
      </c>
      <c r="I621" t="n">
        <v>0</v>
      </c>
      <c r="J621" t="n">
        <v>0</v>
      </c>
      <c r="K621" t="n">
        <v>0</v>
      </c>
      <c r="L621" t="n">
        <v>0</v>
      </c>
      <c r="M621" t="n">
        <v>0</v>
      </c>
      <c r="N621" t="n">
        <v>0</v>
      </c>
      <c r="O621" t="n">
        <v>0</v>
      </c>
      <c r="P621" t="n">
        <v>0</v>
      </c>
      <c r="Q621" t="n">
        <v>0</v>
      </c>
      <c r="R621" s="2" t="inlineStr"/>
    </row>
    <row r="622" ht="15" customHeight="1">
      <c r="A622" t="inlineStr">
        <is>
          <t>A 58951-2022</t>
        </is>
      </c>
      <c r="B622" s="1" t="n">
        <v>44903.65313657407</v>
      </c>
      <c r="C622" s="1" t="n">
        <v>45937</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33499-2024</t>
        </is>
      </c>
      <c r="B623" s="1" t="n">
        <v>45519.62280092593</v>
      </c>
      <c r="C623" s="1" t="n">
        <v>45937</v>
      </c>
      <c r="D623" t="inlineStr">
        <is>
          <t>VÄRMLANDS LÄN</t>
        </is>
      </c>
      <c r="E623" t="inlineStr">
        <is>
          <t>TORSBY</t>
        </is>
      </c>
      <c r="G623" t="n">
        <v>1.6</v>
      </c>
      <c r="H623" t="n">
        <v>0</v>
      </c>
      <c r="I623" t="n">
        <v>0</v>
      </c>
      <c r="J623" t="n">
        <v>0</v>
      </c>
      <c r="K623" t="n">
        <v>0</v>
      </c>
      <c r="L623" t="n">
        <v>0</v>
      </c>
      <c r="M623" t="n">
        <v>0</v>
      </c>
      <c r="N623" t="n">
        <v>0</v>
      </c>
      <c r="O623" t="n">
        <v>0</v>
      </c>
      <c r="P623" t="n">
        <v>0</v>
      </c>
      <c r="Q623" t="n">
        <v>0</v>
      </c>
      <c r="R623" s="2" t="inlineStr"/>
    </row>
    <row r="624" ht="15" customHeight="1">
      <c r="A624" t="inlineStr">
        <is>
          <t>A 40157-2024</t>
        </is>
      </c>
      <c r="B624" s="1" t="n">
        <v>45554</v>
      </c>
      <c r="C624" s="1" t="n">
        <v>45937</v>
      </c>
      <c r="D624" t="inlineStr">
        <is>
          <t>VÄRMLANDS LÄN</t>
        </is>
      </c>
      <c r="E624" t="inlineStr">
        <is>
          <t>TORSBY</t>
        </is>
      </c>
      <c r="F624" t="inlineStr">
        <is>
          <t>Bergvik skog väst AB</t>
        </is>
      </c>
      <c r="G624" t="n">
        <v>1.4</v>
      </c>
      <c r="H624" t="n">
        <v>0</v>
      </c>
      <c r="I624" t="n">
        <v>0</v>
      </c>
      <c r="J624" t="n">
        <v>0</v>
      </c>
      <c r="K624" t="n">
        <v>0</v>
      </c>
      <c r="L624" t="n">
        <v>0</v>
      </c>
      <c r="M624" t="n">
        <v>0</v>
      </c>
      <c r="N624" t="n">
        <v>0</v>
      </c>
      <c r="O624" t="n">
        <v>0</v>
      </c>
      <c r="P624" t="n">
        <v>0</v>
      </c>
      <c r="Q624" t="n">
        <v>0</v>
      </c>
      <c r="R624" s="2" t="inlineStr"/>
    </row>
    <row r="625" ht="15" customHeight="1">
      <c r="A625" t="inlineStr">
        <is>
          <t>A 40227-2024</t>
        </is>
      </c>
      <c r="B625" s="1" t="n">
        <v>45554</v>
      </c>
      <c r="C625" s="1" t="n">
        <v>45937</v>
      </c>
      <c r="D625" t="inlineStr">
        <is>
          <t>VÄRMLANDS LÄN</t>
        </is>
      </c>
      <c r="E625" t="inlineStr">
        <is>
          <t>TORSBY</t>
        </is>
      </c>
      <c r="F625" t="inlineStr">
        <is>
          <t>Bergvik skog väst AB</t>
        </is>
      </c>
      <c r="G625" t="n">
        <v>4.8</v>
      </c>
      <c r="H625" t="n">
        <v>0</v>
      </c>
      <c r="I625" t="n">
        <v>0</v>
      </c>
      <c r="J625" t="n">
        <v>0</v>
      </c>
      <c r="K625" t="n">
        <v>0</v>
      </c>
      <c r="L625" t="n">
        <v>0</v>
      </c>
      <c r="M625" t="n">
        <v>0</v>
      </c>
      <c r="N625" t="n">
        <v>0</v>
      </c>
      <c r="O625" t="n">
        <v>0</v>
      </c>
      <c r="P625" t="n">
        <v>0</v>
      </c>
      <c r="Q625" t="n">
        <v>0</v>
      </c>
      <c r="R625" s="2" t="inlineStr"/>
    </row>
    <row r="626" ht="15" customHeight="1">
      <c r="A626" t="inlineStr">
        <is>
          <t>A 1120-2023</t>
        </is>
      </c>
      <c r="B626" s="1" t="n">
        <v>44935</v>
      </c>
      <c r="C626" s="1" t="n">
        <v>45937</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6448-2025</t>
        </is>
      </c>
      <c r="B627" s="1" t="n">
        <v>45699</v>
      </c>
      <c r="C627" s="1" t="n">
        <v>45937</v>
      </c>
      <c r="D627" t="inlineStr">
        <is>
          <t>VÄRMLANDS LÄN</t>
        </is>
      </c>
      <c r="E627" t="inlineStr">
        <is>
          <t>TORSBY</t>
        </is>
      </c>
      <c r="G627" t="n">
        <v>6.4</v>
      </c>
      <c r="H627" t="n">
        <v>0</v>
      </c>
      <c r="I627" t="n">
        <v>0</v>
      </c>
      <c r="J627" t="n">
        <v>0</v>
      </c>
      <c r="K627" t="n">
        <v>0</v>
      </c>
      <c r="L627" t="n">
        <v>0</v>
      </c>
      <c r="M627" t="n">
        <v>0</v>
      </c>
      <c r="N627" t="n">
        <v>0</v>
      </c>
      <c r="O627" t="n">
        <v>0</v>
      </c>
      <c r="P627" t="n">
        <v>0</v>
      </c>
      <c r="Q627" t="n">
        <v>0</v>
      </c>
      <c r="R627" s="2" t="inlineStr"/>
    </row>
    <row r="628" ht="15" customHeight="1">
      <c r="A628" t="inlineStr">
        <is>
          <t>A 15014-2025</t>
        </is>
      </c>
      <c r="B628" s="1" t="n">
        <v>45743</v>
      </c>
      <c r="C628" s="1" t="n">
        <v>45937</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22076-2025</t>
        </is>
      </c>
      <c r="B629" s="1" t="n">
        <v>45785.41473379629</v>
      </c>
      <c r="C629" s="1" t="n">
        <v>45937</v>
      </c>
      <c r="D629" t="inlineStr">
        <is>
          <t>VÄRMLANDS LÄN</t>
        </is>
      </c>
      <c r="E629" t="inlineStr">
        <is>
          <t>TORSBY</t>
        </is>
      </c>
      <c r="G629" t="n">
        <v>5.4</v>
      </c>
      <c r="H629" t="n">
        <v>0</v>
      </c>
      <c r="I629" t="n">
        <v>0</v>
      </c>
      <c r="J629" t="n">
        <v>0</v>
      </c>
      <c r="K629" t="n">
        <v>0</v>
      </c>
      <c r="L629" t="n">
        <v>0</v>
      </c>
      <c r="M629" t="n">
        <v>0</v>
      </c>
      <c r="N629" t="n">
        <v>0</v>
      </c>
      <c r="O629" t="n">
        <v>0</v>
      </c>
      <c r="P629" t="n">
        <v>0</v>
      </c>
      <c r="Q629" t="n">
        <v>0</v>
      </c>
      <c r="R629" s="2" t="inlineStr"/>
    </row>
    <row r="630" ht="15" customHeight="1">
      <c r="A630" t="inlineStr">
        <is>
          <t>A 22178-2025</t>
        </is>
      </c>
      <c r="B630" s="1" t="n">
        <v>45785</v>
      </c>
      <c r="C630" s="1" t="n">
        <v>45937</v>
      </c>
      <c r="D630" t="inlineStr">
        <is>
          <t>VÄRMLANDS LÄN</t>
        </is>
      </c>
      <c r="E630" t="inlineStr">
        <is>
          <t>TORSBY</t>
        </is>
      </c>
      <c r="G630" t="n">
        <v>25.5</v>
      </c>
      <c r="H630" t="n">
        <v>0</v>
      </c>
      <c r="I630" t="n">
        <v>0</v>
      </c>
      <c r="J630" t="n">
        <v>0</v>
      </c>
      <c r="K630" t="n">
        <v>0</v>
      </c>
      <c r="L630" t="n">
        <v>0</v>
      </c>
      <c r="M630" t="n">
        <v>0</v>
      </c>
      <c r="N630" t="n">
        <v>0</v>
      </c>
      <c r="O630" t="n">
        <v>0</v>
      </c>
      <c r="P630" t="n">
        <v>0</v>
      </c>
      <c r="Q630" t="n">
        <v>0</v>
      </c>
      <c r="R630" s="2" t="inlineStr"/>
    </row>
    <row r="631" ht="15" customHeight="1">
      <c r="A631" t="inlineStr">
        <is>
          <t>A 33085-2024</t>
        </is>
      </c>
      <c r="B631" s="1" t="n">
        <v>45517.67784722222</v>
      </c>
      <c r="C631" s="1" t="n">
        <v>45937</v>
      </c>
      <c r="D631" t="inlineStr">
        <is>
          <t>VÄRMLANDS LÄN</t>
        </is>
      </c>
      <c r="E631" t="inlineStr">
        <is>
          <t>TORSBY</t>
        </is>
      </c>
      <c r="G631" t="n">
        <v>4.4</v>
      </c>
      <c r="H631" t="n">
        <v>0</v>
      </c>
      <c r="I631" t="n">
        <v>0</v>
      </c>
      <c r="J631" t="n">
        <v>0</v>
      </c>
      <c r="K631" t="n">
        <v>0</v>
      </c>
      <c r="L631" t="n">
        <v>0</v>
      </c>
      <c r="M631" t="n">
        <v>0</v>
      </c>
      <c r="N631" t="n">
        <v>0</v>
      </c>
      <c r="O631" t="n">
        <v>0</v>
      </c>
      <c r="P631" t="n">
        <v>0</v>
      </c>
      <c r="Q631" t="n">
        <v>0</v>
      </c>
      <c r="R631" s="2" t="inlineStr"/>
    </row>
    <row r="632" ht="15" customHeight="1">
      <c r="A632" t="inlineStr">
        <is>
          <t>A 33495-2024</t>
        </is>
      </c>
      <c r="B632" s="1" t="n">
        <v>45519</v>
      </c>
      <c r="C632" s="1" t="n">
        <v>45937</v>
      </c>
      <c r="D632" t="inlineStr">
        <is>
          <t>VÄRMLANDS LÄN</t>
        </is>
      </c>
      <c r="E632" t="inlineStr">
        <is>
          <t>TORSBY</t>
        </is>
      </c>
      <c r="G632" t="n">
        <v>2.5</v>
      </c>
      <c r="H632" t="n">
        <v>0</v>
      </c>
      <c r="I632" t="n">
        <v>0</v>
      </c>
      <c r="J632" t="n">
        <v>0</v>
      </c>
      <c r="K632" t="n">
        <v>0</v>
      </c>
      <c r="L632" t="n">
        <v>0</v>
      </c>
      <c r="M632" t="n">
        <v>0</v>
      </c>
      <c r="N632" t="n">
        <v>0</v>
      </c>
      <c r="O632" t="n">
        <v>0</v>
      </c>
      <c r="P632" t="n">
        <v>0</v>
      </c>
      <c r="Q632" t="n">
        <v>0</v>
      </c>
      <c r="R632" s="2" t="inlineStr"/>
    </row>
    <row r="633" ht="15" customHeight="1">
      <c r="A633" t="inlineStr">
        <is>
          <t>A 22030-2023</t>
        </is>
      </c>
      <c r="B633" s="1" t="n">
        <v>45069</v>
      </c>
      <c r="C633" s="1" t="n">
        <v>45937</v>
      </c>
      <c r="D633" t="inlineStr">
        <is>
          <t>VÄRMLANDS LÄN</t>
        </is>
      </c>
      <c r="E633" t="inlineStr">
        <is>
          <t>TORSBY</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29897-2024</t>
        </is>
      </c>
      <c r="B634" s="1" t="n">
        <v>45487.51834490741</v>
      </c>
      <c r="C634" s="1" t="n">
        <v>45937</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24113-2024</t>
        </is>
      </c>
      <c r="B635" s="1" t="n">
        <v>45456.61590277778</v>
      </c>
      <c r="C635" s="1" t="n">
        <v>45937</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60626-2024</t>
        </is>
      </c>
      <c r="B636" s="1" t="n">
        <v>45642</v>
      </c>
      <c r="C636" s="1" t="n">
        <v>45937</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2981-2025</t>
        </is>
      </c>
      <c r="B637" s="1" t="n">
        <v>45678.48844907407</v>
      </c>
      <c r="C637" s="1" t="n">
        <v>45937</v>
      </c>
      <c r="D637" t="inlineStr">
        <is>
          <t>VÄRMLANDS LÄN</t>
        </is>
      </c>
      <c r="E637" t="inlineStr">
        <is>
          <t>TORSBY</t>
        </is>
      </c>
      <c r="G637" t="n">
        <v>4.7</v>
      </c>
      <c r="H637" t="n">
        <v>0</v>
      </c>
      <c r="I637" t="n">
        <v>0</v>
      </c>
      <c r="J637" t="n">
        <v>0</v>
      </c>
      <c r="K637" t="n">
        <v>0</v>
      </c>
      <c r="L637" t="n">
        <v>0</v>
      </c>
      <c r="M637" t="n">
        <v>0</v>
      </c>
      <c r="N637" t="n">
        <v>0</v>
      </c>
      <c r="O637" t="n">
        <v>0</v>
      </c>
      <c r="P637" t="n">
        <v>0</v>
      </c>
      <c r="Q637" t="n">
        <v>0</v>
      </c>
      <c r="R637" s="2" t="inlineStr"/>
    </row>
    <row r="638" ht="15" customHeight="1">
      <c r="A638" t="inlineStr">
        <is>
          <t>A 60207-2024</t>
        </is>
      </c>
      <c r="B638" s="1" t="n">
        <v>45642.67428240741</v>
      </c>
      <c r="C638" s="1" t="n">
        <v>45937</v>
      </c>
      <c r="D638" t="inlineStr">
        <is>
          <t>VÄRMLANDS LÄN</t>
        </is>
      </c>
      <c r="E638" t="inlineStr">
        <is>
          <t>TORSBY</t>
        </is>
      </c>
      <c r="G638" t="n">
        <v>2.6</v>
      </c>
      <c r="H638" t="n">
        <v>0</v>
      </c>
      <c r="I638" t="n">
        <v>0</v>
      </c>
      <c r="J638" t="n">
        <v>0</v>
      </c>
      <c r="K638" t="n">
        <v>0</v>
      </c>
      <c r="L638" t="n">
        <v>0</v>
      </c>
      <c r="M638" t="n">
        <v>0</v>
      </c>
      <c r="N638" t="n">
        <v>0</v>
      </c>
      <c r="O638" t="n">
        <v>0</v>
      </c>
      <c r="P638" t="n">
        <v>0</v>
      </c>
      <c r="Q638" t="n">
        <v>0</v>
      </c>
      <c r="R638" s="2" t="inlineStr"/>
    </row>
    <row r="639" ht="15" customHeight="1">
      <c r="A639" t="inlineStr">
        <is>
          <t>A 37929-2022</t>
        </is>
      </c>
      <c r="B639" s="1" t="n">
        <v>44811.45628472222</v>
      </c>
      <c r="C639" s="1" t="n">
        <v>45937</v>
      </c>
      <c r="D639" t="inlineStr">
        <is>
          <t>VÄRMLANDS LÄN</t>
        </is>
      </c>
      <c r="E639" t="inlineStr">
        <is>
          <t>TORSBY</t>
        </is>
      </c>
      <c r="G639" t="n">
        <v>2.6</v>
      </c>
      <c r="H639" t="n">
        <v>0</v>
      </c>
      <c r="I639" t="n">
        <v>0</v>
      </c>
      <c r="J639" t="n">
        <v>0</v>
      </c>
      <c r="K639" t="n">
        <v>0</v>
      </c>
      <c r="L639" t="n">
        <v>0</v>
      </c>
      <c r="M639" t="n">
        <v>0</v>
      </c>
      <c r="N639" t="n">
        <v>0</v>
      </c>
      <c r="O639" t="n">
        <v>0</v>
      </c>
      <c r="P639" t="n">
        <v>0</v>
      </c>
      <c r="Q639" t="n">
        <v>0</v>
      </c>
      <c r="R639" s="2" t="inlineStr"/>
    </row>
    <row r="640" ht="15" customHeight="1">
      <c r="A640" t="inlineStr">
        <is>
          <t>A 22090-2025</t>
        </is>
      </c>
      <c r="B640" s="1" t="n">
        <v>45785.45212962963</v>
      </c>
      <c r="C640" s="1" t="n">
        <v>45937</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22715-2025</t>
        </is>
      </c>
      <c r="B641" s="1" t="n">
        <v>45789.56496527778</v>
      </c>
      <c r="C641" s="1" t="n">
        <v>45937</v>
      </c>
      <c r="D641" t="inlineStr">
        <is>
          <t>VÄRMLANDS LÄN</t>
        </is>
      </c>
      <c r="E641" t="inlineStr">
        <is>
          <t>TORSBY</t>
        </is>
      </c>
      <c r="F641" t="inlineStr">
        <is>
          <t>Kyrkan</t>
        </is>
      </c>
      <c r="G641" t="n">
        <v>2</v>
      </c>
      <c r="H641" t="n">
        <v>0</v>
      </c>
      <c r="I641" t="n">
        <v>0</v>
      </c>
      <c r="J641" t="n">
        <v>0</v>
      </c>
      <c r="K641" t="n">
        <v>0</v>
      </c>
      <c r="L641" t="n">
        <v>0</v>
      </c>
      <c r="M641" t="n">
        <v>0</v>
      </c>
      <c r="N641" t="n">
        <v>0</v>
      </c>
      <c r="O641" t="n">
        <v>0</v>
      </c>
      <c r="P641" t="n">
        <v>0</v>
      </c>
      <c r="Q641" t="n">
        <v>0</v>
      </c>
      <c r="R641" s="2" t="inlineStr"/>
    </row>
    <row r="642" ht="15" customHeight="1">
      <c r="A642" t="inlineStr">
        <is>
          <t>A 46456-2024</t>
        </is>
      </c>
      <c r="B642" s="1" t="n">
        <v>45582</v>
      </c>
      <c r="C642" s="1" t="n">
        <v>45937</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22536-2024</t>
        </is>
      </c>
      <c r="B643" s="1" t="n">
        <v>45447</v>
      </c>
      <c r="C643" s="1" t="n">
        <v>45937</v>
      </c>
      <c r="D643" t="inlineStr">
        <is>
          <t>VÄRMLANDS LÄN</t>
        </is>
      </c>
      <c r="E643" t="inlineStr">
        <is>
          <t>TORSBY</t>
        </is>
      </c>
      <c r="G643" t="n">
        <v>25.2</v>
      </c>
      <c r="H643" t="n">
        <v>0</v>
      </c>
      <c r="I643" t="n">
        <v>0</v>
      </c>
      <c r="J643" t="n">
        <v>0</v>
      </c>
      <c r="K643" t="n">
        <v>0</v>
      </c>
      <c r="L643" t="n">
        <v>0</v>
      </c>
      <c r="M643" t="n">
        <v>0</v>
      </c>
      <c r="N643" t="n">
        <v>0</v>
      </c>
      <c r="O643" t="n">
        <v>0</v>
      </c>
      <c r="P643" t="n">
        <v>0</v>
      </c>
      <c r="Q643" t="n">
        <v>0</v>
      </c>
      <c r="R643" s="2" t="inlineStr"/>
    </row>
    <row r="644" ht="15" customHeight="1">
      <c r="A644" t="inlineStr">
        <is>
          <t>A 50680-2023</t>
        </is>
      </c>
      <c r="B644" s="1" t="n">
        <v>45217.5165625</v>
      </c>
      <c r="C644" s="1" t="n">
        <v>45937</v>
      </c>
      <c r="D644" t="inlineStr">
        <is>
          <t>VÄRMLANDS LÄN</t>
        </is>
      </c>
      <c r="E644" t="inlineStr">
        <is>
          <t>TORSBY</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54204-2023</t>
        </is>
      </c>
      <c r="B645" s="1" t="n">
        <v>45232.56141203704</v>
      </c>
      <c r="C645" s="1" t="n">
        <v>45937</v>
      </c>
      <c r="D645" t="inlineStr">
        <is>
          <t>VÄRMLANDS LÄN</t>
        </is>
      </c>
      <c r="E645" t="inlineStr">
        <is>
          <t>TORSBY</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33338-2024</t>
        </is>
      </c>
      <c r="B646" s="1" t="n">
        <v>45519</v>
      </c>
      <c r="C646" s="1" t="n">
        <v>45937</v>
      </c>
      <c r="D646" t="inlineStr">
        <is>
          <t>VÄRMLANDS LÄN</t>
        </is>
      </c>
      <c r="E646" t="inlineStr">
        <is>
          <t>TORSBY</t>
        </is>
      </c>
      <c r="G646" t="n">
        <v>0.7</v>
      </c>
      <c r="H646" t="n">
        <v>0</v>
      </c>
      <c r="I646" t="n">
        <v>0</v>
      </c>
      <c r="J646" t="n">
        <v>0</v>
      </c>
      <c r="K646" t="n">
        <v>0</v>
      </c>
      <c r="L646" t="n">
        <v>0</v>
      </c>
      <c r="M646" t="n">
        <v>0</v>
      </c>
      <c r="N646" t="n">
        <v>0</v>
      </c>
      <c r="O646" t="n">
        <v>0</v>
      </c>
      <c r="P646" t="n">
        <v>0</v>
      </c>
      <c r="Q646" t="n">
        <v>0</v>
      </c>
      <c r="R646" s="2" t="inlineStr"/>
    </row>
    <row r="647" ht="15" customHeight="1">
      <c r="A647" t="inlineStr">
        <is>
          <t>A 15885-2025</t>
        </is>
      </c>
      <c r="B647" s="1" t="n">
        <v>45749</v>
      </c>
      <c r="C647" s="1" t="n">
        <v>45937</v>
      </c>
      <c r="D647" t="inlineStr">
        <is>
          <t>VÄRMLANDS LÄN</t>
        </is>
      </c>
      <c r="E647" t="inlineStr">
        <is>
          <t>TORSBY</t>
        </is>
      </c>
      <c r="G647" t="n">
        <v>9.9</v>
      </c>
      <c r="H647" t="n">
        <v>0</v>
      </c>
      <c r="I647" t="n">
        <v>0</v>
      </c>
      <c r="J647" t="n">
        <v>0</v>
      </c>
      <c r="K647" t="n">
        <v>0</v>
      </c>
      <c r="L647" t="n">
        <v>0</v>
      </c>
      <c r="M647" t="n">
        <v>0</v>
      </c>
      <c r="N647" t="n">
        <v>0</v>
      </c>
      <c r="O647" t="n">
        <v>0</v>
      </c>
      <c r="P647" t="n">
        <v>0</v>
      </c>
      <c r="Q647" t="n">
        <v>0</v>
      </c>
      <c r="R647" s="2" t="inlineStr"/>
    </row>
    <row r="648" ht="15" customHeight="1">
      <c r="A648" t="inlineStr">
        <is>
          <t>A 25579-2023</t>
        </is>
      </c>
      <c r="B648" s="1" t="n">
        <v>45089.62266203704</v>
      </c>
      <c r="C648" s="1" t="n">
        <v>45937</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23823-2021</t>
        </is>
      </c>
      <c r="B649" s="1" t="n">
        <v>44335</v>
      </c>
      <c r="C649" s="1" t="n">
        <v>45937</v>
      </c>
      <c r="D649" t="inlineStr">
        <is>
          <t>VÄRMLANDS LÄN</t>
        </is>
      </c>
      <c r="E649" t="inlineStr">
        <is>
          <t>TORSBY</t>
        </is>
      </c>
      <c r="G649" t="n">
        <v>3.1</v>
      </c>
      <c r="H649" t="n">
        <v>0</v>
      </c>
      <c r="I649" t="n">
        <v>0</v>
      </c>
      <c r="J649" t="n">
        <v>0</v>
      </c>
      <c r="K649" t="n">
        <v>0</v>
      </c>
      <c r="L649" t="n">
        <v>0</v>
      </c>
      <c r="M649" t="n">
        <v>0</v>
      </c>
      <c r="N649" t="n">
        <v>0</v>
      </c>
      <c r="O649" t="n">
        <v>0</v>
      </c>
      <c r="P649" t="n">
        <v>0</v>
      </c>
      <c r="Q649" t="n">
        <v>0</v>
      </c>
      <c r="R649" s="2" t="inlineStr"/>
    </row>
    <row r="650" ht="15" customHeight="1">
      <c r="A650" t="inlineStr">
        <is>
          <t>A 39770-2024</t>
        </is>
      </c>
      <c r="B650" s="1" t="n">
        <v>45552</v>
      </c>
      <c r="C650" s="1" t="n">
        <v>45937</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16017-2025</t>
        </is>
      </c>
      <c r="B651" s="1" t="n">
        <v>45749</v>
      </c>
      <c r="C651" s="1" t="n">
        <v>45937</v>
      </c>
      <c r="D651" t="inlineStr">
        <is>
          <t>VÄRMLANDS LÄN</t>
        </is>
      </c>
      <c r="E651" t="inlineStr">
        <is>
          <t>TORSBY</t>
        </is>
      </c>
      <c r="G651" t="n">
        <v>2.3</v>
      </c>
      <c r="H651" t="n">
        <v>0</v>
      </c>
      <c r="I651" t="n">
        <v>0</v>
      </c>
      <c r="J651" t="n">
        <v>0</v>
      </c>
      <c r="K651" t="n">
        <v>0</v>
      </c>
      <c r="L651" t="n">
        <v>0</v>
      </c>
      <c r="M651" t="n">
        <v>0</v>
      </c>
      <c r="N651" t="n">
        <v>0</v>
      </c>
      <c r="O651" t="n">
        <v>0</v>
      </c>
      <c r="P651" t="n">
        <v>0</v>
      </c>
      <c r="Q651" t="n">
        <v>0</v>
      </c>
      <c r="R651" s="2" t="inlineStr"/>
    </row>
    <row r="652" ht="15" customHeight="1">
      <c r="A652" t="inlineStr">
        <is>
          <t>A 46195-2023</t>
        </is>
      </c>
      <c r="B652" s="1" t="n">
        <v>45196</v>
      </c>
      <c r="C652" s="1" t="n">
        <v>45937</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11187-2024</t>
        </is>
      </c>
      <c r="B653" s="1" t="n">
        <v>45371</v>
      </c>
      <c r="C653" s="1" t="n">
        <v>45937</v>
      </c>
      <c r="D653" t="inlineStr">
        <is>
          <t>VÄRMLANDS LÄN</t>
        </is>
      </c>
      <c r="E653" t="inlineStr">
        <is>
          <t>TORSBY</t>
        </is>
      </c>
      <c r="G653" t="n">
        <v>8</v>
      </c>
      <c r="H653" t="n">
        <v>0</v>
      </c>
      <c r="I653" t="n">
        <v>0</v>
      </c>
      <c r="J653" t="n">
        <v>0</v>
      </c>
      <c r="K653" t="n">
        <v>0</v>
      </c>
      <c r="L653" t="n">
        <v>0</v>
      </c>
      <c r="M653" t="n">
        <v>0</v>
      </c>
      <c r="N653" t="n">
        <v>0</v>
      </c>
      <c r="O653" t="n">
        <v>0</v>
      </c>
      <c r="P653" t="n">
        <v>0</v>
      </c>
      <c r="Q653" t="n">
        <v>0</v>
      </c>
      <c r="R653" s="2" t="inlineStr"/>
    </row>
    <row r="654" ht="15" customHeight="1">
      <c r="A654" t="inlineStr">
        <is>
          <t>A 48106-2023</t>
        </is>
      </c>
      <c r="B654" s="1" t="n">
        <v>45205.3434837963</v>
      </c>
      <c r="C654" s="1" t="n">
        <v>45937</v>
      </c>
      <c r="D654" t="inlineStr">
        <is>
          <t>VÄRMLANDS LÄN</t>
        </is>
      </c>
      <c r="E654" t="inlineStr">
        <is>
          <t>TORSBY</t>
        </is>
      </c>
      <c r="G654" t="n">
        <v>3.9</v>
      </c>
      <c r="H654" t="n">
        <v>0</v>
      </c>
      <c r="I654" t="n">
        <v>0</v>
      </c>
      <c r="J654" t="n">
        <v>0</v>
      </c>
      <c r="K654" t="n">
        <v>0</v>
      </c>
      <c r="L654" t="n">
        <v>0</v>
      </c>
      <c r="M654" t="n">
        <v>0</v>
      </c>
      <c r="N654" t="n">
        <v>0</v>
      </c>
      <c r="O654" t="n">
        <v>0</v>
      </c>
      <c r="P654" t="n">
        <v>0</v>
      </c>
      <c r="Q654" t="n">
        <v>0</v>
      </c>
      <c r="R654" s="2" t="inlineStr"/>
    </row>
    <row r="655" ht="15" customHeight="1">
      <c r="A655" t="inlineStr">
        <is>
          <t>A 22593-2025</t>
        </is>
      </c>
      <c r="B655" s="1" t="n">
        <v>45789.41113425926</v>
      </c>
      <c r="C655" s="1" t="n">
        <v>45937</v>
      </c>
      <c r="D655" t="inlineStr">
        <is>
          <t>VÄRMLANDS LÄN</t>
        </is>
      </c>
      <c r="E655" t="inlineStr">
        <is>
          <t>TORSBY</t>
        </is>
      </c>
      <c r="F655" t="inlineStr">
        <is>
          <t>Bergvik skog väst AB</t>
        </is>
      </c>
      <c r="G655" t="n">
        <v>0.3</v>
      </c>
      <c r="H655" t="n">
        <v>0</v>
      </c>
      <c r="I655" t="n">
        <v>0</v>
      </c>
      <c r="J655" t="n">
        <v>0</v>
      </c>
      <c r="K655" t="n">
        <v>0</v>
      </c>
      <c r="L655" t="n">
        <v>0</v>
      </c>
      <c r="M655" t="n">
        <v>0</v>
      </c>
      <c r="N655" t="n">
        <v>0</v>
      </c>
      <c r="O655" t="n">
        <v>0</v>
      </c>
      <c r="P655" t="n">
        <v>0</v>
      </c>
      <c r="Q655" t="n">
        <v>0</v>
      </c>
      <c r="R655" s="2" t="inlineStr"/>
    </row>
    <row r="656" ht="15" customHeight="1">
      <c r="A656" t="inlineStr">
        <is>
          <t>A 54162-2023</t>
        </is>
      </c>
      <c r="B656" s="1" t="n">
        <v>45232.47539351852</v>
      </c>
      <c r="C656" s="1" t="n">
        <v>45937</v>
      </c>
      <c r="D656" t="inlineStr">
        <is>
          <t>VÄRMLANDS LÄN</t>
        </is>
      </c>
      <c r="E656" t="inlineStr">
        <is>
          <t>TORSBY</t>
        </is>
      </c>
      <c r="F656" t="inlineStr">
        <is>
          <t>Bergvik skog väst AB</t>
        </is>
      </c>
      <c r="G656" t="n">
        <v>8.4</v>
      </c>
      <c r="H656" t="n">
        <v>0</v>
      </c>
      <c r="I656" t="n">
        <v>0</v>
      </c>
      <c r="J656" t="n">
        <v>0</v>
      </c>
      <c r="K656" t="n">
        <v>0</v>
      </c>
      <c r="L656" t="n">
        <v>0</v>
      </c>
      <c r="M656" t="n">
        <v>0</v>
      </c>
      <c r="N656" t="n">
        <v>0</v>
      </c>
      <c r="O656" t="n">
        <v>0</v>
      </c>
      <c r="P656" t="n">
        <v>0</v>
      </c>
      <c r="Q656" t="n">
        <v>0</v>
      </c>
      <c r="R656" s="2" t="inlineStr"/>
    </row>
    <row r="657" ht="15" customHeight="1">
      <c r="A657" t="inlineStr">
        <is>
          <t>A 54191-2023</t>
        </is>
      </c>
      <c r="B657" s="1" t="n">
        <v>45232</v>
      </c>
      <c r="C657" s="1" t="n">
        <v>45937</v>
      </c>
      <c r="D657" t="inlineStr">
        <is>
          <t>VÄRMLANDS LÄN</t>
        </is>
      </c>
      <c r="E657" t="inlineStr">
        <is>
          <t>TORSBY</t>
        </is>
      </c>
      <c r="F657" t="inlineStr">
        <is>
          <t>Bergvik skog väst AB</t>
        </is>
      </c>
      <c r="G657" t="n">
        <v>3.1</v>
      </c>
      <c r="H657" t="n">
        <v>0</v>
      </c>
      <c r="I657" t="n">
        <v>0</v>
      </c>
      <c r="J657" t="n">
        <v>0</v>
      </c>
      <c r="K657" t="n">
        <v>0</v>
      </c>
      <c r="L657" t="n">
        <v>0</v>
      </c>
      <c r="M657" t="n">
        <v>0</v>
      </c>
      <c r="N657" t="n">
        <v>0</v>
      </c>
      <c r="O657" t="n">
        <v>0</v>
      </c>
      <c r="P657" t="n">
        <v>0</v>
      </c>
      <c r="Q657" t="n">
        <v>0</v>
      </c>
      <c r="R657" s="2" t="inlineStr"/>
    </row>
    <row r="658" ht="15" customHeight="1">
      <c r="A658" t="inlineStr">
        <is>
          <t>A 16789-2024</t>
        </is>
      </c>
      <c r="B658" s="1" t="n">
        <v>45411</v>
      </c>
      <c r="C658" s="1" t="n">
        <v>45937</v>
      </c>
      <c r="D658" t="inlineStr">
        <is>
          <t>VÄRMLANDS LÄN</t>
        </is>
      </c>
      <c r="E658" t="inlineStr">
        <is>
          <t>TORSBY</t>
        </is>
      </c>
      <c r="G658" t="n">
        <v>2.4</v>
      </c>
      <c r="H658" t="n">
        <v>0</v>
      </c>
      <c r="I658" t="n">
        <v>0</v>
      </c>
      <c r="J658" t="n">
        <v>0</v>
      </c>
      <c r="K658" t="n">
        <v>0</v>
      </c>
      <c r="L658" t="n">
        <v>0</v>
      </c>
      <c r="M658" t="n">
        <v>0</v>
      </c>
      <c r="N658" t="n">
        <v>0</v>
      </c>
      <c r="O658" t="n">
        <v>0</v>
      </c>
      <c r="P658" t="n">
        <v>0</v>
      </c>
      <c r="Q658" t="n">
        <v>0</v>
      </c>
      <c r="R658" s="2" t="inlineStr"/>
    </row>
    <row r="659" ht="15" customHeight="1">
      <c r="A659" t="inlineStr">
        <is>
          <t>A 7101-2025</t>
        </is>
      </c>
      <c r="B659" s="1" t="n">
        <v>45701</v>
      </c>
      <c r="C659" s="1" t="n">
        <v>45937</v>
      </c>
      <c r="D659" t="inlineStr">
        <is>
          <t>VÄRMLANDS LÄN</t>
        </is>
      </c>
      <c r="E659" t="inlineStr">
        <is>
          <t>TORSBY</t>
        </is>
      </c>
      <c r="G659" t="n">
        <v>4.2</v>
      </c>
      <c r="H659" t="n">
        <v>0</v>
      </c>
      <c r="I659" t="n">
        <v>0</v>
      </c>
      <c r="J659" t="n">
        <v>0</v>
      </c>
      <c r="K659" t="n">
        <v>0</v>
      </c>
      <c r="L659" t="n">
        <v>0</v>
      </c>
      <c r="M659" t="n">
        <v>0</v>
      </c>
      <c r="N659" t="n">
        <v>0</v>
      </c>
      <c r="O659" t="n">
        <v>0</v>
      </c>
      <c r="P659" t="n">
        <v>0</v>
      </c>
      <c r="Q659" t="n">
        <v>0</v>
      </c>
      <c r="R659" s="2" t="inlineStr"/>
    </row>
    <row r="660" ht="15" customHeight="1">
      <c r="A660" t="inlineStr">
        <is>
          <t>A 22845-2025</t>
        </is>
      </c>
      <c r="B660" s="1" t="n">
        <v>45790</v>
      </c>
      <c r="C660" s="1" t="n">
        <v>45937</v>
      </c>
      <c r="D660" t="inlineStr">
        <is>
          <t>VÄRMLANDS LÄN</t>
        </is>
      </c>
      <c r="E660" t="inlineStr">
        <is>
          <t>TORSBY</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22708-2025</t>
        </is>
      </c>
      <c r="B661" s="1" t="n">
        <v>45789.55561342592</v>
      </c>
      <c r="C661" s="1" t="n">
        <v>45937</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22757-2025</t>
        </is>
      </c>
      <c r="B662" s="1" t="n">
        <v>45789.61908564815</v>
      </c>
      <c r="C662" s="1" t="n">
        <v>45937</v>
      </c>
      <c r="D662" t="inlineStr">
        <is>
          <t>VÄRMLANDS LÄN</t>
        </is>
      </c>
      <c r="E662" t="inlineStr">
        <is>
          <t>TORSBY</t>
        </is>
      </c>
      <c r="G662" t="n">
        <v>7.1</v>
      </c>
      <c r="H662" t="n">
        <v>0</v>
      </c>
      <c r="I662" t="n">
        <v>0</v>
      </c>
      <c r="J662" t="n">
        <v>0</v>
      </c>
      <c r="K662" t="n">
        <v>0</v>
      </c>
      <c r="L662" t="n">
        <v>0</v>
      </c>
      <c r="M662" t="n">
        <v>0</v>
      </c>
      <c r="N662" t="n">
        <v>0</v>
      </c>
      <c r="O662" t="n">
        <v>0</v>
      </c>
      <c r="P662" t="n">
        <v>0</v>
      </c>
      <c r="Q662" t="n">
        <v>0</v>
      </c>
      <c r="R662" s="2" t="inlineStr"/>
    </row>
    <row r="663" ht="15" customHeight="1">
      <c r="A663" t="inlineStr">
        <is>
          <t>A 4070-2024</t>
        </is>
      </c>
      <c r="B663" s="1" t="n">
        <v>45323</v>
      </c>
      <c r="C663" s="1" t="n">
        <v>45937</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49814-2022</t>
        </is>
      </c>
      <c r="B664" s="1" t="n">
        <v>44859</v>
      </c>
      <c r="C664" s="1" t="n">
        <v>45937</v>
      </c>
      <c r="D664" t="inlineStr">
        <is>
          <t>VÄRMLANDS LÄN</t>
        </is>
      </c>
      <c r="E664" t="inlineStr">
        <is>
          <t>TORSBY</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22316-2025</t>
        </is>
      </c>
      <c r="B665" s="1" t="n">
        <v>45786.39013888889</v>
      </c>
      <c r="C665" s="1" t="n">
        <v>45937</v>
      </c>
      <c r="D665" t="inlineStr">
        <is>
          <t>VÄRMLANDS LÄN</t>
        </is>
      </c>
      <c r="E665" t="inlineStr">
        <is>
          <t>TORSBY</t>
        </is>
      </c>
      <c r="F665" t="inlineStr">
        <is>
          <t>Bergvik skog väst AB</t>
        </is>
      </c>
      <c r="G665" t="n">
        <v>1.6</v>
      </c>
      <c r="H665" t="n">
        <v>0</v>
      </c>
      <c r="I665" t="n">
        <v>0</v>
      </c>
      <c r="J665" t="n">
        <v>0</v>
      </c>
      <c r="K665" t="n">
        <v>0</v>
      </c>
      <c r="L665" t="n">
        <v>0</v>
      </c>
      <c r="M665" t="n">
        <v>0</v>
      </c>
      <c r="N665" t="n">
        <v>0</v>
      </c>
      <c r="O665" t="n">
        <v>0</v>
      </c>
      <c r="P665" t="n">
        <v>0</v>
      </c>
      <c r="Q665" t="n">
        <v>0</v>
      </c>
      <c r="R665" s="2" t="inlineStr"/>
    </row>
    <row r="666" ht="15" customHeight="1">
      <c r="A666" t="inlineStr">
        <is>
          <t>A 22596-2025</t>
        </is>
      </c>
      <c r="B666" s="1" t="n">
        <v>45789.41362268518</v>
      </c>
      <c r="C666" s="1" t="n">
        <v>45937</v>
      </c>
      <c r="D666" t="inlineStr">
        <is>
          <t>VÄRMLANDS LÄN</t>
        </is>
      </c>
      <c r="E666" t="inlineStr">
        <is>
          <t>TORSBY</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19253-2025</t>
        </is>
      </c>
      <c r="B667" s="1" t="n">
        <v>45769</v>
      </c>
      <c r="C667" s="1" t="n">
        <v>45937</v>
      </c>
      <c r="D667" t="inlineStr">
        <is>
          <t>VÄRMLANDS LÄN</t>
        </is>
      </c>
      <c r="E667" t="inlineStr">
        <is>
          <t>TORSBY</t>
        </is>
      </c>
      <c r="G667" t="n">
        <v>3.9</v>
      </c>
      <c r="H667" t="n">
        <v>0</v>
      </c>
      <c r="I667" t="n">
        <v>0</v>
      </c>
      <c r="J667" t="n">
        <v>0</v>
      </c>
      <c r="K667" t="n">
        <v>0</v>
      </c>
      <c r="L667" t="n">
        <v>0</v>
      </c>
      <c r="M667" t="n">
        <v>0</v>
      </c>
      <c r="N667" t="n">
        <v>0</v>
      </c>
      <c r="O667" t="n">
        <v>0</v>
      </c>
      <c r="P667" t="n">
        <v>0</v>
      </c>
      <c r="Q667" t="n">
        <v>0</v>
      </c>
      <c r="R667" s="2" t="inlineStr"/>
    </row>
    <row r="668" ht="15" customHeight="1">
      <c r="A668" t="inlineStr">
        <is>
          <t>A 22954-2025</t>
        </is>
      </c>
      <c r="B668" s="1" t="n">
        <v>45790.5184375</v>
      </c>
      <c r="C668" s="1" t="n">
        <v>45937</v>
      </c>
      <c r="D668" t="inlineStr">
        <is>
          <t>VÄRMLANDS LÄN</t>
        </is>
      </c>
      <c r="E668" t="inlineStr">
        <is>
          <t>TORSBY</t>
        </is>
      </c>
      <c r="G668" t="n">
        <v>5.4</v>
      </c>
      <c r="H668" t="n">
        <v>0</v>
      </c>
      <c r="I668" t="n">
        <v>0</v>
      </c>
      <c r="J668" t="n">
        <v>0</v>
      </c>
      <c r="K668" t="n">
        <v>0</v>
      </c>
      <c r="L668" t="n">
        <v>0</v>
      </c>
      <c r="M668" t="n">
        <v>0</v>
      </c>
      <c r="N668" t="n">
        <v>0</v>
      </c>
      <c r="O668" t="n">
        <v>0</v>
      </c>
      <c r="P668" t="n">
        <v>0</v>
      </c>
      <c r="Q668" t="n">
        <v>0</v>
      </c>
      <c r="R668" s="2" t="inlineStr"/>
    </row>
    <row r="669" ht="15" customHeight="1">
      <c r="A669" t="inlineStr">
        <is>
          <t>A 22760-2025</t>
        </is>
      </c>
      <c r="B669" s="1" t="n">
        <v>45789</v>
      </c>
      <c r="C669" s="1" t="n">
        <v>45937</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60454-2024</t>
        </is>
      </c>
      <c r="B670" s="1" t="n">
        <v>45643</v>
      </c>
      <c r="C670" s="1" t="n">
        <v>45937</v>
      </c>
      <c r="D670" t="inlineStr">
        <is>
          <t>VÄRMLANDS LÄN</t>
        </is>
      </c>
      <c r="E670" t="inlineStr">
        <is>
          <t>TORSBY</t>
        </is>
      </c>
      <c r="G670" t="n">
        <v>4.5</v>
      </c>
      <c r="H670" t="n">
        <v>0</v>
      </c>
      <c r="I670" t="n">
        <v>0</v>
      </c>
      <c r="J670" t="n">
        <v>0</v>
      </c>
      <c r="K670" t="n">
        <v>0</v>
      </c>
      <c r="L670" t="n">
        <v>0</v>
      </c>
      <c r="M670" t="n">
        <v>0</v>
      </c>
      <c r="N670" t="n">
        <v>0</v>
      </c>
      <c r="O670" t="n">
        <v>0</v>
      </c>
      <c r="P670" t="n">
        <v>0</v>
      </c>
      <c r="Q670" t="n">
        <v>0</v>
      </c>
      <c r="R670" s="2" t="inlineStr"/>
    </row>
    <row r="671" ht="15" customHeight="1">
      <c r="A671" t="inlineStr">
        <is>
          <t>A 54023-2024</t>
        </is>
      </c>
      <c r="B671" s="1" t="n">
        <v>45616</v>
      </c>
      <c r="C671" s="1" t="n">
        <v>45937</v>
      </c>
      <c r="D671" t="inlineStr">
        <is>
          <t>VÄRMLANDS LÄN</t>
        </is>
      </c>
      <c r="E671" t="inlineStr">
        <is>
          <t>TORSBY</t>
        </is>
      </c>
      <c r="F671" t="inlineStr">
        <is>
          <t>Kommuner</t>
        </is>
      </c>
      <c r="G671" t="n">
        <v>3</v>
      </c>
      <c r="H671" t="n">
        <v>0</v>
      </c>
      <c r="I671" t="n">
        <v>0</v>
      </c>
      <c r="J671" t="n">
        <v>0</v>
      </c>
      <c r="K671" t="n">
        <v>0</v>
      </c>
      <c r="L671" t="n">
        <v>0</v>
      </c>
      <c r="M671" t="n">
        <v>0</v>
      </c>
      <c r="N671" t="n">
        <v>0</v>
      </c>
      <c r="O671" t="n">
        <v>0</v>
      </c>
      <c r="P671" t="n">
        <v>0</v>
      </c>
      <c r="Q671" t="n">
        <v>0</v>
      </c>
      <c r="R671" s="2" t="inlineStr"/>
    </row>
    <row r="672" ht="15" customHeight="1">
      <c r="A672" t="inlineStr">
        <is>
          <t>A 54027-2024</t>
        </is>
      </c>
      <c r="B672" s="1" t="n">
        <v>45616</v>
      </c>
      <c r="C672" s="1" t="n">
        <v>45937</v>
      </c>
      <c r="D672" t="inlineStr">
        <is>
          <t>VÄRMLANDS LÄN</t>
        </is>
      </c>
      <c r="E672" t="inlineStr">
        <is>
          <t>TORSBY</t>
        </is>
      </c>
      <c r="F672" t="inlineStr">
        <is>
          <t>Bergvik skog väst AB</t>
        </is>
      </c>
      <c r="G672" t="n">
        <v>2.1</v>
      </c>
      <c r="H672" t="n">
        <v>0</v>
      </c>
      <c r="I672" t="n">
        <v>0</v>
      </c>
      <c r="J672" t="n">
        <v>0</v>
      </c>
      <c r="K672" t="n">
        <v>0</v>
      </c>
      <c r="L672" t="n">
        <v>0</v>
      </c>
      <c r="M672" t="n">
        <v>0</v>
      </c>
      <c r="N672" t="n">
        <v>0</v>
      </c>
      <c r="O672" t="n">
        <v>0</v>
      </c>
      <c r="P672" t="n">
        <v>0</v>
      </c>
      <c r="Q672" t="n">
        <v>0</v>
      </c>
      <c r="R672" s="2" t="inlineStr"/>
    </row>
    <row r="673" ht="15" customHeight="1">
      <c r="A673" t="inlineStr">
        <is>
          <t>A 2471-2023</t>
        </is>
      </c>
      <c r="B673" s="1" t="n">
        <v>44943.48373842592</v>
      </c>
      <c r="C673" s="1" t="n">
        <v>45937</v>
      </c>
      <c r="D673" t="inlineStr">
        <is>
          <t>VÄRMLANDS LÄN</t>
        </is>
      </c>
      <c r="E673" t="inlineStr">
        <is>
          <t>TORSBY</t>
        </is>
      </c>
      <c r="G673" t="n">
        <v>2.2</v>
      </c>
      <c r="H673" t="n">
        <v>0</v>
      </c>
      <c r="I673" t="n">
        <v>0</v>
      </c>
      <c r="J673" t="n">
        <v>0</v>
      </c>
      <c r="K673" t="n">
        <v>0</v>
      </c>
      <c r="L673" t="n">
        <v>0</v>
      </c>
      <c r="M673" t="n">
        <v>0</v>
      </c>
      <c r="N673" t="n">
        <v>0</v>
      </c>
      <c r="O673" t="n">
        <v>0</v>
      </c>
      <c r="P673" t="n">
        <v>0</v>
      </c>
      <c r="Q673" t="n">
        <v>0</v>
      </c>
      <c r="R673" s="2" t="inlineStr"/>
    </row>
    <row r="674" ht="15" customHeight="1">
      <c r="A674" t="inlineStr">
        <is>
          <t>A 7214-2025</t>
        </is>
      </c>
      <c r="B674" s="1" t="n">
        <v>45702</v>
      </c>
      <c r="C674" s="1" t="n">
        <v>45937</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54609-2024</t>
        </is>
      </c>
      <c r="B675" s="1" t="n">
        <v>45617</v>
      </c>
      <c r="C675" s="1" t="n">
        <v>45937</v>
      </c>
      <c r="D675" t="inlineStr">
        <is>
          <t>VÄRMLANDS LÄN</t>
        </is>
      </c>
      <c r="E675" t="inlineStr">
        <is>
          <t>TORSBY</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19964-2025</t>
        </is>
      </c>
      <c r="B676" s="1" t="n">
        <v>45771.67315972222</v>
      </c>
      <c r="C676" s="1" t="n">
        <v>45937</v>
      </c>
      <c r="D676" t="inlineStr">
        <is>
          <t>VÄRMLANDS LÄN</t>
        </is>
      </c>
      <c r="E676" t="inlineStr">
        <is>
          <t>TORSBY</t>
        </is>
      </c>
      <c r="F676" t="inlineStr">
        <is>
          <t>Bergvik skog väst AB</t>
        </is>
      </c>
      <c r="G676" t="n">
        <v>23.8</v>
      </c>
      <c r="H676" t="n">
        <v>0</v>
      </c>
      <c r="I676" t="n">
        <v>0</v>
      </c>
      <c r="J676" t="n">
        <v>0</v>
      </c>
      <c r="K676" t="n">
        <v>0</v>
      </c>
      <c r="L676" t="n">
        <v>0</v>
      </c>
      <c r="M676" t="n">
        <v>0</v>
      </c>
      <c r="N676" t="n">
        <v>0</v>
      </c>
      <c r="O676" t="n">
        <v>0</v>
      </c>
      <c r="P676" t="n">
        <v>0</v>
      </c>
      <c r="Q676" t="n">
        <v>0</v>
      </c>
      <c r="R676" s="2" t="inlineStr"/>
    </row>
    <row r="677" ht="15" customHeight="1">
      <c r="A677" t="inlineStr">
        <is>
          <t>A 17931-2024</t>
        </is>
      </c>
      <c r="B677" s="1" t="n">
        <v>45419</v>
      </c>
      <c r="C677" s="1" t="n">
        <v>45937</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54004-2024</t>
        </is>
      </c>
      <c r="B678" s="1" t="n">
        <v>45616.36659722222</v>
      </c>
      <c r="C678" s="1" t="n">
        <v>45937</v>
      </c>
      <c r="D678" t="inlineStr">
        <is>
          <t>VÄRMLANDS LÄN</t>
        </is>
      </c>
      <c r="E678" t="inlineStr">
        <is>
          <t>TORSBY</t>
        </is>
      </c>
      <c r="F678" t="inlineStr">
        <is>
          <t>Kommuner</t>
        </is>
      </c>
      <c r="G678" t="n">
        <v>4</v>
      </c>
      <c r="H678" t="n">
        <v>0</v>
      </c>
      <c r="I678" t="n">
        <v>0</v>
      </c>
      <c r="J678" t="n">
        <v>0</v>
      </c>
      <c r="K678" t="n">
        <v>0</v>
      </c>
      <c r="L678" t="n">
        <v>0</v>
      </c>
      <c r="M678" t="n">
        <v>0</v>
      </c>
      <c r="N678" t="n">
        <v>0</v>
      </c>
      <c r="O678" t="n">
        <v>0</v>
      </c>
      <c r="P678" t="n">
        <v>0</v>
      </c>
      <c r="Q678" t="n">
        <v>0</v>
      </c>
      <c r="R678" s="2" t="inlineStr"/>
    </row>
    <row r="679" ht="15" customHeight="1">
      <c r="A679" t="inlineStr">
        <is>
          <t>A 30370-2023</t>
        </is>
      </c>
      <c r="B679" s="1" t="n">
        <v>45111</v>
      </c>
      <c r="C679" s="1" t="n">
        <v>45937</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14614-2025</t>
        </is>
      </c>
      <c r="B680" s="1" t="n">
        <v>45742</v>
      </c>
      <c r="C680" s="1" t="n">
        <v>45937</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38497-2024</t>
        </is>
      </c>
      <c r="B681" s="1" t="n">
        <v>45546.51869212963</v>
      </c>
      <c r="C681" s="1" t="n">
        <v>45937</v>
      </c>
      <c r="D681" t="inlineStr">
        <is>
          <t>VÄRMLANDS LÄN</t>
        </is>
      </c>
      <c r="E681" t="inlineStr">
        <is>
          <t>TORSBY</t>
        </is>
      </c>
      <c r="G681" t="n">
        <v>1.5</v>
      </c>
      <c r="H681" t="n">
        <v>0</v>
      </c>
      <c r="I681" t="n">
        <v>0</v>
      </c>
      <c r="J681" t="n">
        <v>0</v>
      </c>
      <c r="K681" t="n">
        <v>0</v>
      </c>
      <c r="L681" t="n">
        <v>0</v>
      </c>
      <c r="M681" t="n">
        <v>0</v>
      </c>
      <c r="N681" t="n">
        <v>0</v>
      </c>
      <c r="O681" t="n">
        <v>0</v>
      </c>
      <c r="P681" t="n">
        <v>0</v>
      </c>
      <c r="Q681" t="n">
        <v>0</v>
      </c>
      <c r="R681" s="2" t="inlineStr"/>
    </row>
    <row r="682" ht="15" customHeight="1">
      <c r="A682" t="inlineStr">
        <is>
          <t>A 51505-2021</t>
        </is>
      </c>
      <c r="B682" s="1" t="n">
        <v>44460</v>
      </c>
      <c r="C682" s="1" t="n">
        <v>45937</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27458-2023</t>
        </is>
      </c>
      <c r="B683" s="1" t="n">
        <v>45097</v>
      </c>
      <c r="C683" s="1" t="n">
        <v>45937</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43179-2023</t>
        </is>
      </c>
      <c r="B684" s="1" t="n">
        <v>45183.37615740741</v>
      </c>
      <c r="C684" s="1" t="n">
        <v>45937</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52592-2024</t>
        </is>
      </c>
      <c r="B685" s="1" t="n">
        <v>45609</v>
      </c>
      <c r="C685" s="1" t="n">
        <v>45937</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53492-2022</t>
        </is>
      </c>
      <c r="B686" s="1" t="n">
        <v>44879.56734953704</v>
      </c>
      <c r="C686" s="1" t="n">
        <v>45937</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17687-2024</t>
        </is>
      </c>
      <c r="B687" s="1" t="n">
        <v>45418</v>
      </c>
      <c r="C687" s="1" t="n">
        <v>45937</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9902-2024</t>
        </is>
      </c>
      <c r="B688" s="1" t="n">
        <v>45363</v>
      </c>
      <c r="C688" s="1" t="n">
        <v>45937</v>
      </c>
      <c r="D688" t="inlineStr">
        <is>
          <t>VÄRMLANDS LÄN</t>
        </is>
      </c>
      <c r="E688" t="inlineStr">
        <is>
          <t>TORSBY</t>
        </is>
      </c>
      <c r="G688" t="n">
        <v>4.4</v>
      </c>
      <c r="H688" t="n">
        <v>0</v>
      </c>
      <c r="I688" t="n">
        <v>0</v>
      </c>
      <c r="J688" t="n">
        <v>0</v>
      </c>
      <c r="K688" t="n">
        <v>0</v>
      </c>
      <c r="L688" t="n">
        <v>0</v>
      </c>
      <c r="M688" t="n">
        <v>0</v>
      </c>
      <c r="N688" t="n">
        <v>0</v>
      </c>
      <c r="O688" t="n">
        <v>0</v>
      </c>
      <c r="P688" t="n">
        <v>0</v>
      </c>
      <c r="Q688" t="n">
        <v>0</v>
      </c>
      <c r="R688" s="2" t="inlineStr"/>
    </row>
    <row r="689" ht="15" customHeight="1">
      <c r="A689" t="inlineStr">
        <is>
          <t>A 18330-2024</t>
        </is>
      </c>
      <c r="B689" s="1" t="n">
        <v>45422</v>
      </c>
      <c r="C689" s="1" t="n">
        <v>45937</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40541-2024</t>
        </is>
      </c>
      <c r="B690" s="1" t="n">
        <v>45555.62736111111</v>
      </c>
      <c r="C690" s="1" t="n">
        <v>45937</v>
      </c>
      <c r="D690" t="inlineStr">
        <is>
          <t>VÄRMLANDS LÄN</t>
        </is>
      </c>
      <c r="E690" t="inlineStr">
        <is>
          <t>TORSBY</t>
        </is>
      </c>
      <c r="F690" t="inlineStr">
        <is>
          <t>Bergvik skog väst AB</t>
        </is>
      </c>
      <c r="G690" t="n">
        <v>1.5</v>
      </c>
      <c r="H690" t="n">
        <v>0</v>
      </c>
      <c r="I690" t="n">
        <v>0</v>
      </c>
      <c r="J690" t="n">
        <v>0</v>
      </c>
      <c r="K690" t="n">
        <v>0</v>
      </c>
      <c r="L690" t="n">
        <v>0</v>
      </c>
      <c r="M690" t="n">
        <v>0</v>
      </c>
      <c r="N690" t="n">
        <v>0</v>
      </c>
      <c r="O690" t="n">
        <v>0</v>
      </c>
      <c r="P690" t="n">
        <v>0</v>
      </c>
      <c r="Q690" t="n">
        <v>0</v>
      </c>
      <c r="R690" s="2" t="inlineStr"/>
    </row>
    <row r="691" ht="15" customHeight="1">
      <c r="A691" t="inlineStr">
        <is>
          <t>A 40546-2024</t>
        </is>
      </c>
      <c r="B691" s="1" t="n">
        <v>45555</v>
      </c>
      <c r="C691" s="1" t="n">
        <v>45937</v>
      </c>
      <c r="D691" t="inlineStr">
        <is>
          <t>VÄRMLANDS LÄN</t>
        </is>
      </c>
      <c r="E691" t="inlineStr">
        <is>
          <t>TORSBY</t>
        </is>
      </c>
      <c r="F691" t="inlineStr">
        <is>
          <t>Bergvik skog väst AB</t>
        </is>
      </c>
      <c r="G691" t="n">
        <v>13.9</v>
      </c>
      <c r="H691" t="n">
        <v>0</v>
      </c>
      <c r="I691" t="n">
        <v>0</v>
      </c>
      <c r="J691" t="n">
        <v>0</v>
      </c>
      <c r="K691" t="n">
        <v>0</v>
      </c>
      <c r="L691" t="n">
        <v>0</v>
      </c>
      <c r="M691" t="n">
        <v>0</v>
      </c>
      <c r="N691" t="n">
        <v>0</v>
      </c>
      <c r="O691" t="n">
        <v>0</v>
      </c>
      <c r="P691" t="n">
        <v>0</v>
      </c>
      <c r="Q691" t="n">
        <v>0</v>
      </c>
      <c r="R691" s="2" t="inlineStr"/>
    </row>
    <row r="692" ht="15" customHeight="1">
      <c r="A692" t="inlineStr">
        <is>
          <t>A 18339-2024</t>
        </is>
      </c>
      <c r="B692" s="1" t="n">
        <v>45422.58119212963</v>
      </c>
      <c r="C692" s="1" t="n">
        <v>45937</v>
      </c>
      <c r="D692" t="inlineStr">
        <is>
          <t>VÄRMLANDS LÄN</t>
        </is>
      </c>
      <c r="E692" t="inlineStr">
        <is>
          <t>TORSBY</t>
        </is>
      </c>
      <c r="G692" t="n">
        <v>0.6</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45937</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55436-2022</t>
        </is>
      </c>
      <c r="B694" s="1" t="n">
        <v>44887</v>
      </c>
      <c r="C694" s="1" t="n">
        <v>45937</v>
      </c>
      <c r="D694" t="inlineStr">
        <is>
          <t>VÄRMLANDS LÄN</t>
        </is>
      </c>
      <c r="E694" t="inlineStr">
        <is>
          <t>TORSBY</t>
        </is>
      </c>
      <c r="G694" t="n">
        <v>0.5</v>
      </c>
      <c r="H694" t="n">
        <v>0</v>
      </c>
      <c r="I694" t="n">
        <v>0</v>
      </c>
      <c r="J694" t="n">
        <v>0</v>
      </c>
      <c r="K694" t="n">
        <v>0</v>
      </c>
      <c r="L694" t="n">
        <v>0</v>
      </c>
      <c r="M694" t="n">
        <v>0</v>
      </c>
      <c r="N694" t="n">
        <v>0</v>
      </c>
      <c r="O694" t="n">
        <v>0</v>
      </c>
      <c r="P694" t="n">
        <v>0</v>
      </c>
      <c r="Q694" t="n">
        <v>0</v>
      </c>
      <c r="R694" s="2" t="inlineStr"/>
    </row>
    <row r="695" ht="15" customHeight="1">
      <c r="A695" t="inlineStr">
        <is>
          <t>A 12458-2023</t>
        </is>
      </c>
      <c r="B695" s="1" t="n">
        <v>44999</v>
      </c>
      <c r="C695" s="1" t="n">
        <v>45937</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13848-2024</t>
        </is>
      </c>
      <c r="B696" s="1" t="n">
        <v>45390</v>
      </c>
      <c r="C696" s="1" t="n">
        <v>45937</v>
      </c>
      <c r="D696" t="inlineStr">
        <is>
          <t>VÄRMLANDS LÄN</t>
        </is>
      </c>
      <c r="E696" t="inlineStr">
        <is>
          <t>TORSBY</t>
        </is>
      </c>
      <c r="G696" t="n">
        <v>4.5</v>
      </c>
      <c r="H696" t="n">
        <v>0</v>
      </c>
      <c r="I696" t="n">
        <v>0</v>
      </c>
      <c r="J696" t="n">
        <v>0</v>
      </c>
      <c r="K696" t="n">
        <v>0</v>
      </c>
      <c r="L696" t="n">
        <v>0</v>
      </c>
      <c r="M696" t="n">
        <v>0</v>
      </c>
      <c r="N696" t="n">
        <v>0</v>
      </c>
      <c r="O696" t="n">
        <v>0</v>
      </c>
      <c r="P696" t="n">
        <v>0</v>
      </c>
      <c r="Q696" t="n">
        <v>0</v>
      </c>
      <c r="R696" s="2" t="inlineStr"/>
    </row>
    <row r="697" ht="15" customHeight="1">
      <c r="A697" t="inlineStr">
        <is>
          <t>A 23367-2025</t>
        </is>
      </c>
      <c r="B697" s="1" t="n">
        <v>45791.69582175926</v>
      </c>
      <c r="C697" s="1" t="n">
        <v>45937</v>
      </c>
      <c r="D697" t="inlineStr">
        <is>
          <t>VÄRMLANDS LÄN</t>
        </is>
      </c>
      <c r="E697" t="inlineStr">
        <is>
          <t>TORSBY</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59425-2021</t>
        </is>
      </c>
      <c r="B698" s="1" t="n">
        <v>44491.43469907407</v>
      </c>
      <c r="C698" s="1" t="n">
        <v>45937</v>
      </c>
      <c r="D698" t="inlineStr">
        <is>
          <t>VÄRMLANDS LÄN</t>
        </is>
      </c>
      <c r="E698" t="inlineStr">
        <is>
          <t>TORSBY</t>
        </is>
      </c>
      <c r="F698" t="inlineStr">
        <is>
          <t>Bergvik skog väst AB</t>
        </is>
      </c>
      <c r="G698" t="n">
        <v>14.9</v>
      </c>
      <c r="H698" t="n">
        <v>0</v>
      </c>
      <c r="I698" t="n">
        <v>0</v>
      </c>
      <c r="J698" t="n">
        <v>0</v>
      </c>
      <c r="K698" t="n">
        <v>0</v>
      </c>
      <c r="L698" t="n">
        <v>0</v>
      </c>
      <c r="M698" t="n">
        <v>0</v>
      </c>
      <c r="N698" t="n">
        <v>0</v>
      </c>
      <c r="O698" t="n">
        <v>0</v>
      </c>
      <c r="P698" t="n">
        <v>0</v>
      </c>
      <c r="Q698" t="n">
        <v>0</v>
      </c>
      <c r="R698" s="2" t="inlineStr"/>
    </row>
    <row r="699" ht="15" customHeight="1">
      <c r="A699" t="inlineStr">
        <is>
          <t>A 34906-2024</t>
        </is>
      </c>
      <c r="B699" s="1" t="n">
        <v>45527</v>
      </c>
      <c r="C699" s="1" t="n">
        <v>45937</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11695-2021</t>
        </is>
      </c>
      <c r="B700" s="1" t="n">
        <v>44264.87736111111</v>
      </c>
      <c r="C700" s="1" t="n">
        <v>45937</v>
      </c>
      <c r="D700" t="inlineStr">
        <is>
          <t>VÄRMLANDS LÄN</t>
        </is>
      </c>
      <c r="E700" t="inlineStr">
        <is>
          <t>TORSBY</t>
        </is>
      </c>
      <c r="G700" t="n">
        <v>3</v>
      </c>
      <c r="H700" t="n">
        <v>0</v>
      </c>
      <c r="I700" t="n">
        <v>0</v>
      </c>
      <c r="J700" t="n">
        <v>0</v>
      </c>
      <c r="K700" t="n">
        <v>0</v>
      </c>
      <c r="L700" t="n">
        <v>0</v>
      </c>
      <c r="M700" t="n">
        <v>0</v>
      </c>
      <c r="N700" t="n">
        <v>0</v>
      </c>
      <c r="O700" t="n">
        <v>0</v>
      </c>
      <c r="P700" t="n">
        <v>0</v>
      </c>
      <c r="Q700" t="n">
        <v>0</v>
      </c>
      <c r="R700" s="2" t="inlineStr"/>
    </row>
    <row r="701" ht="15" customHeight="1">
      <c r="A701" t="inlineStr">
        <is>
          <t>A 15101-2024</t>
        </is>
      </c>
      <c r="B701" s="1" t="n">
        <v>45399.66148148148</v>
      </c>
      <c r="C701" s="1" t="n">
        <v>45937</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16192-2025</t>
        </is>
      </c>
      <c r="B702" s="1" t="n">
        <v>45750.59760416667</v>
      </c>
      <c r="C702" s="1" t="n">
        <v>45937</v>
      </c>
      <c r="D702" t="inlineStr">
        <is>
          <t>VÄRMLANDS LÄN</t>
        </is>
      </c>
      <c r="E702" t="inlineStr">
        <is>
          <t>TORSBY</t>
        </is>
      </c>
      <c r="G702" t="n">
        <v>1.8</v>
      </c>
      <c r="H702" t="n">
        <v>0</v>
      </c>
      <c r="I702" t="n">
        <v>0</v>
      </c>
      <c r="J702" t="n">
        <v>0</v>
      </c>
      <c r="K702" t="n">
        <v>0</v>
      </c>
      <c r="L702" t="n">
        <v>0</v>
      </c>
      <c r="M702" t="n">
        <v>0</v>
      </c>
      <c r="N702" t="n">
        <v>0</v>
      </c>
      <c r="O702" t="n">
        <v>0</v>
      </c>
      <c r="P702" t="n">
        <v>0</v>
      </c>
      <c r="Q702" t="n">
        <v>0</v>
      </c>
      <c r="R702" s="2" t="inlineStr"/>
    </row>
    <row r="703" ht="15" customHeight="1">
      <c r="A703" t="inlineStr">
        <is>
          <t>A 54790-2024</t>
        </is>
      </c>
      <c r="B703" s="1" t="n">
        <v>45618</v>
      </c>
      <c r="C703" s="1" t="n">
        <v>45937</v>
      </c>
      <c r="D703" t="inlineStr">
        <is>
          <t>VÄRMLANDS LÄN</t>
        </is>
      </c>
      <c r="E703" t="inlineStr">
        <is>
          <t>TORSBY</t>
        </is>
      </c>
      <c r="G703" t="n">
        <v>1.5</v>
      </c>
      <c r="H703" t="n">
        <v>0</v>
      </c>
      <c r="I703" t="n">
        <v>0</v>
      </c>
      <c r="J703" t="n">
        <v>0</v>
      </c>
      <c r="K703" t="n">
        <v>0</v>
      </c>
      <c r="L703" t="n">
        <v>0</v>
      </c>
      <c r="M703" t="n">
        <v>0</v>
      </c>
      <c r="N703" t="n">
        <v>0</v>
      </c>
      <c r="O703" t="n">
        <v>0</v>
      </c>
      <c r="P703" t="n">
        <v>0</v>
      </c>
      <c r="Q703" t="n">
        <v>0</v>
      </c>
      <c r="R703" s="2" t="inlineStr"/>
    </row>
    <row r="704" ht="15" customHeight="1">
      <c r="A704" t="inlineStr">
        <is>
          <t>A 24170-2023</t>
        </is>
      </c>
      <c r="B704" s="1" t="n">
        <v>45079</v>
      </c>
      <c r="C704" s="1" t="n">
        <v>45937</v>
      </c>
      <c r="D704" t="inlineStr">
        <is>
          <t>VÄRMLANDS LÄN</t>
        </is>
      </c>
      <c r="E704" t="inlineStr">
        <is>
          <t>TORSBY</t>
        </is>
      </c>
      <c r="F704" t="inlineStr">
        <is>
          <t>Bergvik skog väst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50608-2023</t>
        </is>
      </c>
      <c r="B705" s="1" t="n">
        <v>45217</v>
      </c>
      <c r="C705" s="1" t="n">
        <v>45937</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16003-2025</t>
        </is>
      </c>
      <c r="B706" s="1" t="n">
        <v>45749</v>
      </c>
      <c r="C706" s="1" t="n">
        <v>45937</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62957-2023</t>
        </is>
      </c>
      <c r="B707" s="1" t="n">
        <v>45271</v>
      </c>
      <c r="C707" s="1" t="n">
        <v>45937</v>
      </c>
      <c r="D707" t="inlineStr">
        <is>
          <t>VÄRMLANDS LÄN</t>
        </is>
      </c>
      <c r="E707" t="inlineStr">
        <is>
          <t>TORSBY</t>
        </is>
      </c>
      <c r="F707" t="inlineStr">
        <is>
          <t>Övriga statliga verk och myndigheter</t>
        </is>
      </c>
      <c r="G707" t="n">
        <v>3.5</v>
      </c>
      <c r="H707" t="n">
        <v>0</v>
      </c>
      <c r="I707" t="n">
        <v>0</v>
      </c>
      <c r="J707" t="n">
        <v>0</v>
      </c>
      <c r="K707" t="n">
        <v>0</v>
      </c>
      <c r="L707" t="n">
        <v>0</v>
      </c>
      <c r="M707" t="n">
        <v>0</v>
      </c>
      <c r="N707" t="n">
        <v>0</v>
      </c>
      <c r="O707" t="n">
        <v>0</v>
      </c>
      <c r="P707" t="n">
        <v>0</v>
      </c>
      <c r="Q707" t="n">
        <v>0</v>
      </c>
      <c r="R707" s="2" t="inlineStr"/>
    </row>
    <row r="708" ht="15" customHeight="1">
      <c r="A708" t="inlineStr">
        <is>
          <t>A 12701-2024</t>
        </is>
      </c>
      <c r="B708" s="1" t="n">
        <v>45384</v>
      </c>
      <c r="C708" s="1" t="n">
        <v>45937</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14575-2025</t>
        </is>
      </c>
      <c r="B709" s="1" t="n">
        <v>45742.29048611111</v>
      </c>
      <c r="C709" s="1" t="n">
        <v>45937</v>
      </c>
      <c r="D709" t="inlineStr">
        <is>
          <t>VÄRMLANDS LÄN</t>
        </is>
      </c>
      <c r="E709" t="inlineStr">
        <is>
          <t>TORSBY</t>
        </is>
      </c>
      <c r="G709" t="n">
        <v>6.5</v>
      </c>
      <c r="H709" t="n">
        <v>0</v>
      </c>
      <c r="I709" t="n">
        <v>0</v>
      </c>
      <c r="J709" t="n">
        <v>0</v>
      </c>
      <c r="K709" t="n">
        <v>0</v>
      </c>
      <c r="L709" t="n">
        <v>0</v>
      </c>
      <c r="M709" t="n">
        <v>0</v>
      </c>
      <c r="N709" t="n">
        <v>0</v>
      </c>
      <c r="O709" t="n">
        <v>0</v>
      </c>
      <c r="P709" t="n">
        <v>0</v>
      </c>
      <c r="Q709" t="n">
        <v>0</v>
      </c>
      <c r="R709" s="2" t="inlineStr"/>
    </row>
    <row r="710" ht="15" customHeight="1">
      <c r="A710" t="inlineStr">
        <is>
          <t>A 56902-2023</t>
        </is>
      </c>
      <c r="B710" s="1" t="n">
        <v>45244</v>
      </c>
      <c r="C710" s="1" t="n">
        <v>45937</v>
      </c>
      <c r="D710" t="inlineStr">
        <is>
          <t>VÄRMLANDS LÄN</t>
        </is>
      </c>
      <c r="E710" t="inlineStr">
        <is>
          <t>TORSBY</t>
        </is>
      </c>
      <c r="G710" t="n">
        <v>17.4</v>
      </c>
      <c r="H710" t="n">
        <v>0</v>
      </c>
      <c r="I710" t="n">
        <v>0</v>
      </c>
      <c r="J710" t="n">
        <v>0</v>
      </c>
      <c r="K710" t="n">
        <v>0</v>
      </c>
      <c r="L710" t="n">
        <v>0</v>
      </c>
      <c r="M710" t="n">
        <v>0</v>
      </c>
      <c r="N710" t="n">
        <v>0</v>
      </c>
      <c r="O710" t="n">
        <v>0</v>
      </c>
      <c r="P710" t="n">
        <v>0</v>
      </c>
      <c r="Q710" t="n">
        <v>0</v>
      </c>
      <c r="R710" s="2" t="inlineStr"/>
    </row>
    <row r="711" ht="15" customHeight="1">
      <c r="A711" t="inlineStr">
        <is>
          <t>A 23455-2025</t>
        </is>
      </c>
      <c r="B711" s="1" t="n">
        <v>45792.42520833333</v>
      </c>
      <c r="C711" s="1" t="n">
        <v>45937</v>
      </c>
      <c r="D711" t="inlineStr">
        <is>
          <t>VÄRMLANDS LÄN</t>
        </is>
      </c>
      <c r="E711" t="inlineStr">
        <is>
          <t>TORSBY</t>
        </is>
      </c>
      <c r="F711" t="inlineStr">
        <is>
          <t>Kyrkan</t>
        </is>
      </c>
      <c r="G711" t="n">
        <v>10.7</v>
      </c>
      <c r="H711" t="n">
        <v>0</v>
      </c>
      <c r="I711" t="n">
        <v>0</v>
      </c>
      <c r="J711" t="n">
        <v>0</v>
      </c>
      <c r="K711" t="n">
        <v>0</v>
      </c>
      <c r="L711" t="n">
        <v>0</v>
      </c>
      <c r="M711" t="n">
        <v>0</v>
      </c>
      <c r="N711" t="n">
        <v>0</v>
      </c>
      <c r="O711" t="n">
        <v>0</v>
      </c>
      <c r="P711" t="n">
        <v>0</v>
      </c>
      <c r="Q711" t="n">
        <v>0</v>
      </c>
      <c r="R711" s="2" t="inlineStr"/>
    </row>
    <row r="712" ht="15" customHeight="1">
      <c r="A712" t="inlineStr">
        <is>
          <t>A 31945-2024</t>
        </is>
      </c>
      <c r="B712" s="1" t="n">
        <v>45510</v>
      </c>
      <c r="C712" s="1" t="n">
        <v>45937</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42403-2023</t>
        </is>
      </c>
      <c r="B713" s="1" t="n">
        <v>45180.59174768518</v>
      </c>
      <c r="C713" s="1" t="n">
        <v>45937</v>
      </c>
      <c r="D713" t="inlineStr">
        <is>
          <t>VÄRMLANDS LÄN</t>
        </is>
      </c>
      <c r="E713" t="inlineStr">
        <is>
          <t>TORSBY</t>
        </is>
      </c>
      <c r="G713" t="n">
        <v>2</v>
      </c>
      <c r="H713" t="n">
        <v>0</v>
      </c>
      <c r="I713" t="n">
        <v>0</v>
      </c>
      <c r="J713" t="n">
        <v>0</v>
      </c>
      <c r="K713" t="n">
        <v>0</v>
      </c>
      <c r="L713" t="n">
        <v>0</v>
      </c>
      <c r="M713" t="n">
        <v>0</v>
      </c>
      <c r="N713" t="n">
        <v>0</v>
      </c>
      <c r="O713" t="n">
        <v>0</v>
      </c>
      <c r="P713" t="n">
        <v>0</v>
      </c>
      <c r="Q713" t="n">
        <v>0</v>
      </c>
      <c r="R713" s="2" t="inlineStr"/>
    </row>
    <row r="714" ht="15" customHeight="1">
      <c r="A714" t="inlineStr">
        <is>
          <t>A 26223-2021</t>
        </is>
      </c>
      <c r="B714" s="1" t="n">
        <v>44347</v>
      </c>
      <c r="C714" s="1" t="n">
        <v>45937</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17039-2025</t>
        </is>
      </c>
      <c r="B715" s="1" t="n">
        <v>45754</v>
      </c>
      <c r="C715" s="1" t="n">
        <v>45937</v>
      </c>
      <c r="D715" t="inlineStr">
        <is>
          <t>VÄRMLANDS LÄN</t>
        </is>
      </c>
      <c r="E715" t="inlineStr">
        <is>
          <t>TORSBY</t>
        </is>
      </c>
      <c r="G715" t="n">
        <v>6.7</v>
      </c>
      <c r="H715" t="n">
        <v>0</v>
      </c>
      <c r="I715" t="n">
        <v>0</v>
      </c>
      <c r="J715" t="n">
        <v>0</v>
      </c>
      <c r="K715" t="n">
        <v>0</v>
      </c>
      <c r="L715" t="n">
        <v>0</v>
      </c>
      <c r="M715" t="n">
        <v>0</v>
      </c>
      <c r="N715" t="n">
        <v>0</v>
      </c>
      <c r="O715" t="n">
        <v>0</v>
      </c>
      <c r="P715" t="n">
        <v>0</v>
      </c>
      <c r="Q715" t="n">
        <v>0</v>
      </c>
      <c r="R715" s="2" t="inlineStr"/>
    </row>
    <row r="716" ht="15" customHeight="1">
      <c r="A716" t="inlineStr">
        <is>
          <t>A 53945-2023</t>
        </is>
      </c>
      <c r="B716" s="1" t="n">
        <v>45231.6009837963</v>
      </c>
      <c r="C716" s="1" t="n">
        <v>45937</v>
      </c>
      <c r="D716" t="inlineStr">
        <is>
          <t>VÄRMLANDS LÄN</t>
        </is>
      </c>
      <c r="E716" t="inlineStr">
        <is>
          <t>TORSBY</t>
        </is>
      </c>
      <c r="G716" t="n">
        <v>1.4</v>
      </c>
      <c r="H716" t="n">
        <v>0</v>
      </c>
      <c r="I716" t="n">
        <v>0</v>
      </c>
      <c r="J716" t="n">
        <v>0</v>
      </c>
      <c r="K716" t="n">
        <v>0</v>
      </c>
      <c r="L716" t="n">
        <v>0</v>
      </c>
      <c r="M716" t="n">
        <v>0</v>
      </c>
      <c r="N716" t="n">
        <v>0</v>
      </c>
      <c r="O716" t="n">
        <v>0</v>
      </c>
      <c r="P716" t="n">
        <v>0</v>
      </c>
      <c r="Q716" t="n">
        <v>0</v>
      </c>
      <c r="R716" s="2" t="inlineStr"/>
    </row>
    <row r="717" ht="15" customHeight="1">
      <c r="A717" t="inlineStr">
        <is>
          <t>A 58945-2024</t>
        </is>
      </c>
      <c r="B717" s="1" t="n">
        <v>45636</v>
      </c>
      <c r="C717" s="1" t="n">
        <v>45937</v>
      </c>
      <c r="D717" t="inlineStr">
        <is>
          <t>VÄRMLANDS LÄN</t>
        </is>
      </c>
      <c r="E717" t="inlineStr">
        <is>
          <t>TORSBY</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45231-2023</t>
        </is>
      </c>
      <c r="B718" s="1" t="n">
        <v>45191</v>
      </c>
      <c r="C718" s="1" t="n">
        <v>45937</v>
      </c>
      <c r="D718" t="inlineStr">
        <is>
          <t>VÄRMLANDS LÄN</t>
        </is>
      </c>
      <c r="E718" t="inlineStr">
        <is>
          <t>TORSBY</t>
        </is>
      </c>
      <c r="F718" t="inlineStr">
        <is>
          <t>Bergvik skog väst AB</t>
        </is>
      </c>
      <c r="G718" t="n">
        <v>7.8</v>
      </c>
      <c r="H718" t="n">
        <v>0</v>
      </c>
      <c r="I718" t="n">
        <v>0</v>
      </c>
      <c r="J718" t="n">
        <v>0</v>
      </c>
      <c r="K718" t="n">
        <v>0</v>
      </c>
      <c r="L718" t="n">
        <v>0</v>
      </c>
      <c r="M718" t="n">
        <v>0</v>
      </c>
      <c r="N718" t="n">
        <v>0</v>
      </c>
      <c r="O718" t="n">
        <v>0</v>
      </c>
      <c r="P718" t="n">
        <v>0</v>
      </c>
      <c r="Q718" t="n">
        <v>0</v>
      </c>
      <c r="R718" s="2" t="inlineStr"/>
    </row>
    <row r="719" ht="15" customHeight="1">
      <c r="A719" t="inlineStr">
        <is>
          <t>A 43988-2024</t>
        </is>
      </c>
      <c r="B719" s="1" t="n">
        <v>45572</v>
      </c>
      <c r="C719" s="1" t="n">
        <v>45937</v>
      </c>
      <c r="D719" t="inlineStr">
        <is>
          <t>VÄRMLANDS LÄN</t>
        </is>
      </c>
      <c r="E719" t="inlineStr">
        <is>
          <t>TORSBY</t>
        </is>
      </c>
      <c r="G719" t="n">
        <v>0.6</v>
      </c>
      <c r="H719" t="n">
        <v>0</v>
      </c>
      <c r="I719" t="n">
        <v>0</v>
      </c>
      <c r="J719" t="n">
        <v>0</v>
      </c>
      <c r="K719" t="n">
        <v>0</v>
      </c>
      <c r="L719" t="n">
        <v>0</v>
      </c>
      <c r="M719" t="n">
        <v>0</v>
      </c>
      <c r="N719" t="n">
        <v>0</v>
      </c>
      <c r="O719" t="n">
        <v>0</v>
      </c>
      <c r="P719" t="n">
        <v>0</v>
      </c>
      <c r="Q719" t="n">
        <v>0</v>
      </c>
      <c r="R719" s="2" t="inlineStr"/>
    </row>
    <row r="720" ht="15" customHeight="1">
      <c r="A720" t="inlineStr">
        <is>
          <t>A 29042-2023</t>
        </is>
      </c>
      <c r="B720" s="1" t="n">
        <v>45104</v>
      </c>
      <c r="C720" s="1" t="n">
        <v>45937</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23280-2025</t>
        </is>
      </c>
      <c r="B721" s="1" t="n">
        <v>45791.57217592592</v>
      </c>
      <c r="C721" s="1" t="n">
        <v>45937</v>
      </c>
      <c r="D721" t="inlineStr">
        <is>
          <t>VÄRMLANDS LÄN</t>
        </is>
      </c>
      <c r="E721" t="inlineStr">
        <is>
          <t>TORSBY</t>
        </is>
      </c>
      <c r="G721" t="n">
        <v>3.6</v>
      </c>
      <c r="H721" t="n">
        <v>0</v>
      </c>
      <c r="I721" t="n">
        <v>0</v>
      </c>
      <c r="J721" t="n">
        <v>0</v>
      </c>
      <c r="K721" t="n">
        <v>0</v>
      </c>
      <c r="L721" t="n">
        <v>0</v>
      </c>
      <c r="M721" t="n">
        <v>0</v>
      </c>
      <c r="N721" t="n">
        <v>0</v>
      </c>
      <c r="O721" t="n">
        <v>0</v>
      </c>
      <c r="P721" t="n">
        <v>0</v>
      </c>
      <c r="Q721" t="n">
        <v>0</v>
      </c>
      <c r="R721" s="2" t="inlineStr"/>
    </row>
    <row r="722" ht="15" customHeight="1">
      <c r="A722" t="inlineStr">
        <is>
          <t>A 37752-2022</t>
        </is>
      </c>
      <c r="B722" s="1" t="n">
        <v>44810</v>
      </c>
      <c r="C722" s="1" t="n">
        <v>45937</v>
      </c>
      <c r="D722" t="inlineStr">
        <is>
          <t>VÄRMLANDS LÄN</t>
        </is>
      </c>
      <c r="E722" t="inlineStr">
        <is>
          <t>TORSBY</t>
        </is>
      </c>
      <c r="F722" t="inlineStr">
        <is>
          <t>Kyrkan</t>
        </is>
      </c>
      <c r="G722" t="n">
        <v>4.5</v>
      </c>
      <c r="H722" t="n">
        <v>0</v>
      </c>
      <c r="I722" t="n">
        <v>0</v>
      </c>
      <c r="J722" t="n">
        <v>0</v>
      </c>
      <c r="K722" t="n">
        <v>0</v>
      </c>
      <c r="L722" t="n">
        <v>0</v>
      </c>
      <c r="M722" t="n">
        <v>0</v>
      </c>
      <c r="N722" t="n">
        <v>0</v>
      </c>
      <c r="O722" t="n">
        <v>0</v>
      </c>
      <c r="P722" t="n">
        <v>0</v>
      </c>
      <c r="Q722" t="n">
        <v>0</v>
      </c>
      <c r="R722" s="2" t="inlineStr"/>
    </row>
    <row r="723" ht="15" customHeight="1">
      <c r="A723" t="inlineStr">
        <is>
          <t>A 58259-2024</t>
        </is>
      </c>
      <c r="B723" s="1" t="n">
        <v>45632.56155092592</v>
      </c>
      <c r="C723" s="1" t="n">
        <v>45937</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34568-2024</t>
        </is>
      </c>
      <c r="B724" s="1" t="n">
        <v>45526</v>
      </c>
      <c r="C724" s="1" t="n">
        <v>45937</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23557-2025</t>
        </is>
      </c>
      <c r="B725" s="1" t="n">
        <v>45792.58086805556</v>
      </c>
      <c r="C725" s="1" t="n">
        <v>45937</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23287-2025</t>
        </is>
      </c>
      <c r="B726" s="1" t="n">
        <v>45791.5816087963</v>
      </c>
      <c r="C726" s="1" t="n">
        <v>45937</v>
      </c>
      <c r="D726" t="inlineStr">
        <is>
          <t>VÄRMLANDS LÄN</t>
        </is>
      </c>
      <c r="E726" t="inlineStr">
        <is>
          <t>TORSBY</t>
        </is>
      </c>
      <c r="F726" t="inlineStr">
        <is>
          <t>Bergvik skog väst AB</t>
        </is>
      </c>
      <c r="G726" t="n">
        <v>8.5</v>
      </c>
      <c r="H726" t="n">
        <v>0</v>
      </c>
      <c r="I726" t="n">
        <v>0</v>
      </c>
      <c r="J726" t="n">
        <v>0</v>
      </c>
      <c r="K726" t="n">
        <v>0</v>
      </c>
      <c r="L726" t="n">
        <v>0</v>
      </c>
      <c r="M726" t="n">
        <v>0</v>
      </c>
      <c r="N726" t="n">
        <v>0</v>
      </c>
      <c r="O726" t="n">
        <v>0</v>
      </c>
      <c r="P726" t="n">
        <v>0</v>
      </c>
      <c r="Q726" t="n">
        <v>0</v>
      </c>
      <c r="R726" s="2" t="inlineStr"/>
    </row>
    <row r="727" ht="15" customHeight="1">
      <c r="A727" t="inlineStr">
        <is>
          <t>A 42457-2024</t>
        </is>
      </c>
      <c r="B727" s="1" t="n">
        <v>45565.46346064815</v>
      </c>
      <c r="C727" s="1" t="n">
        <v>45937</v>
      </c>
      <c r="D727" t="inlineStr">
        <is>
          <t>VÄRMLANDS LÄN</t>
        </is>
      </c>
      <c r="E727" t="inlineStr">
        <is>
          <t>TORSBY</t>
        </is>
      </c>
      <c r="G727" t="n">
        <v>5.2</v>
      </c>
      <c r="H727" t="n">
        <v>0</v>
      </c>
      <c r="I727" t="n">
        <v>0</v>
      </c>
      <c r="J727" t="n">
        <v>0</v>
      </c>
      <c r="K727" t="n">
        <v>0</v>
      </c>
      <c r="L727" t="n">
        <v>0</v>
      </c>
      <c r="M727" t="n">
        <v>0</v>
      </c>
      <c r="N727" t="n">
        <v>0</v>
      </c>
      <c r="O727" t="n">
        <v>0</v>
      </c>
      <c r="P727" t="n">
        <v>0</v>
      </c>
      <c r="Q727" t="n">
        <v>0</v>
      </c>
      <c r="R727" s="2" t="inlineStr"/>
    </row>
    <row r="728" ht="15" customHeight="1">
      <c r="A728" t="inlineStr">
        <is>
          <t>A 4078-2024</t>
        </is>
      </c>
      <c r="B728" s="1" t="n">
        <v>45323</v>
      </c>
      <c r="C728" s="1" t="n">
        <v>45937</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42656-2023</t>
        </is>
      </c>
      <c r="B729" s="1" t="n">
        <v>45181.53928240741</v>
      </c>
      <c r="C729" s="1" t="n">
        <v>45937</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44879-2022</t>
        </is>
      </c>
      <c r="B730" s="1" t="n">
        <v>44839</v>
      </c>
      <c r="C730" s="1" t="n">
        <v>45937</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59256-2023</t>
        </is>
      </c>
      <c r="B731" s="1" t="n">
        <v>45251</v>
      </c>
      <c r="C731" s="1" t="n">
        <v>45937</v>
      </c>
      <c r="D731" t="inlineStr">
        <is>
          <t>VÄRMLANDS LÄN</t>
        </is>
      </c>
      <c r="E731" t="inlineStr">
        <is>
          <t>TORSBY</t>
        </is>
      </c>
      <c r="G731" t="n">
        <v>1.6</v>
      </c>
      <c r="H731" t="n">
        <v>0</v>
      </c>
      <c r="I731" t="n">
        <v>0</v>
      </c>
      <c r="J731" t="n">
        <v>0</v>
      </c>
      <c r="K731" t="n">
        <v>0</v>
      </c>
      <c r="L731" t="n">
        <v>0</v>
      </c>
      <c r="M731" t="n">
        <v>0</v>
      </c>
      <c r="N731" t="n">
        <v>0</v>
      </c>
      <c r="O731" t="n">
        <v>0</v>
      </c>
      <c r="P731" t="n">
        <v>0</v>
      </c>
      <c r="Q731" t="n">
        <v>0</v>
      </c>
      <c r="R731" s="2" t="inlineStr"/>
    </row>
    <row r="732" ht="15" customHeight="1">
      <c r="A732" t="inlineStr">
        <is>
          <t>A 24111-2025</t>
        </is>
      </c>
      <c r="B732" s="1" t="n">
        <v>45796.60822916667</v>
      </c>
      <c r="C732" s="1" t="n">
        <v>45937</v>
      </c>
      <c r="D732" t="inlineStr">
        <is>
          <t>VÄRMLANDS LÄN</t>
        </is>
      </c>
      <c r="E732" t="inlineStr">
        <is>
          <t>TORSBY</t>
        </is>
      </c>
      <c r="G732" t="n">
        <v>2.1</v>
      </c>
      <c r="H732" t="n">
        <v>0</v>
      </c>
      <c r="I732" t="n">
        <v>0</v>
      </c>
      <c r="J732" t="n">
        <v>0</v>
      </c>
      <c r="K732" t="n">
        <v>0</v>
      </c>
      <c r="L732" t="n">
        <v>0</v>
      </c>
      <c r="M732" t="n">
        <v>0</v>
      </c>
      <c r="N732" t="n">
        <v>0</v>
      </c>
      <c r="O732" t="n">
        <v>0</v>
      </c>
      <c r="P732" t="n">
        <v>0</v>
      </c>
      <c r="Q732" t="n">
        <v>0</v>
      </c>
      <c r="R732" s="2" t="inlineStr"/>
    </row>
    <row r="733" ht="15" customHeight="1">
      <c r="A733" t="inlineStr">
        <is>
          <t>A 24069-2025</t>
        </is>
      </c>
      <c r="B733" s="1" t="n">
        <v>45796.53997685185</v>
      </c>
      <c r="C733" s="1" t="n">
        <v>45937</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16488-2024</t>
        </is>
      </c>
      <c r="B734" s="1" t="n">
        <v>45408.34597222223</v>
      </c>
      <c r="C734" s="1" t="n">
        <v>45937</v>
      </c>
      <c r="D734" t="inlineStr">
        <is>
          <t>VÄRMLANDS LÄN</t>
        </is>
      </c>
      <c r="E734" t="inlineStr">
        <is>
          <t>TORSBY</t>
        </is>
      </c>
      <c r="F734" t="inlineStr">
        <is>
          <t>Bergvik skog väst AB</t>
        </is>
      </c>
      <c r="G734" t="n">
        <v>5.6</v>
      </c>
      <c r="H734" t="n">
        <v>0</v>
      </c>
      <c r="I734" t="n">
        <v>0</v>
      </c>
      <c r="J734" t="n">
        <v>0</v>
      </c>
      <c r="K734" t="n">
        <v>0</v>
      </c>
      <c r="L734" t="n">
        <v>0</v>
      </c>
      <c r="M734" t="n">
        <v>0</v>
      </c>
      <c r="N734" t="n">
        <v>0</v>
      </c>
      <c r="O734" t="n">
        <v>0</v>
      </c>
      <c r="P734" t="n">
        <v>0</v>
      </c>
      <c r="Q734" t="n">
        <v>0</v>
      </c>
      <c r="R734" s="2" t="inlineStr"/>
    </row>
    <row r="735" ht="15" customHeight="1">
      <c r="A735" t="inlineStr">
        <is>
          <t>A 24112-2025</t>
        </is>
      </c>
      <c r="B735" s="1" t="n">
        <v>45796</v>
      </c>
      <c r="C735" s="1" t="n">
        <v>45937</v>
      </c>
      <c r="D735" t="inlineStr">
        <is>
          <t>VÄRMLANDS LÄN</t>
        </is>
      </c>
      <c r="E735" t="inlineStr">
        <is>
          <t>TORSBY</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42414-2024</t>
        </is>
      </c>
      <c r="B736" s="1" t="n">
        <v>45565</v>
      </c>
      <c r="C736" s="1" t="n">
        <v>45937</v>
      </c>
      <c r="D736" t="inlineStr">
        <is>
          <t>VÄRMLANDS LÄN</t>
        </is>
      </c>
      <c r="E736" t="inlineStr">
        <is>
          <t>TORSBY</t>
        </is>
      </c>
      <c r="F736" t="inlineStr">
        <is>
          <t>Bergvik skog väst AB</t>
        </is>
      </c>
      <c r="G736" t="n">
        <v>0.7</v>
      </c>
      <c r="H736" t="n">
        <v>0</v>
      </c>
      <c r="I736" t="n">
        <v>0</v>
      </c>
      <c r="J736" t="n">
        <v>0</v>
      </c>
      <c r="K736" t="n">
        <v>0</v>
      </c>
      <c r="L736" t="n">
        <v>0</v>
      </c>
      <c r="M736" t="n">
        <v>0</v>
      </c>
      <c r="N736" t="n">
        <v>0</v>
      </c>
      <c r="O736" t="n">
        <v>0</v>
      </c>
      <c r="P736" t="n">
        <v>0</v>
      </c>
      <c r="Q736" t="n">
        <v>0</v>
      </c>
      <c r="R736" s="2" t="inlineStr"/>
    </row>
    <row r="737" ht="15" customHeight="1">
      <c r="A737" t="inlineStr">
        <is>
          <t>A 43599-2023</t>
        </is>
      </c>
      <c r="B737" s="1" t="n">
        <v>45184</v>
      </c>
      <c r="C737" s="1" t="n">
        <v>45937</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73324-2021</t>
        </is>
      </c>
      <c r="B738" s="1" t="n">
        <v>44550</v>
      </c>
      <c r="C738" s="1" t="n">
        <v>45937</v>
      </c>
      <c r="D738" t="inlineStr">
        <is>
          <t>VÄRMLANDS LÄN</t>
        </is>
      </c>
      <c r="E738" t="inlineStr">
        <is>
          <t>TORSBY</t>
        </is>
      </c>
      <c r="G738" t="n">
        <v>9.9</v>
      </c>
      <c r="H738" t="n">
        <v>0</v>
      </c>
      <c r="I738" t="n">
        <v>0</v>
      </c>
      <c r="J738" t="n">
        <v>0</v>
      </c>
      <c r="K738" t="n">
        <v>0</v>
      </c>
      <c r="L738" t="n">
        <v>0</v>
      </c>
      <c r="M738" t="n">
        <v>0</v>
      </c>
      <c r="N738" t="n">
        <v>0</v>
      </c>
      <c r="O738" t="n">
        <v>0</v>
      </c>
      <c r="P738" t="n">
        <v>0</v>
      </c>
      <c r="Q738" t="n">
        <v>0</v>
      </c>
      <c r="R738" s="2" t="inlineStr"/>
    </row>
    <row r="739" ht="15" customHeight="1">
      <c r="A739" t="inlineStr">
        <is>
          <t>A 27363-2024</t>
        </is>
      </c>
      <c r="B739" s="1" t="n">
        <v>45473</v>
      </c>
      <c r="C739" s="1" t="n">
        <v>45937</v>
      </c>
      <c r="D739" t="inlineStr">
        <is>
          <t>VÄRMLANDS LÄN</t>
        </is>
      </c>
      <c r="E739" t="inlineStr">
        <is>
          <t>TORSBY</t>
        </is>
      </c>
      <c r="G739" t="n">
        <v>2.9</v>
      </c>
      <c r="H739" t="n">
        <v>0</v>
      </c>
      <c r="I739" t="n">
        <v>0</v>
      </c>
      <c r="J739" t="n">
        <v>0</v>
      </c>
      <c r="K739" t="n">
        <v>0</v>
      </c>
      <c r="L739" t="n">
        <v>0</v>
      </c>
      <c r="M739" t="n">
        <v>0</v>
      </c>
      <c r="N739" t="n">
        <v>0</v>
      </c>
      <c r="O739" t="n">
        <v>0</v>
      </c>
      <c r="P739" t="n">
        <v>0</v>
      </c>
      <c r="Q739" t="n">
        <v>0</v>
      </c>
      <c r="R739" s="2" t="inlineStr"/>
    </row>
    <row r="740" ht="15" customHeight="1">
      <c r="A740" t="inlineStr">
        <is>
          <t>A 57071-2022</t>
        </is>
      </c>
      <c r="B740" s="1" t="n">
        <v>44895.42334490741</v>
      </c>
      <c r="C740" s="1" t="n">
        <v>45937</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45937</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45937</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39771-2024</t>
        </is>
      </c>
      <c r="B743" s="1" t="n">
        <v>45552</v>
      </c>
      <c r="C743" s="1" t="n">
        <v>45937</v>
      </c>
      <c r="D743" t="inlineStr">
        <is>
          <t>VÄRMLANDS LÄN</t>
        </is>
      </c>
      <c r="E743" t="inlineStr">
        <is>
          <t>TORSBY</t>
        </is>
      </c>
      <c r="G743" t="n">
        <v>1.6</v>
      </c>
      <c r="H743" t="n">
        <v>0</v>
      </c>
      <c r="I743" t="n">
        <v>0</v>
      </c>
      <c r="J743" t="n">
        <v>0</v>
      </c>
      <c r="K743" t="n">
        <v>0</v>
      </c>
      <c r="L743" t="n">
        <v>0</v>
      </c>
      <c r="M743" t="n">
        <v>0</v>
      </c>
      <c r="N743" t="n">
        <v>0</v>
      </c>
      <c r="O743" t="n">
        <v>0</v>
      </c>
      <c r="P743" t="n">
        <v>0</v>
      </c>
      <c r="Q743" t="n">
        <v>0</v>
      </c>
      <c r="R743" s="2" t="inlineStr"/>
    </row>
    <row r="744" ht="15" customHeight="1">
      <c r="A744" t="inlineStr">
        <is>
          <t>A 60710-2024</t>
        </is>
      </c>
      <c r="B744" s="1" t="n">
        <v>45643</v>
      </c>
      <c r="C744" s="1" t="n">
        <v>45937</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36175-2024</t>
        </is>
      </c>
      <c r="B745" s="1" t="n">
        <v>45534.40834490741</v>
      </c>
      <c r="C745" s="1" t="n">
        <v>45937</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61510-2022</t>
        </is>
      </c>
      <c r="B746" s="1" t="n">
        <v>44916.49820601852</v>
      </c>
      <c r="C746" s="1" t="n">
        <v>45937</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3536-2024</t>
        </is>
      </c>
      <c r="B747" s="1" t="n">
        <v>45320</v>
      </c>
      <c r="C747" s="1" t="n">
        <v>45937</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60737-2022</t>
        </is>
      </c>
      <c r="B748" s="1" t="n">
        <v>44913.88537037037</v>
      </c>
      <c r="C748" s="1" t="n">
        <v>45937</v>
      </c>
      <c r="D748" t="inlineStr">
        <is>
          <t>VÄRMLANDS LÄN</t>
        </is>
      </c>
      <c r="E748" t="inlineStr">
        <is>
          <t>TORSBY</t>
        </is>
      </c>
      <c r="G748" t="n">
        <v>1.9</v>
      </c>
      <c r="H748" t="n">
        <v>0</v>
      </c>
      <c r="I748" t="n">
        <v>0</v>
      </c>
      <c r="J748" t="n">
        <v>0</v>
      </c>
      <c r="K748" t="n">
        <v>0</v>
      </c>
      <c r="L748" t="n">
        <v>0</v>
      </c>
      <c r="M748" t="n">
        <v>0</v>
      </c>
      <c r="N748" t="n">
        <v>0</v>
      </c>
      <c r="O748" t="n">
        <v>0</v>
      </c>
      <c r="P748" t="n">
        <v>0</v>
      </c>
      <c r="Q748" t="n">
        <v>0</v>
      </c>
      <c r="R748" s="2" t="inlineStr"/>
    </row>
    <row r="749" ht="15" customHeight="1">
      <c r="A749" t="inlineStr">
        <is>
          <t>A 41501-2024</t>
        </is>
      </c>
      <c r="B749" s="1" t="n">
        <v>45560</v>
      </c>
      <c r="C749" s="1" t="n">
        <v>45937</v>
      </c>
      <c r="D749" t="inlineStr">
        <is>
          <t>VÄRMLANDS LÄN</t>
        </is>
      </c>
      <c r="E749" t="inlineStr">
        <is>
          <t>TORSBY</t>
        </is>
      </c>
      <c r="G749" t="n">
        <v>7.5</v>
      </c>
      <c r="H749" t="n">
        <v>0</v>
      </c>
      <c r="I749" t="n">
        <v>0</v>
      </c>
      <c r="J749" t="n">
        <v>0</v>
      </c>
      <c r="K749" t="n">
        <v>0</v>
      </c>
      <c r="L749" t="n">
        <v>0</v>
      </c>
      <c r="M749" t="n">
        <v>0</v>
      </c>
      <c r="N749" t="n">
        <v>0</v>
      </c>
      <c r="O749" t="n">
        <v>0</v>
      </c>
      <c r="P749" t="n">
        <v>0</v>
      </c>
      <c r="Q749" t="n">
        <v>0</v>
      </c>
      <c r="R749" s="2" t="inlineStr"/>
    </row>
    <row r="750" ht="15" customHeight="1">
      <c r="A750" t="inlineStr">
        <is>
          <t>A 55485-2023</t>
        </is>
      </c>
      <c r="B750" s="1" t="n">
        <v>45238.52023148148</v>
      </c>
      <c r="C750" s="1" t="n">
        <v>45937</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37985-2022</t>
        </is>
      </c>
      <c r="B751" s="1" t="n">
        <v>44811</v>
      </c>
      <c r="C751" s="1" t="n">
        <v>45937</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22705-2023</t>
        </is>
      </c>
      <c r="B752" s="1" t="n">
        <v>45071</v>
      </c>
      <c r="C752" s="1" t="n">
        <v>45937</v>
      </c>
      <c r="D752" t="inlineStr">
        <is>
          <t>VÄRMLANDS LÄN</t>
        </is>
      </c>
      <c r="E752" t="inlineStr">
        <is>
          <t>TORSBY</t>
        </is>
      </c>
      <c r="G752" t="n">
        <v>0.6</v>
      </c>
      <c r="H752" t="n">
        <v>0</v>
      </c>
      <c r="I752" t="n">
        <v>0</v>
      </c>
      <c r="J752" t="n">
        <v>0</v>
      </c>
      <c r="K752" t="n">
        <v>0</v>
      </c>
      <c r="L752" t="n">
        <v>0</v>
      </c>
      <c r="M752" t="n">
        <v>0</v>
      </c>
      <c r="N752" t="n">
        <v>0</v>
      </c>
      <c r="O752" t="n">
        <v>0</v>
      </c>
      <c r="P752" t="n">
        <v>0</v>
      </c>
      <c r="Q752" t="n">
        <v>0</v>
      </c>
      <c r="R752" s="2" t="inlineStr"/>
    </row>
    <row r="753" ht="15" customHeight="1">
      <c r="A753" t="inlineStr">
        <is>
          <t>A 53358-2024</t>
        </is>
      </c>
      <c r="B753" s="1" t="n">
        <v>45614</v>
      </c>
      <c r="C753" s="1" t="n">
        <v>45937</v>
      </c>
      <c r="D753" t="inlineStr">
        <is>
          <t>VÄRMLANDS LÄN</t>
        </is>
      </c>
      <c r="E753" t="inlineStr">
        <is>
          <t>TORSBY</t>
        </is>
      </c>
      <c r="G753" t="n">
        <v>0.3</v>
      </c>
      <c r="H753" t="n">
        <v>0</v>
      </c>
      <c r="I753" t="n">
        <v>0</v>
      </c>
      <c r="J753" t="n">
        <v>0</v>
      </c>
      <c r="K753" t="n">
        <v>0</v>
      </c>
      <c r="L753" t="n">
        <v>0</v>
      </c>
      <c r="M753" t="n">
        <v>0</v>
      </c>
      <c r="N753" t="n">
        <v>0</v>
      </c>
      <c r="O753" t="n">
        <v>0</v>
      </c>
      <c r="P753" t="n">
        <v>0</v>
      </c>
      <c r="Q753" t="n">
        <v>0</v>
      </c>
      <c r="R753" s="2" t="inlineStr"/>
    </row>
    <row r="754" ht="15" customHeight="1">
      <c r="A754" t="inlineStr">
        <is>
          <t>A 11427-2025</t>
        </is>
      </c>
      <c r="B754" s="1" t="n">
        <v>45726</v>
      </c>
      <c r="C754" s="1" t="n">
        <v>45937</v>
      </c>
      <c r="D754" t="inlineStr">
        <is>
          <t>VÄRMLANDS LÄN</t>
        </is>
      </c>
      <c r="E754" t="inlineStr">
        <is>
          <t>TORSBY</t>
        </is>
      </c>
      <c r="G754" t="n">
        <v>2.8</v>
      </c>
      <c r="H754" t="n">
        <v>0</v>
      </c>
      <c r="I754" t="n">
        <v>0</v>
      </c>
      <c r="J754" t="n">
        <v>0</v>
      </c>
      <c r="K754" t="n">
        <v>0</v>
      </c>
      <c r="L754" t="n">
        <v>0</v>
      </c>
      <c r="M754" t="n">
        <v>0</v>
      </c>
      <c r="N754" t="n">
        <v>0</v>
      </c>
      <c r="O754" t="n">
        <v>0</v>
      </c>
      <c r="P754" t="n">
        <v>0</v>
      </c>
      <c r="Q754" t="n">
        <v>0</v>
      </c>
      <c r="R754" s="2" t="inlineStr"/>
    </row>
    <row r="755" ht="15" customHeight="1">
      <c r="A755" t="inlineStr">
        <is>
          <t>A 8054-2022</t>
        </is>
      </c>
      <c r="B755" s="1" t="n">
        <v>44609</v>
      </c>
      <c r="C755" s="1" t="n">
        <v>45937</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6656-2021</t>
        </is>
      </c>
      <c r="B756" s="1" t="n">
        <v>44236</v>
      </c>
      <c r="C756" s="1" t="n">
        <v>45937</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392-2025</t>
        </is>
      </c>
      <c r="B757" s="1" t="n">
        <v>45663.35111111111</v>
      </c>
      <c r="C757" s="1" t="n">
        <v>45937</v>
      </c>
      <c r="D757" t="inlineStr">
        <is>
          <t>VÄRMLANDS LÄN</t>
        </is>
      </c>
      <c r="E757" t="inlineStr">
        <is>
          <t>TORSBY</t>
        </is>
      </c>
      <c r="G757" t="n">
        <v>3.5</v>
      </c>
      <c r="H757" t="n">
        <v>0</v>
      </c>
      <c r="I757" t="n">
        <v>0</v>
      </c>
      <c r="J757" t="n">
        <v>0</v>
      </c>
      <c r="K757" t="n">
        <v>0</v>
      </c>
      <c r="L757" t="n">
        <v>0</v>
      </c>
      <c r="M757" t="n">
        <v>0</v>
      </c>
      <c r="N757" t="n">
        <v>0</v>
      </c>
      <c r="O757" t="n">
        <v>0</v>
      </c>
      <c r="P757" t="n">
        <v>0</v>
      </c>
      <c r="Q757" t="n">
        <v>0</v>
      </c>
      <c r="R757" s="2" t="inlineStr"/>
    </row>
    <row r="758" ht="15" customHeight="1">
      <c r="A758" t="inlineStr">
        <is>
          <t>A 50147-2023</t>
        </is>
      </c>
      <c r="B758" s="1" t="n">
        <v>45215</v>
      </c>
      <c r="C758" s="1" t="n">
        <v>45937</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10579-2021</t>
        </is>
      </c>
      <c r="B759" s="1" t="n">
        <v>44257</v>
      </c>
      <c r="C759" s="1" t="n">
        <v>45937</v>
      </c>
      <c r="D759" t="inlineStr">
        <is>
          <t>VÄRMLANDS LÄN</t>
        </is>
      </c>
      <c r="E759" t="inlineStr">
        <is>
          <t>TORSBY</t>
        </is>
      </c>
      <c r="G759" t="n">
        <v>1.2</v>
      </c>
      <c r="H759" t="n">
        <v>0</v>
      </c>
      <c r="I759" t="n">
        <v>0</v>
      </c>
      <c r="J759" t="n">
        <v>0</v>
      </c>
      <c r="K759" t="n">
        <v>0</v>
      </c>
      <c r="L759" t="n">
        <v>0</v>
      </c>
      <c r="M759" t="n">
        <v>0</v>
      </c>
      <c r="N759" t="n">
        <v>0</v>
      </c>
      <c r="O759" t="n">
        <v>0</v>
      </c>
      <c r="P759" t="n">
        <v>0</v>
      </c>
      <c r="Q759" t="n">
        <v>0</v>
      </c>
      <c r="R759" s="2" t="inlineStr"/>
    </row>
    <row r="760" ht="15" customHeight="1">
      <c r="A760" t="inlineStr">
        <is>
          <t>A 14624-2023</t>
        </is>
      </c>
      <c r="B760" s="1" t="n">
        <v>45013</v>
      </c>
      <c r="C760" s="1" t="n">
        <v>45937</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11868-2025</t>
        </is>
      </c>
      <c r="B761" s="1" t="n">
        <v>45728.4225</v>
      </c>
      <c r="C761" s="1" t="n">
        <v>45937</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2195-2025</t>
        </is>
      </c>
      <c r="B762" s="1" t="n">
        <v>45673.38138888889</v>
      </c>
      <c r="C762" s="1" t="n">
        <v>45937</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23741-2025</t>
        </is>
      </c>
      <c r="B763" s="1" t="n">
        <v>45793</v>
      </c>
      <c r="C763" s="1" t="n">
        <v>45937</v>
      </c>
      <c r="D763" t="inlineStr">
        <is>
          <t>VÄRMLANDS LÄN</t>
        </is>
      </c>
      <c r="E763" t="inlineStr">
        <is>
          <t>TORSBY</t>
        </is>
      </c>
      <c r="G763" t="n">
        <v>1.5</v>
      </c>
      <c r="H763" t="n">
        <v>0</v>
      </c>
      <c r="I763" t="n">
        <v>0</v>
      </c>
      <c r="J763" t="n">
        <v>0</v>
      </c>
      <c r="K763" t="n">
        <v>0</v>
      </c>
      <c r="L763" t="n">
        <v>0</v>
      </c>
      <c r="M763" t="n">
        <v>0</v>
      </c>
      <c r="N763" t="n">
        <v>0</v>
      </c>
      <c r="O763" t="n">
        <v>0</v>
      </c>
      <c r="P763" t="n">
        <v>0</v>
      </c>
      <c r="Q763" t="n">
        <v>0</v>
      </c>
      <c r="R763" s="2" t="inlineStr"/>
    </row>
    <row r="764" ht="15" customHeight="1">
      <c r="A764" t="inlineStr">
        <is>
          <t>A 46914-2024</t>
        </is>
      </c>
      <c r="B764" s="1" t="n">
        <v>45583.7577662037</v>
      </c>
      <c r="C764" s="1" t="n">
        <v>45937</v>
      </c>
      <c r="D764" t="inlineStr">
        <is>
          <t>VÄRMLANDS LÄN</t>
        </is>
      </c>
      <c r="E764" t="inlineStr">
        <is>
          <t>TORSBY</t>
        </is>
      </c>
      <c r="G764" t="n">
        <v>2.4</v>
      </c>
      <c r="H764" t="n">
        <v>0</v>
      </c>
      <c r="I764" t="n">
        <v>0</v>
      </c>
      <c r="J764" t="n">
        <v>0</v>
      </c>
      <c r="K764" t="n">
        <v>0</v>
      </c>
      <c r="L764" t="n">
        <v>0</v>
      </c>
      <c r="M764" t="n">
        <v>0</v>
      </c>
      <c r="N764" t="n">
        <v>0</v>
      </c>
      <c r="O764" t="n">
        <v>0</v>
      </c>
      <c r="P764" t="n">
        <v>0</v>
      </c>
      <c r="Q764" t="n">
        <v>0</v>
      </c>
      <c r="R764" s="2" t="inlineStr"/>
    </row>
    <row r="765" ht="15" customHeight="1">
      <c r="A765" t="inlineStr">
        <is>
          <t>A 24026-2025</t>
        </is>
      </c>
      <c r="B765" s="1" t="n">
        <v>45796.46841435185</v>
      </c>
      <c r="C765" s="1" t="n">
        <v>45937</v>
      </c>
      <c r="D765" t="inlineStr">
        <is>
          <t>VÄRMLANDS LÄN</t>
        </is>
      </c>
      <c r="E765" t="inlineStr">
        <is>
          <t>TORSBY</t>
        </is>
      </c>
      <c r="G765" t="n">
        <v>11.9</v>
      </c>
      <c r="H765" t="n">
        <v>0</v>
      </c>
      <c r="I765" t="n">
        <v>0</v>
      </c>
      <c r="J765" t="n">
        <v>0</v>
      </c>
      <c r="K765" t="n">
        <v>0</v>
      </c>
      <c r="L765" t="n">
        <v>0</v>
      </c>
      <c r="M765" t="n">
        <v>0</v>
      </c>
      <c r="N765" t="n">
        <v>0</v>
      </c>
      <c r="O765" t="n">
        <v>0</v>
      </c>
      <c r="P765" t="n">
        <v>0</v>
      </c>
      <c r="Q765" t="n">
        <v>0</v>
      </c>
      <c r="R765" s="2" t="inlineStr"/>
    </row>
    <row r="766" ht="15" customHeight="1">
      <c r="A766" t="inlineStr">
        <is>
          <t>A 33069-2022</t>
        </is>
      </c>
      <c r="B766" s="1" t="n">
        <v>44785</v>
      </c>
      <c r="C766" s="1" t="n">
        <v>45937</v>
      </c>
      <c r="D766" t="inlineStr">
        <is>
          <t>VÄRMLANDS LÄN</t>
        </is>
      </c>
      <c r="E766" t="inlineStr">
        <is>
          <t>TORSBY</t>
        </is>
      </c>
      <c r="G766" t="n">
        <v>2.4</v>
      </c>
      <c r="H766" t="n">
        <v>0</v>
      </c>
      <c r="I766" t="n">
        <v>0</v>
      </c>
      <c r="J766" t="n">
        <v>0</v>
      </c>
      <c r="K766" t="n">
        <v>0</v>
      </c>
      <c r="L766" t="n">
        <v>0</v>
      </c>
      <c r="M766" t="n">
        <v>0</v>
      </c>
      <c r="N766" t="n">
        <v>0</v>
      </c>
      <c r="O766" t="n">
        <v>0</v>
      </c>
      <c r="P766" t="n">
        <v>0</v>
      </c>
      <c r="Q766" t="n">
        <v>0</v>
      </c>
      <c r="R766" s="2" t="inlineStr"/>
    </row>
    <row r="767" ht="15" customHeight="1">
      <c r="A767" t="inlineStr">
        <is>
          <t>A 33078-2024</t>
        </is>
      </c>
      <c r="B767" s="1" t="n">
        <v>45517</v>
      </c>
      <c r="C767" s="1" t="n">
        <v>45937</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32319-2024</t>
        </is>
      </c>
      <c r="B768" s="1" t="n">
        <v>45512.4621875</v>
      </c>
      <c r="C768" s="1" t="n">
        <v>45937</v>
      </c>
      <c r="D768" t="inlineStr">
        <is>
          <t>VÄRMLANDS LÄN</t>
        </is>
      </c>
      <c r="E768" t="inlineStr">
        <is>
          <t>TORSBY</t>
        </is>
      </c>
      <c r="G768" t="n">
        <v>2.6</v>
      </c>
      <c r="H768" t="n">
        <v>0</v>
      </c>
      <c r="I768" t="n">
        <v>0</v>
      </c>
      <c r="J768" t="n">
        <v>0</v>
      </c>
      <c r="K768" t="n">
        <v>0</v>
      </c>
      <c r="L768" t="n">
        <v>0</v>
      </c>
      <c r="M768" t="n">
        <v>0</v>
      </c>
      <c r="N768" t="n">
        <v>0</v>
      </c>
      <c r="O768" t="n">
        <v>0</v>
      </c>
      <c r="P768" t="n">
        <v>0</v>
      </c>
      <c r="Q768" t="n">
        <v>0</v>
      </c>
      <c r="R768" s="2" t="inlineStr"/>
    </row>
    <row r="769" ht="15" customHeight="1">
      <c r="A769" t="inlineStr">
        <is>
          <t>A 40207-2023</t>
        </is>
      </c>
      <c r="B769" s="1" t="n">
        <v>45169.44604166667</v>
      </c>
      <c r="C769" s="1" t="n">
        <v>45937</v>
      </c>
      <c r="D769" t="inlineStr">
        <is>
          <t>VÄRMLANDS LÄN</t>
        </is>
      </c>
      <c r="E769" t="inlineStr">
        <is>
          <t>TORSBY</t>
        </is>
      </c>
      <c r="G769" t="n">
        <v>0.6</v>
      </c>
      <c r="H769" t="n">
        <v>0</v>
      </c>
      <c r="I769" t="n">
        <v>0</v>
      </c>
      <c r="J769" t="n">
        <v>0</v>
      </c>
      <c r="K769" t="n">
        <v>0</v>
      </c>
      <c r="L769" t="n">
        <v>0</v>
      </c>
      <c r="M769" t="n">
        <v>0</v>
      </c>
      <c r="N769" t="n">
        <v>0</v>
      </c>
      <c r="O769" t="n">
        <v>0</v>
      </c>
      <c r="P769" t="n">
        <v>0</v>
      </c>
      <c r="Q769" t="n">
        <v>0</v>
      </c>
      <c r="R769" s="2" t="inlineStr"/>
    </row>
    <row r="770" ht="15" customHeight="1">
      <c r="A770" t="inlineStr">
        <is>
          <t>A 31351-2024</t>
        </is>
      </c>
      <c r="B770" s="1" t="n">
        <v>45505</v>
      </c>
      <c r="C770" s="1" t="n">
        <v>45937</v>
      </c>
      <c r="D770" t="inlineStr">
        <is>
          <t>VÄRMLANDS LÄN</t>
        </is>
      </c>
      <c r="E770" t="inlineStr">
        <is>
          <t>TORSBY</t>
        </is>
      </c>
      <c r="F770" t="inlineStr">
        <is>
          <t>Kyrkan</t>
        </is>
      </c>
      <c r="G770" t="n">
        <v>6.5</v>
      </c>
      <c r="H770" t="n">
        <v>0</v>
      </c>
      <c r="I770" t="n">
        <v>0</v>
      </c>
      <c r="J770" t="n">
        <v>0</v>
      </c>
      <c r="K770" t="n">
        <v>0</v>
      </c>
      <c r="L770" t="n">
        <v>0</v>
      </c>
      <c r="M770" t="n">
        <v>0</v>
      </c>
      <c r="N770" t="n">
        <v>0</v>
      </c>
      <c r="O770" t="n">
        <v>0</v>
      </c>
      <c r="P770" t="n">
        <v>0</v>
      </c>
      <c r="Q770" t="n">
        <v>0</v>
      </c>
      <c r="R770" s="2" t="inlineStr"/>
    </row>
    <row r="771" ht="15" customHeight="1">
      <c r="A771" t="inlineStr">
        <is>
          <t>A 13207-2022</t>
        </is>
      </c>
      <c r="B771" s="1" t="n">
        <v>44644.56116898148</v>
      </c>
      <c r="C771" s="1" t="n">
        <v>45937</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23677-2025</t>
        </is>
      </c>
      <c r="B772" s="1" t="n">
        <v>45793.31969907408</v>
      </c>
      <c r="C772" s="1" t="n">
        <v>45937</v>
      </c>
      <c r="D772" t="inlineStr">
        <is>
          <t>VÄRMLANDS LÄN</t>
        </is>
      </c>
      <c r="E772" t="inlineStr">
        <is>
          <t>TORSBY</t>
        </is>
      </c>
      <c r="F772" t="inlineStr">
        <is>
          <t>Kyrkan</t>
        </is>
      </c>
      <c r="G772" t="n">
        <v>2.4</v>
      </c>
      <c r="H772" t="n">
        <v>0</v>
      </c>
      <c r="I772" t="n">
        <v>0</v>
      </c>
      <c r="J772" t="n">
        <v>0</v>
      </c>
      <c r="K772" t="n">
        <v>0</v>
      </c>
      <c r="L772" t="n">
        <v>0</v>
      </c>
      <c r="M772" t="n">
        <v>0</v>
      </c>
      <c r="N772" t="n">
        <v>0</v>
      </c>
      <c r="O772" t="n">
        <v>0</v>
      </c>
      <c r="P772" t="n">
        <v>0</v>
      </c>
      <c r="Q772" t="n">
        <v>0</v>
      </c>
      <c r="R772" s="2" t="inlineStr"/>
    </row>
    <row r="773" ht="15" customHeight="1">
      <c r="A773" t="inlineStr">
        <is>
          <t>A 60272-2024</t>
        </is>
      </c>
      <c r="B773" s="1" t="n">
        <v>45642</v>
      </c>
      <c r="C773" s="1" t="n">
        <v>45937</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39772-2024</t>
        </is>
      </c>
      <c r="B774" s="1" t="n">
        <v>45552</v>
      </c>
      <c r="C774" s="1" t="n">
        <v>45937</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23832-2025</t>
        </is>
      </c>
      <c r="B775" s="1" t="n">
        <v>45793.60357638889</v>
      </c>
      <c r="C775" s="1" t="n">
        <v>45937</v>
      </c>
      <c r="D775" t="inlineStr">
        <is>
          <t>VÄRMLANDS LÄN</t>
        </is>
      </c>
      <c r="E775" t="inlineStr">
        <is>
          <t>TORSBY</t>
        </is>
      </c>
      <c r="F775" t="inlineStr">
        <is>
          <t>Bergvik skog väst AB</t>
        </is>
      </c>
      <c r="G775" t="n">
        <v>12.3</v>
      </c>
      <c r="H775" t="n">
        <v>0</v>
      </c>
      <c r="I775" t="n">
        <v>0</v>
      </c>
      <c r="J775" t="n">
        <v>0</v>
      </c>
      <c r="K775" t="n">
        <v>0</v>
      </c>
      <c r="L775" t="n">
        <v>0</v>
      </c>
      <c r="M775" t="n">
        <v>0</v>
      </c>
      <c r="N775" t="n">
        <v>0</v>
      </c>
      <c r="O775" t="n">
        <v>0</v>
      </c>
      <c r="P775" t="n">
        <v>0</v>
      </c>
      <c r="Q775" t="n">
        <v>0</v>
      </c>
      <c r="R775" s="2" t="inlineStr"/>
    </row>
    <row r="776" ht="15" customHeight="1">
      <c r="A776" t="inlineStr">
        <is>
          <t>A 45134-2024</t>
        </is>
      </c>
      <c r="B776" s="1" t="n">
        <v>45575</v>
      </c>
      <c r="C776" s="1" t="n">
        <v>45937</v>
      </c>
      <c r="D776" t="inlineStr">
        <is>
          <t>VÄRMLANDS LÄN</t>
        </is>
      </c>
      <c r="E776" t="inlineStr">
        <is>
          <t>TORSBY</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44424-2024</t>
        </is>
      </c>
      <c r="B777" s="1" t="n">
        <v>45573</v>
      </c>
      <c r="C777" s="1" t="n">
        <v>45937</v>
      </c>
      <c r="D777" t="inlineStr">
        <is>
          <t>VÄRMLANDS LÄN</t>
        </is>
      </c>
      <c r="E777" t="inlineStr">
        <is>
          <t>TORSBY</t>
        </is>
      </c>
      <c r="G777" t="n">
        <v>8.5</v>
      </c>
      <c r="H777" t="n">
        <v>0</v>
      </c>
      <c r="I777" t="n">
        <v>0</v>
      </c>
      <c r="J777" t="n">
        <v>0</v>
      </c>
      <c r="K777" t="n">
        <v>0</v>
      </c>
      <c r="L777" t="n">
        <v>0</v>
      </c>
      <c r="M777" t="n">
        <v>0</v>
      </c>
      <c r="N777" t="n">
        <v>0</v>
      </c>
      <c r="O777" t="n">
        <v>0</v>
      </c>
      <c r="P777" t="n">
        <v>0</v>
      </c>
      <c r="Q777" t="n">
        <v>0</v>
      </c>
      <c r="R777" s="2" t="inlineStr"/>
    </row>
    <row r="778" ht="15" customHeight="1">
      <c r="A778" t="inlineStr">
        <is>
          <t>A 15175-2024</t>
        </is>
      </c>
      <c r="B778" s="1" t="n">
        <v>45400</v>
      </c>
      <c r="C778" s="1" t="n">
        <v>45937</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21308-2024</t>
        </is>
      </c>
      <c r="B779" s="1" t="n">
        <v>45440</v>
      </c>
      <c r="C779" s="1" t="n">
        <v>45937</v>
      </c>
      <c r="D779" t="inlineStr">
        <is>
          <t>VÄRMLANDS LÄN</t>
        </is>
      </c>
      <c r="E779" t="inlineStr">
        <is>
          <t>TORSBY</t>
        </is>
      </c>
      <c r="G779" t="n">
        <v>18.9</v>
      </c>
      <c r="H779" t="n">
        <v>0</v>
      </c>
      <c r="I779" t="n">
        <v>0</v>
      </c>
      <c r="J779" t="n">
        <v>0</v>
      </c>
      <c r="K779" t="n">
        <v>0</v>
      </c>
      <c r="L779" t="n">
        <v>0</v>
      </c>
      <c r="M779" t="n">
        <v>0</v>
      </c>
      <c r="N779" t="n">
        <v>0</v>
      </c>
      <c r="O779" t="n">
        <v>0</v>
      </c>
      <c r="P779" t="n">
        <v>0</v>
      </c>
      <c r="Q779" t="n">
        <v>0</v>
      </c>
      <c r="R779" s="2" t="inlineStr"/>
    </row>
    <row r="780" ht="15" customHeight="1">
      <c r="A780" t="inlineStr">
        <is>
          <t>A 47452-2024</t>
        </is>
      </c>
      <c r="B780" s="1" t="n">
        <v>45587</v>
      </c>
      <c r="C780" s="1" t="n">
        <v>45937</v>
      </c>
      <c r="D780" t="inlineStr">
        <is>
          <t>VÄRMLANDS LÄN</t>
        </is>
      </c>
      <c r="E780" t="inlineStr">
        <is>
          <t>TORSBY</t>
        </is>
      </c>
      <c r="F780" t="inlineStr">
        <is>
          <t>Övriga Aktiebolag</t>
        </is>
      </c>
      <c r="G780" t="n">
        <v>1.4</v>
      </c>
      <c r="H780" t="n">
        <v>0</v>
      </c>
      <c r="I780" t="n">
        <v>0</v>
      </c>
      <c r="J780" t="n">
        <v>0</v>
      </c>
      <c r="K780" t="n">
        <v>0</v>
      </c>
      <c r="L780" t="n">
        <v>0</v>
      </c>
      <c r="M780" t="n">
        <v>0</v>
      </c>
      <c r="N780" t="n">
        <v>0</v>
      </c>
      <c r="O780" t="n">
        <v>0</v>
      </c>
      <c r="P780" t="n">
        <v>0</v>
      </c>
      <c r="Q780" t="n">
        <v>0</v>
      </c>
      <c r="R780" s="2" t="inlineStr"/>
    </row>
    <row r="781" ht="15" customHeight="1">
      <c r="A781" t="inlineStr">
        <is>
          <t>A 22565-2024</t>
        </is>
      </c>
      <c r="B781" s="1" t="n">
        <v>45447</v>
      </c>
      <c r="C781" s="1" t="n">
        <v>45937</v>
      </c>
      <c r="D781" t="inlineStr">
        <is>
          <t>VÄRMLANDS LÄN</t>
        </is>
      </c>
      <c r="E781" t="inlineStr">
        <is>
          <t>TORSBY</t>
        </is>
      </c>
      <c r="G781" t="n">
        <v>3</v>
      </c>
      <c r="H781" t="n">
        <v>0</v>
      </c>
      <c r="I781" t="n">
        <v>0</v>
      </c>
      <c r="J781" t="n">
        <v>0</v>
      </c>
      <c r="K781" t="n">
        <v>0</v>
      </c>
      <c r="L781" t="n">
        <v>0</v>
      </c>
      <c r="M781" t="n">
        <v>0</v>
      </c>
      <c r="N781" t="n">
        <v>0</v>
      </c>
      <c r="O781" t="n">
        <v>0</v>
      </c>
      <c r="P781" t="n">
        <v>0</v>
      </c>
      <c r="Q781" t="n">
        <v>0</v>
      </c>
      <c r="R781" s="2" t="inlineStr"/>
    </row>
    <row r="782" ht="15" customHeight="1">
      <c r="A782" t="inlineStr">
        <is>
          <t>A 73553-2021</t>
        </is>
      </c>
      <c r="B782" s="1" t="n">
        <v>44551</v>
      </c>
      <c r="C782" s="1" t="n">
        <v>45937</v>
      </c>
      <c r="D782" t="inlineStr">
        <is>
          <t>VÄRMLANDS LÄN</t>
        </is>
      </c>
      <c r="E782" t="inlineStr">
        <is>
          <t>TORSBY</t>
        </is>
      </c>
      <c r="G782" t="n">
        <v>5.1</v>
      </c>
      <c r="H782" t="n">
        <v>0</v>
      </c>
      <c r="I782" t="n">
        <v>0</v>
      </c>
      <c r="J782" t="n">
        <v>0</v>
      </c>
      <c r="K782" t="n">
        <v>0</v>
      </c>
      <c r="L782" t="n">
        <v>0</v>
      </c>
      <c r="M782" t="n">
        <v>0</v>
      </c>
      <c r="N782" t="n">
        <v>0</v>
      </c>
      <c r="O782" t="n">
        <v>0</v>
      </c>
      <c r="P782" t="n">
        <v>0</v>
      </c>
      <c r="Q782" t="n">
        <v>0</v>
      </c>
      <c r="R782" s="2" t="inlineStr"/>
    </row>
    <row r="783" ht="15" customHeight="1">
      <c r="A783" t="inlineStr">
        <is>
          <t>A 44342-2024</t>
        </is>
      </c>
      <c r="B783" s="1" t="n">
        <v>45573.61793981482</v>
      </c>
      <c r="C783" s="1" t="n">
        <v>45937</v>
      </c>
      <c r="D783" t="inlineStr">
        <is>
          <t>VÄRMLANDS LÄN</t>
        </is>
      </c>
      <c r="E783" t="inlineStr">
        <is>
          <t>TORSBY</t>
        </is>
      </c>
      <c r="G783" t="n">
        <v>0.9</v>
      </c>
      <c r="H783" t="n">
        <v>0</v>
      </c>
      <c r="I783" t="n">
        <v>0</v>
      </c>
      <c r="J783" t="n">
        <v>0</v>
      </c>
      <c r="K783" t="n">
        <v>0</v>
      </c>
      <c r="L783" t="n">
        <v>0</v>
      </c>
      <c r="M783" t="n">
        <v>0</v>
      </c>
      <c r="N783" t="n">
        <v>0</v>
      </c>
      <c r="O783" t="n">
        <v>0</v>
      </c>
      <c r="P783" t="n">
        <v>0</v>
      </c>
      <c r="Q783" t="n">
        <v>0</v>
      </c>
      <c r="R783" s="2" t="inlineStr"/>
    </row>
    <row r="784" ht="15" customHeight="1">
      <c r="A784" t="inlineStr">
        <is>
          <t>A 24607-2025</t>
        </is>
      </c>
      <c r="B784" s="1" t="n">
        <v>45798.57608796296</v>
      </c>
      <c r="C784" s="1" t="n">
        <v>45937</v>
      </c>
      <c r="D784" t="inlineStr">
        <is>
          <t>VÄRMLANDS LÄN</t>
        </is>
      </c>
      <c r="E784" t="inlineStr">
        <is>
          <t>TORSBY</t>
        </is>
      </c>
      <c r="G784" t="n">
        <v>2.6</v>
      </c>
      <c r="H784" t="n">
        <v>0</v>
      </c>
      <c r="I784" t="n">
        <v>0</v>
      </c>
      <c r="J784" t="n">
        <v>0</v>
      </c>
      <c r="K784" t="n">
        <v>0</v>
      </c>
      <c r="L784" t="n">
        <v>0</v>
      </c>
      <c r="M784" t="n">
        <v>0</v>
      </c>
      <c r="N784" t="n">
        <v>0</v>
      </c>
      <c r="O784" t="n">
        <v>0</v>
      </c>
      <c r="P784" t="n">
        <v>0</v>
      </c>
      <c r="Q784" t="n">
        <v>0</v>
      </c>
      <c r="R784" s="2" t="inlineStr"/>
    </row>
    <row r="785" ht="15" customHeight="1">
      <c r="A785" t="inlineStr">
        <is>
          <t>A 56509-2024</t>
        </is>
      </c>
      <c r="B785" s="1" t="n">
        <v>45625</v>
      </c>
      <c r="C785" s="1" t="n">
        <v>45937</v>
      </c>
      <c r="D785" t="inlineStr">
        <is>
          <t>VÄRMLANDS LÄN</t>
        </is>
      </c>
      <c r="E785" t="inlineStr">
        <is>
          <t>TORSBY</t>
        </is>
      </c>
      <c r="G785" t="n">
        <v>2.6</v>
      </c>
      <c r="H785" t="n">
        <v>0</v>
      </c>
      <c r="I785" t="n">
        <v>0</v>
      </c>
      <c r="J785" t="n">
        <v>0</v>
      </c>
      <c r="K785" t="n">
        <v>0</v>
      </c>
      <c r="L785" t="n">
        <v>0</v>
      </c>
      <c r="M785" t="n">
        <v>0</v>
      </c>
      <c r="N785" t="n">
        <v>0</v>
      </c>
      <c r="O785" t="n">
        <v>0</v>
      </c>
      <c r="P785" t="n">
        <v>0</v>
      </c>
      <c r="Q785" t="n">
        <v>0</v>
      </c>
      <c r="R785" s="2" t="inlineStr"/>
    </row>
    <row r="786" ht="15" customHeight="1">
      <c r="A786" t="inlineStr">
        <is>
          <t>A 24425-2025</t>
        </is>
      </c>
      <c r="B786" s="1" t="n">
        <v>45797</v>
      </c>
      <c r="C786" s="1" t="n">
        <v>45937</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8284-2023</t>
        </is>
      </c>
      <c r="B787" s="1" t="n">
        <v>44974.64714120371</v>
      </c>
      <c r="C787" s="1" t="n">
        <v>45937</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45812-2024</t>
        </is>
      </c>
      <c r="B788" s="1" t="n">
        <v>45579</v>
      </c>
      <c r="C788" s="1" t="n">
        <v>45937</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45849-2024</t>
        </is>
      </c>
      <c r="B789" s="1" t="n">
        <v>45580</v>
      </c>
      <c r="C789" s="1" t="n">
        <v>45937</v>
      </c>
      <c r="D789" t="inlineStr">
        <is>
          <t>VÄRMLANDS LÄN</t>
        </is>
      </c>
      <c r="E789" t="inlineStr">
        <is>
          <t>TORSBY</t>
        </is>
      </c>
      <c r="G789" t="n">
        <v>2.5</v>
      </c>
      <c r="H789" t="n">
        <v>0</v>
      </c>
      <c r="I789" t="n">
        <v>0</v>
      </c>
      <c r="J789" t="n">
        <v>0</v>
      </c>
      <c r="K789" t="n">
        <v>0</v>
      </c>
      <c r="L789" t="n">
        <v>0</v>
      </c>
      <c r="M789" t="n">
        <v>0</v>
      </c>
      <c r="N789" t="n">
        <v>0</v>
      </c>
      <c r="O789" t="n">
        <v>0</v>
      </c>
      <c r="P789" t="n">
        <v>0</v>
      </c>
      <c r="Q789" t="n">
        <v>0</v>
      </c>
      <c r="R789" s="2" t="inlineStr"/>
    </row>
    <row r="790" ht="15" customHeight="1">
      <c r="A790" t="inlineStr">
        <is>
          <t>A 53297-2024</t>
        </is>
      </c>
      <c r="B790" s="1" t="n">
        <v>45614.38802083334</v>
      </c>
      <c r="C790" s="1" t="n">
        <v>45937</v>
      </c>
      <c r="D790" t="inlineStr">
        <is>
          <t>VÄRMLANDS LÄN</t>
        </is>
      </c>
      <c r="E790" t="inlineStr">
        <is>
          <t>TORSBY</t>
        </is>
      </c>
      <c r="F790" t="inlineStr">
        <is>
          <t>Bergvik skog väst AB</t>
        </is>
      </c>
      <c r="G790" t="n">
        <v>9.5</v>
      </c>
      <c r="H790" t="n">
        <v>0</v>
      </c>
      <c r="I790" t="n">
        <v>0</v>
      </c>
      <c r="J790" t="n">
        <v>0</v>
      </c>
      <c r="K790" t="n">
        <v>0</v>
      </c>
      <c r="L790" t="n">
        <v>0</v>
      </c>
      <c r="M790" t="n">
        <v>0</v>
      </c>
      <c r="N790" t="n">
        <v>0</v>
      </c>
      <c r="O790" t="n">
        <v>0</v>
      </c>
      <c r="P790" t="n">
        <v>0</v>
      </c>
      <c r="Q790" t="n">
        <v>0</v>
      </c>
      <c r="R790" s="2" t="inlineStr"/>
    </row>
    <row r="791" ht="15" customHeight="1">
      <c r="A791" t="inlineStr">
        <is>
          <t>A 8016-2023</t>
        </is>
      </c>
      <c r="B791" s="1" t="n">
        <v>44973</v>
      </c>
      <c r="C791" s="1" t="n">
        <v>45937</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22634-2023</t>
        </is>
      </c>
      <c r="B792" s="1" t="n">
        <v>45071</v>
      </c>
      <c r="C792" s="1" t="n">
        <v>45937</v>
      </c>
      <c r="D792" t="inlineStr">
        <is>
          <t>VÄRMLANDS LÄN</t>
        </is>
      </c>
      <c r="E792" t="inlineStr">
        <is>
          <t>TORSBY</t>
        </is>
      </c>
      <c r="F792" t="inlineStr">
        <is>
          <t>Bergvik skog väst AB</t>
        </is>
      </c>
      <c r="G792" t="n">
        <v>0.2</v>
      </c>
      <c r="H792" t="n">
        <v>0</v>
      </c>
      <c r="I792" t="n">
        <v>0</v>
      </c>
      <c r="J792" t="n">
        <v>0</v>
      </c>
      <c r="K792" t="n">
        <v>0</v>
      </c>
      <c r="L792" t="n">
        <v>0</v>
      </c>
      <c r="M792" t="n">
        <v>0</v>
      </c>
      <c r="N792" t="n">
        <v>0</v>
      </c>
      <c r="O792" t="n">
        <v>0</v>
      </c>
      <c r="P792" t="n">
        <v>0</v>
      </c>
      <c r="Q792" t="n">
        <v>0</v>
      </c>
      <c r="R792" s="2" t="inlineStr"/>
    </row>
    <row r="793" ht="15" customHeight="1">
      <c r="A793" t="inlineStr">
        <is>
          <t>A 57469-2024</t>
        </is>
      </c>
      <c r="B793" s="1" t="n">
        <v>45630</v>
      </c>
      <c r="C793" s="1" t="n">
        <v>45937</v>
      </c>
      <c r="D793" t="inlineStr">
        <is>
          <t>VÄRMLANDS LÄN</t>
        </is>
      </c>
      <c r="E793" t="inlineStr">
        <is>
          <t>TORSBY</t>
        </is>
      </c>
      <c r="F793" t="inlineStr">
        <is>
          <t>Bergvik skog väst AB</t>
        </is>
      </c>
      <c r="G793" t="n">
        <v>12.8</v>
      </c>
      <c r="H793" t="n">
        <v>0</v>
      </c>
      <c r="I793" t="n">
        <v>0</v>
      </c>
      <c r="J793" t="n">
        <v>0</v>
      </c>
      <c r="K793" t="n">
        <v>0</v>
      </c>
      <c r="L793" t="n">
        <v>0</v>
      </c>
      <c r="M793" t="n">
        <v>0</v>
      </c>
      <c r="N793" t="n">
        <v>0</v>
      </c>
      <c r="O793" t="n">
        <v>0</v>
      </c>
      <c r="P793" t="n">
        <v>0</v>
      </c>
      <c r="Q793" t="n">
        <v>0</v>
      </c>
      <c r="R793" s="2" t="inlineStr"/>
    </row>
    <row r="794" ht="15" customHeight="1">
      <c r="A794" t="inlineStr">
        <is>
          <t>A 53368-2024</t>
        </is>
      </c>
      <c r="B794" s="1" t="n">
        <v>45614</v>
      </c>
      <c r="C794" s="1" t="n">
        <v>45937</v>
      </c>
      <c r="D794" t="inlineStr">
        <is>
          <t>VÄRMLANDS LÄN</t>
        </is>
      </c>
      <c r="E794" t="inlineStr">
        <is>
          <t>TORSBY</t>
        </is>
      </c>
      <c r="G794" t="n">
        <v>0.5</v>
      </c>
      <c r="H794" t="n">
        <v>0</v>
      </c>
      <c r="I794" t="n">
        <v>0</v>
      </c>
      <c r="J794" t="n">
        <v>0</v>
      </c>
      <c r="K794" t="n">
        <v>0</v>
      </c>
      <c r="L794" t="n">
        <v>0</v>
      </c>
      <c r="M794" t="n">
        <v>0</v>
      </c>
      <c r="N794" t="n">
        <v>0</v>
      </c>
      <c r="O794" t="n">
        <v>0</v>
      </c>
      <c r="P794" t="n">
        <v>0</v>
      </c>
      <c r="Q794" t="n">
        <v>0</v>
      </c>
      <c r="R794" s="2" t="inlineStr"/>
    </row>
    <row r="795" ht="15" customHeight="1">
      <c r="A795" t="inlineStr">
        <is>
          <t>A 2699-2022</t>
        </is>
      </c>
      <c r="B795" s="1" t="n">
        <v>44580.62828703703</v>
      </c>
      <c r="C795" s="1" t="n">
        <v>45937</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25163-2023</t>
        </is>
      </c>
      <c r="B796" s="1" t="n">
        <v>45086</v>
      </c>
      <c r="C796" s="1" t="n">
        <v>45937</v>
      </c>
      <c r="D796" t="inlineStr">
        <is>
          <t>VÄRMLANDS LÄN</t>
        </is>
      </c>
      <c r="E796" t="inlineStr">
        <is>
          <t>TORSBY</t>
        </is>
      </c>
      <c r="G796" t="n">
        <v>5.2</v>
      </c>
      <c r="H796" t="n">
        <v>0</v>
      </c>
      <c r="I796" t="n">
        <v>0</v>
      </c>
      <c r="J796" t="n">
        <v>0</v>
      </c>
      <c r="K796" t="n">
        <v>0</v>
      </c>
      <c r="L796" t="n">
        <v>0</v>
      </c>
      <c r="M796" t="n">
        <v>0</v>
      </c>
      <c r="N796" t="n">
        <v>0</v>
      </c>
      <c r="O796" t="n">
        <v>0</v>
      </c>
      <c r="P796" t="n">
        <v>0</v>
      </c>
      <c r="Q796" t="n">
        <v>0</v>
      </c>
      <c r="R796" s="2" t="inlineStr"/>
    </row>
    <row r="797" ht="15" customHeight="1">
      <c r="A797" t="inlineStr">
        <is>
          <t>A 41264-2022</t>
        </is>
      </c>
      <c r="B797" s="1" t="n">
        <v>44823</v>
      </c>
      <c r="C797" s="1" t="n">
        <v>45937</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34961-2024</t>
        </is>
      </c>
      <c r="B798" s="1" t="n">
        <v>45527.48923611111</v>
      </c>
      <c r="C798" s="1" t="n">
        <v>45937</v>
      </c>
      <c r="D798" t="inlineStr">
        <is>
          <t>VÄRMLANDS LÄN</t>
        </is>
      </c>
      <c r="E798" t="inlineStr">
        <is>
          <t>TORSBY</t>
        </is>
      </c>
      <c r="F798" t="inlineStr">
        <is>
          <t>Bergvik skog väst AB</t>
        </is>
      </c>
      <c r="G798" t="n">
        <v>3.6</v>
      </c>
      <c r="H798" t="n">
        <v>0</v>
      </c>
      <c r="I798" t="n">
        <v>0</v>
      </c>
      <c r="J798" t="n">
        <v>0</v>
      </c>
      <c r="K798" t="n">
        <v>0</v>
      </c>
      <c r="L798" t="n">
        <v>0</v>
      </c>
      <c r="M798" t="n">
        <v>0</v>
      </c>
      <c r="N798" t="n">
        <v>0</v>
      </c>
      <c r="O798" t="n">
        <v>0</v>
      </c>
      <c r="P798" t="n">
        <v>0</v>
      </c>
      <c r="Q798" t="n">
        <v>0</v>
      </c>
      <c r="R798" s="2" t="inlineStr"/>
    </row>
    <row r="799" ht="15" customHeight="1">
      <c r="A799" t="inlineStr">
        <is>
          <t>A 9226-2025</t>
        </is>
      </c>
      <c r="B799" s="1" t="n">
        <v>45714</v>
      </c>
      <c r="C799" s="1" t="n">
        <v>45937</v>
      </c>
      <c r="D799" t="inlineStr">
        <is>
          <t>VÄRMLANDS LÄN</t>
        </is>
      </c>
      <c r="E799" t="inlineStr">
        <is>
          <t>TORSBY</t>
        </is>
      </c>
      <c r="G799" t="n">
        <v>0.8</v>
      </c>
      <c r="H799" t="n">
        <v>0</v>
      </c>
      <c r="I799" t="n">
        <v>0</v>
      </c>
      <c r="J799" t="n">
        <v>0</v>
      </c>
      <c r="K799" t="n">
        <v>0</v>
      </c>
      <c r="L799" t="n">
        <v>0</v>
      </c>
      <c r="M799" t="n">
        <v>0</v>
      </c>
      <c r="N799" t="n">
        <v>0</v>
      </c>
      <c r="O799" t="n">
        <v>0</v>
      </c>
      <c r="P799" t="n">
        <v>0</v>
      </c>
      <c r="Q799" t="n">
        <v>0</v>
      </c>
      <c r="R799" s="2" t="inlineStr"/>
    </row>
    <row r="800" ht="15" customHeight="1">
      <c r="A800" t="inlineStr">
        <is>
          <t>A 20968-2024</t>
        </is>
      </c>
      <c r="B800" s="1" t="n">
        <v>45439</v>
      </c>
      <c r="C800" s="1" t="n">
        <v>45937</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40590-2021</t>
        </is>
      </c>
      <c r="B801" s="1" t="n">
        <v>44420</v>
      </c>
      <c r="C801" s="1" t="n">
        <v>45937</v>
      </c>
      <c r="D801" t="inlineStr">
        <is>
          <t>VÄRMLANDS LÄN</t>
        </is>
      </c>
      <c r="E801" t="inlineStr">
        <is>
          <t>TORSBY</t>
        </is>
      </c>
      <c r="G801" t="n">
        <v>0.9</v>
      </c>
      <c r="H801" t="n">
        <v>0</v>
      </c>
      <c r="I801" t="n">
        <v>0</v>
      </c>
      <c r="J801" t="n">
        <v>0</v>
      </c>
      <c r="K801" t="n">
        <v>0</v>
      </c>
      <c r="L801" t="n">
        <v>0</v>
      </c>
      <c r="M801" t="n">
        <v>0</v>
      </c>
      <c r="N801" t="n">
        <v>0</v>
      </c>
      <c r="O801" t="n">
        <v>0</v>
      </c>
      <c r="P801" t="n">
        <v>0</v>
      </c>
      <c r="Q801" t="n">
        <v>0</v>
      </c>
      <c r="R801" s="2" t="inlineStr"/>
    </row>
    <row r="802" ht="15" customHeight="1">
      <c r="A802" t="inlineStr">
        <is>
          <t>A 42473-2023</t>
        </is>
      </c>
      <c r="B802" s="1" t="n">
        <v>45180</v>
      </c>
      <c r="C802" s="1" t="n">
        <v>45937</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41631-2024</t>
        </is>
      </c>
      <c r="B803" s="1" t="n">
        <v>45560</v>
      </c>
      <c r="C803" s="1" t="n">
        <v>45937</v>
      </c>
      <c r="D803" t="inlineStr">
        <is>
          <t>VÄRMLANDS LÄN</t>
        </is>
      </c>
      <c r="E803" t="inlineStr">
        <is>
          <t>TORSBY</t>
        </is>
      </c>
      <c r="F803" t="inlineStr">
        <is>
          <t>Bergvik skog väst AB</t>
        </is>
      </c>
      <c r="G803" t="n">
        <v>16.3</v>
      </c>
      <c r="H803" t="n">
        <v>0</v>
      </c>
      <c r="I803" t="n">
        <v>0</v>
      </c>
      <c r="J803" t="n">
        <v>0</v>
      </c>
      <c r="K803" t="n">
        <v>0</v>
      </c>
      <c r="L803" t="n">
        <v>0</v>
      </c>
      <c r="M803" t="n">
        <v>0</v>
      </c>
      <c r="N803" t="n">
        <v>0</v>
      </c>
      <c r="O803" t="n">
        <v>0</v>
      </c>
      <c r="P803" t="n">
        <v>0</v>
      </c>
      <c r="Q803" t="n">
        <v>0</v>
      </c>
      <c r="R803" s="2" t="inlineStr"/>
    </row>
    <row r="804" ht="15" customHeight="1">
      <c r="A804" t="inlineStr">
        <is>
          <t>A 66459-2020</t>
        </is>
      </c>
      <c r="B804" s="1" t="n">
        <v>44176</v>
      </c>
      <c r="C804" s="1" t="n">
        <v>45937</v>
      </c>
      <c r="D804" t="inlineStr">
        <is>
          <t>VÄRMLANDS LÄN</t>
        </is>
      </c>
      <c r="E804" t="inlineStr">
        <is>
          <t>TORSBY</t>
        </is>
      </c>
      <c r="G804" t="n">
        <v>2.7</v>
      </c>
      <c r="H804" t="n">
        <v>0</v>
      </c>
      <c r="I804" t="n">
        <v>0</v>
      </c>
      <c r="J804" t="n">
        <v>0</v>
      </c>
      <c r="K804" t="n">
        <v>0</v>
      </c>
      <c r="L804" t="n">
        <v>0</v>
      </c>
      <c r="M804" t="n">
        <v>0</v>
      </c>
      <c r="N804" t="n">
        <v>0</v>
      </c>
      <c r="O804" t="n">
        <v>0</v>
      </c>
      <c r="P804" t="n">
        <v>0</v>
      </c>
      <c r="Q804" t="n">
        <v>0</v>
      </c>
      <c r="R804" s="2" t="inlineStr"/>
    </row>
    <row r="805" ht="15" customHeight="1">
      <c r="A805" t="inlineStr">
        <is>
          <t>A 5289-2022</t>
        </is>
      </c>
      <c r="B805" s="1" t="n">
        <v>44594.61883101852</v>
      </c>
      <c r="C805" s="1" t="n">
        <v>45937</v>
      </c>
      <c r="D805" t="inlineStr">
        <is>
          <t>VÄRMLANDS LÄN</t>
        </is>
      </c>
      <c r="E805" t="inlineStr">
        <is>
          <t>TORSBY</t>
        </is>
      </c>
      <c r="G805" t="n">
        <v>0.8</v>
      </c>
      <c r="H805" t="n">
        <v>0</v>
      </c>
      <c r="I805" t="n">
        <v>0</v>
      </c>
      <c r="J805" t="n">
        <v>0</v>
      </c>
      <c r="K805" t="n">
        <v>0</v>
      </c>
      <c r="L805" t="n">
        <v>0</v>
      </c>
      <c r="M805" t="n">
        <v>0</v>
      </c>
      <c r="N805" t="n">
        <v>0</v>
      </c>
      <c r="O805" t="n">
        <v>0</v>
      </c>
      <c r="P805" t="n">
        <v>0</v>
      </c>
      <c r="Q805" t="n">
        <v>0</v>
      </c>
      <c r="R805" s="2" t="inlineStr"/>
    </row>
    <row r="806" ht="15" customHeight="1">
      <c r="A806" t="inlineStr">
        <is>
          <t>A 38979-2023</t>
        </is>
      </c>
      <c r="B806" s="1" t="n">
        <v>45163.64584490741</v>
      </c>
      <c r="C806" s="1" t="n">
        <v>45937</v>
      </c>
      <c r="D806" t="inlineStr">
        <is>
          <t>VÄRMLANDS LÄN</t>
        </is>
      </c>
      <c r="E806" t="inlineStr">
        <is>
          <t>TORSBY</t>
        </is>
      </c>
      <c r="G806" t="n">
        <v>2.3</v>
      </c>
      <c r="H806" t="n">
        <v>0</v>
      </c>
      <c r="I806" t="n">
        <v>0</v>
      </c>
      <c r="J806" t="n">
        <v>0</v>
      </c>
      <c r="K806" t="n">
        <v>0</v>
      </c>
      <c r="L806" t="n">
        <v>0</v>
      </c>
      <c r="M806" t="n">
        <v>0</v>
      </c>
      <c r="N806" t="n">
        <v>0</v>
      </c>
      <c r="O806" t="n">
        <v>0</v>
      </c>
      <c r="P806" t="n">
        <v>0</v>
      </c>
      <c r="Q806" t="n">
        <v>0</v>
      </c>
      <c r="R806" s="2" t="inlineStr"/>
    </row>
    <row r="807" ht="15" customHeight="1">
      <c r="A807" t="inlineStr">
        <is>
          <t>A 21542-2024</t>
        </is>
      </c>
      <c r="B807" s="1" t="n">
        <v>45441</v>
      </c>
      <c r="C807" s="1" t="n">
        <v>45937</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33232-2024</t>
        </is>
      </c>
      <c r="B808" s="1" t="n">
        <v>45518</v>
      </c>
      <c r="C808" s="1" t="n">
        <v>45937</v>
      </c>
      <c r="D808" t="inlineStr">
        <is>
          <t>VÄRMLANDS LÄN</t>
        </is>
      </c>
      <c r="E808" t="inlineStr">
        <is>
          <t>TORSBY</t>
        </is>
      </c>
      <c r="F808" t="inlineStr">
        <is>
          <t>Bergvik skog väst AB</t>
        </is>
      </c>
      <c r="G808" t="n">
        <v>1</v>
      </c>
      <c r="H808" t="n">
        <v>0</v>
      </c>
      <c r="I808" t="n">
        <v>0</v>
      </c>
      <c r="J808" t="n">
        <v>0</v>
      </c>
      <c r="K808" t="n">
        <v>0</v>
      </c>
      <c r="L808" t="n">
        <v>0</v>
      </c>
      <c r="M808" t="n">
        <v>0</v>
      </c>
      <c r="N808" t="n">
        <v>0</v>
      </c>
      <c r="O808" t="n">
        <v>0</v>
      </c>
      <c r="P808" t="n">
        <v>0</v>
      </c>
      <c r="Q808" t="n">
        <v>0</v>
      </c>
      <c r="R808" s="2" t="inlineStr"/>
    </row>
    <row r="809" ht="15" customHeight="1">
      <c r="A809" t="inlineStr">
        <is>
          <t>A 11581-2025</t>
        </is>
      </c>
      <c r="B809" s="1" t="n">
        <v>45727</v>
      </c>
      <c r="C809" s="1" t="n">
        <v>45937</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64602-2023</t>
        </is>
      </c>
      <c r="B810" s="1" t="n">
        <v>45281.50085648148</v>
      </c>
      <c r="C810" s="1" t="n">
        <v>45937</v>
      </c>
      <c r="D810" t="inlineStr">
        <is>
          <t>VÄRMLANDS LÄN</t>
        </is>
      </c>
      <c r="E810" t="inlineStr">
        <is>
          <t>TORSBY</t>
        </is>
      </c>
      <c r="G810" t="n">
        <v>3.5</v>
      </c>
      <c r="H810" t="n">
        <v>0</v>
      </c>
      <c r="I810" t="n">
        <v>0</v>
      </c>
      <c r="J810" t="n">
        <v>0</v>
      </c>
      <c r="K810" t="n">
        <v>0</v>
      </c>
      <c r="L810" t="n">
        <v>0</v>
      </c>
      <c r="M810" t="n">
        <v>0</v>
      </c>
      <c r="N810" t="n">
        <v>0</v>
      </c>
      <c r="O810" t="n">
        <v>0</v>
      </c>
      <c r="P810" t="n">
        <v>0</v>
      </c>
      <c r="Q810" t="n">
        <v>0</v>
      </c>
      <c r="R810" s="2" t="inlineStr"/>
    </row>
    <row r="811" ht="15" customHeight="1">
      <c r="A811" t="inlineStr">
        <is>
          <t>A 53044-2024</t>
        </is>
      </c>
      <c r="B811" s="1" t="n">
        <v>45611.44701388889</v>
      </c>
      <c r="C811" s="1" t="n">
        <v>45937</v>
      </c>
      <c r="D811" t="inlineStr">
        <is>
          <t>VÄRMLANDS LÄN</t>
        </is>
      </c>
      <c r="E811" t="inlineStr">
        <is>
          <t>TORSBY</t>
        </is>
      </c>
      <c r="F811" t="inlineStr">
        <is>
          <t>Kyrkan</t>
        </is>
      </c>
      <c r="G811" t="n">
        <v>25.8</v>
      </c>
      <c r="H811" t="n">
        <v>0</v>
      </c>
      <c r="I811" t="n">
        <v>0</v>
      </c>
      <c r="J811" t="n">
        <v>0</v>
      </c>
      <c r="K811" t="n">
        <v>0</v>
      </c>
      <c r="L811" t="n">
        <v>0</v>
      </c>
      <c r="M811" t="n">
        <v>0</v>
      </c>
      <c r="N811" t="n">
        <v>0</v>
      </c>
      <c r="O811" t="n">
        <v>0</v>
      </c>
      <c r="P811" t="n">
        <v>0</v>
      </c>
      <c r="Q811" t="n">
        <v>0</v>
      </c>
      <c r="R811" s="2" t="inlineStr"/>
    </row>
    <row r="812" ht="15" customHeight="1">
      <c r="A812" t="inlineStr">
        <is>
          <t>A 64641-2023</t>
        </is>
      </c>
      <c r="B812" s="1" t="n">
        <v>45281.55908564815</v>
      </c>
      <c r="C812" s="1" t="n">
        <v>45937</v>
      </c>
      <c r="D812" t="inlineStr">
        <is>
          <t>VÄRMLANDS LÄN</t>
        </is>
      </c>
      <c r="E812" t="inlineStr">
        <is>
          <t>TORSBY</t>
        </is>
      </c>
      <c r="F812" t="inlineStr">
        <is>
          <t>Bergvik skog väst AB</t>
        </is>
      </c>
      <c r="G812" t="n">
        <v>2.8</v>
      </c>
      <c r="H812" t="n">
        <v>0</v>
      </c>
      <c r="I812" t="n">
        <v>0</v>
      </c>
      <c r="J812" t="n">
        <v>0</v>
      </c>
      <c r="K812" t="n">
        <v>0</v>
      </c>
      <c r="L812" t="n">
        <v>0</v>
      </c>
      <c r="M812" t="n">
        <v>0</v>
      </c>
      <c r="N812" t="n">
        <v>0</v>
      </c>
      <c r="O812" t="n">
        <v>0</v>
      </c>
      <c r="P812" t="n">
        <v>0</v>
      </c>
      <c r="Q812" t="n">
        <v>0</v>
      </c>
      <c r="R812" s="2" t="inlineStr"/>
    </row>
    <row r="813" ht="15" customHeight="1">
      <c r="A813" t="inlineStr">
        <is>
          <t>A 36184-2024</t>
        </is>
      </c>
      <c r="B813" s="1" t="n">
        <v>45534.4178125</v>
      </c>
      <c r="C813" s="1" t="n">
        <v>45937</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7069-2022</t>
        </is>
      </c>
      <c r="B814" s="1" t="n">
        <v>44603</v>
      </c>
      <c r="C814" s="1" t="n">
        <v>45937</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15398-2025</t>
        </is>
      </c>
      <c r="B815" s="1" t="n">
        <v>45747.44309027777</v>
      </c>
      <c r="C815" s="1" t="n">
        <v>45937</v>
      </c>
      <c r="D815" t="inlineStr">
        <is>
          <t>VÄRMLANDS LÄN</t>
        </is>
      </c>
      <c r="E815" t="inlineStr">
        <is>
          <t>TORSBY</t>
        </is>
      </c>
      <c r="G815" t="n">
        <v>8</v>
      </c>
      <c r="H815" t="n">
        <v>0</v>
      </c>
      <c r="I815" t="n">
        <v>0</v>
      </c>
      <c r="J815" t="n">
        <v>0</v>
      </c>
      <c r="K815" t="n">
        <v>0</v>
      </c>
      <c r="L815" t="n">
        <v>0</v>
      </c>
      <c r="M815" t="n">
        <v>0</v>
      </c>
      <c r="N815" t="n">
        <v>0</v>
      </c>
      <c r="O815" t="n">
        <v>0</v>
      </c>
      <c r="P815" t="n">
        <v>0</v>
      </c>
      <c r="Q815" t="n">
        <v>0</v>
      </c>
      <c r="R815" s="2" t="inlineStr"/>
    </row>
    <row r="816" ht="15" customHeight="1">
      <c r="A816" t="inlineStr">
        <is>
          <t>A 24411-2025</t>
        </is>
      </c>
      <c r="B816" s="1" t="n">
        <v>45797</v>
      </c>
      <c r="C816" s="1" t="n">
        <v>45937</v>
      </c>
      <c r="D816" t="inlineStr">
        <is>
          <t>VÄRMLANDS LÄN</t>
        </is>
      </c>
      <c r="E816" t="inlineStr">
        <is>
          <t>TORSBY</t>
        </is>
      </c>
      <c r="F816" t="inlineStr">
        <is>
          <t>Övriga statliga verk och myndigheter</t>
        </is>
      </c>
      <c r="G816" t="n">
        <v>3.2</v>
      </c>
      <c r="H816" t="n">
        <v>0</v>
      </c>
      <c r="I816" t="n">
        <v>0</v>
      </c>
      <c r="J816" t="n">
        <v>0</v>
      </c>
      <c r="K816" t="n">
        <v>0</v>
      </c>
      <c r="L816" t="n">
        <v>0</v>
      </c>
      <c r="M816" t="n">
        <v>0</v>
      </c>
      <c r="N816" t="n">
        <v>0</v>
      </c>
      <c r="O816" t="n">
        <v>0</v>
      </c>
      <c r="P816" t="n">
        <v>0</v>
      </c>
      <c r="Q816" t="n">
        <v>0</v>
      </c>
      <c r="R816" s="2" t="inlineStr"/>
    </row>
    <row r="817" ht="15" customHeight="1">
      <c r="A817" t="inlineStr">
        <is>
          <t>A 24528-2025</t>
        </is>
      </c>
      <c r="B817" s="1" t="n">
        <v>45798.42680555556</v>
      </c>
      <c r="C817" s="1" t="n">
        <v>45937</v>
      </c>
      <c r="D817" t="inlineStr">
        <is>
          <t>VÄRMLANDS LÄN</t>
        </is>
      </c>
      <c r="E817" t="inlineStr">
        <is>
          <t>TORSBY</t>
        </is>
      </c>
      <c r="G817" t="n">
        <v>5.8</v>
      </c>
      <c r="H817" t="n">
        <v>0</v>
      </c>
      <c r="I817" t="n">
        <v>0</v>
      </c>
      <c r="J817" t="n">
        <v>0</v>
      </c>
      <c r="K817" t="n">
        <v>0</v>
      </c>
      <c r="L817" t="n">
        <v>0</v>
      </c>
      <c r="M817" t="n">
        <v>0</v>
      </c>
      <c r="N817" t="n">
        <v>0</v>
      </c>
      <c r="O817" t="n">
        <v>0</v>
      </c>
      <c r="P817" t="n">
        <v>0</v>
      </c>
      <c r="Q817" t="n">
        <v>0</v>
      </c>
      <c r="R817" s="2" t="inlineStr"/>
    </row>
    <row r="818" ht="15" customHeight="1">
      <c r="A818" t="inlineStr">
        <is>
          <t>A 24576-2025</t>
        </is>
      </c>
      <c r="B818" s="1" t="n">
        <v>45798</v>
      </c>
      <c r="C818" s="1" t="n">
        <v>45937</v>
      </c>
      <c r="D818" t="inlineStr">
        <is>
          <t>VÄRMLANDS LÄN</t>
        </is>
      </c>
      <c r="E818" t="inlineStr">
        <is>
          <t>TORSBY</t>
        </is>
      </c>
      <c r="G818" t="n">
        <v>2.4</v>
      </c>
      <c r="H818" t="n">
        <v>0</v>
      </c>
      <c r="I818" t="n">
        <v>0</v>
      </c>
      <c r="J818" t="n">
        <v>0</v>
      </c>
      <c r="K818" t="n">
        <v>0</v>
      </c>
      <c r="L818" t="n">
        <v>0</v>
      </c>
      <c r="M818" t="n">
        <v>0</v>
      </c>
      <c r="N818" t="n">
        <v>0</v>
      </c>
      <c r="O818" t="n">
        <v>0</v>
      </c>
      <c r="P818" t="n">
        <v>0</v>
      </c>
      <c r="Q818" t="n">
        <v>0</v>
      </c>
      <c r="R818" s="2" t="inlineStr"/>
    </row>
    <row r="819" ht="15" customHeight="1">
      <c r="A819" t="inlineStr">
        <is>
          <t>A 59080-2024</t>
        </is>
      </c>
      <c r="B819" s="1" t="n">
        <v>45637</v>
      </c>
      <c r="C819" s="1" t="n">
        <v>45937</v>
      </c>
      <c r="D819" t="inlineStr">
        <is>
          <t>VÄRMLANDS LÄN</t>
        </is>
      </c>
      <c r="E819" t="inlineStr">
        <is>
          <t>TORSBY</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24318-2025</t>
        </is>
      </c>
      <c r="B820" s="1" t="n">
        <v>45797.54879629629</v>
      </c>
      <c r="C820" s="1" t="n">
        <v>45937</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5763-2023</t>
        </is>
      </c>
      <c r="B821" s="1" t="n">
        <v>44963.36383101852</v>
      </c>
      <c r="C821" s="1" t="n">
        <v>45937</v>
      </c>
      <c r="D821" t="inlineStr">
        <is>
          <t>VÄRMLANDS LÄN</t>
        </is>
      </c>
      <c r="E821" t="inlineStr">
        <is>
          <t>TORSBY</t>
        </is>
      </c>
      <c r="G821" t="n">
        <v>1.2</v>
      </c>
      <c r="H821" t="n">
        <v>0</v>
      </c>
      <c r="I821" t="n">
        <v>0</v>
      </c>
      <c r="J821" t="n">
        <v>0</v>
      </c>
      <c r="K821" t="n">
        <v>0</v>
      </c>
      <c r="L821" t="n">
        <v>0</v>
      </c>
      <c r="M821" t="n">
        <v>0</v>
      </c>
      <c r="N821" t="n">
        <v>0</v>
      </c>
      <c r="O821" t="n">
        <v>0</v>
      </c>
      <c r="P821" t="n">
        <v>0</v>
      </c>
      <c r="Q821" t="n">
        <v>0</v>
      </c>
      <c r="R821" s="2" t="inlineStr"/>
    </row>
    <row r="822" ht="15" customHeight="1">
      <c r="A822" t="inlineStr">
        <is>
          <t>A 24251-2025</t>
        </is>
      </c>
      <c r="B822" s="1" t="n">
        <v>45797</v>
      </c>
      <c r="C822" s="1" t="n">
        <v>45937</v>
      </c>
      <c r="D822" t="inlineStr">
        <is>
          <t>VÄRMLANDS LÄN</t>
        </is>
      </c>
      <c r="E822" t="inlineStr">
        <is>
          <t>TORSBY</t>
        </is>
      </c>
      <c r="G822" t="n">
        <v>5.1</v>
      </c>
      <c r="H822" t="n">
        <v>0</v>
      </c>
      <c r="I822" t="n">
        <v>0</v>
      </c>
      <c r="J822" t="n">
        <v>0</v>
      </c>
      <c r="K822" t="n">
        <v>0</v>
      </c>
      <c r="L822" t="n">
        <v>0</v>
      </c>
      <c r="M822" t="n">
        <v>0</v>
      </c>
      <c r="N822" t="n">
        <v>0</v>
      </c>
      <c r="O822" t="n">
        <v>0</v>
      </c>
      <c r="P822" t="n">
        <v>0</v>
      </c>
      <c r="Q822" t="n">
        <v>0</v>
      </c>
      <c r="R822" s="2" t="inlineStr"/>
    </row>
    <row r="823" ht="15" customHeight="1">
      <c r="A823" t="inlineStr">
        <is>
          <t>A 44497-2023</t>
        </is>
      </c>
      <c r="B823" s="1" t="n">
        <v>45189.45701388889</v>
      </c>
      <c r="C823" s="1" t="n">
        <v>45937</v>
      </c>
      <c r="D823" t="inlineStr">
        <is>
          <t>VÄRMLANDS LÄN</t>
        </is>
      </c>
      <c r="E823" t="inlineStr">
        <is>
          <t>TORSBY</t>
        </is>
      </c>
      <c r="G823" t="n">
        <v>7.6</v>
      </c>
      <c r="H823" t="n">
        <v>0</v>
      </c>
      <c r="I823" t="n">
        <v>0</v>
      </c>
      <c r="J823" t="n">
        <v>0</v>
      </c>
      <c r="K823" t="n">
        <v>0</v>
      </c>
      <c r="L823" t="n">
        <v>0</v>
      </c>
      <c r="M823" t="n">
        <v>0</v>
      </c>
      <c r="N823" t="n">
        <v>0</v>
      </c>
      <c r="O823" t="n">
        <v>0</v>
      </c>
      <c r="P823" t="n">
        <v>0</v>
      </c>
      <c r="Q823" t="n">
        <v>0</v>
      </c>
      <c r="R823" s="2" t="inlineStr"/>
    </row>
    <row r="824" ht="15" customHeight="1">
      <c r="A824" t="inlineStr">
        <is>
          <t>A 24597-2025</t>
        </is>
      </c>
      <c r="B824" s="1" t="n">
        <v>45798</v>
      </c>
      <c r="C824" s="1" t="n">
        <v>45937</v>
      </c>
      <c r="D824" t="inlineStr">
        <is>
          <t>VÄRMLANDS LÄN</t>
        </is>
      </c>
      <c r="E824" t="inlineStr">
        <is>
          <t>TORSBY</t>
        </is>
      </c>
      <c r="F824" t="inlineStr">
        <is>
          <t>Övriga statliga verk och myndigheter</t>
        </is>
      </c>
      <c r="G824" t="n">
        <v>4</v>
      </c>
      <c r="H824" t="n">
        <v>0</v>
      </c>
      <c r="I824" t="n">
        <v>0</v>
      </c>
      <c r="J824" t="n">
        <v>0</v>
      </c>
      <c r="K824" t="n">
        <v>0</v>
      </c>
      <c r="L824" t="n">
        <v>0</v>
      </c>
      <c r="M824" t="n">
        <v>0</v>
      </c>
      <c r="N824" t="n">
        <v>0</v>
      </c>
      <c r="O824" t="n">
        <v>0</v>
      </c>
      <c r="P824" t="n">
        <v>0</v>
      </c>
      <c r="Q824" t="n">
        <v>0</v>
      </c>
      <c r="R824" s="2" t="inlineStr"/>
    </row>
    <row r="825" ht="15" customHeight="1">
      <c r="A825" t="inlineStr">
        <is>
          <t>A 24599-2025</t>
        </is>
      </c>
      <c r="B825" s="1" t="n">
        <v>45798.56230324074</v>
      </c>
      <c r="C825" s="1" t="n">
        <v>45937</v>
      </c>
      <c r="D825" t="inlineStr">
        <is>
          <t>VÄRMLANDS LÄN</t>
        </is>
      </c>
      <c r="E825" t="inlineStr">
        <is>
          <t>TORSBY</t>
        </is>
      </c>
      <c r="G825" t="n">
        <v>2.6</v>
      </c>
      <c r="H825" t="n">
        <v>0</v>
      </c>
      <c r="I825" t="n">
        <v>0</v>
      </c>
      <c r="J825" t="n">
        <v>0</v>
      </c>
      <c r="K825" t="n">
        <v>0</v>
      </c>
      <c r="L825" t="n">
        <v>0</v>
      </c>
      <c r="M825" t="n">
        <v>0</v>
      </c>
      <c r="N825" t="n">
        <v>0</v>
      </c>
      <c r="O825" t="n">
        <v>0</v>
      </c>
      <c r="P825" t="n">
        <v>0</v>
      </c>
      <c r="Q825" t="n">
        <v>0</v>
      </c>
      <c r="R825" s="2" t="inlineStr"/>
    </row>
    <row r="826" ht="15" customHeight="1">
      <c r="A826" t="inlineStr">
        <is>
          <t>A 24204-2025</t>
        </is>
      </c>
      <c r="B826" s="1" t="n">
        <v>45797.31824074074</v>
      </c>
      <c r="C826" s="1" t="n">
        <v>45937</v>
      </c>
      <c r="D826" t="inlineStr">
        <is>
          <t>VÄRMLANDS LÄN</t>
        </is>
      </c>
      <c r="E826" t="inlineStr">
        <is>
          <t>TORSBY</t>
        </is>
      </c>
      <c r="F826" t="inlineStr">
        <is>
          <t>Bergvik skog väst AB</t>
        </is>
      </c>
      <c r="G826" t="n">
        <v>5.8</v>
      </c>
      <c r="H826" t="n">
        <v>0</v>
      </c>
      <c r="I826" t="n">
        <v>0</v>
      </c>
      <c r="J826" t="n">
        <v>0</v>
      </c>
      <c r="K826" t="n">
        <v>0</v>
      </c>
      <c r="L826" t="n">
        <v>0</v>
      </c>
      <c r="M826" t="n">
        <v>0</v>
      </c>
      <c r="N826" t="n">
        <v>0</v>
      </c>
      <c r="O826" t="n">
        <v>0</v>
      </c>
      <c r="P826" t="n">
        <v>0</v>
      </c>
      <c r="Q826" t="n">
        <v>0</v>
      </c>
      <c r="R826" s="2" t="inlineStr"/>
    </row>
    <row r="827" ht="15" customHeight="1">
      <c r="A827" t="inlineStr">
        <is>
          <t>A 24260-2025</t>
        </is>
      </c>
      <c r="B827" s="1" t="n">
        <v>45797</v>
      </c>
      <c r="C827" s="1" t="n">
        <v>45937</v>
      </c>
      <c r="D827" t="inlineStr">
        <is>
          <t>VÄRMLANDS LÄN</t>
        </is>
      </c>
      <c r="E827" t="inlineStr">
        <is>
          <t>TORSBY</t>
        </is>
      </c>
      <c r="G827" t="n">
        <v>2.5</v>
      </c>
      <c r="H827" t="n">
        <v>0</v>
      </c>
      <c r="I827" t="n">
        <v>0</v>
      </c>
      <c r="J827" t="n">
        <v>0</v>
      </c>
      <c r="K827" t="n">
        <v>0</v>
      </c>
      <c r="L827" t="n">
        <v>0</v>
      </c>
      <c r="M827" t="n">
        <v>0</v>
      </c>
      <c r="N827" t="n">
        <v>0</v>
      </c>
      <c r="O827" t="n">
        <v>0</v>
      </c>
      <c r="P827" t="n">
        <v>0</v>
      </c>
      <c r="Q827" t="n">
        <v>0</v>
      </c>
      <c r="R827" s="2" t="inlineStr"/>
    </row>
    <row r="828" ht="15" customHeight="1">
      <c r="A828" t="inlineStr">
        <is>
          <t>A 1528-2025</t>
        </is>
      </c>
      <c r="B828" s="1" t="n">
        <v>45670</v>
      </c>
      <c r="C828" s="1" t="n">
        <v>45937</v>
      </c>
      <c r="D828" t="inlineStr">
        <is>
          <t>VÄRMLANDS LÄN</t>
        </is>
      </c>
      <c r="E828" t="inlineStr">
        <is>
          <t>TORSBY</t>
        </is>
      </c>
      <c r="G828" t="n">
        <v>7.4</v>
      </c>
      <c r="H828" t="n">
        <v>0</v>
      </c>
      <c r="I828" t="n">
        <v>0</v>
      </c>
      <c r="J828" t="n">
        <v>0</v>
      </c>
      <c r="K828" t="n">
        <v>0</v>
      </c>
      <c r="L828" t="n">
        <v>0</v>
      </c>
      <c r="M828" t="n">
        <v>0</v>
      </c>
      <c r="N828" t="n">
        <v>0</v>
      </c>
      <c r="O828" t="n">
        <v>0</v>
      </c>
      <c r="P828" t="n">
        <v>0</v>
      </c>
      <c r="Q828" t="n">
        <v>0</v>
      </c>
      <c r="R828" s="2" t="inlineStr"/>
    </row>
    <row r="829" ht="15" customHeight="1">
      <c r="A829" t="inlineStr">
        <is>
          <t>A 44532-2022</t>
        </is>
      </c>
      <c r="B829" s="1" t="n">
        <v>44840</v>
      </c>
      <c r="C829" s="1" t="n">
        <v>45937</v>
      </c>
      <c r="D829" t="inlineStr">
        <is>
          <t>VÄRMLANDS LÄN</t>
        </is>
      </c>
      <c r="E829" t="inlineStr">
        <is>
          <t>TORSBY</t>
        </is>
      </c>
      <c r="G829" t="n">
        <v>12.3</v>
      </c>
      <c r="H829" t="n">
        <v>0</v>
      </c>
      <c r="I829" t="n">
        <v>0</v>
      </c>
      <c r="J829" t="n">
        <v>0</v>
      </c>
      <c r="K829" t="n">
        <v>0</v>
      </c>
      <c r="L829" t="n">
        <v>0</v>
      </c>
      <c r="M829" t="n">
        <v>0</v>
      </c>
      <c r="N829" t="n">
        <v>0</v>
      </c>
      <c r="O829" t="n">
        <v>0</v>
      </c>
      <c r="P829" t="n">
        <v>0</v>
      </c>
      <c r="Q829" t="n">
        <v>0</v>
      </c>
      <c r="R829" s="2" t="inlineStr"/>
    </row>
    <row r="830" ht="15" customHeight="1">
      <c r="A830" t="inlineStr">
        <is>
          <t>A 68603-2020</t>
        </is>
      </c>
      <c r="B830" s="1" t="n">
        <v>44186</v>
      </c>
      <c r="C830" s="1" t="n">
        <v>45937</v>
      </c>
      <c r="D830" t="inlineStr">
        <is>
          <t>VÄRMLANDS LÄN</t>
        </is>
      </c>
      <c r="E830" t="inlineStr">
        <is>
          <t>TORSBY</t>
        </is>
      </c>
      <c r="G830" t="n">
        <v>11.2</v>
      </c>
      <c r="H830" t="n">
        <v>0</v>
      </c>
      <c r="I830" t="n">
        <v>0</v>
      </c>
      <c r="J830" t="n">
        <v>0</v>
      </c>
      <c r="K830" t="n">
        <v>0</v>
      </c>
      <c r="L830" t="n">
        <v>0</v>
      </c>
      <c r="M830" t="n">
        <v>0</v>
      </c>
      <c r="N830" t="n">
        <v>0</v>
      </c>
      <c r="O830" t="n">
        <v>0</v>
      </c>
      <c r="P830" t="n">
        <v>0</v>
      </c>
      <c r="Q830" t="n">
        <v>0</v>
      </c>
      <c r="R830" s="2" t="inlineStr"/>
    </row>
    <row r="831" ht="15" customHeight="1">
      <c r="A831" t="inlineStr">
        <is>
          <t>A 54822-2023</t>
        </is>
      </c>
      <c r="B831" s="1" t="n">
        <v>45229</v>
      </c>
      <c r="C831" s="1" t="n">
        <v>45937</v>
      </c>
      <c r="D831" t="inlineStr">
        <is>
          <t>VÄRMLANDS LÄN</t>
        </is>
      </c>
      <c r="E831" t="inlineStr">
        <is>
          <t>TORSBY</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24717-2024</t>
        </is>
      </c>
      <c r="B832" s="1" t="n">
        <v>45460</v>
      </c>
      <c r="C832" s="1" t="n">
        <v>45937</v>
      </c>
      <c r="D832" t="inlineStr">
        <is>
          <t>VÄRMLANDS LÄN</t>
        </is>
      </c>
      <c r="E832" t="inlineStr">
        <is>
          <t>TORSBY</t>
        </is>
      </c>
      <c r="F832" t="inlineStr">
        <is>
          <t>Övriga statliga verk och myndigheter</t>
        </is>
      </c>
      <c r="G832" t="n">
        <v>2.1</v>
      </c>
      <c r="H832" t="n">
        <v>0</v>
      </c>
      <c r="I832" t="n">
        <v>0</v>
      </c>
      <c r="J832" t="n">
        <v>0</v>
      </c>
      <c r="K832" t="n">
        <v>0</v>
      </c>
      <c r="L832" t="n">
        <v>0</v>
      </c>
      <c r="M832" t="n">
        <v>0</v>
      </c>
      <c r="N832" t="n">
        <v>0</v>
      </c>
      <c r="O832" t="n">
        <v>0</v>
      </c>
      <c r="P832" t="n">
        <v>0</v>
      </c>
      <c r="Q832" t="n">
        <v>0</v>
      </c>
      <c r="R832" s="2" t="inlineStr"/>
    </row>
    <row r="833" ht="15" customHeight="1">
      <c r="A833" t="inlineStr">
        <is>
          <t>A 15660-2025</t>
        </is>
      </c>
      <c r="B833" s="1" t="n">
        <v>45748</v>
      </c>
      <c r="C833" s="1" t="n">
        <v>45937</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25428-2025</t>
        </is>
      </c>
      <c r="B834" s="1" t="n">
        <v>45800.71540509259</v>
      </c>
      <c r="C834" s="1" t="n">
        <v>45937</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53921-2023</t>
        </is>
      </c>
      <c r="B835" s="1" t="n">
        <v>45231</v>
      </c>
      <c r="C835" s="1" t="n">
        <v>45937</v>
      </c>
      <c r="D835" t="inlineStr">
        <is>
          <t>VÄRMLANDS LÄN</t>
        </is>
      </c>
      <c r="E835" t="inlineStr">
        <is>
          <t>TORSBY</t>
        </is>
      </c>
      <c r="G835" t="n">
        <v>4.8</v>
      </c>
      <c r="H835" t="n">
        <v>0</v>
      </c>
      <c r="I835" t="n">
        <v>0</v>
      </c>
      <c r="J835" t="n">
        <v>0</v>
      </c>
      <c r="K835" t="n">
        <v>0</v>
      </c>
      <c r="L835" t="n">
        <v>0</v>
      </c>
      <c r="M835" t="n">
        <v>0</v>
      </c>
      <c r="N835" t="n">
        <v>0</v>
      </c>
      <c r="O835" t="n">
        <v>0</v>
      </c>
      <c r="P835" t="n">
        <v>0</v>
      </c>
      <c r="Q835" t="n">
        <v>0</v>
      </c>
      <c r="R835" s="2" t="inlineStr"/>
    </row>
    <row r="836" ht="15" customHeight="1">
      <c r="A836" t="inlineStr">
        <is>
          <t>A 25353-2025</t>
        </is>
      </c>
      <c r="B836" s="1" t="n">
        <v>45800.61553240741</v>
      </c>
      <c r="C836" s="1" t="n">
        <v>45937</v>
      </c>
      <c r="D836" t="inlineStr">
        <is>
          <t>VÄRMLANDS LÄN</t>
        </is>
      </c>
      <c r="E836" t="inlineStr">
        <is>
          <t>TORSBY</t>
        </is>
      </c>
      <c r="F836" t="inlineStr">
        <is>
          <t>Bergvik skog väst AB</t>
        </is>
      </c>
      <c r="G836" t="n">
        <v>4</v>
      </c>
      <c r="H836" t="n">
        <v>0</v>
      </c>
      <c r="I836" t="n">
        <v>0</v>
      </c>
      <c r="J836" t="n">
        <v>0</v>
      </c>
      <c r="K836" t="n">
        <v>0</v>
      </c>
      <c r="L836" t="n">
        <v>0</v>
      </c>
      <c r="M836" t="n">
        <v>0</v>
      </c>
      <c r="N836" t="n">
        <v>0</v>
      </c>
      <c r="O836" t="n">
        <v>0</v>
      </c>
      <c r="P836" t="n">
        <v>0</v>
      </c>
      <c r="Q836" t="n">
        <v>0</v>
      </c>
      <c r="R836" s="2" t="inlineStr"/>
    </row>
    <row r="837" ht="15" customHeight="1">
      <c r="A837" t="inlineStr">
        <is>
          <t>A 25186-2025</t>
        </is>
      </c>
      <c r="B837" s="1" t="n">
        <v>45800.45247685185</v>
      </c>
      <c r="C837" s="1" t="n">
        <v>45937</v>
      </c>
      <c r="D837" t="inlineStr">
        <is>
          <t>VÄRMLANDS LÄN</t>
        </is>
      </c>
      <c r="E837" t="inlineStr">
        <is>
          <t>TORSBY</t>
        </is>
      </c>
      <c r="F837" t="inlineStr">
        <is>
          <t>Kyrkan</t>
        </is>
      </c>
      <c r="G837" t="n">
        <v>10.2</v>
      </c>
      <c r="H837" t="n">
        <v>0</v>
      </c>
      <c r="I837" t="n">
        <v>0</v>
      </c>
      <c r="J837" t="n">
        <v>0</v>
      </c>
      <c r="K837" t="n">
        <v>0</v>
      </c>
      <c r="L837" t="n">
        <v>0</v>
      </c>
      <c r="M837" t="n">
        <v>0</v>
      </c>
      <c r="N837" t="n">
        <v>0</v>
      </c>
      <c r="O837" t="n">
        <v>0</v>
      </c>
      <c r="P837" t="n">
        <v>0</v>
      </c>
      <c r="Q837" t="n">
        <v>0</v>
      </c>
      <c r="R837" s="2" t="inlineStr"/>
    </row>
    <row r="838" ht="15" customHeight="1">
      <c r="A838" t="inlineStr">
        <is>
          <t>A 24726-2025</t>
        </is>
      </c>
      <c r="B838" s="1" t="n">
        <v>45799.32805555555</v>
      </c>
      <c r="C838" s="1" t="n">
        <v>45937</v>
      </c>
      <c r="D838" t="inlineStr">
        <is>
          <t>VÄRMLANDS LÄN</t>
        </is>
      </c>
      <c r="E838" t="inlineStr">
        <is>
          <t>TORSBY</t>
        </is>
      </c>
      <c r="G838" t="n">
        <v>4.8</v>
      </c>
      <c r="H838" t="n">
        <v>0</v>
      </c>
      <c r="I838" t="n">
        <v>0</v>
      </c>
      <c r="J838" t="n">
        <v>0</v>
      </c>
      <c r="K838" t="n">
        <v>0</v>
      </c>
      <c r="L838" t="n">
        <v>0</v>
      </c>
      <c r="M838" t="n">
        <v>0</v>
      </c>
      <c r="N838" t="n">
        <v>0</v>
      </c>
      <c r="O838" t="n">
        <v>0</v>
      </c>
      <c r="P838" t="n">
        <v>0</v>
      </c>
      <c r="Q838" t="n">
        <v>0</v>
      </c>
      <c r="R838" s="2" t="inlineStr"/>
    </row>
    <row r="839" ht="15" customHeight="1">
      <c r="A839" t="inlineStr">
        <is>
          <t>A 3223-2025</t>
        </is>
      </c>
      <c r="B839" s="1" t="n">
        <v>45679</v>
      </c>
      <c r="C839" s="1" t="n">
        <v>45937</v>
      </c>
      <c r="D839" t="inlineStr">
        <is>
          <t>VÄRMLANDS LÄN</t>
        </is>
      </c>
      <c r="E839" t="inlineStr">
        <is>
          <t>TORSBY</t>
        </is>
      </c>
      <c r="G839" t="n">
        <v>3.4</v>
      </c>
      <c r="H839" t="n">
        <v>0</v>
      </c>
      <c r="I839" t="n">
        <v>0</v>
      </c>
      <c r="J839" t="n">
        <v>0</v>
      </c>
      <c r="K839" t="n">
        <v>0</v>
      </c>
      <c r="L839" t="n">
        <v>0</v>
      </c>
      <c r="M839" t="n">
        <v>0</v>
      </c>
      <c r="N839" t="n">
        <v>0</v>
      </c>
      <c r="O839" t="n">
        <v>0</v>
      </c>
      <c r="P839" t="n">
        <v>0</v>
      </c>
      <c r="Q839" t="n">
        <v>0</v>
      </c>
      <c r="R839" s="2" t="inlineStr"/>
    </row>
    <row r="840" ht="15" customHeight="1">
      <c r="A840" t="inlineStr">
        <is>
          <t>A 3226-2025</t>
        </is>
      </c>
      <c r="B840" s="1" t="n">
        <v>45679.48003472222</v>
      </c>
      <c r="C840" s="1" t="n">
        <v>45937</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25218-2025</t>
        </is>
      </c>
      <c r="B841" s="1" t="n">
        <v>45800.4766087963</v>
      </c>
      <c r="C841" s="1" t="n">
        <v>45937</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24967-2025</t>
        </is>
      </c>
      <c r="B842" s="1" t="n">
        <v>45799.58332175926</v>
      </c>
      <c r="C842" s="1" t="n">
        <v>45937</v>
      </c>
      <c r="D842" t="inlineStr">
        <is>
          <t>VÄRMLANDS LÄN</t>
        </is>
      </c>
      <c r="E842" t="inlineStr">
        <is>
          <t>TORSBY</t>
        </is>
      </c>
      <c r="F842" t="inlineStr">
        <is>
          <t>Bergvik skog väst AB</t>
        </is>
      </c>
      <c r="G842" t="n">
        <v>17.6</v>
      </c>
      <c r="H842" t="n">
        <v>0</v>
      </c>
      <c r="I842" t="n">
        <v>0</v>
      </c>
      <c r="J842" t="n">
        <v>0</v>
      </c>
      <c r="K842" t="n">
        <v>0</v>
      </c>
      <c r="L842" t="n">
        <v>0</v>
      </c>
      <c r="M842" t="n">
        <v>0</v>
      </c>
      <c r="N842" t="n">
        <v>0</v>
      </c>
      <c r="O842" t="n">
        <v>0</v>
      </c>
      <c r="P842" t="n">
        <v>0</v>
      </c>
      <c r="Q842" t="n">
        <v>0</v>
      </c>
      <c r="R842" s="2" t="inlineStr"/>
    </row>
    <row r="843" ht="15" customHeight="1">
      <c r="A843" t="inlineStr">
        <is>
          <t>A 49936-2024</t>
        </is>
      </c>
      <c r="B843" s="1" t="n">
        <v>45597</v>
      </c>
      <c r="C843" s="1" t="n">
        <v>45937</v>
      </c>
      <c r="D843" t="inlineStr">
        <is>
          <t>VÄRMLANDS LÄN</t>
        </is>
      </c>
      <c r="E843" t="inlineStr">
        <is>
          <t>TORSBY</t>
        </is>
      </c>
      <c r="F843" t="inlineStr">
        <is>
          <t>Bergvik skog väst AB</t>
        </is>
      </c>
      <c r="G843" t="n">
        <v>2.1</v>
      </c>
      <c r="H843" t="n">
        <v>0</v>
      </c>
      <c r="I843" t="n">
        <v>0</v>
      </c>
      <c r="J843" t="n">
        <v>0</v>
      </c>
      <c r="K843" t="n">
        <v>0</v>
      </c>
      <c r="L843" t="n">
        <v>0</v>
      </c>
      <c r="M843" t="n">
        <v>0</v>
      </c>
      <c r="N843" t="n">
        <v>0</v>
      </c>
      <c r="O843" t="n">
        <v>0</v>
      </c>
      <c r="P843" t="n">
        <v>0</v>
      </c>
      <c r="Q843" t="n">
        <v>0</v>
      </c>
      <c r="R843" s="2" t="inlineStr"/>
    </row>
    <row r="844" ht="15" customHeight="1">
      <c r="A844" t="inlineStr">
        <is>
          <t>A 2155-2024</t>
        </is>
      </c>
      <c r="B844" s="1" t="n">
        <v>45309</v>
      </c>
      <c r="C844" s="1" t="n">
        <v>45937</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47619-2024</t>
        </is>
      </c>
      <c r="B845" s="1" t="n">
        <v>45588.32371527778</v>
      </c>
      <c r="C845" s="1" t="n">
        <v>45937</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59097-2022</t>
        </is>
      </c>
      <c r="B846" s="1" t="n">
        <v>44904</v>
      </c>
      <c r="C846" s="1" t="n">
        <v>45937</v>
      </c>
      <c r="D846" t="inlineStr">
        <is>
          <t>VÄRMLANDS LÄN</t>
        </is>
      </c>
      <c r="E846" t="inlineStr">
        <is>
          <t>TORSBY</t>
        </is>
      </c>
      <c r="G846" t="n">
        <v>6.6</v>
      </c>
      <c r="H846" t="n">
        <v>0</v>
      </c>
      <c r="I846" t="n">
        <v>0</v>
      </c>
      <c r="J846" t="n">
        <v>0</v>
      </c>
      <c r="K846" t="n">
        <v>0</v>
      </c>
      <c r="L846" t="n">
        <v>0</v>
      </c>
      <c r="M846" t="n">
        <v>0</v>
      </c>
      <c r="N846" t="n">
        <v>0</v>
      </c>
      <c r="O846" t="n">
        <v>0</v>
      </c>
      <c r="P846" t="n">
        <v>0</v>
      </c>
      <c r="Q846" t="n">
        <v>0</v>
      </c>
      <c r="R846" s="2" t="inlineStr"/>
    </row>
    <row r="847" ht="15" customHeight="1">
      <c r="A847" t="inlineStr">
        <is>
          <t>A 9381-2024</t>
        </is>
      </c>
      <c r="B847" s="1" t="n">
        <v>45359</v>
      </c>
      <c r="C847" s="1" t="n">
        <v>45937</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9904-2024</t>
        </is>
      </c>
      <c r="B848" s="1" t="n">
        <v>45363</v>
      </c>
      <c r="C848" s="1" t="n">
        <v>45937</v>
      </c>
      <c r="D848" t="inlineStr">
        <is>
          <t>VÄRMLANDS LÄN</t>
        </is>
      </c>
      <c r="E848" t="inlineStr">
        <is>
          <t>TORSBY</t>
        </is>
      </c>
      <c r="G848" t="n">
        <v>3.2</v>
      </c>
      <c r="H848" t="n">
        <v>0</v>
      </c>
      <c r="I848" t="n">
        <v>0</v>
      </c>
      <c r="J848" t="n">
        <v>0</v>
      </c>
      <c r="K848" t="n">
        <v>0</v>
      </c>
      <c r="L848" t="n">
        <v>0</v>
      </c>
      <c r="M848" t="n">
        <v>0</v>
      </c>
      <c r="N848" t="n">
        <v>0</v>
      </c>
      <c r="O848" t="n">
        <v>0</v>
      </c>
      <c r="P848" t="n">
        <v>0</v>
      </c>
      <c r="Q848" t="n">
        <v>0</v>
      </c>
      <c r="R848" s="2" t="inlineStr"/>
    </row>
    <row r="849" ht="15" customHeight="1">
      <c r="A849" t="inlineStr">
        <is>
          <t>A 44325-2024</t>
        </is>
      </c>
      <c r="B849" s="1" t="n">
        <v>45573</v>
      </c>
      <c r="C849" s="1" t="n">
        <v>45937</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14730-2024</t>
        </is>
      </c>
      <c r="B850" s="1" t="n">
        <v>45397.58518518518</v>
      </c>
      <c r="C850" s="1" t="n">
        <v>45937</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10218-2023</t>
        </is>
      </c>
      <c r="B851" s="1" t="n">
        <v>44986.59697916666</v>
      </c>
      <c r="C851" s="1" t="n">
        <v>45937</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2576-2021</t>
        </is>
      </c>
      <c r="B852" s="1" t="n">
        <v>44214</v>
      </c>
      <c r="C852" s="1" t="n">
        <v>45937</v>
      </c>
      <c r="D852" t="inlineStr">
        <is>
          <t>VÄRMLANDS LÄN</t>
        </is>
      </c>
      <c r="E852" t="inlineStr">
        <is>
          <t>TORSBY</t>
        </is>
      </c>
      <c r="F852" t="inlineStr">
        <is>
          <t>Kommuner</t>
        </is>
      </c>
      <c r="G852" t="n">
        <v>0.6</v>
      </c>
      <c r="H852" t="n">
        <v>0</v>
      </c>
      <c r="I852" t="n">
        <v>0</v>
      </c>
      <c r="J852" t="n">
        <v>0</v>
      </c>
      <c r="K852" t="n">
        <v>0</v>
      </c>
      <c r="L852" t="n">
        <v>0</v>
      </c>
      <c r="M852" t="n">
        <v>0</v>
      </c>
      <c r="N852" t="n">
        <v>0</v>
      </c>
      <c r="O852" t="n">
        <v>0</v>
      </c>
      <c r="P852" t="n">
        <v>0</v>
      </c>
      <c r="Q852" t="n">
        <v>0</v>
      </c>
      <c r="R852" s="2" t="inlineStr"/>
    </row>
    <row r="853" ht="15" customHeight="1">
      <c r="A853" t="inlineStr">
        <is>
          <t>A 43732-2022</t>
        </is>
      </c>
      <c r="B853" s="1" t="n">
        <v>44837.69357638889</v>
      </c>
      <c r="C853" s="1" t="n">
        <v>45937</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24757-2025</t>
        </is>
      </c>
      <c r="B854" s="1" t="n">
        <v>45799</v>
      </c>
      <c r="C854" s="1" t="n">
        <v>45937</v>
      </c>
      <c r="D854" t="inlineStr">
        <is>
          <t>VÄRMLANDS LÄN</t>
        </is>
      </c>
      <c r="E854" t="inlineStr">
        <is>
          <t>TORSBY</t>
        </is>
      </c>
      <c r="G854" t="n">
        <v>2.1</v>
      </c>
      <c r="H854" t="n">
        <v>0</v>
      </c>
      <c r="I854" t="n">
        <v>0</v>
      </c>
      <c r="J854" t="n">
        <v>0</v>
      </c>
      <c r="K854" t="n">
        <v>0</v>
      </c>
      <c r="L854" t="n">
        <v>0</v>
      </c>
      <c r="M854" t="n">
        <v>0</v>
      </c>
      <c r="N854" t="n">
        <v>0</v>
      </c>
      <c r="O854" t="n">
        <v>0</v>
      </c>
      <c r="P854" t="n">
        <v>0</v>
      </c>
      <c r="Q854" t="n">
        <v>0</v>
      </c>
      <c r="R854" s="2" t="inlineStr"/>
    </row>
    <row r="855" ht="15" customHeight="1">
      <c r="A855" t="inlineStr">
        <is>
          <t>A 10589-2024</t>
        </is>
      </c>
      <c r="B855" s="1" t="n">
        <v>45366</v>
      </c>
      <c r="C855" s="1" t="n">
        <v>45937</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25369-2025</t>
        </is>
      </c>
      <c r="B856" s="1" t="n">
        <v>45800.63046296296</v>
      </c>
      <c r="C856" s="1" t="n">
        <v>45937</v>
      </c>
      <c r="D856" t="inlineStr">
        <is>
          <t>VÄRMLANDS LÄN</t>
        </is>
      </c>
      <c r="E856" t="inlineStr">
        <is>
          <t>TORSBY</t>
        </is>
      </c>
      <c r="F856" t="inlineStr">
        <is>
          <t>Bergvik skog väst AB</t>
        </is>
      </c>
      <c r="G856" t="n">
        <v>5.3</v>
      </c>
      <c r="H856" t="n">
        <v>0</v>
      </c>
      <c r="I856" t="n">
        <v>0</v>
      </c>
      <c r="J856" t="n">
        <v>0</v>
      </c>
      <c r="K856" t="n">
        <v>0</v>
      </c>
      <c r="L856" t="n">
        <v>0</v>
      </c>
      <c r="M856" t="n">
        <v>0</v>
      </c>
      <c r="N856" t="n">
        <v>0</v>
      </c>
      <c r="O856" t="n">
        <v>0</v>
      </c>
      <c r="P856" t="n">
        <v>0</v>
      </c>
      <c r="Q856" t="n">
        <v>0</v>
      </c>
      <c r="R856" s="2" t="inlineStr"/>
    </row>
    <row r="857" ht="15" customHeight="1">
      <c r="A857" t="inlineStr">
        <is>
          <t>A 9057-2022</t>
        </is>
      </c>
      <c r="B857" s="1" t="n">
        <v>44615</v>
      </c>
      <c r="C857" s="1" t="n">
        <v>45937</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25328-2025</t>
        </is>
      </c>
      <c r="B858" s="1" t="n">
        <v>45800</v>
      </c>
      <c r="C858" s="1" t="n">
        <v>45937</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25050-2025</t>
        </is>
      </c>
      <c r="B859" s="1" t="n">
        <v>45799</v>
      </c>
      <c r="C859" s="1" t="n">
        <v>45937</v>
      </c>
      <c r="D859" t="inlineStr">
        <is>
          <t>VÄRMLANDS LÄN</t>
        </is>
      </c>
      <c r="E859" t="inlineStr">
        <is>
          <t>TORSBY</t>
        </is>
      </c>
      <c r="F859" t="inlineStr">
        <is>
          <t>Bergvik skog väst AB</t>
        </is>
      </c>
      <c r="G859" t="n">
        <v>39.7</v>
      </c>
      <c r="H859" t="n">
        <v>0</v>
      </c>
      <c r="I859" t="n">
        <v>0</v>
      </c>
      <c r="J859" t="n">
        <v>0</v>
      </c>
      <c r="K859" t="n">
        <v>0</v>
      </c>
      <c r="L859" t="n">
        <v>0</v>
      </c>
      <c r="M859" t="n">
        <v>0</v>
      </c>
      <c r="N859" t="n">
        <v>0</v>
      </c>
      <c r="O859" t="n">
        <v>0</v>
      </c>
      <c r="P859" t="n">
        <v>0</v>
      </c>
      <c r="Q859" t="n">
        <v>0</v>
      </c>
      <c r="R859" s="2" t="inlineStr"/>
    </row>
    <row r="860" ht="15" customHeight="1">
      <c r="A860" t="inlineStr">
        <is>
          <t>A 2506-2025</t>
        </is>
      </c>
      <c r="B860" s="1" t="n">
        <v>45674</v>
      </c>
      <c r="C860" s="1" t="n">
        <v>45937</v>
      </c>
      <c r="D860" t="inlineStr">
        <is>
          <t>VÄRMLANDS LÄN</t>
        </is>
      </c>
      <c r="E860" t="inlineStr">
        <is>
          <t>TORSBY</t>
        </is>
      </c>
      <c r="F860" t="inlineStr">
        <is>
          <t>Bergvik skog väst AB</t>
        </is>
      </c>
      <c r="G860" t="n">
        <v>19.2</v>
      </c>
      <c r="H860" t="n">
        <v>0</v>
      </c>
      <c r="I860" t="n">
        <v>0</v>
      </c>
      <c r="J860" t="n">
        <v>0</v>
      </c>
      <c r="K860" t="n">
        <v>0</v>
      </c>
      <c r="L860" t="n">
        <v>0</v>
      </c>
      <c r="M860" t="n">
        <v>0</v>
      </c>
      <c r="N860" t="n">
        <v>0</v>
      </c>
      <c r="O860" t="n">
        <v>0</v>
      </c>
      <c r="P860" t="n">
        <v>0</v>
      </c>
      <c r="Q860" t="n">
        <v>0</v>
      </c>
      <c r="R860" s="2" t="inlineStr"/>
    </row>
    <row r="861" ht="15" customHeight="1">
      <c r="A861" t="inlineStr">
        <is>
          <t>A 62090-2024</t>
        </is>
      </c>
      <c r="B861" s="1" t="n">
        <v>45656</v>
      </c>
      <c r="C861" s="1" t="n">
        <v>45937</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62092-2024</t>
        </is>
      </c>
      <c r="B862" s="1" t="n">
        <v>45656</v>
      </c>
      <c r="C862" s="1" t="n">
        <v>45937</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52940-2024</t>
        </is>
      </c>
      <c r="B863" s="1" t="n">
        <v>45610</v>
      </c>
      <c r="C863" s="1" t="n">
        <v>45937</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46233-2023</t>
        </is>
      </c>
      <c r="B864" s="1" t="n">
        <v>45196.69575231482</v>
      </c>
      <c r="C864" s="1" t="n">
        <v>45937</v>
      </c>
      <c r="D864" t="inlineStr">
        <is>
          <t>VÄRMLANDS LÄN</t>
        </is>
      </c>
      <c r="E864" t="inlineStr">
        <is>
          <t>TORSBY</t>
        </is>
      </c>
      <c r="F864" t="inlineStr">
        <is>
          <t>Kyrkan</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38905-2025</t>
        </is>
      </c>
      <c r="B865" s="1" t="n">
        <v>45884</v>
      </c>
      <c r="C865" s="1" t="n">
        <v>45937</v>
      </c>
      <c r="D865" t="inlineStr">
        <is>
          <t>VÄRMLANDS LÄN</t>
        </is>
      </c>
      <c r="E865" t="inlineStr">
        <is>
          <t>TORSBY</t>
        </is>
      </c>
      <c r="G865" t="n">
        <v>5.4</v>
      </c>
      <c r="H865" t="n">
        <v>0</v>
      </c>
      <c r="I865" t="n">
        <v>0</v>
      </c>
      <c r="J865" t="n">
        <v>0</v>
      </c>
      <c r="K865" t="n">
        <v>0</v>
      </c>
      <c r="L865" t="n">
        <v>0</v>
      </c>
      <c r="M865" t="n">
        <v>0</v>
      </c>
      <c r="N865" t="n">
        <v>0</v>
      </c>
      <c r="O865" t="n">
        <v>0</v>
      </c>
      <c r="P865" t="n">
        <v>0</v>
      </c>
      <c r="Q865" t="n">
        <v>0</v>
      </c>
      <c r="R865" s="2" t="inlineStr"/>
    </row>
    <row r="866" ht="15" customHeight="1">
      <c r="A866" t="inlineStr">
        <is>
          <t>A 25959-2025</t>
        </is>
      </c>
      <c r="B866" s="1" t="n">
        <v>45804.60914351852</v>
      </c>
      <c r="C866" s="1" t="n">
        <v>45937</v>
      </c>
      <c r="D866" t="inlineStr">
        <is>
          <t>VÄRMLANDS LÄN</t>
        </is>
      </c>
      <c r="E866" t="inlineStr">
        <is>
          <t>TORSBY</t>
        </is>
      </c>
      <c r="F866" t="inlineStr">
        <is>
          <t>Bergvik skog väst AB</t>
        </is>
      </c>
      <c r="G866" t="n">
        <v>17.6</v>
      </c>
      <c r="H866" t="n">
        <v>0</v>
      </c>
      <c r="I866" t="n">
        <v>0</v>
      </c>
      <c r="J866" t="n">
        <v>0</v>
      </c>
      <c r="K866" t="n">
        <v>0</v>
      </c>
      <c r="L866" t="n">
        <v>0</v>
      </c>
      <c r="M866" t="n">
        <v>0</v>
      </c>
      <c r="N866" t="n">
        <v>0</v>
      </c>
      <c r="O866" t="n">
        <v>0</v>
      </c>
      <c r="P866" t="n">
        <v>0</v>
      </c>
      <c r="Q866" t="n">
        <v>0</v>
      </c>
      <c r="R866" s="2" t="inlineStr"/>
    </row>
    <row r="867" ht="15" customHeight="1">
      <c r="A867" t="inlineStr">
        <is>
          <t>A 25807-2025</t>
        </is>
      </c>
      <c r="B867" s="1" t="n">
        <v>45804.41055555556</v>
      </c>
      <c r="C867" s="1" t="n">
        <v>45937</v>
      </c>
      <c r="D867" t="inlineStr">
        <is>
          <t>VÄRMLANDS LÄN</t>
        </is>
      </c>
      <c r="E867" t="inlineStr">
        <is>
          <t>TORSBY</t>
        </is>
      </c>
      <c r="G867" t="n">
        <v>3.2</v>
      </c>
      <c r="H867" t="n">
        <v>0</v>
      </c>
      <c r="I867" t="n">
        <v>0</v>
      </c>
      <c r="J867" t="n">
        <v>0</v>
      </c>
      <c r="K867" t="n">
        <v>0</v>
      </c>
      <c r="L867" t="n">
        <v>0</v>
      </c>
      <c r="M867" t="n">
        <v>0</v>
      </c>
      <c r="N867" t="n">
        <v>0</v>
      </c>
      <c r="O867" t="n">
        <v>0</v>
      </c>
      <c r="P867" t="n">
        <v>0</v>
      </c>
      <c r="Q867" t="n">
        <v>0</v>
      </c>
      <c r="R867" s="2" t="inlineStr"/>
    </row>
    <row r="868" ht="15" customHeight="1">
      <c r="A868" t="inlineStr">
        <is>
          <t>A 48185-2024</t>
        </is>
      </c>
      <c r="B868" s="1" t="n">
        <v>45589.90284722222</v>
      </c>
      <c r="C868" s="1" t="n">
        <v>45937</v>
      </c>
      <c r="D868" t="inlineStr">
        <is>
          <t>VÄRMLANDS LÄN</t>
        </is>
      </c>
      <c r="E868" t="inlineStr">
        <is>
          <t>TORSBY</t>
        </is>
      </c>
      <c r="G868" t="n">
        <v>4.8</v>
      </c>
      <c r="H868" t="n">
        <v>0</v>
      </c>
      <c r="I868" t="n">
        <v>0</v>
      </c>
      <c r="J868" t="n">
        <v>0</v>
      </c>
      <c r="K868" t="n">
        <v>0</v>
      </c>
      <c r="L868" t="n">
        <v>0</v>
      </c>
      <c r="M868" t="n">
        <v>0</v>
      </c>
      <c r="N868" t="n">
        <v>0</v>
      </c>
      <c r="O868" t="n">
        <v>0</v>
      </c>
      <c r="P868" t="n">
        <v>0</v>
      </c>
      <c r="Q868" t="n">
        <v>0</v>
      </c>
      <c r="R868" s="2" t="inlineStr"/>
    </row>
    <row r="869" ht="15" customHeight="1">
      <c r="A869" t="inlineStr">
        <is>
          <t>A 22943-2023</t>
        </is>
      </c>
      <c r="B869" s="1" t="n">
        <v>45072</v>
      </c>
      <c r="C869" s="1" t="n">
        <v>45937</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25653-2025</t>
        </is>
      </c>
      <c r="B870" s="1" t="n">
        <v>45803.61072916666</v>
      </c>
      <c r="C870" s="1" t="n">
        <v>45937</v>
      </c>
      <c r="D870" t="inlineStr">
        <is>
          <t>VÄRMLANDS LÄN</t>
        </is>
      </c>
      <c r="E870" t="inlineStr">
        <is>
          <t>TORSBY</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22301-2023</t>
        </is>
      </c>
      <c r="B871" s="1" t="n">
        <v>45070</v>
      </c>
      <c r="C871" s="1" t="n">
        <v>45937</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25866-2025</t>
        </is>
      </c>
      <c r="B872" s="1" t="n">
        <v>45804.48143518518</v>
      </c>
      <c r="C872" s="1" t="n">
        <v>45937</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43137-2024</t>
        </is>
      </c>
      <c r="B873" s="1" t="n">
        <v>45567</v>
      </c>
      <c r="C873" s="1" t="n">
        <v>45937</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42632-2023</t>
        </is>
      </c>
      <c r="B874" s="1" t="n">
        <v>45181</v>
      </c>
      <c r="C874" s="1" t="n">
        <v>45937</v>
      </c>
      <c r="D874" t="inlineStr">
        <is>
          <t>VÄRMLANDS LÄN</t>
        </is>
      </c>
      <c r="E874" t="inlineStr">
        <is>
          <t>TORSBY</t>
        </is>
      </c>
      <c r="G874" t="n">
        <v>5.8</v>
      </c>
      <c r="H874" t="n">
        <v>0</v>
      </c>
      <c r="I874" t="n">
        <v>0</v>
      </c>
      <c r="J874" t="n">
        <v>0</v>
      </c>
      <c r="K874" t="n">
        <v>0</v>
      </c>
      <c r="L874" t="n">
        <v>0</v>
      </c>
      <c r="M874" t="n">
        <v>0</v>
      </c>
      <c r="N874" t="n">
        <v>0</v>
      </c>
      <c r="O874" t="n">
        <v>0</v>
      </c>
      <c r="P874" t="n">
        <v>0</v>
      </c>
      <c r="Q874" t="n">
        <v>0</v>
      </c>
      <c r="R874" s="2" t="inlineStr"/>
    </row>
    <row r="875" ht="15" customHeight="1">
      <c r="A875" t="inlineStr">
        <is>
          <t>A 42635-2023</t>
        </is>
      </c>
      <c r="B875" s="1" t="n">
        <v>45181.49310185185</v>
      </c>
      <c r="C875" s="1" t="n">
        <v>45937</v>
      </c>
      <c r="D875" t="inlineStr">
        <is>
          <t>VÄRMLANDS LÄN</t>
        </is>
      </c>
      <c r="E875" t="inlineStr">
        <is>
          <t>TORSBY</t>
        </is>
      </c>
      <c r="G875" t="n">
        <v>16.1</v>
      </c>
      <c r="H875" t="n">
        <v>0</v>
      </c>
      <c r="I875" t="n">
        <v>0</v>
      </c>
      <c r="J875" t="n">
        <v>0</v>
      </c>
      <c r="K875" t="n">
        <v>0</v>
      </c>
      <c r="L875" t="n">
        <v>0</v>
      </c>
      <c r="M875" t="n">
        <v>0</v>
      </c>
      <c r="N875" t="n">
        <v>0</v>
      </c>
      <c r="O875" t="n">
        <v>0</v>
      </c>
      <c r="P875" t="n">
        <v>0</v>
      </c>
      <c r="Q875" t="n">
        <v>0</v>
      </c>
      <c r="R875" s="2" t="inlineStr"/>
    </row>
    <row r="876" ht="15" customHeight="1">
      <c r="A876" t="inlineStr">
        <is>
          <t>A 25881-2025</t>
        </is>
      </c>
      <c r="B876" s="1" t="n">
        <v>45804.49729166667</v>
      </c>
      <c r="C876" s="1" t="n">
        <v>45937</v>
      </c>
      <c r="D876" t="inlineStr">
        <is>
          <t>VÄRMLANDS LÄN</t>
        </is>
      </c>
      <c r="E876" t="inlineStr">
        <is>
          <t>TORSBY</t>
        </is>
      </c>
      <c r="G876" t="n">
        <v>5.3</v>
      </c>
      <c r="H876" t="n">
        <v>0</v>
      </c>
      <c r="I876" t="n">
        <v>0</v>
      </c>
      <c r="J876" t="n">
        <v>0</v>
      </c>
      <c r="K876" t="n">
        <v>0</v>
      </c>
      <c r="L876" t="n">
        <v>0</v>
      </c>
      <c r="M876" t="n">
        <v>0</v>
      </c>
      <c r="N876" t="n">
        <v>0</v>
      </c>
      <c r="O876" t="n">
        <v>0</v>
      </c>
      <c r="P876" t="n">
        <v>0</v>
      </c>
      <c r="Q876" t="n">
        <v>0</v>
      </c>
      <c r="R876" s="2" t="inlineStr"/>
    </row>
    <row r="877" ht="15" customHeight="1">
      <c r="A877" t="inlineStr">
        <is>
          <t>A 46293-2025</t>
        </is>
      </c>
      <c r="B877" s="1" t="n">
        <v>45925.39297453704</v>
      </c>
      <c r="C877" s="1" t="n">
        <v>45937</v>
      </c>
      <c r="D877" t="inlineStr">
        <is>
          <t>VÄRMLANDS LÄN</t>
        </is>
      </c>
      <c r="E877" t="inlineStr">
        <is>
          <t>TORSBY</t>
        </is>
      </c>
      <c r="G877" t="n">
        <v>24.3</v>
      </c>
      <c r="H877" t="n">
        <v>0</v>
      </c>
      <c r="I877" t="n">
        <v>0</v>
      </c>
      <c r="J877" t="n">
        <v>0</v>
      </c>
      <c r="K877" t="n">
        <v>0</v>
      </c>
      <c r="L877" t="n">
        <v>0</v>
      </c>
      <c r="M877" t="n">
        <v>0</v>
      </c>
      <c r="N877" t="n">
        <v>0</v>
      </c>
      <c r="O877" t="n">
        <v>0</v>
      </c>
      <c r="P877" t="n">
        <v>0</v>
      </c>
      <c r="Q877" t="n">
        <v>0</v>
      </c>
      <c r="R877" s="2" t="inlineStr"/>
    </row>
    <row r="878" ht="15" customHeight="1">
      <c r="A878" t="inlineStr">
        <is>
          <t>A 46166-2024</t>
        </is>
      </c>
      <c r="B878" s="1" t="n">
        <v>45581</v>
      </c>
      <c r="C878" s="1" t="n">
        <v>45937</v>
      </c>
      <c r="D878" t="inlineStr">
        <is>
          <t>VÄRMLANDS LÄN</t>
        </is>
      </c>
      <c r="E878" t="inlineStr">
        <is>
          <t>TORSBY</t>
        </is>
      </c>
      <c r="G878" t="n">
        <v>9.5</v>
      </c>
      <c r="H878" t="n">
        <v>0</v>
      </c>
      <c r="I878" t="n">
        <v>0</v>
      </c>
      <c r="J878" t="n">
        <v>0</v>
      </c>
      <c r="K878" t="n">
        <v>0</v>
      </c>
      <c r="L878" t="n">
        <v>0</v>
      </c>
      <c r="M878" t="n">
        <v>0</v>
      </c>
      <c r="N878" t="n">
        <v>0</v>
      </c>
      <c r="O878" t="n">
        <v>0</v>
      </c>
      <c r="P878" t="n">
        <v>0</v>
      </c>
      <c r="Q878" t="n">
        <v>0</v>
      </c>
      <c r="R878" s="2" t="inlineStr"/>
    </row>
    <row r="879" ht="15" customHeight="1">
      <c r="A879" t="inlineStr">
        <is>
          <t>A 24965-2023</t>
        </is>
      </c>
      <c r="B879" s="1" t="n">
        <v>45085</v>
      </c>
      <c r="C879" s="1" t="n">
        <v>45937</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24969-2023</t>
        </is>
      </c>
      <c r="B880" s="1" t="n">
        <v>45085.61429398148</v>
      </c>
      <c r="C880" s="1" t="n">
        <v>45937</v>
      </c>
      <c r="D880" t="inlineStr">
        <is>
          <t>VÄRMLANDS LÄN</t>
        </is>
      </c>
      <c r="E880" t="inlineStr">
        <is>
          <t>TORSBY</t>
        </is>
      </c>
      <c r="G880" t="n">
        <v>0.2</v>
      </c>
      <c r="H880" t="n">
        <v>0</v>
      </c>
      <c r="I880" t="n">
        <v>0</v>
      </c>
      <c r="J880" t="n">
        <v>0</v>
      </c>
      <c r="K880" t="n">
        <v>0</v>
      </c>
      <c r="L880" t="n">
        <v>0</v>
      </c>
      <c r="M880" t="n">
        <v>0</v>
      </c>
      <c r="N880" t="n">
        <v>0</v>
      </c>
      <c r="O880" t="n">
        <v>0</v>
      </c>
      <c r="P880" t="n">
        <v>0</v>
      </c>
      <c r="Q880" t="n">
        <v>0</v>
      </c>
      <c r="R880" s="2" t="inlineStr"/>
    </row>
    <row r="881" ht="15" customHeight="1">
      <c r="A881" t="inlineStr">
        <is>
          <t>A 15126-2024</t>
        </is>
      </c>
      <c r="B881" s="1" t="n">
        <v>45399</v>
      </c>
      <c r="C881" s="1" t="n">
        <v>45937</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15127-2024</t>
        </is>
      </c>
      <c r="B882" s="1" t="n">
        <v>45399.76815972223</v>
      </c>
      <c r="C882" s="1" t="n">
        <v>45937</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25917-2025</t>
        </is>
      </c>
      <c r="B883" s="1" t="n">
        <v>45804.56704861111</v>
      </c>
      <c r="C883" s="1" t="n">
        <v>45937</v>
      </c>
      <c r="D883" t="inlineStr">
        <is>
          <t>VÄRMLANDS LÄN</t>
        </is>
      </c>
      <c r="E883" t="inlineStr">
        <is>
          <t>TORSBY</t>
        </is>
      </c>
      <c r="G883" t="n">
        <v>3.2</v>
      </c>
      <c r="H883" t="n">
        <v>0</v>
      </c>
      <c r="I883" t="n">
        <v>0</v>
      </c>
      <c r="J883" t="n">
        <v>0</v>
      </c>
      <c r="K883" t="n">
        <v>0</v>
      </c>
      <c r="L883" t="n">
        <v>0</v>
      </c>
      <c r="M883" t="n">
        <v>0</v>
      </c>
      <c r="N883" t="n">
        <v>0</v>
      </c>
      <c r="O883" t="n">
        <v>0</v>
      </c>
      <c r="P883" t="n">
        <v>0</v>
      </c>
      <c r="Q883" t="n">
        <v>0</v>
      </c>
      <c r="R883" s="2" t="inlineStr"/>
    </row>
    <row r="884" ht="15" customHeight="1">
      <c r="A884" t="inlineStr">
        <is>
          <t>A 25464-2025</t>
        </is>
      </c>
      <c r="B884" s="1" t="n">
        <v>45802.46032407408</v>
      </c>
      <c r="C884" s="1" t="n">
        <v>45937</v>
      </c>
      <c r="D884" t="inlineStr">
        <is>
          <t>VÄRMLANDS LÄN</t>
        </is>
      </c>
      <c r="E884" t="inlineStr">
        <is>
          <t>TORSBY</t>
        </is>
      </c>
      <c r="G884" t="n">
        <v>2.1</v>
      </c>
      <c r="H884" t="n">
        <v>0</v>
      </c>
      <c r="I884" t="n">
        <v>0</v>
      </c>
      <c r="J884" t="n">
        <v>0</v>
      </c>
      <c r="K884" t="n">
        <v>0</v>
      </c>
      <c r="L884" t="n">
        <v>0</v>
      </c>
      <c r="M884" t="n">
        <v>0</v>
      </c>
      <c r="N884" t="n">
        <v>0</v>
      </c>
      <c r="O884" t="n">
        <v>0</v>
      </c>
      <c r="P884" t="n">
        <v>0</v>
      </c>
      <c r="Q884" t="n">
        <v>0</v>
      </c>
      <c r="R884" s="2" t="inlineStr"/>
    </row>
    <row r="885" ht="15" customHeight="1">
      <c r="A885" t="inlineStr">
        <is>
          <t>A 25465-2025</t>
        </is>
      </c>
      <c r="B885" s="1" t="n">
        <v>45802.48196759259</v>
      </c>
      <c r="C885" s="1" t="n">
        <v>45937</v>
      </c>
      <c r="D885" t="inlineStr">
        <is>
          <t>VÄRMLANDS LÄN</t>
        </is>
      </c>
      <c r="E885" t="inlineStr">
        <is>
          <t>TORSBY</t>
        </is>
      </c>
      <c r="G885" t="n">
        <v>2.4</v>
      </c>
      <c r="H885" t="n">
        <v>0</v>
      </c>
      <c r="I885" t="n">
        <v>0</v>
      </c>
      <c r="J885" t="n">
        <v>0</v>
      </c>
      <c r="K885" t="n">
        <v>0</v>
      </c>
      <c r="L885" t="n">
        <v>0</v>
      </c>
      <c r="M885" t="n">
        <v>0</v>
      </c>
      <c r="N885" t="n">
        <v>0</v>
      </c>
      <c r="O885" t="n">
        <v>0</v>
      </c>
      <c r="P885" t="n">
        <v>0</v>
      </c>
      <c r="Q885" t="n">
        <v>0</v>
      </c>
      <c r="R885" s="2" t="inlineStr"/>
    </row>
    <row r="886" ht="15" customHeight="1">
      <c r="A886" t="inlineStr">
        <is>
          <t>A 25974-2025</t>
        </is>
      </c>
      <c r="B886" s="1" t="n">
        <v>45804</v>
      </c>
      <c r="C886" s="1" t="n">
        <v>45937</v>
      </c>
      <c r="D886" t="inlineStr">
        <is>
          <t>VÄRMLANDS LÄN</t>
        </is>
      </c>
      <c r="E886" t="inlineStr">
        <is>
          <t>TORSBY</t>
        </is>
      </c>
      <c r="F886" t="inlineStr">
        <is>
          <t>Bergvik skog väst AB</t>
        </is>
      </c>
      <c r="G886" t="n">
        <v>24.6</v>
      </c>
      <c r="H886" t="n">
        <v>0</v>
      </c>
      <c r="I886" t="n">
        <v>0</v>
      </c>
      <c r="J886" t="n">
        <v>0</v>
      </c>
      <c r="K886" t="n">
        <v>0</v>
      </c>
      <c r="L886" t="n">
        <v>0</v>
      </c>
      <c r="M886" t="n">
        <v>0</v>
      </c>
      <c r="N886" t="n">
        <v>0</v>
      </c>
      <c r="O886" t="n">
        <v>0</v>
      </c>
      <c r="P886" t="n">
        <v>0</v>
      </c>
      <c r="Q886" t="n">
        <v>0</v>
      </c>
      <c r="R886" s="2" t="inlineStr"/>
    </row>
    <row r="887" ht="15" customHeight="1">
      <c r="A887" t="inlineStr">
        <is>
          <t>A 38611-2025</t>
        </is>
      </c>
      <c r="B887" s="1" t="n">
        <v>45884.53958333333</v>
      </c>
      <c r="C887" s="1" t="n">
        <v>45937</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25443-2025</t>
        </is>
      </c>
      <c r="B888" s="1" t="n">
        <v>45801.49258101852</v>
      </c>
      <c r="C888" s="1" t="n">
        <v>45937</v>
      </c>
      <c r="D888" t="inlineStr">
        <is>
          <t>VÄRMLANDS LÄN</t>
        </is>
      </c>
      <c r="E888" t="inlineStr">
        <is>
          <t>TORSBY</t>
        </is>
      </c>
      <c r="G888" t="n">
        <v>3.2</v>
      </c>
      <c r="H888" t="n">
        <v>0</v>
      </c>
      <c r="I888" t="n">
        <v>0</v>
      </c>
      <c r="J888" t="n">
        <v>0</v>
      </c>
      <c r="K888" t="n">
        <v>0</v>
      </c>
      <c r="L888" t="n">
        <v>0</v>
      </c>
      <c r="M888" t="n">
        <v>0</v>
      </c>
      <c r="N888" t="n">
        <v>0</v>
      </c>
      <c r="O888" t="n">
        <v>0</v>
      </c>
      <c r="P888" t="n">
        <v>0</v>
      </c>
      <c r="Q888" t="n">
        <v>0</v>
      </c>
      <c r="R888" s="2" t="inlineStr"/>
    </row>
    <row r="889" ht="15" customHeight="1">
      <c r="A889" t="inlineStr">
        <is>
          <t>A 5365-2021</t>
        </is>
      </c>
      <c r="B889" s="1" t="n">
        <v>44229</v>
      </c>
      <c r="C889" s="1" t="n">
        <v>45937</v>
      </c>
      <c r="D889" t="inlineStr">
        <is>
          <t>VÄRMLANDS LÄN</t>
        </is>
      </c>
      <c r="E889" t="inlineStr">
        <is>
          <t>TORSBY</t>
        </is>
      </c>
      <c r="G889" t="n">
        <v>8.1</v>
      </c>
      <c r="H889" t="n">
        <v>0</v>
      </c>
      <c r="I889" t="n">
        <v>0</v>
      </c>
      <c r="J889" t="n">
        <v>0</v>
      </c>
      <c r="K889" t="n">
        <v>0</v>
      </c>
      <c r="L889" t="n">
        <v>0</v>
      </c>
      <c r="M889" t="n">
        <v>0</v>
      </c>
      <c r="N889" t="n">
        <v>0</v>
      </c>
      <c r="O889" t="n">
        <v>0</v>
      </c>
      <c r="P889" t="n">
        <v>0</v>
      </c>
      <c r="Q889" t="n">
        <v>0</v>
      </c>
      <c r="R889" s="2" t="inlineStr"/>
    </row>
    <row r="890" ht="15" customHeight="1">
      <c r="A890" t="inlineStr">
        <is>
          <t>A 25808-2025</t>
        </is>
      </c>
      <c r="B890" s="1" t="n">
        <v>45804.41528935185</v>
      </c>
      <c r="C890" s="1" t="n">
        <v>45937</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47651-2024</t>
        </is>
      </c>
      <c r="B891" s="1" t="n">
        <v>45588</v>
      </c>
      <c r="C891" s="1" t="n">
        <v>45937</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46326-2025</t>
        </is>
      </c>
      <c r="B892" s="1" t="n">
        <v>45925.45237268518</v>
      </c>
      <c r="C892" s="1" t="n">
        <v>45937</v>
      </c>
      <c r="D892" t="inlineStr">
        <is>
          <t>VÄRMLANDS LÄN</t>
        </is>
      </c>
      <c r="E892" t="inlineStr">
        <is>
          <t>TORSBY</t>
        </is>
      </c>
      <c r="G892" t="n">
        <v>1</v>
      </c>
      <c r="H892" t="n">
        <v>0</v>
      </c>
      <c r="I892" t="n">
        <v>0</v>
      </c>
      <c r="J892" t="n">
        <v>0</v>
      </c>
      <c r="K892" t="n">
        <v>0</v>
      </c>
      <c r="L892" t="n">
        <v>0</v>
      </c>
      <c r="M892" t="n">
        <v>0</v>
      </c>
      <c r="N892" t="n">
        <v>0</v>
      </c>
      <c r="O892" t="n">
        <v>0</v>
      </c>
      <c r="P892" t="n">
        <v>0</v>
      </c>
      <c r="Q892" t="n">
        <v>0</v>
      </c>
      <c r="R892" s="2" t="inlineStr"/>
    </row>
    <row r="893" ht="15" customHeight="1">
      <c r="A893" t="inlineStr">
        <is>
          <t>A 25803-2025</t>
        </is>
      </c>
      <c r="B893" s="1" t="n">
        <v>45804.40886574074</v>
      </c>
      <c r="C893" s="1" t="n">
        <v>45937</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18682-2024</t>
        </is>
      </c>
      <c r="B894" s="1" t="n">
        <v>45426.37251157407</v>
      </c>
      <c r="C894" s="1" t="n">
        <v>45937</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25915-2025</t>
        </is>
      </c>
      <c r="B895" s="1" t="n">
        <v>45804.56549768519</v>
      </c>
      <c r="C895" s="1" t="n">
        <v>45937</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41936-2024</t>
        </is>
      </c>
      <c r="B896" s="1" t="n">
        <v>45561</v>
      </c>
      <c r="C896" s="1" t="n">
        <v>45937</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25859-2025</t>
        </is>
      </c>
      <c r="B897" s="1" t="n">
        <v>45804.47244212963</v>
      </c>
      <c r="C897" s="1" t="n">
        <v>45937</v>
      </c>
      <c r="D897" t="inlineStr">
        <is>
          <t>VÄRMLANDS LÄN</t>
        </is>
      </c>
      <c r="E897" t="inlineStr">
        <is>
          <t>TORSBY</t>
        </is>
      </c>
      <c r="G897" t="n">
        <v>2.4</v>
      </c>
      <c r="H897" t="n">
        <v>0</v>
      </c>
      <c r="I897" t="n">
        <v>0</v>
      </c>
      <c r="J897" t="n">
        <v>0</v>
      </c>
      <c r="K897" t="n">
        <v>0</v>
      </c>
      <c r="L897" t="n">
        <v>0</v>
      </c>
      <c r="M897" t="n">
        <v>0</v>
      </c>
      <c r="N897" t="n">
        <v>0</v>
      </c>
      <c r="O897" t="n">
        <v>0</v>
      </c>
      <c r="P897" t="n">
        <v>0</v>
      </c>
      <c r="Q897" t="n">
        <v>0</v>
      </c>
      <c r="R897" s="2" t="inlineStr"/>
    </row>
    <row r="898" ht="15" customHeight="1">
      <c r="A898" t="inlineStr">
        <is>
          <t>A 25545-2025</t>
        </is>
      </c>
      <c r="B898" s="1" t="n">
        <v>45803.43763888889</v>
      </c>
      <c r="C898" s="1" t="n">
        <v>45937</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25508-2025</t>
        </is>
      </c>
      <c r="B899" s="1" t="n">
        <v>45803.35520833333</v>
      </c>
      <c r="C899" s="1" t="n">
        <v>45937</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38315-2025</t>
        </is>
      </c>
      <c r="B900" s="1" t="n">
        <v>45883.47824074074</v>
      </c>
      <c r="C900" s="1" t="n">
        <v>45937</v>
      </c>
      <c r="D900" t="inlineStr">
        <is>
          <t>VÄRMLANDS LÄN</t>
        </is>
      </c>
      <c r="E900" t="inlineStr">
        <is>
          <t>TORSBY</t>
        </is>
      </c>
      <c r="G900" t="n">
        <v>2.5</v>
      </c>
      <c r="H900" t="n">
        <v>0</v>
      </c>
      <c r="I900" t="n">
        <v>0</v>
      </c>
      <c r="J900" t="n">
        <v>0</v>
      </c>
      <c r="K900" t="n">
        <v>0</v>
      </c>
      <c r="L900" t="n">
        <v>0</v>
      </c>
      <c r="M900" t="n">
        <v>0</v>
      </c>
      <c r="N900" t="n">
        <v>0</v>
      </c>
      <c r="O900" t="n">
        <v>0</v>
      </c>
      <c r="P900" t="n">
        <v>0</v>
      </c>
      <c r="Q900" t="n">
        <v>0</v>
      </c>
      <c r="R900" s="2" t="inlineStr"/>
    </row>
    <row r="901" ht="15" customHeight="1">
      <c r="A901" t="inlineStr">
        <is>
          <t>A 21828-2024</t>
        </is>
      </c>
      <c r="B901" s="1" t="n">
        <v>45442</v>
      </c>
      <c r="C901" s="1" t="n">
        <v>45937</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45399-2023</t>
        </is>
      </c>
      <c r="B902" s="1" t="n">
        <v>45194</v>
      </c>
      <c r="C902" s="1" t="n">
        <v>45937</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26158-2025</t>
        </is>
      </c>
      <c r="B903" s="1" t="n">
        <v>45805</v>
      </c>
      <c r="C903" s="1" t="n">
        <v>45937</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26061-2025</t>
        </is>
      </c>
      <c r="B904" s="1" t="n">
        <v>45805.24886574074</v>
      </c>
      <c r="C904" s="1" t="n">
        <v>45937</v>
      </c>
      <c r="D904" t="inlineStr">
        <is>
          <t>VÄRMLANDS LÄN</t>
        </is>
      </c>
      <c r="E904" t="inlineStr">
        <is>
          <t>TORSBY</t>
        </is>
      </c>
      <c r="G904" t="n">
        <v>3.9</v>
      </c>
      <c r="H904" t="n">
        <v>0</v>
      </c>
      <c r="I904" t="n">
        <v>0</v>
      </c>
      <c r="J904" t="n">
        <v>0</v>
      </c>
      <c r="K904" t="n">
        <v>0</v>
      </c>
      <c r="L904" t="n">
        <v>0</v>
      </c>
      <c r="M904" t="n">
        <v>0</v>
      </c>
      <c r="N904" t="n">
        <v>0</v>
      </c>
      <c r="O904" t="n">
        <v>0</v>
      </c>
      <c r="P904" t="n">
        <v>0</v>
      </c>
      <c r="Q904" t="n">
        <v>0</v>
      </c>
      <c r="R904" s="2" t="inlineStr"/>
    </row>
    <row r="905" ht="15" customHeight="1">
      <c r="A905" t="inlineStr">
        <is>
          <t>A 59423-2024</t>
        </is>
      </c>
      <c r="B905" s="1" t="n">
        <v>45638</v>
      </c>
      <c r="C905" s="1" t="n">
        <v>45937</v>
      </c>
      <c r="D905" t="inlineStr">
        <is>
          <t>VÄRMLANDS LÄN</t>
        </is>
      </c>
      <c r="E905" t="inlineStr">
        <is>
          <t>TORSBY</t>
        </is>
      </c>
      <c r="G905" t="n">
        <v>23.7</v>
      </c>
      <c r="H905" t="n">
        <v>0</v>
      </c>
      <c r="I905" t="n">
        <v>0</v>
      </c>
      <c r="J905" t="n">
        <v>0</v>
      </c>
      <c r="K905" t="n">
        <v>0</v>
      </c>
      <c r="L905" t="n">
        <v>0</v>
      </c>
      <c r="M905" t="n">
        <v>0</v>
      </c>
      <c r="N905" t="n">
        <v>0</v>
      </c>
      <c r="O905" t="n">
        <v>0</v>
      </c>
      <c r="P905" t="n">
        <v>0</v>
      </c>
      <c r="Q905" t="n">
        <v>0</v>
      </c>
      <c r="R905" s="2" t="inlineStr"/>
    </row>
    <row r="906" ht="15" customHeight="1">
      <c r="A906" t="inlineStr">
        <is>
          <t>A 26231-2025</t>
        </is>
      </c>
      <c r="B906" s="1" t="n">
        <v>45805</v>
      </c>
      <c r="C906" s="1" t="n">
        <v>45937</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26108-2025</t>
        </is>
      </c>
      <c r="B907" s="1" t="n">
        <v>45805</v>
      </c>
      <c r="C907" s="1" t="n">
        <v>45937</v>
      </c>
      <c r="D907" t="inlineStr">
        <is>
          <t>VÄRMLANDS LÄN</t>
        </is>
      </c>
      <c r="E907" t="inlineStr">
        <is>
          <t>TORSBY</t>
        </is>
      </c>
      <c r="F907" t="inlineStr">
        <is>
          <t>Bergvik skog väst AB</t>
        </is>
      </c>
      <c r="G907" t="n">
        <v>22.8</v>
      </c>
      <c r="H907" t="n">
        <v>0</v>
      </c>
      <c r="I907" t="n">
        <v>0</v>
      </c>
      <c r="J907" t="n">
        <v>0</v>
      </c>
      <c r="K907" t="n">
        <v>0</v>
      </c>
      <c r="L907" t="n">
        <v>0</v>
      </c>
      <c r="M907" t="n">
        <v>0</v>
      </c>
      <c r="N907" t="n">
        <v>0</v>
      </c>
      <c r="O907" t="n">
        <v>0</v>
      </c>
      <c r="P907" t="n">
        <v>0</v>
      </c>
      <c r="Q907" t="n">
        <v>0</v>
      </c>
      <c r="R907" s="2" t="inlineStr"/>
    </row>
    <row r="908" ht="15" customHeight="1">
      <c r="A908" t="inlineStr">
        <is>
          <t>A 39768-2024</t>
        </is>
      </c>
      <c r="B908" s="1" t="n">
        <v>45552</v>
      </c>
      <c r="C908" s="1" t="n">
        <v>45937</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51836-2024</t>
        </is>
      </c>
      <c r="B909" s="1" t="n">
        <v>45607</v>
      </c>
      <c r="C909" s="1" t="n">
        <v>45937</v>
      </c>
      <c r="D909" t="inlineStr">
        <is>
          <t>VÄRMLANDS LÄN</t>
        </is>
      </c>
      <c r="E909" t="inlineStr">
        <is>
          <t>TORSBY</t>
        </is>
      </c>
      <c r="G909" t="n">
        <v>2</v>
      </c>
      <c r="H909" t="n">
        <v>0</v>
      </c>
      <c r="I909" t="n">
        <v>0</v>
      </c>
      <c r="J909" t="n">
        <v>0</v>
      </c>
      <c r="K909" t="n">
        <v>0</v>
      </c>
      <c r="L909" t="n">
        <v>0</v>
      </c>
      <c r="M909" t="n">
        <v>0</v>
      </c>
      <c r="N909" t="n">
        <v>0</v>
      </c>
      <c r="O909" t="n">
        <v>0</v>
      </c>
      <c r="P909" t="n">
        <v>0</v>
      </c>
      <c r="Q909" t="n">
        <v>0</v>
      </c>
      <c r="R909" s="2" t="inlineStr"/>
    </row>
    <row r="910" ht="15" customHeight="1">
      <c r="A910" t="inlineStr">
        <is>
          <t>A 43538-2024</t>
        </is>
      </c>
      <c r="B910" s="1" t="n">
        <v>45569.36136574074</v>
      </c>
      <c r="C910" s="1" t="n">
        <v>45937</v>
      </c>
      <c r="D910" t="inlineStr">
        <is>
          <t>VÄRMLANDS LÄN</t>
        </is>
      </c>
      <c r="E910" t="inlineStr">
        <is>
          <t>TORSBY</t>
        </is>
      </c>
      <c r="F910" t="inlineStr">
        <is>
          <t>Bergvik skog väst AB</t>
        </is>
      </c>
      <c r="G910" t="n">
        <v>14.4</v>
      </c>
      <c r="H910" t="n">
        <v>0</v>
      </c>
      <c r="I910" t="n">
        <v>0</v>
      </c>
      <c r="J910" t="n">
        <v>0</v>
      </c>
      <c r="K910" t="n">
        <v>0</v>
      </c>
      <c r="L910" t="n">
        <v>0</v>
      </c>
      <c r="M910" t="n">
        <v>0</v>
      </c>
      <c r="N910" t="n">
        <v>0</v>
      </c>
      <c r="O910" t="n">
        <v>0</v>
      </c>
      <c r="P910" t="n">
        <v>0</v>
      </c>
      <c r="Q910" t="n">
        <v>0</v>
      </c>
      <c r="R910" s="2" t="inlineStr"/>
    </row>
    <row r="911" ht="15" customHeight="1">
      <c r="A911" t="inlineStr">
        <is>
          <t>A 26342-2025</t>
        </is>
      </c>
      <c r="B911" s="1" t="n">
        <v>45805.70604166666</v>
      </c>
      <c r="C911" s="1" t="n">
        <v>45937</v>
      </c>
      <c r="D911" t="inlineStr">
        <is>
          <t>VÄRMLANDS LÄN</t>
        </is>
      </c>
      <c r="E911" t="inlineStr">
        <is>
          <t>TORSBY</t>
        </is>
      </c>
      <c r="F911" t="inlineStr">
        <is>
          <t>Bergvik skog väst AB</t>
        </is>
      </c>
      <c r="G911" t="n">
        <v>13.6</v>
      </c>
      <c r="H911" t="n">
        <v>0</v>
      </c>
      <c r="I911" t="n">
        <v>0</v>
      </c>
      <c r="J911" t="n">
        <v>0</v>
      </c>
      <c r="K911" t="n">
        <v>0</v>
      </c>
      <c r="L911" t="n">
        <v>0</v>
      </c>
      <c r="M911" t="n">
        <v>0</v>
      </c>
      <c r="N911" t="n">
        <v>0</v>
      </c>
      <c r="O911" t="n">
        <v>0</v>
      </c>
      <c r="P911" t="n">
        <v>0</v>
      </c>
      <c r="Q911" t="n">
        <v>0</v>
      </c>
      <c r="R911" s="2" t="inlineStr"/>
    </row>
    <row r="912" ht="15" customHeight="1">
      <c r="A912" t="inlineStr">
        <is>
          <t>A 9793-2024</t>
        </is>
      </c>
      <c r="B912" s="1" t="n">
        <v>45362.71013888889</v>
      </c>
      <c r="C912" s="1" t="n">
        <v>45937</v>
      </c>
      <c r="D912" t="inlineStr">
        <is>
          <t>VÄRMLANDS LÄN</t>
        </is>
      </c>
      <c r="E912" t="inlineStr">
        <is>
          <t>TORSBY</t>
        </is>
      </c>
      <c r="G912" t="n">
        <v>6</v>
      </c>
      <c r="H912" t="n">
        <v>0</v>
      </c>
      <c r="I912" t="n">
        <v>0</v>
      </c>
      <c r="J912" t="n">
        <v>0</v>
      </c>
      <c r="K912" t="n">
        <v>0</v>
      </c>
      <c r="L912" t="n">
        <v>0</v>
      </c>
      <c r="M912" t="n">
        <v>0</v>
      </c>
      <c r="N912" t="n">
        <v>0</v>
      </c>
      <c r="O912" t="n">
        <v>0</v>
      </c>
      <c r="P912" t="n">
        <v>0</v>
      </c>
      <c r="Q912" t="n">
        <v>0</v>
      </c>
      <c r="R912" s="2" t="inlineStr"/>
    </row>
    <row r="913" ht="15" customHeight="1">
      <c r="A913" t="inlineStr">
        <is>
          <t>A 50494-2024</t>
        </is>
      </c>
      <c r="B913" s="1" t="n">
        <v>45601.50818287037</v>
      </c>
      <c r="C913" s="1" t="n">
        <v>45937</v>
      </c>
      <c r="D913" t="inlineStr">
        <is>
          <t>VÄRMLANDS LÄN</t>
        </is>
      </c>
      <c r="E913" t="inlineStr">
        <is>
          <t>TORSBY</t>
        </is>
      </c>
      <c r="G913" t="n">
        <v>5.4</v>
      </c>
      <c r="H913" t="n">
        <v>0</v>
      </c>
      <c r="I913" t="n">
        <v>0</v>
      </c>
      <c r="J913" t="n">
        <v>0</v>
      </c>
      <c r="K913" t="n">
        <v>0</v>
      </c>
      <c r="L913" t="n">
        <v>0</v>
      </c>
      <c r="M913" t="n">
        <v>0</v>
      </c>
      <c r="N913" t="n">
        <v>0</v>
      </c>
      <c r="O913" t="n">
        <v>0</v>
      </c>
      <c r="P913" t="n">
        <v>0</v>
      </c>
      <c r="Q913" t="n">
        <v>0</v>
      </c>
      <c r="R913" s="2" t="inlineStr"/>
    </row>
    <row r="914" ht="15" customHeight="1">
      <c r="A914" t="inlineStr">
        <is>
          <t>A 3672-2024</t>
        </is>
      </c>
      <c r="B914" s="1" t="n">
        <v>45321.36465277777</v>
      </c>
      <c r="C914" s="1" t="n">
        <v>45937</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48253-2024</t>
        </is>
      </c>
      <c r="B915" s="1" t="n">
        <v>45590</v>
      </c>
      <c r="C915" s="1" t="n">
        <v>45937</v>
      </c>
      <c r="D915" t="inlineStr">
        <is>
          <t>VÄRMLANDS LÄN</t>
        </is>
      </c>
      <c r="E915" t="inlineStr">
        <is>
          <t>TORSBY</t>
        </is>
      </c>
      <c r="F915" t="inlineStr">
        <is>
          <t>Bergvik skog väst AB</t>
        </is>
      </c>
      <c r="G915" t="n">
        <v>20.7</v>
      </c>
      <c r="H915" t="n">
        <v>0</v>
      </c>
      <c r="I915" t="n">
        <v>0</v>
      </c>
      <c r="J915" t="n">
        <v>0</v>
      </c>
      <c r="K915" t="n">
        <v>0</v>
      </c>
      <c r="L915" t="n">
        <v>0</v>
      </c>
      <c r="M915" t="n">
        <v>0</v>
      </c>
      <c r="N915" t="n">
        <v>0</v>
      </c>
      <c r="O915" t="n">
        <v>0</v>
      </c>
      <c r="P915" t="n">
        <v>0</v>
      </c>
      <c r="Q915" t="n">
        <v>0</v>
      </c>
      <c r="R915" s="2" t="inlineStr"/>
    </row>
    <row r="916" ht="15" customHeight="1">
      <c r="A916" t="inlineStr">
        <is>
          <t>A 38232-2025</t>
        </is>
      </c>
      <c r="B916" s="1" t="n">
        <v>45883</v>
      </c>
      <c r="C916" s="1" t="n">
        <v>45937</v>
      </c>
      <c r="D916" t="inlineStr">
        <is>
          <t>VÄRMLANDS LÄN</t>
        </is>
      </c>
      <c r="E916" t="inlineStr">
        <is>
          <t>TORSBY</t>
        </is>
      </c>
      <c r="F916" t="inlineStr">
        <is>
          <t>Bergvik skog väst AB</t>
        </is>
      </c>
      <c r="G916" t="n">
        <v>4.3</v>
      </c>
      <c r="H916" t="n">
        <v>0</v>
      </c>
      <c r="I916" t="n">
        <v>0</v>
      </c>
      <c r="J916" t="n">
        <v>0</v>
      </c>
      <c r="K916" t="n">
        <v>0</v>
      </c>
      <c r="L916" t="n">
        <v>0</v>
      </c>
      <c r="M916" t="n">
        <v>0</v>
      </c>
      <c r="N916" t="n">
        <v>0</v>
      </c>
      <c r="O916" t="n">
        <v>0</v>
      </c>
      <c r="P916" t="n">
        <v>0</v>
      </c>
      <c r="Q916" t="n">
        <v>0</v>
      </c>
      <c r="R916" s="2" t="inlineStr"/>
    </row>
    <row r="917" ht="15" customHeight="1">
      <c r="A917" t="inlineStr">
        <is>
          <t>A 13189-2025</t>
        </is>
      </c>
      <c r="B917" s="1" t="n">
        <v>45735.39708333334</v>
      </c>
      <c r="C917" s="1" t="n">
        <v>45937</v>
      </c>
      <c r="D917" t="inlineStr">
        <is>
          <t>VÄRMLANDS LÄN</t>
        </is>
      </c>
      <c r="E917" t="inlineStr">
        <is>
          <t>TORSBY</t>
        </is>
      </c>
      <c r="G917" t="n">
        <v>15.4</v>
      </c>
      <c r="H917" t="n">
        <v>0</v>
      </c>
      <c r="I917" t="n">
        <v>0</v>
      </c>
      <c r="J917" t="n">
        <v>0</v>
      </c>
      <c r="K917" t="n">
        <v>0</v>
      </c>
      <c r="L917" t="n">
        <v>0</v>
      </c>
      <c r="M917" t="n">
        <v>0</v>
      </c>
      <c r="N917" t="n">
        <v>0</v>
      </c>
      <c r="O917" t="n">
        <v>0</v>
      </c>
      <c r="P917" t="n">
        <v>0</v>
      </c>
      <c r="Q917" t="n">
        <v>0</v>
      </c>
      <c r="R917" s="2" t="inlineStr"/>
    </row>
    <row r="918" ht="15" customHeight="1">
      <c r="A918" t="inlineStr">
        <is>
          <t>A 26487-2025</t>
        </is>
      </c>
      <c r="B918" s="1" t="n">
        <v>45807.47644675926</v>
      </c>
      <c r="C918" s="1" t="n">
        <v>45937</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30002-2024</t>
        </is>
      </c>
      <c r="B919" s="1" t="n">
        <v>45488</v>
      </c>
      <c r="C919" s="1" t="n">
        <v>45937</v>
      </c>
      <c r="D919" t="inlineStr">
        <is>
          <t>VÄRMLANDS LÄN</t>
        </is>
      </c>
      <c r="E919" t="inlineStr">
        <is>
          <t>TORSBY</t>
        </is>
      </c>
      <c r="F919" t="inlineStr">
        <is>
          <t>Kommuner</t>
        </is>
      </c>
      <c r="G919" t="n">
        <v>3.1</v>
      </c>
      <c r="H919" t="n">
        <v>0</v>
      </c>
      <c r="I919" t="n">
        <v>0</v>
      </c>
      <c r="J919" t="n">
        <v>0</v>
      </c>
      <c r="K919" t="n">
        <v>0</v>
      </c>
      <c r="L919" t="n">
        <v>0</v>
      </c>
      <c r="M919" t="n">
        <v>0</v>
      </c>
      <c r="N919" t="n">
        <v>0</v>
      </c>
      <c r="O919" t="n">
        <v>0</v>
      </c>
      <c r="P919" t="n">
        <v>0</v>
      </c>
      <c r="Q919" t="n">
        <v>0</v>
      </c>
      <c r="R919" s="2" t="inlineStr"/>
    </row>
    <row r="920" ht="15" customHeight="1">
      <c r="A920" t="inlineStr">
        <is>
          <t>A 32343-2024</t>
        </is>
      </c>
      <c r="B920" s="1" t="n">
        <v>45512.520625</v>
      </c>
      <c r="C920" s="1" t="n">
        <v>45937</v>
      </c>
      <c r="D920" t="inlineStr">
        <is>
          <t>VÄRMLANDS LÄN</t>
        </is>
      </c>
      <c r="E920" t="inlineStr">
        <is>
          <t>TORSBY</t>
        </is>
      </c>
      <c r="G920" t="n">
        <v>5</v>
      </c>
      <c r="H920" t="n">
        <v>0</v>
      </c>
      <c r="I920" t="n">
        <v>0</v>
      </c>
      <c r="J920" t="n">
        <v>0</v>
      </c>
      <c r="K920" t="n">
        <v>0</v>
      </c>
      <c r="L920" t="n">
        <v>0</v>
      </c>
      <c r="M920" t="n">
        <v>0</v>
      </c>
      <c r="N920" t="n">
        <v>0</v>
      </c>
      <c r="O920" t="n">
        <v>0</v>
      </c>
      <c r="P920" t="n">
        <v>0</v>
      </c>
      <c r="Q920" t="n">
        <v>0</v>
      </c>
      <c r="R920" s="2" t="inlineStr"/>
    </row>
    <row r="921" ht="15" customHeight="1">
      <c r="A921" t="inlineStr">
        <is>
          <t>A 19148-2025</t>
        </is>
      </c>
      <c r="B921" s="1" t="n">
        <v>45769</v>
      </c>
      <c r="C921" s="1" t="n">
        <v>45937</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38397-2025</t>
        </is>
      </c>
      <c r="B922" s="1" t="n">
        <v>45883</v>
      </c>
      <c r="C922" s="1" t="n">
        <v>45937</v>
      </c>
      <c r="D922" t="inlineStr">
        <is>
          <t>VÄRMLANDS LÄN</t>
        </is>
      </c>
      <c r="E922" t="inlineStr">
        <is>
          <t>TORSBY</t>
        </is>
      </c>
      <c r="G922" t="n">
        <v>3.7</v>
      </c>
      <c r="H922" t="n">
        <v>0</v>
      </c>
      <c r="I922" t="n">
        <v>0</v>
      </c>
      <c r="J922" t="n">
        <v>0</v>
      </c>
      <c r="K922" t="n">
        <v>0</v>
      </c>
      <c r="L922" t="n">
        <v>0</v>
      </c>
      <c r="M922" t="n">
        <v>0</v>
      </c>
      <c r="N922" t="n">
        <v>0</v>
      </c>
      <c r="O922" t="n">
        <v>0</v>
      </c>
      <c r="P922" t="n">
        <v>0</v>
      </c>
      <c r="Q922" t="n">
        <v>0</v>
      </c>
      <c r="R922" s="2" t="inlineStr"/>
    </row>
    <row r="923" ht="15" customHeight="1">
      <c r="A923" t="inlineStr">
        <is>
          <t>A 28545-2024</t>
        </is>
      </c>
      <c r="B923" s="1" t="n">
        <v>45478.3559375</v>
      </c>
      <c r="C923" s="1" t="n">
        <v>45937</v>
      </c>
      <c r="D923" t="inlineStr">
        <is>
          <t>VÄRMLANDS LÄN</t>
        </is>
      </c>
      <c r="E923" t="inlineStr">
        <is>
          <t>TORSBY</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19575-2025</t>
        </is>
      </c>
      <c r="B924" s="1" t="n">
        <v>45770.55957175926</v>
      </c>
      <c r="C924" s="1" t="n">
        <v>45937</v>
      </c>
      <c r="D924" t="inlineStr">
        <is>
          <t>VÄRMLANDS LÄN</t>
        </is>
      </c>
      <c r="E924" t="inlineStr">
        <is>
          <t>TORSBY</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46909-2024</t>
        </is>
      </c>
      <c r="B925" s="1" t="n">
        <v>45583</v>
      </c>
      <c r="C925" s="1" t="n">
        <v>45937</v>
      </c>
      <c r="D925" t="inlineStr">
        <is>
          <t>VÄRMLANDS LÄN</t>
        </is>
      </c>
      <c r="E925" t="inlineStr">
        <is>
          <t>TORSBY</t>
        </is>
      </c>
      <c r="G925" t="n">
        <v>1.7</v>
      </c>
      <c r="H925" t="n">
        <v>0</v>
      </c>
      <c r="I925" t="n">
        <v>0</v>
      </c>
      <c r="J925" t="n">
        <v>0</v>
      </c>
      <c r="K925" t="n">
        <v>0</v>
      </c>
      <c r="L925" t="n">
        <v>0</v>
      </c>
      <c r="M925" t="n">
        <v>0</v>
      </c>
      <c r="N925" t="n">
        <v>0</v>
      </c>
      <c r="O925" t="n">
        <v>0</v>
      </c>
      <c r="P925" t="n">
        <v>0</v>
      </c>
      <c r="Q925" t="n">
        <v>0</v>
      </c>
      <c r="R925" s="2" t="inlineStr"/>
    </row>
    <row r="926" ht="15" customHeight="1">
      <c r="A926" t="inlineStr">
        <is>
          <t>A 11222-2024</t>
        </is>
      </c>
      <c r="B926" s="1" t="n">
        <v>45371</v>
      </c>
      <c r="C926" s="1" t="n">
        <v>45937</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26979-2023</t>
        </is>
      </c>
      <c r="B927" s="1" t="n">
        <v>45091</v>
      </c>
      <c r="C927" s="1" t="n">
        <v>45937</v>
      </c>
      <c r="D927" t="inlineStr">
        <is>
          <t>VÄRMLANDS LÄN</t>
        </is>
      </c>
      <c r="E927" t="inlineStr">
        <is>
          <t>TORSBY</t>
        </is>
      </c>
      <c r="G927" t="n">
        <v>1.9</v>
      </c>
      <c r="H927" t="n">
        <v>0</v>
      </c>
      <c r="I927" t="n">
        <v>0</v>
      </c>
      <c r="J927" t="n">
        <v>0</v>
      </c>
      <c r="K927" t="n">
        <v>0</v>
      </c>
      <c r="L927" t="n">
        <v>0</v>
      </c>
      <c r="M927" t="n">
        <v>0</v>
      </c>
      <c r="N927" t="n">
        <v>0</v>
      </c>
      <c r="O927" t="n">
        <v>0</v>
      </c>
      <c r="P927" t="n">
        <v>0</v>
      </c>
      <c r="Q927" t="n">
        <v>0</v>
      </c>
      <c r="R927" s="2" t="inlineStr"/>
    </row>
    <row r="928" ht="15" customHeight="1">
      <c r="A928" t="inlineStr">
        <is>
          <t>A 20847-2023</t>
        </is>
      </c>
      <c r="B928" s="1" t="n">
        <v>45056</v>
      </c>
      <c r="C928" s="1" t="n">
        <v>45937</v>
      </c>
      <c r="D928" t="inlineStr">
        <is>
          <t>VÄRMLANDS LÄN</t>
        </is>
      </c>
      <c r="E928" t="inlineStr">
        <is>
          <t>TORSBY</t>
        </is>
      </c>
      <c r="G928" t="n">
        <v>13.9</v>
      </c>
      <c r="H928" t="n">
        <v>0</v>
      </c>
      <c r="I928" t="n">
        <v>0</v>
      </c>
      <c r="J928" t="n">
        <v>0</v>
      </c>
      <c r="K928" t="n">
        <v>0</v>
      </c>
      <c r="L928" t="n">
        <v>0</v>
      </c>
      <c r="M928" t="n">
        <v>0</v>
      </c>
      <c r="N928" t="n">
        <v>0</v>
      </c>
      <c r="O928" t="n">
        <v>0</v>
      </c>
      <c r="P928" t="n">
        <v>0</v>
      </c>
      <c r="Q928" t="n">
        <v>0</v>
      </c>
      <c r="R928" s="2" t="inlineStr"/>
    </row>
    <row r="929" ht="15" customHeight="1">
      <c r="A929" t="inlineStr">
        <is>
          <t>A 13924-2025</t>
        </is>
      </c>
      <c r="B929" s="1" t="n">
        <v>45737</v>
      </c>
      <c r="C929" s="1" t="n">
        <v>45937</v>
      </c>
      <c r="D929" t="inlineStr">
        <is>
          <t>VÄRMLANDS LÄN</t>
        </is>
      </c>
      <c r="E929" t="inlineStr">
        <is>
          <t>TORSBY</t>
        </is>
      </c>
      <c r="G929" t="n">
        <v>2.6</v>
      </c>
      <c r="H929" t="n">
        <v>0</v>
      </c>
      <c r="I929" t="n">
        <v>0</v>
      </c>
      <c r="J929" t="n">
        <v>0</v>
      </c>
      <c r="K929" t="n">
        <v>0</v>
      </c>
      <c r="L929" t="n">
        <v>0</v>
      </c>
      <c r="M929" t="n">
        <v>0</v>
      </c>
      <c r="N929" t="n">
        <v>0</v>
      </c>
      <c r="O929" t="n">
        <v>0</v>
      </c>
      <c r="P929" t="n">
        <v>0</v>
      </c>
      <c r="Q929" t="n">
        <v>0</v>
      </c>
      <c r="R929" s="2" t="inlineStr"/>
    </row>
    <row r="930" ht="15" customHeight="1">
      <c r="A930" t="inlineStr">
        <is>
          <t>A 38249-2025</t>
        </is>
      </c>
      <c r="B930" s="1" t="n">
        <v>45883</v>
      </c>
      <c r="C930" s="1" t="n">
        <v>45937</v>
      </c>
      <c r="D930" t="inlineStr">
        <is>
          <t>VÄRMLANDS LÄN</t>
        </is>
      </c>
      <c r="E930" t="inlineStr">
        <is>
          <t>TORSBY</t>
        </is>
      </c>
      <c r="F930" t="inlineStr">
        <is>
          <t>Bergvik skog väst AB</t>
        </is>
      </c>
      <c r="G930" t="n">
        <v>4.3</v>
      </c>
      <c r="H930" t="n">
        <v>0</v>
      </c>
      <c r="I930" t="n">
        <v>0</v>
      </c>
      <c r="J930" t="n">
        <v>0</v>
      </c>
      <c r="K930" t="n">
        <v>0</v>
      </c>
      <c r="L930" t="n">
        <v>0</v>
      </c>
      <c r="M930" t="n">
        <v>0</v>
      </c>
      <c r="N930" t="n">
        <v>0</v>
      </c>
      <c r="O930" t="n">
        <v>0</v>
      </c>
      <c r="P930" t="n">
        <v>0</v>
      </c>
      <c r="Q930" t="n">
        <v>0</v>
      </c>
      <c r="R930" s="2" t="inlineStr"/>
    </row>
    <row r="931" ht="15" customHeight="1">
      <c r="A931" t="inlineStr">
        <is>
          <t>A 7907-2025</t>
        </is>
      </c>
      <c r="B931" s="1" t="n">
        <v>45707</v>
      </c>
      <c r="C931" s="1" t="n">
        <v>45937</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26876-2024</t>
        </is>
      </c>
      <c r="B932" s="1" t="n">
        <v>45470.62181712963</v>
      </c>
      <c r="C932" s="1" t="n">
        <v>45937</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56724-2023</t>
        </is>
      </c>
      <c r="B933" s="1" t="n">
        <v>45244.3393287037</v>
      </c>
      <c r="C933" s="1" t="n">
        <v>45937</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26607-2025</t>
        </is>
      </c>
      <c r="B934" s="1" t="n">
        <v>45809.92239583333</v>
      </c>
      <c r="C934" s="1" t="n">
        <v>45937</v>
      </c>
      <c r="D934" t="inlineStr">
        <is>
          <t>VÄRMLANDS LÄN</t>
        </is>
      </c>
      <c r="E934" t="inlineStr">
        <is>
          <t>TORSBY</t>
        </is>
      </c>
      <c r="G934" t="n">
        <v>7.5</v>
      </c>
      <c r="H934" t="n">
        <v>0</v>
      </c>
      <c r="I934" t="n">
        <v>0</v>
      </c>
      <c r="J934" t="n">
        <v>0</v>
      </c>
      <c r="K934" t="n">
        <v>0</v>
      </c>
      <c r="L934" t="n">
        <v>0</v>
      </c>
      <c r="M934" t="n">
        <v>0</v>
      </c>
      <c r="N934" t="n">
        <v>0</v>
      </c>
      <c r="O934" t="n">
        <v>0</v>
      </c>
      <c r="P934" t="n">
        <v>0</v>
      </c>
      <c r="Q934" t="n">
        <v>0</v>
      </c>
      <c r="R934" s="2" t="inlineStr"/>
    </row>
    <row r="935" ht="15" customHeight="1">
      <c r="A935" t="inlineStr">
        <is>
          <t>A 26822-2025</t>
        </is>
      </c>
      <c r="B935" s="1" t="n">
        <v>45810</v>
      </c>
      <c r="C935" s="1" t="n">
        <v>45937</v>
      </c>
      <c r="D935" t="inlineStr">
        <is>
          <t>VÄRMLANDS LÄN</t>
        </is>
      </c>
      <c r="E935" t="inlineStr">
        <is>
          <t>TORSBY</t>
        </is>
      </c>
      <c r="G935" t="n">
        <v>13.7</v>
      </c>
      <c r="H935" t="n">
        <v>0</v>
      </c>
      <c r="I935" t="n">
        <v>0</v>
      </c>
      <c r="J935" t="n">
        <v>0</v>
      </c>
      <c r="K935" t="n">
        <v>0</v>
      </c>
      <c r="L935" t="n">
        <v>0</v>
      </c>
      <c r="M935" t="n">
        <v>0</v>
      </c>
      <c r="N935" t="n">
        <v>0</v>
      </c>
      <c r="O935" t="n">
        <v>0</v>
      </c>
      <c r="P935" t="n">
        <v>0</v>
      </c>
      <c r="Q935" t="n">
        <v>0</v>
      </c>
      <c r="R935" s="2" t="inlineStr"/>
    </row>
    <row r="936" ht="15" customHeight="1">
      <c r="A936" t="inlineStr">
        <is>
          <t>A 53748-2024</t>
        </is>
      </c>
      <c r="B936" s="1" t="n">
        <v>45615.48322916667</v>
      </c>
      <c r="C936" s="1" t="n">
        <v>45937</v>
      </c>
      <c r="D936" t="inlineStr">
        <is>
          <t>VÄRMLANDS LÄN</t>
        </is>
      </c>
      <c r="E936" t="inlineStr">
        <is>
          <t>TORSBY</t>
        </is>
      </c>
      <c r="G936" t="n">
        <v>11.2</v>
      </c>
      <c r="H936" t="n">
        <v>0</v>
      </c>
      <c r="I936" t="n">
        <v>0</v>
      </c>
      <c r="J936" t="n">
        <v>0</v>
      </c>
      <c r="K936" t="n">
        <v>0</v>
      </c>
      <c r="L936" t="n">
        <v>0</v>
      </c>
      <c r="M936" t="n">
        <v>0</v>
      </c>
      <c r="N936" t="n">
        <v>0</v>
      </c>
      <c r="O936" t="n">
        <v>0</v>
      </c>
      <c r="P936" t="n">
        <v>0</v>
      </c>
      <c r="Q936" t="n">
        <v>0</v>
      </c>
      <c r="R936" s="2" t="inlineStr"/>
    </row>
    <row r="937" ht="15" customHeight="1">
      <c r="A937" t="inlineStr">
        <is>
          <t>A 26418-2025</t>
        </is>
      </c>
      <c r="B937" s="1" t="n">
        <v>45807.36436342593</v>
      </c>
      <c r="C937" s="1" t="n">
        <v>45937</v>
      </c>
      <c r="D937" t="inlineStr">
        <is>
          <t>VÄRMLANDS LÄN</t>
        </is>
      </c>
      <c r="E937" t="inlineStr">
        <is>
          <t>TORSBY</t>
        </is>
      </c>
      <c r="F937" t="inlineStr">
        <is>
          <t>Bergvik skog väst AB</t>
        </is>
      </c>
      <c r="G937" t="n">
        <v>13.4</v>
      </c>
      <c r="H937" t="n">
        <v>0</v>
      </c>
      <c r="I937" t="n">
        <v>0</v>
      </c>
      <c r="J937" t="n">
        <v>0</v>
      </c>
      <c r="K937" t="n">
        <v>0</v>
      </c>
      <c r="L937" t="n">
        <v>0</v>
      </c>
      <c r="M937" t="n">
        <v>0</v>
      </c>
      <c r="N937" t="n">
        <v>0</v>
      </c>
      <c r="O937" t="n">
        <v>0</v>
      </c>
      <c r="P937" t="n">
        <v>0</v>
      </c>
      <c r="Q937" t="n">
        <v>0</v>
      </c>
      <c r="R937" s="2" t="inlineStr"/>
    </row>
    <row r="938" ht="15" customHeight="1">
      <c r="A938" t="inlineStr">
        <is>
          <t>A 26564-2025</t>
        </is>
      </c>
      <c r="B938" s="1" t="n">
        <v>45807.66306712963</v>
      </c>
      <c r="C938" s="1" t="n">
        <v>45937</v>
      </c>
      <c r="D938" t="inlineStr">
        <is>
          <t>VÄRMLANDS LÄN</t>
        </is>
      </c>
      <c r="E938" t="inlineStr">
        <is>
          <t>TORSBY</t>
        </is>
      </c>
      <c r="F938" t="inlineStr">
        <is>
          <t>Bergvik skog väst AB</t>
        </is>
      </c>
      <c r="G938" t="n">
        <v>4</v>
      </c>
      <c r="H938" t="n">
        <v>0</v>
      </c>
      <c r="I938" t="n">
        <v>0</v>
      </c>
      <c r="J938" t="n">
        <v>0</v>
      </c>
      <c r="K938" t="n">
        <v>0</v>
      </c>
      <c r="L938" t="n">
        <v>0</v>
      </c>
      <c r="M938" t="n">
        <v>0</v>
      </c>
      <c r="N938" t="n">
        <v>0</v>
      </c>
      <c r="O938" t="n">
        <v>0</v>
      </c>
      <c r="P938" t="n">
        <v>0</v>
      </c>
      <c r="Q938" t="n">
        <v>0</v>
      </c>
      <c r="R938" s="2" t="inlineStr"/>
    </row>
    <row r="939" ht="15" customHeight="1">
      <c r="A939" t="inlineStr">
        <is>
          <t>A 26479-2025</t>
        </is>
      </c>
      <c r="B939" s="1" t="n">
        <v>45807.47021990741</v>
      </c>
      <c r="C939" s="1" t="n">
        <v>45937</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26491-2025</t>
        </is>
      </c>
      <c r="B940" s="1" t="n">
        <v>45807.48939814815</v>
      </c>
      <c r="C940" s="1" t="n">
        <v>45937</v>
      </c>
      <c r="D940" t="inlineStr">
        <is>
          <t>VÄRMLANDS LÄN</t>
        </is>
      </c>
      <c r="E940" t="inlineStr">
        <is>
          <t>TORSBY</t>
        </is>
      </c>
      <c r="G940" t="n">
        <v>5.3</v>
      </c>
      <c r="H940" t="n">
        <v>0</v>
      </c>
      <c r="I940" t="n">
        <v>0</v>
      </c>
      <c r="J940" t="n">
        <v>0</v>
      </c>
      <c r="K940" t="n">
        <v>0</v>
      </c>
      <c r="L940" t="n">
        <v>0</v>
      </c>
      <c r="M940" t="n">
        <v>0</v>
      </c>
      <c r="N940" t="n">
        <v>0</v>
      </c>
      <c r="O940" t="n">
        <v>0</v>
      </c>
      <c r="P940" t="n">
        <v>0</v>
      </c>
      <c r="Q940" t="n">
        <v>0</v>
      </c>
      <c r="R940" s="2" t="inlineStr"/>
    </row>
    <row r="941" ht="15" customHeight="1">
      <c r="A941" t="inlineStr">
        <is>
          <t>A 26507-2025</t>
        </is>
      </c>
      <c r="B941" s="1" t="n">
        <v>45807.52539351852</v>
      </c>
      <c r="C941" s="1" t="n">
        <v>45937</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26533-2025</t>
        </is>
      </c>
      <c r="B942" s="1" t="n">
        <v>45807.57259259259</v>
      </c>
      <c r="C942" s="1" t="n">
        <v>45937</v>
      </c>
      <c r="D942" t="inlineStr">
        <is>
          <t>VÄRMLANDS LÄN</t>
        </is>
      </c>
      <c r="E942" t="inlineStr">
        <is>
          <t>TORSBY</t>
        </is>
      </c>
      <c r="G942" t="n">
        <v>1.1</v>
      </c>
      <c r="H942" t="n">
        <v>0</v>
      </c>
      <c r="I942" t="n">
        <v>0</v>
      </c>
      <c r="J942" t="n">
        <v>0</v>
      </c>
      <c r="K942" t="n">
        <v>0</v>
      </c>
      <c r="L942" t="n">
        <v>0</v>
      </c>
      <c r="M942" t="n">
        <v>0</v>
      </c>
      <c r="N942" t="n">
        <v>0</v>
      </c>
      <c r="O942" t="n">
        <v>0</v>
      </c>
      <c r="P942" t="n">
        <v>0</v>
      </c>
      <c r="Q942" t="n">
        <v>0</v>
      </c>
      <c r="R942" s="2" t="inlineStr"/>
    </row>
    <row r="943" ht="15" customHeight="1">
      <c r="A943" t="inlineStr">
        <is>
          <t>A 17062-2025</t>
        </is>
      </c>
      <c r="B943" s="1" t="n">
        <v>45754</v>
      </c>
      <c r="C943" s="1" t="n">
        <v>45937</v>
      </c>
      <c r="D943" t="inlineStr">
        <is>
          <t>VÄRMLANDS LÄN</t>
        </is>
      </c>
      <c r="E943" t="inlineStr">
        <is>
          <t>TORSBY</t>
        </is>
      </c>
      <c r="G943" t="n">
        <v>2.6</v>
      </c>
      <c r="H943" t="n">
        <v>0</v>
      </c>
      <c r="I943" t="n">
        <v>0</v>
      </c>
      <c r="J943" t="n">
        <v>0</v>
      </c>
      <c r="K943" t="n">
        <v>0</v>
      </c>
      <c r="L943" t="n">
        <v>0</v>
      </c>
      <c r="M943" t="n">
        <v>0</v>
      </c>
      <c r="N943" t="n">
        <v>0</v>
      </c>
      <c r="O943" t="n">
        <v>0</v>
      </c>
      <c r="P943" t="n">
        <v>0</v>
      </c>
      <c r="Q943" t="n">
        <v>0</v>
      </c>
      <c r="R943" s="2" t="inlineStr"/>
    </row>
    <row r="944" ht="15" customHeight="1">
      <c r="A944" t="inlineStr">
        <is>
          <t>A 43144-2024</t>
        </is>
      </c>
      <c r="B944" s="1" t="n">
        <v>45567</v>
      </c>
      <c r="C944" s="1" t="n">
        <v>45937</v>
      </c>
      <c r="D944" t="inlineStr">
        <is>
          <t>VÄRMLANDS LÄN</t>
        </is>
      </c>
      <c r="E944" t="inlineStr">
        <is>
          <t>TORSBY</t>
        </is>
      </c>
      <c r="G944" t="n">
        <v>2.3</v>
      </c>
      <c r="H944" t="n">
        <v>0</v>
      </c>
      <c r="I944" t="n">
        <v>0</v>
      </c>
      <c r="J944" t="n">
        <v>0</v>
      </c>
      <c r="K944" t="n">
        <v>0</v>
      </c>
      <c r="L944" t="n">
        <v>0</v>
      </c>
      <c r="M944" t="n">
        <v>0</v>
      </c>
      <c r="N944" t="n">
        <v>0</v>
      </c>
      <c r="O944" t="n">
        <v>0</v>
      </c>
      <c r="P944" t="n">
        <v>0</v>
      </c>
      <c r="Q944" t="n">
        <v>0</v>
      </c>
      <c r="R944" s="2" t="inlineStr"/>
    </row>
    <row r="945" ht="15" customHeight="1">
      <c r="A945" t="inlineStr">
        <is>
          <t>A 54223-2023</t>
        </is>
      </c>
      <c r="B945" s="1" t="n">
        <v>45232</v>
      </c>
      <c r="C945" s="1" t="n">
        <v>45937</v>
      </c>
      <c r="D945" t="inlineStr">
        <is>
          <t>VÄRMLANDS LÄN</t>
        </is>
      </c>
      <c r="E945" t="inlineStr">
        <is>
          <t>TORSBY</t>
        </is>
      </c>
      <c r="F945" t="inlineStr">
        <is>
          <t>Bergvik skog väst AB</t>
        </is>
      </c>
      <c r="G945" t="n">
        <v>8.6</v>
      </c>
      <c r="H945" t="n">
        <v>0</v>
      </c>
      <c r="I945" t="n">
        <v>0</v>
      </c>
      <c r="J945" t="n">
        <v>0</v>
      </c>
      <c r="K945" t="n">
        <v>0</v>
      </c>
      <c r="L945" t="n">
        <v>0</v>
      </c>
      <c r="M945" t="n">
        <v>0</v>
      </c>
      <c r="N945" t="n">
        <v>0</v>
      </c>
      <c r="O945" t="n">
        <v>0</v>
      </c>
      <c r="P945" t="n">
        <v>0</v>
      </c>
      <c r="Q945" t="n">
        <v>0</v>
      </c>
      <c r="R945" s="2" t="inlineStr"/>
    </row>
    <row r="946" ht="15" customHeight="1">
      <c r="A946" t="inlineStr">
        <is>
          <t>A 24087-2024</t>
        </is>
      </c>
      <c r="B946" s="1" t="n">
        <v>45456</v>
      </c>
      <c r="C946" s="1" t="n">
        <v>45937</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16380-2025</t>
        </is>
      </c>
      <c r="B947" s="1" t="n">
        <v>45751</v>
      </c>
      <c r="C947" s="1" t="n">
        <v>45937</v>
      </c>
      <c r="D947" t="inlineStr">
        <is>
          <t>VÄRMLANDS LÄN</t>
        </is>
      </c>
      <c r="E947" t="inlineStr">
        <is>
          <t>TORSBY</t>
        </is>
      </c>
      <c r="F947" t="inlineStr">
        <is>
          <t>Bergvik skog väst AB</t>
        </is>
      </c>
      <c r="G947" t="n">
        <v>7.9</v>
      </c>
      <c r="H947" t="n">
        <v>0</v>
      </c>
      <c r="I947" t="n">
        <v>0</v>
      </c>
      <c r="J947" t="n">
        <v>0</v>
      </c>
      <c r="K947" t="n">
        <v>0</v>
      </c>
      <c r="L947" t="n">
        <v>0</v>
      </c>
      <c r="M947" t="n">
        <v>0</v>
      </c>
      <c r="N947" t="n">
        <v>0</v>
      </c>
      <c r="O947" t="n">
        <v>0</v>
      </c>
      <c r="P947" t="n">
        <v>0</v>
      </c>
      <c r="Q947" t="n">
        <v>0</v>
      </c>
      <c r="R947" s="2" t="inlineStr"/>
    </row>
    <row r="948" ht="15" customHeight="1">
      <c r="A948" t="inlineStr">
        <is>
          <t>A 18855-2024</t>
        </is>
      </c>
      <c r="B948" s="1" t="n">
        <v>45426.73634259259</v>
      </c>
      <c r="C948" s="1" t="n">
        <v>45937</v>
      </c>
      <c r="D948" t="inlineStr">
        <is>
          <t>VÄRMLANDS LÄN</t>
        </is>
      </c>
      <c r="E948" t="inlineStr">
        <is>
          <t>TORSBY</t>
        </is>
      </c>
      <c r="G948" t="n">
        <v>5</v>
      </c>
      <c r="H948" t="n">
        <v>0</v>
      </c>
      <c r="I948" t="n">
        <v>0</v>
      </c>
      <c r="J948" t="n">
        <v>0</v>
      </c>
      <c r="K948" t="n">
        <v>0</v>
      </c>
      <c r="L948" t="n">
        <v>0</v>
      </c>
      <c r="M948" t="n">
        <v>0</v>
      </c>
      <c r="N948" t="n">
        <v>0</v>
      </c>
      <c r="O948" t="n">
        <v>0</v>
      </c>
      <c r="P948" t="n">
        <v>0</v>
      </c>
      <c r="Q948" t="n">
        <v>0</v>
      </c>
      <c r="R948" s="2" t="inlineStr"/>
    </row>
    <row r="949" ht="15" customHeight="1">
      <c r="A949" t="inlineStr">
        <is>
          <t>A 25956-2025</t>
        </is>
      </c>
      <c r="B949" s="1" t="n">
        <v>45804</v>
      </c>
      <c r="C949" s="1" t="n">
        <v>45937</v>
      </c>
      <c r="D949" t="inlineStr">
        <is>
          <t>VÄRMLANDS LÄN</t>
        </is>
      </c>
      <c r="E949" t="inlineStr">
        <is>
          <t>TORSBY</t>
        </is>
      </c>
      <c r="G949" t="n">
        <v>3.6</v>
      </c>
      <c r="H949" t="n">
        <v>0</v>
      </c>
      <c r="I949" t="n">
        <v>0</v>
      </c>
      <c r="J949" t="n">
        <v>0</v>
      </c>
      <c r="K949" t="n">
        <v>0</v>
      </c>
      <c r="L949" t="n">
        <v>0</v>
      </c>
      <c r="M949" t="n">
        <v>0</v>
      </c>
      <c r="N949" t="n">
        <v>0</v>
      </c>
      <c r="O949" t="n">
        <v>0</v>
      </c>
      <c r="P949" t="n">
        <v>0</v>
      </c>
      <c r="Q949" t="n">
        <v>0</v>
      </c>
      <c r="R949" s="2" t="inlineStr"/>
    </row>
    <row r="950" ht="15" customHeight="1">
      <c r="A950" t="inlineStr">
        <is>
          <t>A 18897-2024</t>
        </is>
      </c>
      <c r="B950" s="1" t="n">
        <v>45427.34046296297</v>
      </c>
      <c r="C950" s="1" t="n">
        <v>45937</v>
      </c>
      <c r="D950" t="inlineStr">
        <is>
          <t>VÄRMLANDS LÄN</t>
        </is>
      </c>
      <c r="E950" t="inlineStr">
        <is>
          <t>TORSBY</t>
        </is>
      </c>
      <c r="F950" t="inlineStr">
        <is>
          <t>Övriga statliga verk och myndigheter</t>
        </is>
      </c>
      <c r="G950" t="n">
        <v>4.6</v>
      </c>
      <c r="H950" t="n">
        <v>0</v>
      </c>
      <c r="I950" t="n">
        <v>0</v>
      </c>
      <c r="J950" t="n">
        <v>0</v>
      </c>
      <c r="K950" t="n">
        <v>0</v>
      </c>
      <c r="L950" t="n">
        <v>0</v>
      </c>
      <c r="M950" t="n">
        <v>0</v>
      </c>
      <c r="N950" t="n">
        <v>0</v>
      </c>
      <c r="O950" t="n">
        <v>0</v>
      </c>
      <c r="P950" t="n">
        <v>0</v>
      </c>
      <c r="Q950" t="n">
        <v>0</v>
      </c>
      <c r="R950" s="2" t="inlineStr"/>
    </row>
    <row r="951" ht="15" customHeight="1">
      <c r="A951" t="inlineStr">
        <is>
          <t>A 754-2025</t>
        </is>
      </c>
      <c r="B951" s="1" t="n">
        <v>45665</v>
      </c>
      <c r="C951" s="1" t="n">
        <v>45937</v>
      </c>
      <c r="D951" t="inlineStr">
        <is>
          <t>VÄRMLANDS LÄN</t>
        </is>
      </c>
      <c r="E951" t="inlineStr">
        <is>
          <t>TORSBY</t>
        </is>
      </c>
      <c r="G951" t="n">
        <v>3</v>
      </c>
      <c r="H951" t="n">
        <v>0</v>
      </c>
      <c r="I951" t="n">
        <v>0</v>
      </c>
      <c r="J951" t="n">
        <v>0</v>
      </c>
      <c r="K951" t="n">
        <v>0</v>
      </c>
      <c r="L951" t="n">
        <v>0</v>
      </c>
      <c r="M951" t="n">
        <v>0</v>
      </c>
      <c r="N951" t="n">
        <v>0</v>
      </c>
      <c r="O951" t="n">
        <v>0</v>
      </c>
      <c r="P951" t="n">
        <v>0</v>
      </c>
      <c r="Q951" t="n">
        <v>0</v>
      </c>
      <c r="R951" s="2" t="inlineStr"/>
    </row>
    <row r="952" ht="15" customHeight="1">
      <c r="A952" t="inlineStr">
        <is>
          <t>A 18447-2025</t>
        </is>
      </c>
      <c r="B952" s="1" t="n">
        <v>45762</v>
      </c>
      <c r="C952" s="1" t="n">
        <v>45937</v>
      </c>
      <c r="D952" t="inlineStr">
        <is>
          <t>VÄRMLANDS LÄN</t>
        </is>
      </c>
      <c r="E952" t="inlineStr">
        <is>
          <t>TORSBY</t>
        </is>
      </c>
      <c r="G952" t="n">
        <v>12.8</v>
      </c>
      <c r="H952" t="n">
        <v>0</v>
      </c>
      <c r="I952" t="n">
        <v>0</v>
      </c>
      <c r="J952" t="n">
        <v>0</v>
      </c>
      <c r="K952" t="n">
        <v>0</v>
      </c>
      <c r="L952" t="n">
        <v>0</v>
      </c>
      <c r="M952" t="n">
        <v>0</v>
      </c>
      <c r="N952" t="n">
        <v>0</v>
      </c>
      <c r="O952" t="n">
        <v>0</v>
      </c>
      <c r="P952" t="n">
        <v>0</v>
      </c>
      <c r="Q952" t="n">
        <v>0</v>
      </c>
      <c r="R952" s="2" t="inlineStr"/>
    </row>
    <row r="953" ht="15" customHeight="1">
      <c r="A953" t="inlineStr">
        <is>
          <t>A 2203-2025</t>
        </is>
      </c>
      <c r="B953" s="1" t="n">
        <v>45672</v>
      </c>
      <c r="C953" s="1" t="n">
        <v>45937</v>
      </c>
      <c r="D953" t="inlineStr">
        <is>
          <t>VÄRMLANDS LÄN</t>
        </is>
      </c>
      <c r="E953" t="inlineStr">
        <is>
          <t>TORSBY</t>
        </is>
      </c>
      <c r="G953" t="n">
        <v>11.3</v>
      </c>
      <c r="H953" t="n">
        <v>0</v>
      </c>
      <c r="I953" t="n">
        <v>0</v>
      </c>
      <c r="J953" t="n">
        <v>0</v>
      </c>
      <c r="K953" t="n">
        <v>0</v>
      </c>
      <c r="L953" t="n">
        <v>0</v>
      </c>
      <c r="M953" t="n">
        <v>0</v>
      </c>
      <c r="N953" t="n">
        <v>0</v>
      </c>
      <c r="O953" t="n">
        <v>0</v>
      </c>
      <c r="P953" t="n">
        <v>0</v>
      </c>
      <c r="Q953" t="n">
        <v>0</v>
      </c>
      <c r="R953" s="2" t="inlineStr"/>
    </row>
    <row r="954" ht="15" customHeight="1">
      <c r="A954" t="inlineStr">
        <is>
          <t>A 10608-2022</t>
        </is>
      </c>
      <c r="B954" s="1" t="n">
        <v>44624</v>
      </c>
      <c r="C954" s="1" t="n">
        <v>45937</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4585-2023</t>
        </is>
      </c>
      <c r="B955" s="1" t="n">
        <v>44956.79790509259</v>
      </c>
      <c r="C955" s="1" t="n">
        <v>45937</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45937</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26504-2025</t>
        </is>
      </c>
      <c r="B957" s="1" t="n">
        <v>45807.519375</v>
      </c>
      <c r="C957" s="1" t="n">
        <v>45937</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26505-2025</t>
        </is>
      </c>
      <c r="B958" s="1" t="n">
        <v>45807.52231481481</v>
      </c>
      <c r="C958" s="1" t="n">
        <v>45937</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26511-2025</t>
        </is>
      </c>
      <c r="B959" s="1" t="n">
        <v>45807.54571759259</v>
      </c>
      <c r="C959" s="1" t="n">
        <v>45937</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41504-2024</t>
        </is>
      </c>
      <c r="B960" s="1" t="n">
        <v>45560</v>
      </c>
      <c r="C960" s="1" t="n">
        <v>45937</v>
      </c>
      <c r="D960" t="inlineStr">
        <is>
          <t>VÄRMLANDS LÄN</t>
        </is>
      </c>
      <c r="E960" t="inlineStr">
        <is>
          <t>TORSBY</t>
        </is>
      </c>
      <c r="G960" t="n">
        <v>4.7</v>
      </c>
      <c r="H960" t="n">
        <v>0</v>
      </c>
      <c r="I960" t="n">
        <v>0</v>
      </c>
      <c r="J960" t="n">
        <v>0</v>
      </c>
      <c r="K960" t="n">
        <v>0</v>
      </c>
      <c r="L960" t="n">
        <v>0</v>
      </c>
      <c r="M960" t="n">
        <v>0</v>
      </c>
      <c r="N960" t="n">
        <v>0</v>
      </c>
      <c r="O960" t="n">
        <v>0</v>
      </c>
      <c r="P960" t="n">
        <v>0</v>
      </c>
      <c r="Q960" t="n">
        <v>0</v>
      </c>
      <c r="R960" s="2" t="inlineStr"/>
    </row>
    <row r="961" ht="15" customHeight="1">
      <c r="A961" t="inlineStr">
        <is>
          <t>A 44083-2023</t>
        </is>
      </c>
      <c r="B961" s="1" t="n">
        <v>45182</v>
      </c>
      <c r="C961" s="1" t="n">
        <v>45937</v>
      </c>
      <c r="D961" t="inlineStr">
        <is>
          <t>VÄRMLANDS LÄN</t>
        </is>
      </c>
      <c r="E961" t="inlineStr">
        <is>
          <t>TORSBY</t>
        </is>
      </c>
      <c r="G961" t="n">
        <v>1.9</v>
      </c>
      <c r="H961" t="n">
        <v>0</v>
      </c>
      <c r="I961" t="n">
        <v>0</v>
      </c>
      <c r="J961" t="n">
        <v>0</v>
      </c>
      <c r="K961" t="n">
        <v>0</v>
      </c>
      <c r="L961" t="n">
        <v>0</v>
      </c>
      <c r="M961" t="n">
        <v>0</v>
      </c>
      <c r="N961" t="n">
        <v>0</v>
      </c>
      <c r="O961" t="n">
        <v>0</v>
      </c>
      <c r="P961" t="n">
        <v>0</v>
      </c>
      <c r="Q961" t="n">
        <v>0</v>
      </c>
      <c r="R961" s="2" t="inlineStr"/>
    </row>
    <row r="962" ht="15" customHeight="1">
      <c r="A962" t="inlineStr">
        <is>
          <t>A 26563-2025</t>
        </is>
      </c>
      <c r="B962" s="1" t="n">
        <v>45807.65767361111</v>
      </c>
      <c r="C962" s="1" t="n">
        <v>45937</v>
      </c>
      <c r="D962" t="inlineStr">
        <is>
          <t>VÄRMLANDS LÄN</t>
        </is>
      </c>
      <c r="E962" t="inlineStr">
        <is>
          <t>TORSBY</t>
        </is>
      </c>
      <c r="F962" t="inlineStr">
        <is>
          <t>Bergvik skog väst AB</t>
        </is>
      </c>
      <c r="G962" t="n">
        <v>19.5</v>
      </c>
      <c r="H962" t="n">
        <v>0</v>
      </c>
      <c r="I962" t="n">
        <v>0</v>
      </c>
      <c r="J962" t="n">
        <v>0</v>
      </c>
      <c r="K962" t="n">
        <v>0</v>
      </c>
      <c r="L962" t="n">
        <v>0</v>
      </c>
      <c r="M962" t="n">
        <v>0</v>
      </c>
      <c r="N962" t="n">
        <v>0</v>
      </c>
      <c r="O962" t="n">
        <v>0</v>
      </c>
      <c r="P962" t="n">
        <v>0</v>
      </c>
      <c r="Q962" t="n">
        <v>0</v>
      </c>
      <c r="R962" s="2" t="inlineStr"/>
    </row>
    <row r="963" ht="15" customHeight="1">
      <c r="A963" t="inlineStr">
        <is>
          <t>A 18331-2025</t>
        </is>
      </c>
      <c r="B963" s="1" t="n">
        <v>45762</v>
      </c>
      <c r="C963" s="1" t="n">
        <v>45937</v>
      </c>
      <c r="D963" t="inlineStr">
        <is>
          <t>VÄRMLANDS LÄN</t>
        </is>
      </c>
      <c r="E963" t="inlineStr">
        <is>
          <t>TORSBY</t>
        </is>
      </c>
      <c r="G963" t="n">
        <v>3.4</v>
      </c>
      <c r="H963" t="n">
        <v>0</v>
      </c>
      <c r="I963" t="n">
        <v>0</v>
      </c>
      <c r="J963" t="n">
        <v>0</v>
      </c>
      <c r="K963" t="n">
        <v>0</v>
      </c>
      <c r="L963" t="n">
        <v>0</v>
      </c>
      <c r="M963" t="n">
        <v>0</v>
      </c>
      <c r="N963" t="n">
        <v>0</v>
      </c>
      <c r="O963" t="n">
        <v>0</v>
      </c>
      <c r="P963" t="n">
        <v>0</v>
      </c>
      <c r="Q963" t="n">
        <v>0</v>
      </c>
      <c r="R963" s="2" t="inlineStr"/>
    </row>
    <row r="964" ht="15" customHeight="1">
      <c r="A964" t="inlineStr">
        <is>
          <t>A 26539-2025</t>
        </is>
      </c>
      <c r="B964" s="1" t="n">
        <v>45807.58127314815</v>
      </c>
      <c r="C964" s="1" t="n">
        <v>45937</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26890-2025</t>
        </is>
      </c>
      <c r="B965" s="1" t="n">
        <v>45811</v>
      </c>
      <c r="C965" s="1" t="n">
        <v>45937</v>
      </c>
      <c r="D965" t="inlineStr">
        <is>
          <t>VÄRMLANDS LÄN</t>
        </is>
      </c>
      <c r="E965" t="inlineStr">
        <is>
          <t>TORSBY</t>
        </is>
      </c>
      <c r="F965" t="inlineStr">
        <is>
          <t>Bergvik skog väst AB</t>
        </is>
      </c>
      <c r="G965" t="n">
        <v>6.7</v>
      </c>
      <c r="H965" t="n">
        <v>0</v>
      </c>
      <c r="I965" t="n">
        <v>0</v>
      </c>
      <c r="J965" t="n">
        <v>0</v>
      </c>
      <c r="K965" t="n">
        <v>0</v>
      </c>
      <c r="L965" t="n">
        <v>0</v>
      </c>
      <c r="M965" t="n">
        <v>0</v>
      </c>
      <c r="N965" t="n">
        <v>0</v>
      </c>
      <c r="O965" t="n">
        <v>0</v>
      </c>
      <c r="P965" t="n">
        <v>0</v>
      </c>
      <c r="Q965" t="n">
        <v>0</v>
      </c>
      <c r="R965" s="2" t="inlineStr"/>
    </row>
    <row r="966" ht="15" customHeight="1">
      <c r="A966" t="inlineStr">
        <is>
          <t>A 20182-2021</t>
        </is>
      </c>
      <c r="B966" s="1" t="n">
        <v>44312</v>
      </c>
      <c r="C966" s="1" t="n">
        <v>45937</v>
      </c>
      <c r="D966" t="inlineStr">
        <is>
          <t>VÄRMLANDS LÄN</t>
        </is>
      </c>
      <c r="E966" t="inlineStr">
        <is>
          <t>TORSBY</t>
        </is>
      </c>
      <c r="G966" t="n">
        <v>14.4</v>
      </c>
      <c r="H966" t="n">
        <v>0</v>
      </c>
      <c r="I966" t="n">
        <v>0</v>
      </c>
      <c r="J966" t="n">
        <v>0</v>
      </c>
      <c r="K966" t="n">
        <v>0</v>
      </c>
      <c r="L966" t="n">
        <v>0</v>
      </c>
      <c r="M966" t="n">
        <v>0</v>
      </c>
      <c r="N966" t="n">
        <v>0</v>
      </c>
      <c r="O966" t="n">
        <v>0</v>
      </c>
      <c r="P966" t="n">
        <v>0</v>
      </c>
      <c r="Q966" t="n">
        <v>0</v>
      </c>
      <c r="R966" s="2" t="inlineStr"/>
    </row>
    <row r="967" ht="15" customHeight="1">
      <c r="A967" t="inlineStr">
        <is>
          <t>A 9871-2024</t>
        </is>
      </c>
      <c r="B967" s="1" t="n">
        <v>45363</v>
      </c>
      <c r="C967" s="1" t="n">
        <v>45937</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26892-2025</t>
        </is>
      </c>
      <c r="B968" s="1" t="n">
        <v>45811.3334837963</v>
      </c>
      <c r="C968" s="1" t="n">
        <v>45937</v>
      </c>
      <c r="D968" t="inlineStr">
        <is>
          <t>VÄRMLANDS LÄN</t>
        </is>
      </c>
      <c r="E968" t="inlineStr">
        <is>
          <t>TORSBY</t>
        </is>
      </c>
      <c r="F968" t="inlineStr">
        <is>
          <t>Bergvik skog väst AB</t>
        </is>
      </c>
      <c r="G968" t="n">
        <v>3.1</v>
      </c>
      <c r="H968" t="n">
        <v>0</v>
      </c>
      <c r="I968" t="n">
        <v>0</v>
      </c>
      <c r="J968" t="n">
        <v>0</v>
      </c>
      <c r="K968" t="n">
        <v>0</v>
      </c>
      <c r="L968" t="n">
        <v>0</v>
      </c>
      <c r="M968" t="n">
        <v>0</v>
      </c>
      <c r="N968" t="n">
        <v>0</v>
      </c>
      <c r="O968" t="n">
        <v>0</v>
      </c>
      <c r="P968" t="n">
        <v>0</v>
      </c>
      <c r="Q968" t="n">
        <v>0</v>
      </c>
      <c r="R968" s="2" t="inlineStr"/>
    </row>
    <row r="969" ht="15" customHeight="1">
      <c r="A969" t="inlineStr">
        <is>
          <t>A 46243-2025</t>
        </is>
      </c>
      <c r="B969" s="1" t="n">
        <v>45925.32122685185</v>
      </c>
      <c r="C969" s="1" t="n">
        <v>45937</v>
      </c>
      <c r="D969" t="inlineStr">
        <is>
          <t>VÄRMLANDS LÄN</t>
        </is>
      </c>
      <c r="E969" t="inlineStr">
        <is>
          <t>TORSBY</t>
        </is>
      </c>
      <c r="F969" t="inlineStr">
        <is>
          <t>Bergvik skog väst AB</t>
        </is>
      </c>
      <c r="G969" t="n">
        <v>4.8</v>
      </c>
      <c r="H969" t="n">
        <v>0</v>
      </c>
      <c r="I969" t="n">
        <v>0</v>
      </c>
      <c r="J969" t="n">
        <v>0</v>
      </c>
      <c r="K969" t="n">
        <v>0</v>
      </c>
      <c r="L969" t="n">
        <v>0</v>
      </c>
      <c r="M969" t="n">
        <v>0</v>
      </c>
      <c r="N969" t="n">
        <v>0</v>
      </c>
      <c r="O969" t="n">
        <v>0</v>
      </c>
      <c r="P969" t="n">
        <v>0</v>
      </c>
      <c r="Q969" t="n">
        <v>0</v>
      </c>
      <c r="R969" s="2" t="inlineStr"/>
    </row>
    <row r="970" ht="15" customHeight="1">
      <c r="A970" t="inlineStr">
        <is>
          <t>A 48903-2024</t>
        </is>
      </c>
      <c r="B970" s="1" t="n">
        <v>45594</v>
      </c>
      <c r="C970" s="1" t="n">
        <v>45937</v>
      </c>
      <c r="D970" t="inlineStr">
        <is>
          <t>VÄRMLANDS LÄN</t>
        </is>
      </c>
      <c r="E970" t="inlineStr">
        <is>
          <t>TORSBY</t>
        </is>
      </c>
      <c r="G970" t="n">
        <v>0.4</v>
      </c>
      <c r="H970" t="n">
        <v>0</v>
      </c>
      <c r="I970" t="n">
        <v>0</v>
      </c>
      <c r="J970" t="n">
        <v>0</v>
      </c>
      <c r="K970" t="n">
        <v>0</v>
      </c>
      <c r="L970" t="n">
        <v>0</v>
      </c>
      <c r="M970" t="n">
        <v>0</v>
      </c>
      <c r="N970" t="n">
        <v>0</v>
      </c>
      <c r="O970" t="n">
        <v>0</v>
      </c>
      <c r="P970" t="n">
        <v>0</v>
      </c>
      <c r="Q970" t="n">
        <v>0</v>
      </c>
      <c r="R970" s="2" t="inlineStr"/>
    </row>
    <row r="971" ht="15" customHeight="1">
      <c r="A971" t="inlineStr">
        <is>
          <t>A 64432-2023</t>
        </is>
      </c>
      <c r="B971" s="1" t="n">
        <v>45280.67184027778</v>
      </c>
      <c r="C971" s="1" t="n">
        <v>45937</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26898-2025</t>
        </is>
      </c>
      <c r="B972" s="1" t="n">
        <v>45811</v>
      </c>
      <c r="C972" s="1" t="n">
        <v>45937</v>
      </c>
      <c r="D972" t="inlineStr">
        <is>
          <t>VÄRMLANDS LÄN</t>
        </is>
      </c>
      <c r="E972" t="inlineStr">
        <is>
          <t>TORSBY</t>
        </is>
      </c>
      <c r="F972" t="inlineStr">
        <is>
          <t>Övriga Aktiebolag</t>
        </is>
      </c>
      <c r="G972" t="n">
        <v>37.8</v>
      </c>
      <c r="H972" t="n">
        <v>0</v>
      </c>
      <c r="I972" t="n">
        <v>0</v>
      </c>
      <c r="J972" t="n">
        <v>0</v>
      </c>
      <c r="K972" t="n">
        <v>0</v>
      </c>
      <c r="L972" t="n">
        <v>0</v>
      </c>
      <c r="M972" t="n">
        <v>0</v>
      </c>
      <c r="N972" t="n">
        <v>0</v>
      </c>
      <c r="O972" t="n">
        <v>0</v>
      </c>
      <c r="P972" t="n">
        <v>0</v>
      </c>
      <c r="Q972" t="n">
        <v>0</v>
      </c>
      <c r="R972" s="2" t="inlineStr"/>
    </row>
    <row r="973" ht="15" customHeight="1">
      <c r="A973" t="inlineStr">
        <is>
          <t>A 26960-2025</t>
        </is>
      </c>
      <c r="B973" s="1" t="n">
        <v>45811.46167824074</v>
      </c>
      <c r="C973" s="1" t="n">
        <v>45937</v>
      </c>
      <c r="D973" t="inlineStr">
        <is>
          <t>VÄRMLANDS LÄN</t>
        </is>
      </c>
      <c r="E973" t="inlineStr">
        <is>
          <t>TORSBY</t>
        </is>
      </c>
      <c r="F973" t="inlineStr">
        <is>
          <t>Kyrkan</t>
        </is>
      </c>
      <c r="G973" t="n">
        <v>5.8</v>
      </c>
      <c r="H973" t="n">
        <v>0</v>
      </c>
      <c r="I973" t="n">
        <v>0</v>
      </c>
      <c r="J973" t="n">
        <v>0</v>
      </c>
      <c r="K973" t="n">
        <v>0</v>
      </c>
      <c r="L973" t="n">
        <v>0</v>
      </c>
      <c r="M973" t="n">
        <v>0</v>
      </c>
      <c r="N973" t="n">
        <v>0</v>
      </c>
      <c r="O973" t="n">
        <v>0</v>
      </c>
      <c r="P973" t="n">
        <v>0</v>
      </c>
      <c r="Q973" t="n">
        <v>0</v>
      </c>
      <c r="R973" s="2" t="inlineStr"/>
    </row>
    <row r="974" ht="15" customHeight="1">
      <c r="A974" t="inlineStr">
        <is>
          <t>A 27093-2025</t>
        </is>
      </c>
      <c r="B974" s="1" t="n">
        <v>45811.67347222222</v>
      </c>
      <c r="C974" s="1" t="n">
        <v>45937</v>
      </c>
      <c r="D974" t="inlineStr">
        <is>
          <t>VÄRMLANDS LÄN</t>
        </is>
      </c>
      <c r="E974" t="inlineStr">
        <is>
          <t>TORSBY</t>
        </is>
      </c>
      <c r="F974" t="inlineStr">
        <is>
          <t>Bergvik skog väst AB</t>
        </is>
      </c>
      <c r="G974" t="n">
        <v>2.8</v>
      </c>
      <c r="H974" t="n">
        <v>0</v>
      </c>
      <c r="I974" t="n">
        <v>0</v>
      </c>
      <c r="J974" t="n">
        <v>0</v>
      </c>
      <c r="K974" t="n">
        <v>0</v>
      </c>
      <c r="L974" t="n">
        <v>0</v>
      </c>
      <c r="M974" t="n">
        <v>0</v>
      </c>
      <c r="N974" t="n">
        <v>0</v>
      </c>
      <c r="O974" t="n">
        <v>0</v>
      </c>
      <c r="P974" t="n">
        <v>0</v>
      </c>
      <c r="Q974" t="n">
        <v>0</v>
      </c>
      <c r="R974" s="2" t="inlineStr"/>
    </row>
    <row r="975" ht="15" customHeight="1">
      <c r="A975" t="inlineStr">
        <is>
          <t>A 27174-2025</t>
        </is>
      </c>
      <c r="B975" s="1" t="n">
        <v>45812.34997685185</v>
      </c>
      <c r="C975" s="1" t="n">
        <v>45937</v>
      </c>
      <c r="D975" t="inlineStr">
        <is>
          <t>VÄRMLANDS LÄN</t>
        </is>
      </c>
      <c r="E975" t="inlineStr">
        <is>
          <t>TORSBY</t>
        </is>
      </c>
      <c r="F975" t="inlineStr">
        <is>
          <t>Kyrkan</t>
        </is>
      </c>
      <c r="G975" t="n">
        <v>1.6</v>
      </c>
      <c r="H975" t="n">
        <v>0</v>
      </c>
      <c r="I975" t="n">
        <v>0</v>
      </c>
      <c r="J975" t="n">
        <v>0</v>
      </c>
      <c r="K975" t="n">
        <v>0</v>
      </c>
      <c r="L975" t="n">
        <v>0</v>
      </c>
      <c r="M975" t="n">
        <v>0</v>
      </c>
      <c r="N975" t="n">
        <v>0</v>
      </c>
      <c r="O975" t="n">
        <v>0</v>
      </c>
      <c r="P975" t="n">
        <v>0</v>
      </c>
      <c r="Q975" t="n">
        <v>0</v>
      </c>
      <c r="R975" s="2" t="inlineStr"/>
    </row>
    <row r="976" ht="15" customHeight="1">
      <c r="A976" t="inlineStr">
        <is>
          <t>A 9900-2024</t>
        </is>
      </c>
      <c r="B976" s="1" t="n">
        <v>45363</v>
      </c>
      <c r="C976" s="1" t="n">
        <v>45937</v>
      </c>
      <c r="D976" t="inlineStr">
        <is>
          <t>VÄRMLANDS LÄN</t>
        </is>
      </c>
      <c r="E976" t="inlineStr">
        <is>
          <t>TORSBY</t>
        </is>
      </c>
      <c r="G976" t="n">
        <v>13.6</v>
      </c>
      <c r="H976" t="n">
        <v>0</v>
      </c>
      <c r="I976" t="n">
        <v>0</v>
      </c>
      <c r="J976" t="n">
        <v>0</v>
      </c>
      <c r="K976" t="n">
        <v>0</v>
      </c>
      <c r="L976" t="n">
        <v>0</v>
      </c>
      <c r="M976" t="n">
        <v>0</v>
      </c>
      <c r="N976" t="n">
        <v>0</v>
      </c>
      <c r="O976" t="n">
        <v>0</v>
      </c>
      <c r="P976" t="n">
        <v>0</v>
      </c>
      <c r="Q976" t="n">
        <v>0</v>
      </c>
      <c r="R976" s="2" t="inlineStr"/>
    </row>
    <row r="977" ht="15" customHeight="1">
      <c r="A977" t="inlineStr">
        <is>
          <t>A 18595-2025</t>
        </is>
      </c>
      <c r="B977" s="1" t="n">
        <v>45763</v>
      </c>
      <c r="C977" s="1" t="n">
        <v>45937</v>
      </c>
      <c r="D977" t="inlineStr">
        <is>
          <t>VÄRMLANDS LÄN</t>
        </is>
      </c>
      <c r="E977" t="inlineStr">
        <is>
          <t>TORSBY</t>
        </is>
      </c>
      <c r="F977" t="inlineStr">
        <is>
          <t>Kyrkan</t>
        </is>
      </c>
      <c r="G977" t="n">
        <v>7.9</v>
      </c>
      <c r="H977" t="n">
        <v>0</v>
      </c>
      <c r="I977" t="n">
        <v>0</v>
      </c>
      <c r="J977" t="n">
        <v>0</v>
      </c>
      <c r="K977" t="n">
        <v>0</v>
      </c>
      <c r="L977" t="n">
        <v>0</v>
      </c>
      <c r="M977" t="n">
        <v>0</v>
      </c>
      <c r="N977" t="n">
        <v>0</v>
      </c>
      <c r="O977" t="n">
        <v>0</v>
      </c>
      <c r="P977" t="n">
        <v>0</v>
      </c>
      <c r="Q977" t="n">
        <v>0</v>
      </c>
      <c r="R977" s="2" t="inlineStr"/>
    </row>
    <row r="978" ht="15" customHeight="1">
      <c r="A978" t="inlineStr">
        <is>
          <t>A 3864-2025</t>
        </is>
      </c>
      <c r="B978" s="1" t="n">
        <v>45684</v>
      </c>
      <c r="C978" s="1" t="n">
        <v>45937</v>
      </c>
      <c r="D978" t="inlineStr">
        <is>
          <t>VÄRMLANDS LÄN</t>
        </is>
      </c>
      <c r="E978" t="inlineStr">
        <is>
          <t>TORSBY</t>
        </is>
      </c>
      <c r="F978" t="inlineStr">
        <is>
          <t>Bergvik skog väst AB</t>
        </is>
      </c>
      <c r="G978" t="n">
        <v>8</v>
      </c>
      <c r="H978" t="n">
        <v>0</v>
      </c>
      <c r="I978" t="n">
        <v>0</v>
      </c>
      <c r="J978" t="n">
        <v>0</v>
      </c>
      <c r="K978" t="n">
        <v>0</v>
      </c>
      <c r="L978" t="n">
        <v>0</v>
      </c>
      <c r="M978" t="n">
        <v>0</v>
      </c>
      <c r="N978" t="n">
        <v>0</v>
      </c>
      <c r="O978" t="n">
        <v>0</v>
      </c>
      <c r="P978" t="n">
        <v>0</v>
      </c>
      <c r="Q978" t="n">
        <v>0</v>
      </c>
      <c r="R978" s="2" t="inlineStr"/>
    </row>
    <row r="979" ht="15" customHeight="1">
      <c r="A979" t="inlineStr">
        <is>
          <t>A 27043-2025</t>
        </is>
      </c>
      <c r="B979" s="1" t="n">
        <v>45811.61342592593</v>
      </c>
      <c r="C979" s="1" t="n">
        <v>45937</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27291-2025</t>
        </is>
      </c>
      <c r="B980" s="1" t="n">
        <v>45812.55769675926</v>
      </c>
      <c r="C980" s="1" t="n">
        <v>45937</v>
      </c>
      <c r="D980" t="inlineStr">
        <is>
          <t>VÄRMLANDS LÄN</t>
        </is>
      </c>
      <c r="E980" t="inlineStr">
        <is>
          <t>TORSBY</t>
        </is>
      </c>
      <c r="G980" t="n">
        <v>8</v>
      </c>
      <c r="H980" t="n">
        <v>0</v>
      </c>
      <c r="I980" t="n">
        <v>0</v>
      </c>
      <c r="J980" t="n">
        <v>0</v>
      </c>
      <c r="K980" t="n">
        <v>0</v>
      </c>
      <c r="L980" t="n">
        <v>0</v>
      </c>
      <c r="M980" t="n">
        <v>0</v>
      </c>
      <c r="N980" t="n">
        <v>0</v>
      </c>
      <c r="O980" t="n">
        <v>0</v>
      </c>
      <c r="P980" t="n">
        <v>0</v>
      </c>
      <c r="Q980" t="n">
        <v>0</v>
      </c>
      <c r="R980" s="2" t="inlineStr"/>
    </row>
    <row r="981" ht="15" customHeight="1">
      <c r="A981" t="inlineStr">
        <is>
          <t>A 27056-2025</t>
        </is>
      </c>
      <c r="B981" s="1" t="n">
        <v>45811.63118055555</v>
      </c>
      <c r="C981" s="1" t="n">
        <v>45937</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38662-2025</t>
        </is>
      </c>
      <c r="B982" s="1" t="n">
        <v>45884.61193287037</v>
      </c>
      <c r="C982" s="1" t="n">
        <v>45937</v>
      </c>
      <c r="D982" t="inlineStr">
        <is>
          <t>VÄRMLANDS LÄN</t>
        </is>
      </c>
      <c r="E982" t="inlineStr">
        <is>
          <t>TORSBY</t>
        </is>
      </c>
      <c r="F982" t="inlineStr">
        <is>
          <t>Bergvik skog väst AB</t>
        </is>
      </c>
      <c r="G982" t="n">
        <v>5.1</v>
      </c>
      <c r="H982" t="n">
        <v>0</v>
      </c>
      <c r="I982" t="n">
        <v>0</v>
      </c>
      <c r="J982" t="n">
        <v>0</v>
      </c>
      <c r="K982" t="n">
        <v>0</v>
      </c>
      <c r="L982" t="n">
        <v>0</v>
      </c>
      <c r="M982" t="n">
        <v>0</v>
      </c>
      <c r="N982" t="n">
        <v>0</v>
      </c>
      <c r="O982" t="n">
        <v>0</v>
      </c>
      <c r="P982" t="n">
        <v>0</v>
      </c>
      <c r="Q982" t="n">
        <v>0</v>
      </c>
      <c r="R982" s="2" t="inlineStr"/>
    </row>
    <row r="983" ht="15" customHeight="1">
      <c r="A983" t="inlineStr">
        <is>
          <t>A 37818-2025</t>
        </is>
      </c>
      <c r="B983" s="1" t="n">
        <v>45881</v>
      </c>
      <c r="C983" s="1" t="n">
        <v>45937</v>
      </c>
      <c r="D983" t="inlineStr">
        <is>
          <t>VÄRMLANDS LÄN</t>
        </is>
      </c>
      <c r="E983" t="inlineStr">
        <is>
          <t>TORSBY</t>
        </is>
      </c>
      <c r="G983" t="n">
        <v>1.6</v>
      </c>
      <c r="H983" t="n">
        <v>0</v>
      </c>
      <c r="I983" t="n">
        <v>0</v>
      </c>
      <c r="J983" t="n">
        <v>0</v>
      </c>
      <c r="K983" t="n">
        <v>0</v>
      </c>
      <c r="L983" t="n">
        <v>0</v>
      </c>
      <c r="M983" t="n">
        <v>0</v>
      </c>
      <c r="N983" t="n">
        <v>0</v>
      </c>
      <c r="O983" t="n">
        <v>0</v>
      </c>
      <c r="P983" t="n">
        <v>0</v>
      </c>
      <c r="Q983" t="n">
        <v>0</v>
      </c>
      <c r="R983" s="2" t="inlineStr"/>
    </row>
    <row r="984" ht="15" customHeight="1">
      <c r="A984" t="inlineStr">
        <is>
          <t>A 22463-2021</t>
        </is>
      </c>
      <c r="B984" s="1" t="n">
        <v>44326.67366898148</v>
      </c>
      <c r="C984" s="1" t="n">
        <v>45937</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27094-2025</t>
        </is>
      </c>
      <c r="B985" s="1" t="n">
        <v>45811.6766087963</v>
      </c>
      <c r="C985" s="1" t="n">
        <v>45937</v>
      </c>
      <c r="D985" t="inlineStr">
        <is>
          <t>VÄRMLANDS LÄN</t>
        </is>
      </c>
      <c r="E985" t="inlineStr">
        <is>
          <t>TORSBY</t>
        </is>
      </c>
      <c r="F985" t="inlineStr">
        <is>
          <t>Bergvik skog väst AB</t>
        </is>
      </c>
      <c r="G985" t="n">
        <v>1.5</v>
      </c>
      <c r="H985" t="n">
        <v>0</v>
      </c>
      <c r="I985" t="n">
        <v>0</v>
      </c>
      <c r="J985" t="n">
        <v>0</v>
      </c>
      <c r="K985" t="n">
        <v>0</v>
      </c>
      <c r="L985" t="n">
        <v>0</v>
      </c>
      <c r="M985" t="n">
        <v>0</v>
      </c>
      <c r="N985" t="n">
        <v>0</v>
      </c>
      <c r="O985" t="n">
        <v>0</v>
      </c>
      <c r="P985" t="n">
        <v>0</v>
      </c>
      <c r="Q985" t="n">
        <v>0</v>
      </c>
      <c r="R985" s="2" t="inlineStr"/>
    </row>
    <row r="986" ht="15" customHeight="1">
      <c r="A986" t="inlineStr">
        <is>
          <t>A 27149-2025</t>
        </is>
      </c>
      <c r="B986" s="1" t="n">
        <v>45812.31924768518</v>
      </c>
      <c r="C986" s="1" t="n">
        <v>45937</v>
      </c>
      <c r="D986" t="inlineStr">
        <is>
          <t>VÄRMLANDS LÄN</t>
        </is>
      </c>
      <c r="E986" t="inlineStr">
        <is>
          <t>TORSBY</t>
        </is>
      </c>
      <c r="F986" t="inlineStr">
        <is>
          <t>Bergvik skog väst AB</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26897-2025</t>
        </is>
      </c>
      <c r="B987" s="1" t="n">
        <v>45811.34108796297</v>
      </c>
      <c r="C987" s="1" t="n">
        <v>45937</v>
      </c>
      <c r="D987" t="inlineStr">
        <is>
          <t>VÄRMLANDS LÄN</t>
        </is>
      </c>
      <c r="E987" t="inlineStr">
        <is>
          <t>TORSBY</t>
        </is>
      </c>
      <c r="G987" t="n">
        <v>4.7</v>
      </c>
      <c r="H987" t="n">
        <v>0</v>
      </c>
      <c r="I987" t="n">
        <v>0</v>
      </c>
      <c r="J987" t="n">
        <v>0</v>
      </c>
      <c r="K987" t="n">
        <v>0</v>
      </c>
      <c r="L987" t="n">
        <v>0</v>
      </c>
      <c r="M987" t="n">
        <v>0</v>
      </c>
      <c r="N987" t="n">
        <v>0</v>
      </c>
      <c r="O987" t="n">
        <v>0</v>
      </c>
      <c r="P987" t="n">
        <v>0</v>
      </c>
      <c r="Q987" t="n">
        <v>0</v>
      </c>
      <c r="R987" s="2" t="inlineStr"/>
    </row>
    <row r="988" ht="15" customHeight="1">
      <c r="A988" t="inlineStr">
        <is>
          <t>A 27116-2025</t>
        </is>
      </c>
      <c r="B988" s="1" t="n">
        <v>45811.74233796296</v>
      </c>
      <c r="C988" s="1" t="n">
        <v>45937</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21581-2024</t>
        </is>
      </c>
      <c r="B989" s="1" t="n">
        <v>45441</v>
      </c>
      <c r="C989" s="1" t="n">
        <v>45937</v>
      </c>
      <c r="D989" t="inlineStr">
        <is>
          <t>VÄRMLANDS LÄN</t>
        </is>
      </c>
      <c r="E989" t="inlineStr">
        <is>
          <t>TORSBY</t>
        </is>
      </c>
      <c r="G989" t="n">
        <v>5.5</v>
      </c>
      <c r="H989" t="n">
        <v>0</v>
      </c>
      <c r="I989" t="n">
        <v>0</v>
      </c>
      <c r="J989" t="n">
        <v>0</v>
      </c>
      <c r="K989" t="n">
        <v>0</v>
      </c>
      <c r="L989" t="n">
        <v>0</v>
      </c>
      <c r="M989" t="n">
        <v>0</v>
      </c>
      <c r="N989" t="n">
        <v>0</v>
      </c>
      <c r="O989" t="n">
        <v>0</v>
      </c>
      <c r="P989" t="n">
        <v>0</v>
      </c>
      <c r="Q989" t="n">
        <v>0</v>
      </c>
      <c r="R989" s="2" t="inlineStr"/>
    </row>
    <row r="990" ht="15" customHeight="1">
      <c r="A990" t="inlineStr">
        <is>
          <t>A 27728-2025</t>
        </is>
      </c>
      <c r="B990" s="1" t="n">
        <v>45814</v>
      </c>
      <c r="C990" s="1" t="n">
        <v>45937</v>
      </c>
      <c r="D990" t="inlineStr">
        <is>
          <t>VÄRMLANDS LÄN</t>
        </is>
      </c>
      <c r="E990" t="inlineStr">
        <is>
          <t>TORSBY</t>
        </is>
      </c>
      <c r="F990" t="inlineStr">
        <is>
          <t>Bergvik skog väst AB</t>
        </is>
      </c>
      <c r="G990" t="n">
        <v>8.5</v>
      </c>
      <c r="H990" t="n">
        <v>0</v>
      </c>
      <c r="I990" t="n">
        <v>0</v>
      </c>
      <c r="J990" t="n">
        <v>0</v>
      </c>
      <c r="K990" t="n">
        <v>0</v>
      </c>
      <c r="L990" t="n">
        <v>0</v>
      </c>
      <c r="M990" t="n">
        <v>0</v>
      </c>
      <c r="N990" t="n">
        <v>0</v>
      </c>
      <c r="O990" t="n">
        <v>0</v>
      </c>
      <c r="P990" t="n">
        <v>0</v>
      </c>
      <c r="Q990" t="n">
        <v>0</v>
      </c>
      <c r="R990" s="2" t="inlineStr"/>
    </row>
    <row r="991" ht="15" customHeight="1">
      <c r="A991" t="inlineStr">
        <is>
          <t>A 49982-2023</t>
        </is>
      </c>
      <c r="B991" s="1" t="n">
        <v>45215.4216087963</v>
      </c>
      <c r="C991" s="1" t="n">
        <v>45937</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63177-2023</t>
        </is>
      </c>
      <c r="B992" s="1" t="n">
        <v>45272</v>
      </c>
      <c r="C992" s="1" t="n">
        <v>45937</v>
      </c>
      <c r="D992" t="inlineStr">
        <is>
          <t>VÄRMLANDS LÄN</t>
        </is>
      </c>
      <c r="E992" t="inlineStr">
        <is>
          <t>TORSBY</t>
        </is>
      </c>
      <c r="G992" t="n">
        <v>14.9</v>
      </c>
      <c r="H992" t="n">
        <v>0</v>
      </c>
      <c r="I992" t="n">
        <v>0</v>
      </c>
      <c r="J992" t="n">
        <v>0</v>
      </c>
      <c r="K992" t="n">
        <v>0</v>
      </c>
      <c r="L992" t="n">
        <v>0</v>
      </c>
      <c r="M992" t="n">
        <v>0</v>
      </c>
      <c r="N992" t="n">
        <v>0</v>
      </c>
      <c r="O992" t="n">
        <v>0</v>
      </c>
      <c r="P992" t="n">
        <v>0</v>
      </c>
      <c r="Q992" t="n">
        <v>0</v>
      </c>
      <c r="R992" s="2" t="inlineStr"/>
    </row>
    <row r="993" ht="15" customHeight="1">
      <c r="A993" t="inlineStr">
        <is>
          <t>A 27450-2025</t>
        </is>
      </c>
      <c r="B993" s="1" t="n">
        <v>45813.33738425926</v>
      </c>
      <c r="C993" s="1" t="n">
        <v>45937</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27674-2025</t>
        </is>
      </c>
      <c r="B994" s="1" t="n">
        <v>45813.62936342593</v>
      </c>
      <c r="C994" s="1" t="n">
        <v>45937</v>
      </c>
      <c r="D994" t="inlineStr">
        <is>
          <t>VÄRMLANDS LÄN</t>
        </is>
      </c>
      <c r="E994" t="inlineStr">
        <is>
          <t>TORSBY</t>
        </is>
      </c>
      <c r="G994" t="n">
        <v>3.7</v>
      </c>
      <c r="H994" t="n">
        <v>0</v>
      </c>
      <c r="I994" t="n">
        <v>0</v>
      </c>
      <c r="J994" t="n">
        <v>0</v>
      </c>
      <c r="K994" t="n">
        <v>0</v>
      </c>
      <c r="L994" t="n">
        <v>0</v>
      </c>
      <c r="M994" t="n">
        <v>0</v>
      </c>
      <c r="N994" t="n">
        <v>0</v>
      </c>
      <c r="O994" t="n">
        <v>0</v>
      </c>
      <c r="P994" t="n">
        <v>0</v>
      </c>
      <c r="Q994" t="n">
        <v>0</v>
      </c>
      <c r="R994" s="2" t="inlineStr"/>
    </row>
    <row r="995" ht="15" customHeight="1">
      <c r="A995" t="inlineStr">
        <is>
          <t>A 35629-2023</t>
        </is>
      </c>
      <c r="B995" s="1" t="n">
        <v>45147.55939814815</v>
      </c>
      <c r="C995" s="1" t="n">
        <v>45937</v>
      </c>
      <c r="D995" t="inlineStr">
        <is>
          <t>VÄRMLANDS LÄN</t>
        </is>
      </c>
      <c r="E995" t="inlineStr">
        <is>
          <t>TORSBY</t>
        </is>
      </c>
      <c r="G995" t="n">
        <v>10.3</v>
      </c>
      <c r="H995" t="n">
        <v>0</v>
      </c>
      <c r="I995" t="n">
        <v>0</v>
      </c>
      <c r="J995" t="n">
        <v>0</v>
      </c>
      <c r="K995" t="n">
        <v>0</v>
      </c>
      <c r="L995" t="n">
        <v>0</v>
      </c>
      <c r="M995" t="n">
        <v>0</v>
      </c>
      <c r="N995" t="n">
        <v>0</v>
      </c>
      <c r="O995" t="n">
        <v>0</v>
      </c>
      <c r="P995" t="n">
        <v>0</v>
      </c>
      <c r="Q995" t="n">
        <v>0</v>
      </c>
      <c r="R995" s="2" t="inlineStr"/>
    </row>
    <row r="996" ht="15" customHeight="1">
      <c r="A996" t="inlineStr">
        <is>
          <t>A 63266-2023</t>
        </is>
      </c>
      <c r="B996" s="1" t="n">
        <v>45273.741875</v>
      </c>
      <c r="C996" s="1" t="n">
        <v>45937</v>
      </c>
      <c r="D996" t="inlineStr">
        <is>
          <t>VÄRMLANDS LÄN</t>
        </is>
      </c>
      <c r="E996" t="inlineStr">
        <is>
          <t>TORSBY</t>
        </is>
      </c>
      <c r="G996" t="n">
        <v>2</v>
      </c>
      <c r="H996" t="n">
        <v>0</v>
      </c>
      <c r="I996" t="n">
        <v>0</v>
      </c>
      <c r="J996" t="n">
        <v>0</v>
      </c>
      <c r="K996" t="n">
        <v>0</v>
      </c>
      <c r="L996" t="n">
        <v>0</v>
      </c>
      <c r="M996" t="n">
        <v>0</v>
      </c>
      <c r="N996" t="n">
        <v>0</v>
      </c>
      <c r="O996" t="n">
        <v>0</v>
      </c>
      <c r="P996" t="n">
        <v>0</v>
      </c>
      <c r="Q996" t="n">
        <v>0</v>
      </c>
      <c r="R996" s="2" t="inlineStr"/>
    </row>
    <row r="997" ht="15" customHeight="1">
      <c r="A997" t="inlineStr">
        <is>
          <t>A 27730-2025</t>
        </is>
      </c>
      <c r="B997" s="1" t="n">
        <v>45814</v>
      </c>
      <c r="C997" s="1" t="n">
        <v>45937</v>
      </c>
      <c r="D997" t="inlineStr">
        <is>
          <t>VÄRMLANDS LÄN</t>
        </is>
      </c>
      <c r="E997" t="inlineStr">
        <is>
          <t>TORSBY</t>
        </is>
      </c>
      <c r="F997" t="inlineStr">
        <is>
          <t>Bergvik skog väst AB</t>
        </is>
      </c>
      <c r="G997" t="n">
        <v>5.1</v>
      </c>
      <c r="H997" t="n">
        <v>0</v>
      </c>
      <c r="I997" t="n">
        <v>0</v>
      </c>
      <c r="J997" t="n">
        <v>0</v>
      </c>
      <c r="K997" t="n">
        <v>0</v>
      </c>
      <c r="L997" t="n">
        <v>0</v>
      </c>
      <c r="M997" t="n">
        <v>0</v>
      </c>
      <c r="N997" t="n">
        <v>0</v>
      </c>
      <c r="O997" t="n">
        <v>0</v>
      </c>
      <c r="P997" t="n">
        <v>0</v>
      </c>
      <c r="Q997" t="n">
        <v>0</v>
      </c>
      <c r="R997" s="2" t="inlineStr"/>
    </row>
    <row r="998" ht="15" customHeight="1">
      <c r="A998" t="inlineStr">
        <is>
          <t>A 18099-2022</t>
        </is>
      </c>
      <c r="B998" s="1" t="n">
        <v>44684</v>
      </c>
      <c r="C998" s="1" t="n">
        <v>45937</v>
      </c>
      <c r="D998" t="inlineStr">
        <is>
          <t>VÄRMLANDS LÄN</t>
        </is>
      </c>
      <c r="E998" t="inlineStr">
        <is>
          <t>TORSBY</t>
        </is>
      </c>
      <c r="G998" t="n">
        <v>0.7</v>
      </c>
      <c r="H998" t="n">
        <v>0</v>
      </c>
      <c r="I998" t="n">
        <v>0</v>
      </c>
      <c r="J998" t="n">
        <v>0</v>
      </c>
      <c r="K998" t="n">
        <v>0</v>
      </c>
      <c r="L998" t="n">
        <v>0</v>
      </c>
      <c r="M998" t="n">
        <v>0</v>
      </c>
      <c r="N998" t="n">
        <v>0</v>
      </c>
      <c r="O998" t="n">
        <v>0</v>
      </c>
      <c r="P998" t="n">
        <v>0</v>
      </c>
      <c r="Q998" t="n">
        <v>0</v>
      </c>
      <c r="R998" s="2" t="inlineStr"/>
    </row>
    <row r="999" ht="15" customHeight="1">
      <c r="A999" t="inlineStr">
        <is>
          <t>A 27467-2025</t>
        </is>
      </c>
      <c r="B999" s="1" t="n">
        <v>45813.35497685185</v>
      </c>
      <c r="C999" s="1" t="n">
        <v>45937</v>
      </c>
      <c r="D999" t="inlineStr">
        <is>
          <t>VÄRMLANDS LÄN</t>
        </is>
      </c>
      <c r="E999" t="inlineStr">
        <is>
          <t>TORSBY</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27667-2025</t>
        </is>
      </c>
      <c r="B1000" s="1" t="n">
        <v>45813.62092592593</v>
      </c>
      <c r="C1000" s="1" t="n">
        <v>45937</v>
      </c>
      <c r="D1000" t="inlineStr">
        <is>
          <t>VÄRMLANDS LÄN</t>
        </is>
      </c>
      <c r="E1000" t="inlineStr">
        <is>
          <t>TORSBY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20309-2025</t>
        </is>
      </c>
      <c r="B1001" s="1" t="n">
        <v>45775.28427083333</v>
      </c>
      <c r="C1001" s="1" t="n">
        <v>45937</v>
      </c>
      <c r="D1001" t="inlineStr">
        <is>
          <t>VÄRMLANDS LÄN</t>
        </is>
      </c>
      <c r="E1001" t="inlineStr">
        <is>
          <t>TORSBY</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27470-2025</t>
        </is>
      </c>
      <c r="B1002" s="1" t="n">
        <v>45813.36284722222</v>
      </c>
      <c r="C1002" s="1" t="n">
        <v>45937</v>
      </c>
      <c r="D1002" t="inlineStr">
        <is>
          <t>VÄRMLANDS LÄN</t>
        </is>
      </c>
      <c r="E1002" t="inlineStr">
        <is>
          <t>TORSBY</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27968-2025</t>
        </is>
      </c>
      <c r="B1003" s="1" t="n">
        <v>45817.55846064815</v>
      </c>
      <c r="C1003" s="1" t="n">
        <v>45937</v>
      </c>
      <c r="D1003" t="inlineStr">
        <is>
          <t>VÄRMLANDS LÄN</t>
        </is>
      </c>
      <c r="E1003" t="inlineStr">
        <is>
          <t>TORSBY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27856-2025</t>
        </is>
      </c>
      <c r="B1004" s="1" t="n">
        <v>45817.41006944444</v>
      </c>
      <c r="C1004" s="1" t="n">
        <v>45937</v>
      </c>
      <c r="D1004" t="inlineStr">
        <is>
          <t>VÄRMLANDS LÄN</t>
        </is>
      </c>
      <c r="E1004" t="inlineStr">
        <is>
          <t>TORSBY</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46334-2025</t>
        </is>
      </c>
      <c r="B1005" s="1" t="n">
        <v>45925.45925925926</v>
      </c>
      <c r="C1005" s="1" t="n">
        <v>45937</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19489-2022</t>
        </is>
      </c>
      <c r="B1006" s="1" t="n">
        <v>44693</v>
      </c>
      <c r="C1006" s="1" t="n">
        <v>45937</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20168-2022</t>
        </is>
      </c>
      <c r="B1007" s="1" t="n">
        <v>44698.50056712963</v>
      </c>
      <c r="C1007" s="1" t="n">
        <v>45937</v>
      </c>
      <c r="D1007" t="inlineStr">
        <is>
          <t>VÄRMLANDS LÄN</t>
        </is>
      </c>
      <c r="E1007" t="inlineStr">
        <is>
          <t>TORSBY</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1095-2025</t>
        </is>
      </c>
      <c r="B1008" s="1" t="n">
        <v>45666.63681712963</v>
      </c>
      <c r="C1008" s="1" t="n">
        <v>45937</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1040-2024</t>
        </is>
      </c>
      <c r="B1009" s="1" t="n">
        <v>45301</v>
      </c>
      <c r="C1009" s="1" t="n">
        <v>45937</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19791-2025</t>
        </is>
      </c>
      <c r="B1010" s="1" t="n">
        <v>45771.4452662037</v>
      </c>
      <c r="C1010" s="1" t="n">
        <v>45937</v>
      </c>
      <c r="D1010" t="inlineStr">
        <is>
          <t>VÄRMLANDS LÄN</t>
        </is>
      </c>
      <c r="E1010" t="inlineStr">
        <is>
          <t>TORSBY</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46578-2025</t>
        </is>
      </c>
      <c r="B1011" s="1" t="n">
        <v>45926.37353009259</v>
      </c>
      <c r="C1011" s="1" t="n">
        <v>45937</v>
      </c>
      <c r="D1011" t="inlineStr">
        <is>
          <t>VÄRMLANDS LÄN</t>
        </is>
      </c>
      <c r="E1011" t="inlineStr">
        <is>
          <t>TORSBY</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56815-2023</t>
        </is>
      </c>
      <c r="B1012" s="1" t="n">
        <v>45244</v>
      </c>
      <c r="C1012" s="1" t="n">
        <v>45937</v>
      </c>
      <c r="D1012" t="inlineStr">
        <is>
          <t>VÄRMLANDS LÄN</t>
        </is>
      </c>
      <c r="E1012" t="inlineStr">
        <is>
          <t>TORSBY</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56716-2023</t>
        </is>
      </c>
      <c r="B1013" s="1" t="n">
        <v>45238</v>
      </c>
      <c r="C1013" s="1" t="n">
        <v>45937</v>
      </c>
      <c r="D1013" t="inlineStr">
        <is>
          <t>VÄRMLANDS LÄN</t>
        </is>
      </c>
      <c r="E1013" t="inlineStr">
        <is>
          <t>TORSBY</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31547-2023</t>
        </is>
      </c>
      <c r="B1014" s="1" t="n">
        <v>45117</v>
      </c>
      <c r="C1014" s="1" t="n">
        <v>45937</v>
      </c>
      <c r="D1014" t="inlineStr">
        <is>
          <t>VÄRMLANDS LÄN</t>
        </is>
      </c>
      <c r="E1014" t="inlineStr">
        <is>
          <t>TORSBY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1708-2025</t>
        </is>
      </c>
      <c r="B1015" s="1" t="n">
        <v>45670</v>
      </c>
      <c r="C1015" s="1" t="n">
        <v>45937</v>
      </c>
      <c r="D1015" t="inlineStr">
        <is>
          <t>VÄRMLANDS LÄN</t>
        </is>
      </c>
      <c r="E1015" t="inlineStr">
        <is>
          <t>TORSBY</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55839-2024</t>
        </is>
      </c>
      <c r="B1016" s="1" t="n">
        <v>45623.49502314815</v>
      </c>
      <c r="C1016" s="1" t="n">
        <v>45937</v>
      </c>
      <c r="D1016" t="inlineStr">
        <is>
          <t>VÄRMLANDS LÄN</t>
        </is>
      </c>
      <c r="E1016" t="inlineStr">
        <is>
          <t>TORSBY</t>
        </is>
      </c>
      <c r="F1016" t="inlineStr">
        <is>
          <t>Kommuner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44133-2025</t>
        </is>
      </c>
      <c r="B1017" s="1" t="n">
        <v>45915</v>
      </c>
      <c r="C1017" s="1" t="n">
        <v>45937</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28116-2025</t>
        </is>
      </c>
      <c r="B1018" s="1" t="n">
        <v>45818.28697916667</v>
      </c>
      <c r="C1018" s="1" t="n">
        <v>45937</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28117-2025</t>
        </is>
      </c>
      <c r="B1019" s="1" t="n">
        <v>45818</v>
      </c>
      <c r="C1019" s="1" t="n">
        <v>45937</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28118-2025</t>
        </is>
      </c>
      <c r="B1020" s="1" t="n">
        <v>45818</v>
      </c>
      <c r="C1020" s="1" t="n">
        <v>45937</v>
      </c>
      <c r="D1020" t="inlineStr">
        <is>
          <t>VÄRMLANDS LÄN</t>
        </is>
      </c>
      <c r="E1020" t="inlineStr">
        <is>
          <t>TORSBY</t>
        </is>
      </c>
      <c r="F1020" t="inlineStr">
        <is>
          <t>Bergvik skog väst AB</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20255-2025</t>
        </is>
      </c>
      <c r="B1021" s="1" t="n">
        <v>45772.9009375</v>
      </c>
      <c r="C1021" s="1" t="n">
        <v>45937</v>
      </c>
      <c r="D1021" t="inlineStr">
        <is>
          <t>VÄRMLANDS LÄN</t>
        </is>
      </c>
      <c r="E1021" t="inlineStr">
        <is>
          <t>TORSBY</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50445-2023</t>
        </is>
      </c>
      <c r="B1022" s="1" t="n">
        <v>45216</v>
      </c>
      <c r="C1022" s="1" t="n">
        <v>45937</v>
      </c>
      <c r="D1022" t="inlineStr">
        <is>
          <t>VÄRMLANDS LÄN</t>
        </is>
      </c>
      <c r="E1022" t="inlineStr">
        <is>
          <t>TORSBY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62915-2020</t>
        </is>
      </c>
      <c r="B1023" s="1" t="n">
        <v>44162</v>
      </c>
      <c r="C1023" s="1" t="n">
        <v>45937</v>
      </c>
      <c r="D1023" t="inlineStr">
        <is>
          <t>VÄRMLANDS LÄN</t>
        </is>
      </c>
      <c r="E1023" t="inlineStr">
        <is>
          <t>TORSBY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28214-2025</t>
        </is>
      </c>
      <c r="B1024" s="1" t="n">
        <v>45818</v>
      </c>
      <c r="C1024" s="1" t="n">
        <v>45937</v>
      </c>
      <c r="D1024" t="inlineStr">
        <is>
          <t>VÄRMLANDS LÄN</t>
        </is>
      </c>
      <c r="E1024" t="inlineStr">
        <is>
          <t>TORSBY</t>
        </is>
      </c>
      <c r="F1024" t="inlineStr">
        <is>
          <t>Bergvik skog väst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27906-2025</t>
        </is>
      </c>
      <c r="B1025" s="1" t="n">
        <v>45817.47108796296</v>
      </c>
      <c r="C1025" s="1" t="n">
        <v>45937</v>
      </c>
      <c r="D1025" t="inlineStr">
        <is>
          <t>VÄRMLANDS LÄN</t>
        </is>
      </c>
      <c r="E1025" t="inlineStr">
        <is>
          <t>TORSBY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14945-2023</t>
        </is>
      </c>
      <c r="B1026" s="1" t="n">
        <v>45014</v>
      </c>
      <c r="C1026" s="1" t="n">
        <v>45937</v>
      </c>
      <c r="D1026" t="inlineStr">
        <is>
          <t>VÄRMLANDS LÄN</t>
        </is>
      </c>
      <c r="E1026" t="inlineStr">
        <is>
          <t>TORSBY</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27759-2025</t>
        </is>
      </c>
      <c r="B1027" s="1" t="n">
        <v>45816.48986111111</v>
      </c>
      <c r="C1027" s="1" t="n">
        <v>45937</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54014-2024</t>
        </is>
      </c>
      <c r="B1028" s="1" t="n">
        <v>45616.38003472222</v>
      </c>
      <c r="C1028" s="1" t="n">
        <v>45937</v>
      </c>
      <c r="D1028" t="inlineStr">
        <is>
          <t>VÄRMLANDS LÄN</t>
        </is>
      </c>
      <c r="E1028" t="inlineStr">
        <is>
          <t>TORSBY</t>
        </is>
      </c>
      <c r="F1028" t="inlineStr">
        <is>
          <t>Kommuner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27962-2025</t>
        </is>
      </c>
      <c r="B1029" s="1" t="n">
        <v>45817.54878472222</v>
      </c>
      <c r="C1029" s="1" t="n">
        <v>45937</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27758-2025</t>
        </is>
      </c>
      <c r="B1030" s="1" t="n">
        <v>45816</v>
      </c>
      <c r="C1030" s="1" t="n">
        <v>45937</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27863-2025</t>
        </is>
      </c>
      <c r="B1031" s="1" t="n">
        <v>45817.42118055555</v>
      </c>
      <c r="C1031" s="1" t="n">
        <v>45937</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19614-2022</t>
        </is>
      </c>
      <c r="B1032" s="1" t="n">
        <v>44694</v>
      </c>
      <c r="C1032" s="1" t="n">
        <v>45937</v>
      </c>
      <c r="D1032" t="inlineStr">
        <is>
          <t>VÄRMLANDS LÄN</t>
        </is>
      </c>
      <c r="E1032" t="inlineStr">
        <is>
          <t>TORSBY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48762-2023</t>
        </is>
      </c>
      <c r="B1033" s="1" t="n">
        <v>45208</v>
      </c>
      <c r="C1033" s="1" t="n">
        <v>45937</v>
      </c>
      <c r="D1033" t="inlineStr">
        <is>
          <t>VÄRMLANDS LÄN</t>
        </is>
      </c>
      <c r="E1033" t="inlineStr">
        <is>
          <t>TORSBY</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53570-2024</t>
        </is>
      </c>
      <c r="B1034" s="1" t="n">
        <v>45614.65956018519</v>
      </c>
      <c r="C1034" s="1" t="n">
        <v>45937</v>
      </c>
      <c r="D1034" t="inlineStr">
        <is>
          <t>VÄRMLANDS LÄN</t>
        </is>
      </c>
      <c r="E1034" t="inlineStr">
        <is>
          <t>TORSBY</t>
        </is>
      </c>
      <c r="G1034" t="n">
        <v>15.5</v>
      </c>
      <c r="H1034" t="n">
        <v>0</v>
      </c>
      <c r="I1034" t="n">
        <v>0</v>
      </c>
      <c r="J1034" t="n">
        <v>0</v>
      </c>
      <c r="K1034" t="n">
        <v>0</v>
      </c>
      <c r="L1034" t="n">
        <v>0</v>
      </c>
      <c r="M1034" t="n">
        <v>0</v>
      </c>
      <c r="N1034" t="n">
        <v>0</v>
      </c>
      <c r="O1034" t="n">
        <v>0</v>
      </c>
      <c r="P1034" t="n">
        <v>0</v>
      </c>
      <c r="Q1034" t="n">
        <v>0</v>
      </c>
      <c r="R1034" s="2" t="inlineStr"/>
    </row>
    <row r="1035" ht="15" customHeight="1">
      <c r="A1035" t="inlineStr">
        <is>
          <t>A 4302-2025</t>
        </is>
      </c>
      <c r="B1035" s="1" t="n">
        <v>45685.67939814815</v>
      </c>
      <c r="C1035" s="1" t="n">
        <v>45937</v>
      </c>
      <c r="D1035" t="inlineStr">
        <is>
          <t>VÄRMLANDS LÄN</t>
        </is>
      </c>
      <c r="E1035" t="inlineStr">
        <is>
          <t>TORSBY</t>
        </is>
      </c>
      <c r="F1035" t="inlineStr">
        <is>
          <t>Kommuner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24493-2024</t>
        </is>
      </c>
      <c r="B1036" s="1" t="n">
        <v>45459.72136574074</v>
      </c>
      <c r="C1036" s="1" t="n">
        <v>45937</v>
      </c>
      <c r="D1036" t="inlineStr">
        <is>
          <t>VÄRMLANDS LÄN</t>
        </is>
      </c>
      <c r="E1036" t="inlineStr">
        <is>
          <t>TORSBY</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10288-2025</t>
        </is>
      </c>
      <c r="B1037" s="1" t="n">
        <v>45720.41396990741</v>
      </c>
      <c r="C1037" s="1" t="n">
        <v>45937</v>
      </c>
      <c r="D1037" t="inlineStr">
        <is>
          <t>VÄRMLANDS LÄN</t>
        </is>
      </c>
      <c r="E1037" t="inlineStr">
        <is>
          <t>TORSBY</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28612-2025</t>
        </is>
      </c>
      <c r="B1038" s="1" t="n">
        <v>45819</v>
      </c>
      <c r="C1038" s="1" t="n">
        <v>45937</v>
      </c>
      <c r="D1038" t="inlineStr">
        <is>
          <t>VÄRMLANDS LÄN</t>
        </is>
      </c>
      <c r="E1038" t="inlineStr">
        <is>
          <t>TORSBY</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27920-2023</t>
        </is>
      </c>
      <c r="B1039" s="1" t="n">
        <v>45098.64269675926</v>
      </c>
      <c r="C1039" s="1" t="n">
        <v>45937</v>
      </c>
      <c r="D1039" t="inlineStr">
        <is>
          <t>VÄRMLANDS LÄN</t>
        </is>
      </c>
      <c r="E1039" t="inlineStr">
        <is>
          <t>TORSBY</t>
        </is>
      </c>
      <c r="F1039" t="inlineStr">
        <is>
          <t>Kyrkan</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28774-2025</t>
        </is>
      </c>
      <c r="B1040" s="1" t="n">
        <v>45820.4434375</v>
      </c>
      <c r="C1040" s="1" t="n">
        <v>45937</v>
      </c>
      <c r="D1040" t="inlineStr">
        <is>
          <t>VÄRMLANDS LÄN</t>
        </is>
      </c>
      <c r="E1040" t="inlineStr">
        <is>
          <t>TORSBY</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24876-2023</t>
        </is>
      </c>
      <c r="B1041" s="1" t="n">
        <v>45085.42391203704</v>
      </c>
      <c r="C1041" s="1" t="n">
        <v>45937</v>
      </c>
      <c r="D1041" t="inlineStr">
        <is>
          <t>VÄRMLANDS LÄN</t>
        </is>
      </c>
      <c r="E1041" t="inlineStr">
        <is>
          <t>TORSBY</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28939-2025</t>
        </is>
      </c>
      <c r="B1042" s="1" t="n">
        <v>45820.71350694444</v>
      </c>
      <c r="C1042" s="1" t="n">
        <v>45937</v>
      </c>
      <c r="D1042" t="inlineStr">
        <is>
          <t>VÄRMLANDS LÄN</t>
        </is>
      </c>
      <c r="E1042" t="inlineStr">
        <is>
          <t>TORSBY</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28380-2025</t>
        </is>
      </c>
      <c r="B1043" s="1" t="n">
        <v>45819.30581018519</v>
      </c>
      <c r="C1043" s="1" t="n">
        <v>45937</v>
      </c>
      <c r="D1043" t="inlineStr">
        <is>
          <t>VÄRMLANDS LÄN</t>
        </is>
      </c>
      <c r="E1043" t="inlineStr">
        <is>
          <t>TORSBY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38497-2025</t>
        </is>
      </c>
      <c r="B1044" s="1" t="n">
        <v>45884</v>
      </c>
      <c r="C1044" s="1" t="n">
        <v>45937</v>
      </c>
      <c r="D1044" t="inlineStr">
        <is>
          <t>VÄRMLANDS LÄN</t>
        </is>
      </c>
      <c r="E1044" t="inlineStr">
        <is>
          <t>TORSBY</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56107-2024</t>
        </is>
      </c>
      <c r="B1045" s="1" t="n">
        <v>45624.44055555556</v>
      </c>
      <c r="C1045" s="1" t="n">
        <v>45937</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17841-2025</t>
        </is>
      </c>
      <c r="B1046" s="1" t="n">
        <v>45758</v>
      </c>
      <c r="C1046" s="1" t="n">
        <v>45937</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24657-2024</t>
        </is>
      </c>
      <c r="B1047" s="1" t="n">
        <v>45460</v>
      </c>
      <c r="C1047" s="1" t="n">
        <v>45937</v>
      </c>
      <c r="D1047" t="inlineStr">
        <is>
          <t>VÄRMLANDS LÄN</t>
        </is>
      </c>
      <c r="E1047" t="inlineStr">
        <is>
          <t>TORSBY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42428-2024</t>
        </is>
      </c>
      <c r="B1048" s="1" t="n">
        <v>45565</v>
      </c>
      <c r="C1048" s="1" t="n">
        <v>45937</v>
      </c>
      <c r="D1048" t="inlineStr">
        <is>
          <t>VÄRMLANDS LÄN</t>
        </is>
      </c>
      <c r="E1048" t="inlineStr">
        <is>
          <t>TORSBY</t>
        </is>
      </c>
      <c r="F1048" t="inlineStr">
        <is>
          <t>Bergvik skog väst AB</t>
        </is>
      </c>
      <c r="G1048" t="n">
        <v>20.7</v>
      </c>
      <c r="H1048" t="n">
        <v>0</v>
      </c>
      <c r="I1048" t="n">
        <v>0</v>
      </c>
      <c r="J1048" t="n">
        <v>0</v>
      </c>
      <c r="K1048" t="n">
        <v>0</v>
      </c>
      <c r="L1048" t="n">
        <v>0</v>
      </c>
      <c r="M1048" t="n">
        <v>0</v>
      </c>
      <c r="N1048" t="n">
        <v>0</v>
      </c>
      <c r="O1048" t="n">
        <v>0</v>
      </c>
      <c r="P1048" t="n">
        <v>0</v>
      </c>
      <c r="Q1048" t="n">
        <v>0</v>
      </c>
      <c r="R1048" s="2" t="inlineStr"/>
    </row>
    <row r="1049" ht="15" customHeight="1">
      <c r="A1049" t="inlineStr">
        <is>
          <t>A 38536-2025</t>
        </is>
      </c>
      <c r="B1049" s="1" t="n">
        <v>45884.42</v>
      </c>
      <c r="C1049" s="1" t="n">
        <v>45937</v>
      </c>
      <c r="D1049" t="inlineStr">
        <is>
          <t>VÄRMLANDS LÄN</t>
        </is>
      </c>
      <c r="E1049" t="inlineStr">
        <is>
          <t>TORSBY</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55836-2024</t>
        </is>
      </c>
      <c r="B1050" s="1" t="n">
        <v>45623.49150462963</v>
      </c>
      <c r="C1050" s="1" t="n">
        <v>45937</v>
      </c>
      <c r="D1050" t="inlineStr">
        <is>
          <t>VÄRMLANDS LÄN</t>
        </is>
      </c>
      <c r="E1050" t="inlineStr">
        <is>
          <t>TORSBY</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9203-2024</t>
        </is>
      </c>
      <c r="B1051" s="1" t="n">
        <v>45358</v>
      </c>
      <c r="C1051" s="1" t="n">
        <v>45937</v>
      </c>
      <c r="D1051" t="inlineStr">
        <is>
          <t>VÄRMLANDS LÄN</t>
        </is>
      </c>
      <c r="E1051" t="inlineStr">
        <is>
          <t>TORSBY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28761-2025</t>
        </is>
      </c>
      <c r="B1052" s="1" t="n">
        <v>45820.41648148148</v>
      </c>
      <c r="C1052" s="1" t="n">
        <v>45937</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23996-2024</t>
        </is>
      </c>
      <c r="B1053" s="1" t="n">
        <v>45456</v>
      </c>
      <c r="C1053" s="1" t="n">
        <v>45937</v>
      </c>
      <c r="D1053" t="inlineStr">
        <is>
          <t>VÄRMLANDS LÄN</t>
        </is>
      </c>
      <c r="E1053" t="inlineStr">
        <is>
          <t>TORSBY</t>
        </is>
      </c>
      <c r="F1053" t="inlineStr">
        <is>
          <t>Bergvik skog väst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22426-2024</t>
        </is>
      </c>
      <c r="B1054" s="1" t="n">
        <v>45446</v>
      </c>
      <c r="C1054" s="1" t="n">
        <v>45937</v>
      </c>
      <c r="D1054" t="inlineStr">
        <is>
          <t>VÄRMLANDS LÄN</t>
        </is>
      </c>
      <c r="E1054" t="inlineStr">
        <is>
          <t>TORSBY</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24148-2024</t>
        </is>
      </c>
      <c r="B1055" s="1" t="n">
        <v>45456</v>
      </c>
      <c r="C1055" s="1" t="n">
        <v>45937</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40987-2024</t>
        </is>
      </c>
      <c r="B1056" s="1" t="n">
        <v>45558</v>
      </c>
      <c r="C1056" s="1" t="n">
        <v>45937</v>
      </c>
      <c r="D1056" t="inlineStr">
        <is>
          <t>VÄRMLANDS LÄN</t>
        </is>
      </c>
      <c r="E1056" t="inlineStr">
        <is>
          <t>TORSBY</t>
        </is>
      </c>
      <c r="G1056" t="n">
        <v>11.6</v>
      </c>
      <c r="H1056" t="n">
        <v>0</v>
      </c>
      <c r="I1056" t="n">
        <v>0</v>
      </c>
      <c r="J1056" t="n">
        <v>0</v>
      </c>
      <c r="K1056" t="n">
        <v>0</v>
      </c>
      <c r="L1056" t="n">
        <v>0</v>
      </c>
      <c r="M1056" t="n">
        <v>0</v>
      </c>
      <c r="N1056" t="n">
        <v>0</v>
      </c>
      <c r="O1056" t="n">
        <v>0</v>
      </c>
      <c r="P1056" t="n">
        <v>0</v>
      </c>
      <c r="Q1056" t="n">
        <v>0</v>
      </c>
      <c r="R1056" s="2" t="inlineStr"/>
    </row>
    <row r="1057" ht="15" customHeight="1">
      <c r="A1057" t="inlineStr">
        <is>
          <t>A 42613-2023</t>
        </is>
      </c>
      <c r="B1057" s="1" t="n">
        <v>45181</v>
      </c>
      <c r="C1057" s="1" t="n">
        <v>45937</v>
      </c>
      <c r="D1057" t="inlineStr">
        <is>
          <t>VÄRMLANDS LÄN</t>
        </is>
      </c>
      <c r="E1057" t="inlineStr">
        <is>
          <t>TORSBY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28765-2025</t>
        </is>
      </c>
      <c r="B1058" s="1" t="n">
        <v>45820.41982638889</v>
      </c>
      <c r="C1058" s="1" t="n">
        <v>45937</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28898-2025</t>
        </is>
      </c>
      <c r="B1059" s="1" t="n">
        <v>45820.63644675926</v>
      </c>
      <c r="C1059" s="1" t="n">
        <v>45937</v>
      </c>
      <c r="D1059" t="inlineStr">
        <is>
          <t>VÄRMLANDS LÄN</t>
        </is>
      </c>
      <c r="E1059" t="inlineStr">
        <is>
          <t>TORSBY</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28784-2025</t>
        </is>
      </c>
      <c r="B1060" s="1" t="n">
        <v>45820</v>
      </c>
      <c r="C1060" s="1" t="n">
        <v>45937</v>
      </c>
      <c r="D1060" t="inlineStr">
        <is>
          <t>VÄRMLANDS LÄN</t>
        </is>
      </c>
      <c r="E1060" t="inlineStr">
        <is>
          <t>TORSBY</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28511-2025</t>
        </is>
      </c>
      <c r="B1061" s="1" t="n">
        <v>45819</v>
      </c>
      <c r="C1061" s="1" t="n">
        <v>45937</v>
      </c>
      <c r="D1061" t="inlineStr">
        <is>
          <t>VÄRMLANDS LÄN</t>
        </is>
      </c>
      <c r="E1061" t="inlineStr">
        <is>
          <t>TORSBY</t>
        </is>
      </c>
      <c r="F1061" t="inlineStr">
        <is>
          <t>Bergvik skog väst AB</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46658-2025</t>
        </is>
      </c>
      <c r="B1062" s="1" t="n">
        <v>45926.49914351852</v>
      </c>
      <c r="C1062" s="1" t="n">
        <v>45937</v>
      </c>
      <c r="D1062" t="inlineStr">
        <is>
          <t>VÄRMLANDS LÄN</t>
        </is>
      </c>
      <c r="E1062" t="inlineStr">
        <is>
          <t>TORSBY</t>
        </is>
      </c>
      <c r="F1062" t="inlineStr">
        <is>
          <t>Bergvik skog väst AB</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31830-2024</t>
        </is>
      </c>
      <c r="B1063" s="1" t="n">
        <v>45509</v>
      </c>
      <c r="C1063" s="1" t="n">
        <v>45937</v>
      </c>
      <c r="D1063" t="inlineStr">
        <is>
          <t>VÄRMLANDS LÄN</t>
        </is>
      </c>
      <c r="E1063" t="inlineStr">
        <is>
          <t>TORSBY</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59236-2023</t>
        </is>
      </c>
      <c r="B1064" s="1" t="n">
        <v>45253</v>
      </c>
      <c r="C1064" s="1" t="n">
        <v>45937</v>
      </c>
      <c r="D1064" t="inlineStr">
        <is>
          <t>VÄRMLANDS LÄN</t>
        </is>
      </c>
      <c r="E1064" t="inlineStr">
        <is>
          <t>TORSBY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28791-2025</t>
        </is>
      </c>
      <c r="B1065" s="1" t="n">
        <v>45820</v>
      </c>
      <c r="C1065" s="1" t="n">
        <v>45937</v>
      </c>
      <c r="D1065" t="inlineStr">
        <is>
          <t>VÄRMLANDS LÄN</t>
        </is>
      </c>
      <c r="E1065" t="inlineStr">
        <is>
          <t>TORSBY</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14120-2025</t>
        </is>
      </c>
      <c r="B1066" s="1" t="n">
        <v>45740</v>
      </c>
      <c r="C1066" s="1" t="n">
        <v>45937</v>
      </c>
      <c r="D1066" t="inlineStr">
        <is>
          <t>VÄRMLANDS LÄN</t>
        </is>
      </c>
      <c r="E1066" t="inlineStr">
        <is>
          <t>TORSBY</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15768-2025</t>
        </is>
      </c>
      <c r="B1067" s="1" t="n">
        <v>45748.58782407407</v>
      </c>
      <c r="C1067" s="1" t="n">
        <v>45937</v>
      </c>
      <c r="D1067" t="inlineStr">
        <is>
          <t>VÄRMLANDS LÄN</t>
        </is>
      </c>
      <c r="E1067" t="inlineStr">
        <is>
          <t>TORSBY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28757-2025</t>
        </is>
      </c>
      <c r="B1068" s="1" t="n">
        <v>45820</v>
      </c>
      <c r="C1068" s="1" t="n">
        <v>45937</v>
      </c>
      <c r="D1068" t="inlineStr">
        <is>
          <t>VÄRMLANDS LÄN</t>
        </is>
      </c>
      <c r="E1068" t="inlineStr">
        <is>
          <t>TORSBY</t>
        </is>
      </c>
      <c r="G1068" t="n">
        <v>12.1</v>
      </c>
      <c r="H1068" t="n">
        <v>0</v>
      </c>
      <c r="I1068" t="n">
        <v>0</v>
      </c>
      <c r="J1068" t="n">
        <v>0</v>
      </c>
      <c r="K1068" t="n">
        <v>0</v>
      </c>
      <c r="L1068" t="n">
        <v>0</v>
      </c>
      <c r="M1068" t="n">
        <v>0</v>
      </c>
      <c r="N1068" t="n">
        <v>0</v>
      </c>
      <c r="O1068" t="n">
        <v>0</v>
      </c>
      <c r="P1068" t="n">
        <v>0</v>
      </c>
      <c r="Q1068" t="n">
        <v>0</v>
      </c>
      <c r="R1068" s="2" t="inlineStr"/>
    </row>
    <row r="1069" ht="15" customHeight="1">
      <c r="A1069" t="inlineStr">
        <is>
          <t>A 29312-2025</t>
        </is>
      </c>
      <c r="B1069" s="1" t="n">
        <v>45824</v>
      </c>
      <c r="C1069" s="1" t="n">
        <v>45937</v>
      </c>
      <c r="D1069" t="inlineStr">
        <is>
          <t>VÄRMLANDS LÄN</t>
        </is>
      </c>
      <c r="E1069" t="inlineStr">
        <is>
          <t>TORSBY</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13586-2023</t>
        </is>
      </c>
      <c r="B1070" s="1" t="n">
        <v>45006</v>
      </c>
      <c r="C1070" s="1" t="n">
        <v>45937</v>
      </c>
      <c r="D1070" t="inlineStr">
        <is>
          <t>VÄRMLANDS LÄN</t>
        </is>
      </c>
      <c r="E1070" t="inlineStr">
        <is>
          <t>TORSBY</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54766-2023</t>
        </is>
      </c>
      <c r="B1071" s="1" t="n">
        <v>45236</v>
      </c>
      <c r="C1071" s="1" t="n">
        <v>45937</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29071-2025</t>
        </is>
      </c>
      <c r="B1072" s="1" t="n">
        <v>45821</v>
      </c>
      <c r="C1072" s="1" t="n">
        <v>45937</v>
      </c>
      <c r="D1072" t="inlineStr">
        <is>
          <t>VÄRMLANDS LÄN</t>
        </is>
      </c>
      <c r="E1072" t="inlineStr">
        <is>
          <t>TORSBY</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47495-2025</t>
        </is>
      </c>
      <c r="B1073" s="1" t="n">
        <v>45930.79185185185</v>
      </c>
      <c r="C1073" s="1" t="n">
        <v>45937</v>
      </c>
      <c r="D1073" t="inlineStr">
        <is>
          <t>VÄRMLANDS LÄN</t>
        </is>
      </c>
      <c r="E1073" t="inlineStr">
        <is>
          <t>TORSBY</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29403-2025</t>
        </is>
      </c>
      <c r="B1074" s="1" t="n">
        <v>45824.61469907407</v>
      </c>
      <c r="C1074" s="1" t="n">
        <v>45937</v>
      </c>
      <c r="D1074" t="inlineStr">
        <is>
          <t>VÄRMLANDS LÄN</t>
        </is>
      </c>
      <c r="E1074" t="inlineStr">
        <is>
          <t>TORSBY</t>
        </is>
      </c>
      <c r="F1074" t="inlineStr">
        <is>
          <t>Bergvik skog väst AB</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29251-2025</t>
        </is>
      </c>
      <c r="B1075" s="1" t="n">
        <v>45824</v>
      </c>
      <c r="C1075" s="1" t="n">
        <v>45937</v>
      </c>
      <c r="D1075" t="inlineStr">
        <is>
          <t>VÄRMLANDS LÄN</t>
        </is>
      </c>
      <c r="E1075" t="inlineStr">
        <is>
          <t>TORSBY</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47494-2025</t>
        </is>
      </c>
      <c r="B1076" s="1" t="n">
        <v>45930.78428240741</v>
      </c>
      <c r="C1076" s="1" t="n">
        <v>45937</v>
      </c>
      <c r="D1076" t="inlineStr">
        <is>
          <t>VÄRMLANDS LÄN</t>
        </is>
      </c>
      <c r="E1076" t="inlineStr">
        <is>
          <t>TORSBY</t>
        </is>
      </c>
      <c r="F1076" t="inlineStr">
        <is>
          <t>Bergvik skog väst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39208-2025</t>
        </is>
      </c>
      <c r="B1077" s="1" t="n">
        <v>45888</v>
      </c>
      <c r="C1077" s="1" t="n">
        <v>45937</v>
      </c>
      <c r="D1077" t="inlineStr">
        <is>
          <t>VÄRMLANDS LÄN</t>
        </is>
      </c>
      <c r="E1077" t="inlineStr">
        <is>
          <t>TORSBY</t>
        </is>
      </c>
      <c r="F1077" t="inlineStr">
        <is>
          <t>Bergvik skog väst AB</t>
        </is>
      </c>
      <c r="G1077" t="n">
        <v>39.1</v>
      </c>
      <c r="H1077" t="n">
        <v>0</v>
      </c>
      <c r="I1077" t="n">
        <v>0</v>
      </c>
      <c r="J1077" t="n">
        <v>0</v>
      </c>
      <c r="K1077" t="n">
        <v>0</v>
      </c>
      <c r="L1077" t="n">
        <v>0</v>
      </c>
      <c r="M1077" t="n">
        <v>0</v>
      </c>
      <c r="N1077" t="n">
        <v>0</v>
      </c>
      <c r="O1077" t="n">
        <v>0</v>
      </c>
      <c r="P1077" t="n">
        <v>0</v>
      </c>
      <c r="Q1077" t="n">
        <v>0</v>
      </c>
      <c r="R1077" s="2" t="inlineStr"/>
    </row>
    <row r="1078" ht="15" customHeight="1">
      <c r="A1078" t="inlineStr">
        <is>
          <t>A 29063-2025</t>
        </is>
      </c>
      <c r="B1078" s="1" t="n">
        <v>45821</v>
      </c>
      <c r="C1078" s="1" t="n">
        <v>45937</v>
      </c>
      <c r="D1078" t="inlineStr">
        <is>
          <t>VÄRMLANDS LÄN</t>
        </is>
      </c>
      <c r="E1078" t="inlineStr">
        <is>
          <t>TORSBY</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29307-2025</t>
        </is>
      </c>
      <c r="B1079" s="1" t="n">
        <v>45824</v>
      </c>
      <c r="C1079" s="1" t="n">
        <v>45937</v>
      </c>
      <c r="D1079" t="inlineStr">
        <is>
          <t>VÄRMLANDS LÄN</t>
        </is>
      </c>
      <c r="E1079" t="inlineStr">
        <is>
          <t>TORSBY</t>
        </is>
      </c>
      <c r="F1079" t="inlineStr">
        <is>
          <t>Övriga Aktiebolag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38143-2025</t>
        </is>
      </c>
      <c r="B1080" s="1" t="n">
        <v>45882</v>
      </c>
      <c r="C1080" s="1" t="n">
        <v>45937</v>
      </c>
      <c r="D1080" t="inlineStr">
        <is>
          <t>VÄRMLANDS LÄN</t>
        </is>
      </c>
      <c r="E1080" t="inlineStr">
        <is>
          <t>TORSBY</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38738-2025</t>
        </is>
      </c>
      <c r="B1081" s="1" t="n">
        <v>45887.3715162037</v>
      </c>
      <c r="C1081" s="1" t="n">
        <v>45937</v>
      </c>
      <c r="D1081" t="inlineStr">
        <is>
          <t>VÄRMLANDS LÄN</t>
        </is>
      </c>
      <c r="E1081" t="inlineStr">
        <is>
          <t>TORSBY</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44699-2025</t>
        </is>
      </c>
      <c r="B1082" s="1" t="n">
        <v>45917.60077546296</v>
      </c>
      <c r="C1082" s="1" t="n">
        <v>45937</v>
      </c>
      <c r="D1082" t="inlineStr">
        <is>
          <t>VÄRMLANDS LÄN</t>
        </is>
      </c>
      <c r="E1082" t="inlineStr">
        <is>
          <t>TORSBY</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46921-2025</t>
        </is>
      </c>
      <c r="B1083" s="1" t="n">
        <v>45929.43655092592</v>
      </c>
      <c r="C1083" s="1" t="n">
        <v>45937</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15460-2022</t>
        </is>
      </c>
      <c r="B1084" s="1" t="n">
        <v>44661</v>
      </c>
      <c r="C1084" s="1" t="n">
        <v>45937</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33620-2024</t>
        </is>
      </c>
      <c r="B1085" s="1" t="n">
        <v>45520.41530092592</v>
      </c>
      <c r="C1085" s="1" t="n">
        <v>45937</v>
      </c>
      <c r="D1085" t="inlineStr">
        <is>
          <t>VÄRMLANDS LÄN</t>
        </is>
      </c>
      <c r="E1085" t="inlineStr">
        <is>
          <t>TORSBY</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44150-2023</t>
        </is>
      </c>
      <c r="B1086" s="1" t="n">
        <v>45188.47791666666</v>
      </c>
      <c r="C1086" s="1" t="n">
        <v>45937</v>
      </c>
      <c r="D1086" t="inlineStr">
        <is>
          <t>VÄRMLANDS LÄN</t>
        </is>
      </c>
      <c r="E1086" t="inlineStr">
        <is>
          <t>TORSBY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14023-2025</t>
        </is>
      </c>
      <c r="B1087" s="1" t="n">
        <v>45740</v>
      </c>
      <c r="C1087" s="1" t="n">
        <v>45937</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38771-2025</t>
        </is>
      </c>
      <c r="B1088" s="1" t="n">
        <v>45887</v>
      </c>
      <c r="C1088" s="1" t="n">
        <v>45937</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38808-2025</t>
        </is>
      </c>
      <c r="B1089" s="1" t="n">
        <v>45887.47344907407</v>
      </c>
      <c r="C1089" s="1" t="n">
        <v>45937</v>
      </c>
      <c r="D1089" t="inlineStr">
        <is>
          <t>VÄRMLANDS LÄN</t>
        </is>
      </c>
      <c r="E1089" t="inlineStr">
        <is>
          <t>TORSBY</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29130-2025</t>
        </is>
      </c>
      <c r="B1090" s="1" t="n">
        <v>45821</v>
      </c>
      <c r="C1090" s="1" t="n">
        <v>45937</v>
      </c>
      <c r="D1090" t="inlineStr">
        <is>
          <t>VÄRMLANDS LÄN</t>
        </is>
      </c>
      <c r="E1090" t="inlineStr">
        <is>
          <t>TORSBY</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18101-2022</t>
        </is>
      </c>
      <c r="B1091" s="1" t="n">
        <v>44684</v>
      </c>
      <c r="C1091" s="1" t="n">
        <v>45937</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39059-2025</t>
        </is>
      </c>
      <c r="B1092" s="1" t="n">
        <v>45888</v>
      </c>
      <c r="C1092" s="1" t="n">
        <v>45937</v>
      </c>
      <c r="D1092" t="inlineStr">
        <is>
          <t>VÄRMLANDS LÄN</t>
        </is>
      </c>
      <c r="E1092" t="inlineStr">
        <is>
          <t>TORSBY</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51199-2023</t>
        </is>
      </c>
      <c r="B1093" s="1" t="n">
        <v>45219.42247685185</v>
      </c>
      <c r="C1093" s="1" t="n">
        <v>45937</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44710-2025</t>
        </is>
      </c>
      <c r="B1094" s="1" t="n">
        <v>45917.61743055555</v>
      </c>
      <c r="C1094" s="1" t="n">
        <v>45937</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11195-2025</t>
        </is>
      </c>
      <c r="B1095" s="1" t="n">
        <v>45725.85177083333</v>
      </c>
      <c r="C1095" s="1" t="n">
        <v>45937</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47049-2025</t>
        </is>
      </c>
      <c r="B1096" s="1" t="n">
        <v>45929.6130324074</v>
      </c>
      <c r="C1096" s="1" t="n">
        <v>45937</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39033-2025</t>
        </is>
      </c>
      <c r="B1097" s="1" t="n">
        <v>45888</v>
      </c>
      <c r="C1097" s="1" t="n">
        <v>45937</v>
      </c>
      <c r="D1097" t="inlineStr">
        <is>
          <t>VÄRMLANDS LÄN</t>
        </is>
      </c>
      <c r="E1097" t="inlineStr">
        <is>
          <t>TORSBY</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38979-2025</t>
        </is>
      </c>
      <c r="B1098" s="1" t="n">
        <v>45887.99758101852</v>
      </c>
      <c r="C1098" s="1" t="n">
        <v>45937</v>
      </c>
      <c r="D1098" t="inlineStr">
        <is>
          <t>VÄRMLANDS LÄN</t>
        </is>
      </c>
      <c r="E1098" t="inlineStr">
        <is>
          <t>TORSBY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55811-2021</t>
        </is>
      </c>
      <c r="B1099" s="1" t="n">
        <v>44476</v>
      </c>
      <c r="C1099" s="1" t="n">
        <v>45937</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29587-2025</t>
        </is>
      </c>
      <c r="B1100" s="1" t="n">
        <v>45825.39394675926</v>
      </c>
      <c r="C1100" s="1" t="n">
        <v>45937</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29702-2025</t>
        </is>
      </c>
      <c r="B1101" s="1" t="n">
        <v>45825.55667824074</v>
      </c>
      <c r="C1101" s="1" t="n">
        <v>45937</v>
      </c>
      <c r="D1101" t="inlineStr">
        <is>
          <t>VÄRMLANDS LÄN</t>
        </is>
      </c>
      <c r="E1101" t="inlineStr">
        <is>
          <t>TORSBY</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16498-2022</t>
        </is>
      </c>
      <c r="B1102" s="1" t="n">
        <v>44671</v>
      </c>
      <c r="C1102" s="1" t="n">
        <v>45937</v>
      </c>
      <c r="D1102" t="inlineStr">
        <is>
          <t>VÄRMLANDS LÄN</t>
        </is>
      </c>
      <c r="E1102" t="inlineStr">
        <is>
          <t>TORSBY</t>
        </is>
      </c>
      <c r="F1102" t="inlineStr">
        <is>
          <t>Kommuner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61157-2023</t>
        </is>
      </c>
      <c r="B1103" s="1" t="n">
        <v>45261.98796296296</v>
      </c>
      <c r="C1103" s="1" t="n">
        <v>45937</v>
      </c>
      <c r="D1103" t="inlineStr">
        <is>
          <t>VÄRMLANDS LÄN</t>
        </is>
      </c>
      <c r="E1103" t="inlineStr">
        <is>
          <t>TORSBY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29641-2025</t>
        </is>
      </c>
      <c r="B1104" s="1" t="n">
        <v>45825.46285879629</v>
      </c>
      <c r="C1104" s="1" t="n">
        <v>45937</v>
      </c>
      <c r="D1104" t="inlineStr">
        <is>
          <t>VÄRMLANDS LÄN</t>
        </is>
      </c>
      <c r="E1104" t="inlineStr">
        <is>
          <t>TORSBY</t>
        </is>
      </c>
      <c r="G1104" t="n">
        <v>23.4</v>
      </c>
      <c r="H1104" t="n">
        <v>0</v>
      </c>
      <c r="I1104" t="n">
        <v>0</v>
      </c>
      <c r="J1104" t="n">
        <v>0</v>
      </c>
      <c r="K1104" t="n">
        <v>0</v>
      </c>
      <c r="L1104" t="n">
        <v>0</v>
      </c>
      <c r="M1104" t="n">
        <v>0</v>
      </c>
      <c r="N1104" t="n">
        <v>0</v>
      </c>
      <c r="O1104" t="n">
        <v>0</v>
      </c>
      <c r="P1104" t="n">
        <v>0</v>
      </c>
      <c r="Q1104" t="n">
        <v>0</v>
      </c>
      <c r="R1104" s="2" t="inlineStr"/>
    </row>
    <row r="1105" ht="15" customHeight="1">
      <c r="A1105" t="inlineStr">
        <is>
          <t>A 30078-2025</t>
        </is>
      </c>
      <c r="B1105" s="1" t="n">
        <v>45826.64291666666</v>
      </c>
      <c r="C1105" s="1" t="n">
        <v>45937</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51823-2024</t>
        </is>
      </c>
      <c r="B1106" s="1" t="n">
        <v>45607</v>
      </c>
      <c r="C1106" s="1" t="n">
        <v>45937</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30026-2025</t>
        </is>
      </c>
      <c r="B1107" s="1" t="n">
        <v>45826.5637037037</v>
      </c>
      <c r="C1107" s="1" t="n">
        <v>45937</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38795-2025</t>
        </is>
      </c>
      <c r="B1108" s="1" t="n">
        <v>45887</v>
      </c>
      <c r="C1108" s="1" t="n">
        <v>45937</v>
      </c>
      <c r="D1108" t="inlineStr">
        <is>
          <t>VÄRMLANDS LÄN</t>
        </is>
      </c>
      <c r="E1108" t="inlineStr">
        <is>
          <t>TORSBY</t>
        </is>
      </c>
      <c r="F1108" t="inlineStr">
        <is>
          <t>Bergvik skog väst AB</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46493-2025</t>
        </is>
      </c>
      <c r="B1109" s="1" t="n">
        <v>45925</v>
      </c>
      <c r="C1109" s="1" t="n">
        <v>45937</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29512-2025</t>
        </is>
      </c>
      <c r="B1110" s="1" t="n">
        <v>45825.31002314815</v>
      </c>
      <c r="C1110" s="1" t="n">
        <v>45937</v>
      </c>
      <c r="D1110" t="inlineStr">
        <is>
          <t>VÄRMLANDS LÄN</t>
        </is>
      </c>
      <c r="E1110" t="inlineStr">
        <is>
          <t>TORSBY</t>
        </is>
      </c>
      <c r="F1110" t="inlineStr">
        <is>
          <t>Bergvik skog väst AB</t>
        </is>
      </c>
      <c r="G1110" t="n">
        <v>17.9</v>
      </c>
      <c r="H1110" t="n">
        <v>0</v>
      </c>
      <c r="I1110" t="n">
        <v>0</v>
      </c>
      <c r="J1110" t="n">
        <v>0</v>
      </c>
      <c r="K1110" t="n">
        <v>0</v>
      </c>
      <c r="L1110" t="n">
        <v>0</v>
      </c>
      <c r="M1110" t="n">
        <v>0</v>
      </c>
      <c r="N1110" t="n">
        <v>0</v>
      </c>
      <c r="O1110" t="n">
        <v>0</v>
      </c>
      <c r="P1110" t="n">
        <v>0</v>
      </c>
      <c r="Q1110" t="n">
        <v>0</v>
      </c>
      <c r="R1110" s="2" t="inlineStr"/>
    </row>
    <row r="1111" ht="15" customHeight="1">
      <c r="A1111" t="inlineStr">
        <is>
          <t>A 29650-2025</t>
        </is>
      </c>
      <c r="B1111" s="1" t="n">
        <v>45825.47546296296</v>
      </c>
      <c r="C1111" s="1" t="n">
        <v>45937</v>
      </c>
      <c r="D1111" t="inlineStr">
        <is>
          <t>VÄRMLANDS LÄN</t>
        </is>
      </c>
      <c r="E1111" t="inlineStr">
        <is>
          <t>TORSBY</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30074-2025</t>
        </is>
      </c>
      <c r="B1112" s="1" t="n">
        <v>45826.63672453703</v>
      </c>
      <c r="C1112" s="1" t="n">
        <v>45937</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52532-2023</t>
        </is>
      </c>
      <c r="B1113" s="1" t="n">
        <v>45225.54318287037</v>
      </c>
      <c r="C1113" s="1" t="n">
        <v>45937</v>
      </c>
      <c r="D1113" t="inlineStr">
        <is>
          <t>VÄRMLANDS LÄN</t>
        </is>
      </c>
      <c r="E1113" t="inlineStr">
        <is>
          <t>TORSBY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28035-2024</t>
        </is>
      </c>
      <c r="B1114" s="1" t="n">
        <v>45476</v>
      </c>
      <c r="C1114" s="1" t="n">
        <v>45937</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39039-2025</t>
        </is>
      </c>
      <c r="B1115" s="1" t="n">
        <v>45888.42684027777</v>
      </c>
      <c r="C1115" s="1" t="n">
        <v>45937</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55031-2023</t>
        </is>
      </c>
      <c r="B1116" s="1" t="n">
        <v>45237.34733796296</v>
      </c>
      <c r="C1116" s="1" t="n">
        <v>45937</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39565-2025</t>
        </is>
      </c>
      <c r="B1117" s="1" t="n">
        <v>45890</v>
      </c>
      <c r="C1117" s="1" t="n">
        <v>45937</v>
      </c>
      <c r="D1117" t="inlineStr">
        <is>
          <t>VÄRMLANDS LÄN</t>
        </is>
      </c>
      <c r="E1117" t="inlineStr">
        <is>
          <t>TORSBY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46550-2025</t>
        </is>
      </c>
      <c r="B1118" s="1" t="n">
        <v>45926</v>
      </c>
      <c r="C1118" s="1" t="n">
        <v>45937</v>
      </c>
      <c r="D1118" t="inlineStr">
        <is>
          <t>VÄRMLANDS LÄN</t>
        </is>
      </c>
      <c r="E1118" t="inlineStr">
        <is>
          <t>TORSBY</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29921-2022</t>
        </is>
      </c>
      <c r="B1119" s="1" t="n">
        <v>44756</v>
      </c>
      <c r="C1119" s="1" t="n">
        <v>45937</v>
      </c>
      <c r="D1119" t="inlineStr">
        <is>
          <t>VÄRMLANDS LÄN</t>
        </is>
      </c>
      <c r="E1119" t="inlineStr">
        <is>
          <t>TORSBY</t>
        </is>
      </c>
      <c r="F1119" t="inlineStr">
        <is>
          <t>Kommuner</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39454-2025</t>
        </is>
      </c>
      <c r="B1120" s="1" t="n">
        <v>45889.7462962963</v>
      </c>
      <c r="C1120" s="1" t="n">
        <v>45937</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46503-2025</t>
        </is>
      </c>
      <c r="B1121" s="1" t="n">
        <v>45925</v>
      </c>
      <c r="C1121" s="1" t="n">
        <v>45937</v>
      </c>
      <c r="D1121" t="inlineStr">
        <is>
          <t>VÄRMLANDS LÄN</t>
        </is>
      </c>
      <c r="E1121" t="inlineStr">
        <is>
          <t>TORSBY</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47927-2025</t>
        </is>
      </c>
      <c r="B1122" s="1" t="n">
        <v>45932.54604166667</v>
      </c>
      <c r="C1122" s="1" t="n">
        <v>45937</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46152-2024</t>
        </is>
      </c>
      <c r="B1123" s="1" t="n">
        <v>45581</v>
      </c>
      <c r="C1123" s="1" t="n">
        <v>45937</v>
      </c>
      <c r="D1123" t="inlineStr">
        <is>
          <t>VÄRMLANDS LÄN</t>
        </is>
      </c>
      <c r="E1123" t="inlineStr">
        <is>
          <t>TORSBY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39451-2025</t>
        </is>
      </c>
      <c r="B1124" s="1" t="n">
        <v>45889.72677083333</v>
      </c>
      <c r="C1124" s="1" t="n">
        <v>45937</v>
      </c>
      <c r="D1124" t="inlineStr">
        <is>
          <t>VÄRMLANDS LÄN</t>
        </is>
      </c>
      <c r="E1124" t="inlineStr">
        <is>
          <t>TORSBY</t>
        </is>
      </c>
      <c r="F1124" t="inlineStr">
        <is>
          <t>Bergvik skog väst AB</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11364-2023</t>
        </is>
      </c>
      <c r="B1125" s="1" t="n">
        <v>44993.43150462963</v>
      </c>
      <c r="C1125" s="1" t="n">
        <v>45937</v>
      </c>
      <c r="D1125" t="inlineStr">
        <is>
          <t>VÄRMLANDS LÄN</t>
        </is>
      </c>
      <c r="E1125" t="inlineStr">
        <is>
          <t>TORSBY</t>
        </is>
      </c>
      <c r="G1125" t="n">
        <v>31.9</v>
      </c>
      <c r="H1125" t="n">
        <v>0</v>
      </c>
      <c r="I1125" t="n">
        <v>0</v>
      </c>
      <c r="J1125" t="n">
        <v>0</v>
      </c>
      <c r="K1125" t="n">
        <v>0</v>
      </c>
      <c r="L1125" t="n">
        <v>0</v>
      </c>
      <c r="M1125" t="n">
        <v>0</v>
      </c>
      <c r="N1125" t="n">
        <v>0</v>
      </c>
      <c r="O1125" t="n">
        <v>0</v>
      </c>
      <c r="P1125" t="n">
        <v>0</v>
      </c>
      <c r="Q1125" t="n">
        <v>0</v>
      </c>
      <c r="R1125" s="2" t="inlineStr"/>
    </row>
    <row r="1126" ht="15" customHeight="1">
      <c r="A1126" t="inlineStr">
        <is>
          <t>A 61073-2024</t>
        </is>
      </c>
      <c r="B1126" s="1" t="n">
        <v>45645.50665509259</v>
      </c>
      <c r="C1126" s="1" t="n">
        <v>45937</v>
      </c>
      <c r="D1126" t="inlineStr">
        <is>
          <t>VÄRMLANDS LÄN</t>
        </is>
      </c>
      <c r="E1126" t="inlineStr">
        <is>
          <t>TORSBY</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47736-2025</t>
        </is>
      </c>
      <c r="B1127" s="1" t="n">
        <v>45931.63822916667</v>
      </c>
      <c r="C1127" s="1" t="n">
        <v>45937</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47366-2025</t>
        </is>
      </c>
      <c r="B1128" s="1" t="n">
        <v>45930</v>
      </c>
      <c r="C1128" s="1" t="n">
        <v>45937</v>
      </c>
      <c r="D1128" t="inlineStr">
        <is>
          <t>VÄRMLANDS LÄN</t>
        </is>
      </c>
      <c r="E1128" t="inlineStr">
        <is>
          <t>TORSBY</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47545-2025</t>
        </is>
      </c>
      <c r="B1129" s="1" t="n">
        <v>45931</v>
      </c>
      <c r="C1129" s="1" t="n">
        <v>45937</v>
      </c>
      <c r="D1129" t="inlineStr">
        <is>
          <t>VÄRMLANDS LÄN</t>
        </is>
      </c>
      <c r="E1129" t="inlineStr">
        <is>
          <t>TORSBY</t>
        </is>
      </c>
      <c r="F1129" t="inlineStr">
        <is>
          <t>Bergvik skog väst AB</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18096-2025</t>
        </is>
      </c>
      <c r="B1130" s="1" t="n">
        <v>45761</v>
      </c>
      <c r="C1130" s="1" t="n">
        <v>45937</v>
      </c>
      <c r="D1130" t="inlineStr">
        <is>
          <t>VÄRMLANDS LÄN</t>
        </is>
      </c>
      <c r="E1130" t="inlineStr">
        <is>
          <t>TORSBY</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47621-2025</t>
        </is>
      </c>
      <c r="B1131" s="1" t="n">
        <v>45931.48322916667</v>
      </c>
      <c r="C1131" s="1" t="n">
        <v>45937</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29525-2025</t>
        </is>
      </c>
      <c r="B1132" s="1" t="n">
        <v>45825.33684027778</v>
      </c>
      <c r="C1132" s="1" t="n">
        <v>45937</v>
      </c>
      <c r="D1132" t="inlineStr">
        <is>
          <t>VÄRMLANDS LÄN</t>
        </is>
      </c>
      <c r="E1132" t="inlineStr">
        <is>
          <t>TORSBY</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47047-2025</t>
        </is>
      </c>
      <c r="B1133" s="1" t="n">
        <v>45929</v>
      </c>
      <c r="C1133" s="1" t="n">
        <v>45937</v>
      </c>
      <c r="D1133" t="inlineStr">
        <is>
          <t>VÄRMLANDS LÄN</t>
        </is>
      </c>
      <c r="E1133" t="inlineStr">
        <is>
          <t>TORSBY</t>
        </is>
      </c>
      <c r="F1133" t="inlineStr">
        <is>
          <t>Kyrkan</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18115-2025</t>
        </is>
      </c>
      <c r="B1134" s="1" t="n">
        <v>45761</v>
      </c>
      <c r="C1134" s="1" t="n">
        <v>45937</v>
      </c>
      <c r="D1134" t="inlineStr">
        <is>
          <t>VÄRMLANDS LÄN</t>
        </is>
      </c>
      <c r="E1134" t="inlineStr">
        <is>
          <t>TORSBY</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30214-2025</t>
        </is>
      </c>
      <c r="B1135" s="1" t="n">
        <v>45827</v>
      </c>
      <c r="C1135" s="1" t="n">
        <v>45937</v>
      </c>
      <c r="D1135" t="inlineStr">
        <is>
          <t>VÄRMLANDS LÄN</t>
        </is>
      </c>
      <c r="E1135" t="inlineStr">
        <is>
          <t>TORSBY</t>
        </is>
      </c>
      <c r="F1135" t="inlineStr">
        <is>
          <t>Bergvik skog väst AB</t>
        </is>
      </c>
      <c r="G1135" t="n">
        <v>13.9</v>
      </c>
      <c r="H1135" t="n">
        <v>0</v>
      </c>
      <c r="I1135" t="n">
        <v>0</v>
      </c>
      <c r="J1135" t="n">
        <v>0</v>
      </c>
      <c r="K1135" t="n">
        <v>0</v>
      </c>
      <c r="L1135" t="n">
        <v>0</v>
      </c>
      <c r="M1135" t="n">
        <v>0</v>
      </c>
      <c r="N1135" t="n">
        <v>0</v>
      </c>
      <c r="O1135" t="n">
        <v>0</v>
      </c>
      <c r="P1135" t="n">
        <v>0</v>
      </c>
      <c r="Q1135" t="n">
        <v>0</v>
      </c>
      <c r="R1135" s="2" t="inlineStr"/>
    </row>
    <row r="1136" ht="15" customHeight="1">
      <c r="A1136" t="inlineStr">
        <is>
          <t>A 56970-2023</t>
        </is>
      </c>
      <c r="B1136" s="1" t="n">
        <v>45244.63689814815</v>
      </c>
      <c r="C1136" s="1" t="n">
        <v>45937</v>
      </c>
      <c r="D1136" t="inlineStr">
        <is>
          <t>VÄRMLANDS LÄN</t>
        </is>
      </c>
      <c r="E1136" t="inlineStr">
        <is>
          <t>TORSBY</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47624-2025</t>
        </is>
      </c>
      <c r="B1137" s="1" t="n">
        <v>45931.48381944445</v>
      </c>
      <c r="C1137" s="1" t="n">
        <v>45937</v>
      </c>
      <c r="D1137" t="inlineStr">
        <is>
          <t>VÄRMLANDS LÄN</t>
        </is>
      </c>
      <c r="E1137" t="inlineStr">
        <is>
          <t>TORSBY</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39258-2025</t>
        </is>
      </c>
      <c r="B1138" s="1" t="n">
        <v>45889</v>
      </c>
      <c r="C1138" s="1" t="n">
        <v>45937</v>
      </c>
      <c r="D1138" t="inlineStr">
        <is>
          <t>VÄRMLANDS LÄN</t>
        </is>
      </c>
      <c r="E1138" t="inlineStr">
        <is>
          <t>TORSBY</t>
        </is>
      </c>
      <c r="F1138" t="inlineStr">
        <is>
          <t>Bergvik skog väst AB</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52801-2024</t>
        </is>
      </c>
      <c r="B1139" s="1" t="n">
        <v>45610.56784722222</v>
      </c>
      <c r="C1139" s="1" t="n">
        <v>45937</v>
      </c>
      <c r="D1139" t="inlineStr">
        <is>
          <t>VÄRMLANDS LÄN</t>
        </is>
      </c>
      <c r="E1139" t="inlineStr">
        <is>
          <t>TORSBY</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4479-2021</t>
        </is>
      </c>
      <c r="B1140" s="1" t="n">
        <v>44224</v>
      </c>
      <c r="C1140" s="1" t="n">
        <v>45937</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4522-2021</t>
        </is>
      </c>
      <c r="B1141" s="1" t="n">
        <v>44224</v>
      </c>
      <c r="C1141" s="1" t="n">
        <v>45937</v>
      </c>
      <c r="D1141" t="inlineStr">
        <is>
          <t>VÄRMLANDS LÄN</t>
        </is>
      </c>
      <c r="E1141" t="inlineStr">
        <is>
          <t>TORSBY</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7283-2023</t>
        </is>
      </c>
      <c r="B1142" s="1" t="n">
        <v>44970</v>
      </c>
      <c r="C1142" s="1" t="n">
        <v>45937</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39321-2025</t>
        </is>
      </c>
      <c r="B1143" s="1" t="n">
        <v>45889</v>
      </c>
      <c r="C1143" s="1" t="n">
        <v>45937</v>
      </c>
      <c r="D1143" t="inlineStr">
        <is>
          <t>VÄRMLANDS LÄN</t>
        </is>
      </c>
      <c r="E1143" t="inlineStr">
        <is>
          <t>TORSBY</t>
        </is>
      </c>
      <c r="F1143" t="inlineStr">
        <is>
          <t>Bergvik skog väst AB</t>
        </is>
      </c>
      <c r="G1143" t="n">
        <v>47.1</v>
      </c>
      <c r="H1143" t="n">
        <v>0</v>
      </c>
      <c r="I1143" t="n">
        <v>0</v>
      </c>
      <c r="J1143" t="n">
        <v>0</v>
      </c>
      <c r="K1143" t="n">
        <v>0</v>
      </c>
      <c r="L1143" t="n">
        <v>0</v>
      </c>
      <c r="M1143" t="n">
        <v>0</v>
      </c>
      <c r="N1143" t="n">
        <v>0</v>
      </c>
      <c r="O1143" t="n">
        <v>0</v>
      </c>
      <c r="P1143" t="n">
        <v>0</v>
      </c>
      <c r="Q1143" t="n">
        <v>0</v>
      </c>
      <c r="R1143" s="2" t="inlineStr"/>
    </row>
    <row r="1144" ht="15" customHeight="1">
      <c r="A1144" t="inlineStr">
        <is>
          <t>A 25537-2022</t>
        </is>
      </c>
      <c r="B1144" s="1" t="n">
        <v>44732</v>
      </c>
      <c r="C1144" s="1" t="n">
        <v>45937</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39473-2025</t>
        </is>
      </c>
      <c r="B1145" s="1" t="n">
        <v>45890</v>
      </c>
      <c r="C1145" s="1" t="n">
        <v>45937</v>
      </c>
      <c r="D1145" t="inlineStr">
        <is>
          <t>VÄRMLANDS LÄN</t>
        </is>
      </c>
      <c r="E1145" t="inlineStr">
        <is>
          <t>TORSBY</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39652-2025</t>
        </is>
      </c>
      <c r="B1146" s="1" t="n">
        <v>45890.61689814815</v>
      </c>
      <c r="C1146" s="1" t="n">
        <v>45937</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46865-2025</t>
        </is>
      </c>
      <c r="B1147" s="1" t="n">
        <v>45929</v>
      </c>
      <c r="C1147" s="1" t="n">
        <v>45937</v>
      </c>
      <c r="D1147" t="inlineStr">
        <is>
          <t>VÄRMLANDS LÄN</t>
        </is>
      </c>
      <c r="E1147" t="inlineStr">
        <is>
          <t>TORSBY</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20725-2024</t>
        </is>
      </c>
      <c r="B1148" s="1" t="n">
        <v>45436.65284722222</v>
      </c>
      <c r="C1148" s="1" t="n">
        <v>45937</v>
      </c>
      <c r="D1148" t="inlineStr">
        <is>
          <t>VÄRMLANDS LÄN</t>
        </is>
      </c>
      <c r="E1148" t="inlineStr">
        <is>
          <t>TORSBY</t>
        </is>
      </c>
      <c r="F1148" t="inlineStr">
        <is>
          <t>Bergvik skog väst AB</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11259-2024</t>
        </is>
      </c>
      <c r="B1149" s="1" t="n">
        <v>45371</v>
      </c>
      <c r="C1149" s="1" t="n">
        <v>45937</v>
      </c>
      <c r="D1149" t="inlineStr">
        <is>
          <t>VÄRMLANDS LÄN</t>
        </is>
      </c>
      <c r="E1149" t="inlineStr">
        <is>
          <t>TORSBY</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30433-2025</t>
        </is>
      </c>
      <c r="B1150" s="1" t="n">
        <v>45827</v>
      </c>
      <c r="C1150" s="1" t="n">
        <v>45937</v>
      </c>
      <c r="D1150" t="inlineStr">
        <is>
          <t>VÄRMLANDS LÄN</t>
        </is>
      </c>
      <c r="E1150" t="inlineStr">
        <is>
          <t>TORSBY</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30199-2025</t>
        </is>
      </c>
      <c r="B1151" s="1" t="n">
        <v>45827</v>
      </c>
      <c r="C1151" s="1" t="n">
        <v>45937</v>
      </c>
      <c r="D1151" t="inlineStr">
        <is>
          <t>VÄRMLANDS LÄN</t>
        </is>
      </c>
      <c r="E1151" t="inlineStr">
        <is>
          <t>TORSBY</t>
        </is>
      </c>
      <c r="F1151" t="inlineStr">
        <is>
          <t>Bergvik skog väst AB</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1161-2025</t>
        </is>
      </c>
      <c r="B1152" s="1" t="n">
        <v>45666</v>
      </c>
      <c r="C1152" s="1" t="n">
        <v>45937</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39815-2025</t>
        </is>
      </c>
      <c r="B1153" s="1" t="n">
        <v>45891.52760416667</v>
      </c>
      <c r="C1153" s="1" t="n">
        <v>45937</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1042-2024</t>
        </is>
      </c>
      <c r="B1154" s="1" t="n">
        <v>45301</v>
      </c>
      <c r="C1154" s="1" t="n">
        <v>45937</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44292-2025</t>
        </is>
      </c>
      <c r="B1155" s="1" t="n">
        <v>45915</v>
      </c>
      <c r="C1155" s="1" t="n">
        <v>45937</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46695-2025</t>
        </is>
      </c>
      <c r="B1156" s="1" t="n">
        <v>45926</v>
      </c>
      <c r="C1156" s="1" t="n">
        <v>45937</v>
      </c>
      <c r="D1156" t="inlineStr">
        <is>
          <t>VÄRMLANDS LÄN</t>
        </is>
      </c>
      <c r="E1156" t="inlineStr">
        <is>
          <t>TORSBY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36239-2023</t>
        </is>
      </c>
      <c r="B1157" s="1" t="n">
        <v>45150</v>
      </c>
      <c r="C1157" s="1" t="n">
        <v>45937</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46110-2025</t>
        </is>
      </c>
      <c r="B1158" s="1" t="n">
        <v>45924</v>
      </c>
      <c r="C1158" s="1" t="n">
        <v>45937</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30380-2025</t>
        </is>
      </c>
      <c r="B1159" s="1" t="n">
        <v>45827</v>
      </c>
      <c r="C1159" s="1" t="n">
        <v>45937</v>
      </c>
      <c r="D1159" t="inlineStr">
        <is>
          <t>VÄRMLANDS LÄN</t>
        </is>
      </c>
      <c r="E1159" t="inlineStr">
        <is>
          <t>TORSBY</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38252-2023</t>
        </is>
      </c>
      <c r="B1160" s="1" t="n">
        <v>45161</v>
      </c>
      <c r="C1160" s="1" t="n">
        <v>45937</v>
      </c>
      <c r="D1160" t="inlineStr">
        <is>
          <t>VÄRMLANDS LÄN</t>
        </is>
      </c>
      <c r="E1160" t="inlineStr">
        <is>
          <t>TORSBY</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30151-2025</t>
        </is>
      </c>
      <c r="B1161" s="1" t="n">
        <v>45827</v>
      </c>
      <c r="C1161" s="1" t="n">
        <v>45937</v>
      </c>
      <c r="D1161" t="inlineStr">
        <is>
          <t>VÄRMLANDS LÄN</t>
        </is>
      </c>
      <c r="E1161" t="inlineStr">
        <is>
          <t>TORSBY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41781-2022</t>
        </is>
      </c>
      <c r="B1162" s="1" t="n">
        <v>44827.70537037037</v>
      </c>
      <c r="C1162" s="1" t="n">
        <v>45937</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46915-2024</t>
        </is>
      </c>
      <c r="B1163" s="1" t="n">
        <v>45583</v>
      </c>
      <c r="C1163" s="1" t="n">
        <v>45937</v>
      </c>
      <c r="D1163" t="inlineStr">
        <is>
          <t>VÄRMLANDS LÄN</t>
        </is>
      </c>
      <c r="E1163" t="inlineStr">
        <is>
          <t>TORSBY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30153-2025</t>
        </is>
      </c>
      <c r="B1164" s="1" t="n">
        <v>45827.31736111111</v>
      </c>
      <c r="C1164" s="1" t="n">
        <v>45937</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30333-2025</t>
        </is>
      </c>
      <c r="B1165" s="1" t="n">
        <v>45827</v>
      </c>
      <c r="C1165" s="1" t="n">
        <v>45937</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30377-2025</t>
        </is>
      </c>
      <c r="B1166" s="1" t="n">
        <v>45827</v>
      </c>
      <c r="C1166" s="1" t="n">
        <v>45937</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30388-2025</t>
        </is>
      </c>
      <c r="B1167" s="1" t="n">
        <v>45827.5734837963</v>
      </c>
      <c r="C1167" s="1" t="n">
        <v>45937</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40195-2025</t>
        </is>
      </c>
      <c r="B1168" s="1" t="n">
        <v>45894.65922453703</v>
      </c>
      <c r="C1168" s="1" t="n">
        <v>45937</v>
      </c>
      <c r="D1168" t="inlineStr">
        <is>
          <t>VÄRMLANDS LÄN</t>
        </is>
      </c>
      <c r="E1168" t="inlineStr">
        <is>
          <t>TORSBY</t>
        </is>
      </c>
      <c r="F1168" t="inlineStr">
        <is>
          <t>Bergvik skog väst AB</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30974-2025</t>
        </is>
      </c>
      <c r="B1169" s="1" t="n">
        <v>45832.46305555556</v>
      </c>
      <c r="C1169" s="1" t="n">
        <v>45937</v>
      </c>
      <c r="D1169" t="inlineStr">
        <is>
          <t>VÄRMLANDS LÄN</t>
        </is>
      </c>
      <c r="E1169" t="inlineStr">
        <is>
          <t>TORSBY</t>
        </is>
      </c>
      <c r="G1169" t="n">
        <v>29.2</v>
      </c>
      <c r="H1169" t="n">
        <v>0</v>
      </c>
      <c r="I1169" t="n">
        <v>0</v>
      </c>
      <c r="J1169" t="n">
        <v>0</v>
      </c>
      <c r="K1169" t="n">
        <v>0</v>
      </c>
      <c r="L1169" t="n">
        <v>0</v>
      </c>
      <c r="M1169" t="n">
        <v>0</v>
      </c>
      <c r="N1169" t="n">
        <v>0</v>
      </c>
      <c r="O1169" t="n">
        <v>0</v>
      </c>
      <c r="P1169" t="n">
        <v>0</v>
      </c>
      <c r="Q1169" t="n">
        <v>0</v>
      </c>
      <c r="R1169" s="2" t="inlineStr"/>
    </row>
    <row r="1170" ht="15" customHeight="1">
      <c r="A1170" t="inlineStr">
        <is>
          <t>A 46702-2025</t>
        </is>
      </c>
      <c r="B1170" s="1" t="n">
        <v>45926</v>
      </c>
      <c r="C1170" s="1" t="n">
        <v>45937</v>
      </c>
      <c r="D1170" t="inlineStr">
        <is>
          <t>VÄRMLANDS LÄN</t>
        </is>
      </c>
      <c r="E1170" t="inlineStr">
        <is>
          <t>TORSBY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30738-2025</t>
        </is>
      </c>
      <c r="B1171" s="1" t="n">
        <v>45831.57583333334</v>
      </c>
      <c r="C1171" s="1" t="n">
        <v>45937</v>
      </c>
      <c r="D1171" t="inlineStr">
        <is>
          <t>VÄRMLANDS LÄN</t>
        </is>
      </c>
      <c r="E1171" t="inlineStr">
        <is>
          <t>TORSBY</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30735-2025</t>
        </is>
      </c>
      <c r="B1172" s="1" t="n">
        <v>45831.57479166667</v>
      </c>
      <c r="C1172" s="1" t="n">
        <v>45937</v>
      </c>
      <c r="D1172" t="inlineStr">
        <is>
          <t>VÄRMLANDS LÄN</t>
        </is>
      </c>
      <c r="E1172" t="inlineStr">
        <is>
          <t>TORSBY</t>
        </is>
      </c>
      <c r="F1172" t="inlineStr">
        <is>
          <t>Bergvik skog väst AB</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40051-2025</t>
        </is>
      </c>
      <c r="B1173" s="1" t="n">
        <v>45894.40730324074</v>
      </c>
      <c r="C1173" s="1" t="n">
        <v>45937</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31101-2025</t>
        </is>
      </c>
      <c r="B1174" s="1" t="n">
        <v>45832</v>
      </c>
      <c r="C1174" s="1" t="n">
        <v>45937</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15465-2024</t>
        </is>
      </c>
      <c r="B1175" s="1" t="n">
        <v>45401.47399305556</v>
      </c>
      <c r="C1175" s="1" t="n">
        <v>45937</v>
      </c>
      <c r="D1175" t="inlineStr">
        <is>
          <t>VÄRMLANDS LÄN</t>
        </is>
      </c>
      <c r="E1175" t="inlineStr">
        <is>
          <t>TORSBY</t>
        </is>
      </c>
      <c r="F1175" t="inlineStr">
        <is>
          <t>Bergvik skog väst AB</t>
        </is>
      </c>
      <c r="G1175" t="n">
        <v>24.6</v>
      </c>
      <c r="H1175" t="n">
        <v>0</v>
      </c>
      <c r="I1175" t="n">
        <v>0</v>
      </c>
      <c r="J1175" t="n">
        <v>0</v>
      </c>
      <c r="K1175" t="n">
        <v>0</v>
      </c>
      <c r="L1175" t="n">
        <v>0</v>
      </c>
      <c r="M1175" t="n">
        <v>0</v>
      </c>
      <c r="N1175" t="n">
        <v>0</v>
      </c>
      <c r="O1175" t="n">
        <v>0</v>
      </c>
      <c r="P1175" t="n">
        <v>0</v>
      </c>
      <c r="Q1175" t="n">
        <v>0</v>
      </c>
      <c r="R1175" s="2" t="inlineStr"/>
    </row>
    <row r="1176" ht="15" customHeight="1">
      <c r="A1176" t="inlineStr">
        <is>
          <t>A 8022-2025</t>
        </is>
      </c>
      <c r="B1176" s="1" t="n">
        <v>45707.57733796296</v>
      </c>
      <c r="C1176" s="1" t="n">
        <v>45937</v>
      </c>
      <c r="D1176" t="inlineStr">
        <is>
          <t>VÄRMLANDS LÄN</t>
        </is>
      </c>
      <c r="E1176" t="inlineStr">
        <is>
          <t>TORSBY</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39767-2024</t>
        </is>
      </c>
      <c r="B1177" s="1" t="n">
        <v>45552</v>
      </c>
      <c r="C1177" s="1" t="n">
        <v>45937</v>
      </c>
      <c r="D1177" t="inlineStr">
        <is>
          <t>VÄRMLANDS LÄN</t>
        </is>
      </c>
      <c r="E1177" t="inlineStr">
        <is>
          <t>TORSBY</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30560-2025</t>
        </is>
      </c>
      <c r="B1178" s="1" t="n">
        <v>45831.39497685185</v>
      </c>
      <c r="C1178" s="1" t="n">
        <v>45937</v>
      </c>
      <c r="D1178" t="inlineStr">
        <is>
          <t>VÄRMLANDS LÄN</t>
        </is>
      </c>
      <c r="E1178" t="inlineStr">
        <is>
          <t>TORSBY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23804-2022</t>
        </is>
      </c>
      <c r="B1179" s="1" t="n">
        <v>44722</v>
      </c>
      <c r="C1179" s="1" t="n">
        <v>45937</v>
      </c>
      <c r="D1179" t="inlineStr">
        <is>
          <t>VÄRMLANDS LÄN</t>
        </is>
      </c>
      <c r="E1179" t="inlineStr">
        <is>
          <t>TORSBY</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35724-2022</t>
        </is>
      </c>
      <c r="B1180" s="1" t="n">
        <v>44799</v>
      </c>
      <c r="C1180" s="1" t="n">
        <v>45937</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24827-2025</t>
        </is>
      </c>
      <c r="B1181" s="1" t="n">
        <v>45799</v>
      </c>
      <c r="C1181" s="1" t="n">
        <v>45937</v>
      </c>
      <c r="D1181" t="inlineStr">
        <is>
          <t>VÄRMLANDS LÄN</t>
        </is>
      </c>
      <c r="E1181" t="inlineStr">
        <is>
          <t>TORSBY</t>
        </is>
      </c>
      <c r="G1181" t="n">
        <v>27.5</v>
      </c>
      <c r="H1181" t="n">
        <v>0</v>
      </c>
      <c r="I1181" t="n">
        <v>0</v>
      </c>
      <c r="J1181" t="n">
        <v>0</v>
      </c>
      <c r="K1181" t="n">
        <v>0</v>
      </c>
      <c r="L1181" t="n">
        <v>0</v>
      </c>
      <c r="M1181" t="n">
        <v>0</v>
      </c>
      <c r="N1181" t="n">
        <v>0</v>
      </c>
      <c r="O1181" t="n">
        <v>0</v>
      </c>
      <c r="P1181" t="n">
        <v>0</v>
      </c>
      <c r="Q1181" t="n">
        <v>0</v>
      </c>
      <c r="R1181" s="2" t="inlineStr"/>
    </row>
    <row r="1182" ht="15" customHeight="1">
      <c r="A1182" t="inlineStr">
        <is>
          <t>A 43787-2025</t>
        </is>
      </c>
      <c r="B1182" s="1" t="n">
        <v>45912</v>
      </c>
      <c r="C1182" s="1" t="n">
        <v>45937</v>
      </c>
      <c r="D1182" t="inlineStr">
        <is>
          <t>VÄRMLANDS LÄN</t>
        </is>
      </c>
      <c r="E1182" t="inlineStr">
        <is>
          <t>TORSBY</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48202-2025</t>
        </is>
      </c>
      <c r="B1183" s="1" t="n">
        <v>45933.48121527778</v>
      </c>
      <c r="C1183" s="1" t="n">
        <v>45937</v>
      </c>
      <c r="D1183" t="inlineStr">
        <is>
          <t>VÄRMLANDS LÄN</t>
        </is>
      </c>
      <c r="E1183" t="inlineStr">
        <is>
          <t>TORSBY</t>
        </is>
      </c>
      <c r="G1183" t="n">
        <v>9.4</v>
      </c>
      <c r="H1183" t="n">
        <v>0</v>
      </c>
      <c r="I1183" t="n">
        <v>0</v>
      </c>
      <c r="J1183" t="n">
        <v>0</v>
      </c>
      <c r="K1183" t="n">
        <v>0</v>
      </c>
      <c r="L1183" t="n">
        <v>0</v>
      </c>
      <c r="M1183" t="n">
        <v>0</v>
      </c>
      <c r="N1183" t="n">
        <v>0</v>
      </c>
      <c r="O1183" t="n">
        <v>0</v>
      </c>
      <c r="P1183" t="n">
        <v>0</v>
      </c>
      <c r="Q1183" t="n">
        <v>0</v>
      </c>
      <c r="R1183" s="2" t="inlineStr"/>
    </row>
    <row r="1184" ht="15" customHeight="1">
      <c r="A1184" t="inlineStr">
        <is>
          <t>A 54006-2024</t>
        </is>
      </c>
      <c r="B1184" s="1" t="n">
        <v>45616.3717824074</v>
      </c>
      <c r="C1184" s="1" t="n">
        <v>45937</v>
      </c>
      <c r="D1184" t="inlineStr">
        <is>
          <t>VÄRMLANDS LÄN</t>
        </is>
      </c>
      <c r="E1184" t="inlineStr">
        <is>
          <t>TORSBY</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48020-2025</t>
        </is>
      </c>
      <c r="B1185" s="1" t="n">
        <v>45932</v>
      </c>
      <c r="C1185" s="1" t="n">
        <v>45937</v>
      </c>
      <c r="D1185" t="inlineStr">
        <is>
          <t>VÄRMLANDS LÄN</t>
        </is>
      </c>
      <c r="E1185" t="inlineStr">
        <is>
          <t>TORSBY</t>
        </is>
      </c>
      <c r="F1185" t="inlineStr">
        <is>
          <t>Bergvik skog väst AB</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44220-2025</t>
        </is>
      </c>
      <c r="B1186" s="1" t="n">
        <v>45915</v>
      </c>
      <c r="C1186" s="1" t="n">
        <v>45937</v>
      </c>
      <c r="D1186" t="inlineStr">
        <is>
          <t>VÄRMLANDS LÄN</t>
        </is>
      </c>
      <c r="E1186" t="inlineStr">
        <is>
          <t>TORSBY</t>
        </is>
      </c>
      <c r="F1186" t="inlineStr">
        <is>
          <t>Kommuner</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21078-2023</t>
        </is>
      </c>
      <c r="B1187" s="1" t="n">
        <v>45061</v>
      </c>
      <c r="C1187" s="1" t="n">
        <v>45937</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46102-2025</t>
        </is>
      </c>
      <c r="B1188" s="1" t="n">
        <v>45924</v>
      </c>
      <c r="C1188" s="1" t="n">
        <v>45937</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60383-2024</t>
        </is>
      </c>
      <c r="B1189" s="1" t="n">
        <v>45643.47674768518</v>
      </c>
      <c r="C1189" s="1" t="n">
        <v>45937</v>
      </c>
      <c r="D1189" t="inlineStr">
        <is>
          <t>VÄRMLANDS LÄN</t>
        </is>
      </c>
      <c r="E1189" t="inlineStr">
        <is>
          <t>TORSBY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60386-2024</t>
        </is>
      </c>
      <c r="B1190" s="1" t="n">
        <v>45643</v>
      </c>
      <c r="C1190" s="1" t="n">
        <v>45937</v>
      </c>
      <c r="D1190" t="inlineStr">
        <is>
          <t>VÄRMLANDS LÄN</t>
        </is>
      </c>
      <c r="E1190" t="inlineStr">
        <is>
          <t>TORSBY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39919-2025</t>
        </is>
      </c>
      <c r="B1191" s="1" t="n">
        <v>45891.66664351852</v>
      </c>
      <c r="C1191" s="1" t="n">
        <v>45937</v>
      </c>
      <c r="D1191" t="inlineStr">
        <is>
          <t>VÄRMLANDS LÄN</t>
        </is>
      </c>
      <c r="E1191" t="inlineStr">
        <is>
          <t>TORSBY</t>
        </is>
      </c>
      <c r="F1191" t="inlineStr">
        <is>
          <t>Bergvik skog väst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58013-2023</t>
        </is>
      </c>
      <c r="B1192" s="1" t="n">
        <v>45247.62346064814</v>
      </c>
      <c r="C1192" s="1" t="n">
        <v>45937</v>
      </c>
      <c r="D1192" t="inlineStr">
        <is>
          <t>VÄRMLANDS LÄN</t>
        </is>
      </c>
      <c r="E1192" t="inlineStr">
        <is>
          <t>TORSBY</t>
        </is>
      </c>
      <c r="F1192" t="inlineStr">
        <is>
          <t>Bergvik skog väst AB</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30607-2025</t>
        </is>
      </c>
      <c r="B1193" s="1" t="n">
        <v>45831.4584375</v>
      </c>
      <c r="C1193" s="1" t="n">
        <v>45937</v>
      </c>
      <c r="D1193" t="inlineStr">
        <is>
          <t>VÄRMLANDS LÄN</t>
        </is>
      </c>
      <c r="E1193" t="inlineStr">
        <is>
          <t>TORSBY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30717-2025</t>
        </is>
      </c>
      <c r="B1194" s="1" t="n">
        <v>45831.56103009259</v>
      </c>
      <c r="C1194" s="1" t="n">
        <v>45937</v>
      </c>
      <c r="D1194" t="inlineStr">
        <is>
          <t>VÄRMLANDS LÄN</t>
        </is>
      </c>
      <c r="E1194" t="inlineStr">
        <is>
          <t>TORSBY</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10027-2023</t>
        </is>
      </c>
      <c r="B1195" s="1" t="n">
        <v>44979</v>
      </c>
      <c r="C1195" s="1" t="n">
        <v>45937</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37623-2023</t>
        </is>
      </c>
      <c r="B1196" s="1" t="n">
        <v>45159.45560185185</v>
      </c>
      <c r="C1196" s="1" t="n">
        <v>45937</v>
      </c>
      <c r="D1196" t="inlineStr">
        <is>
          <t>VÄRMLANDS LÄN</t>
        </is>
      </c>
      <c r="E1196" t="inlineStr">
        <is>
          <t>TORSBY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2321-2021</t>
        </is>
      </c>
      <c r="B1197" s="1" t="n">
        <v>44214</v>
      </c>
      <c r="C1197" s="1" t="n">
        <v>45937</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48721-2024</t>
        </is>
      </c>
      <c r="B1198" s="1" t="n">
        <v>45593.54752314815</v>
      </c>
      <c r="C1198" s="1" t="n">
        <v>45937</v>
      </c>
      <c r="D1198" t="inlineStr">
        <is>
          <t>VÄRMLANDS LÄN</t>
        </is>
      </c>
      <c r="E1198" t="inlineStr">
        <is>
          <t>TORSBY</t>
        </is>
      </c>
      <c r="F1198" t="inlineStr">
        <is>
          <t>Bergvik skog väst AB</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39746-2024</t>
        </is>
      </c>
      <c r="B1199" s="1" t="n">
        <v>45552</v>
      </c>
      <c r="C1199" s="1" t="n">
        <v>45937</v>
      </c>
      <c r="D1199" t="inlineStr">
        <is>
          <t>VÄRMLANDS LÄN</t>
        </is>
      </c>
      <c r="E1199" t="inlineStr">
        <is>
          <t>TORSBY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31547-2025</t>
        </is>
      </c>
      <c r="B1200" s="1" t="n">
        <v>45833.63733796297</v>
      </c>
      <c r="C1200" s="1" t="n">
        <v>45937</v>
      </c>
      <c r="D1200" t="inlineStr">
        <is>
          <t>VÄRMLANDS LÄN</t>
        </is>
      </c>
      <c r="E1200" t="inlineStr">
        <is>
          <t>TORSBY</t>
        </is>
      </c>
      <c r="F1200" t="inlineStr">
        <is>
          <t>Bergvik skog väst AB</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38882-2022</t>
        </is>
      </c>
      <c r="B1201" s="1" t="n">
        <v>44816.565625</v>
      </c>
      <c r="C1201" s="1" t="n">
        <v>45937</v>
      </c>
      <c r="D1201" t="inlineStr">
        <is>
          <t>VÄRMLANDS LÄN</t>
        </is>
      </c>
      <c r="E1201" t="inlineStr">
        <is>
          <t>TORSBY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8188-2025</t>
        </is>
      </c>
      <c r="B1202" s="1" t="n">
        <v>45708.40246527778</v>
      </c>
      <c r="C1202" s="1" t="n">
        <v>45937</v>
      </c>
      <c r="D1202" t="inlineStr">
        <is>
          <t>VÄRMLANDS LÄN</t>
        </is>
      </c>
      <c r="E1202" t="inlineStr">
        <is>
          <t>TORSBY</t>
        </is>
      </c>
      <c r="G1202" t="n">
        <v>9.6</v>
      </c>
      <c r="H1202" t="n">
        <v>0</v>
      </c>
      <c r="I1202" t="n">
        <v>0</v>
      </c>
      <c r="J1202" t="n">
        <v>0</v>
      </c>
      <c r="K1202" t="n">
        <v>0</v>
      </c>
      <c r="L1202" t="n">
        <v>0</v>
      </c>
      <c r="M1202" t="n">
        <v>0</v>
      </c>
      <c r="N1202" t="n">
        <v>0</v>
      </c>
      <c r="O1202" t="n">
        <v>0</v>
      </c>
      <c r="P1202" t="n">
        <v>0</v>
      </c>
      <c r="Q1202" t="n">
        <v>0</v>
      </c>
      <c r="R1202" s="2" t="inlineStr"/>
    </row>
    <row r="1203" ht="15" customHeight="1">
      <c r="A1203" t="inlineStr">
        <is>
          <t>A 59872-2023</t>
        </is>
      </c>
      <c r="B1203" s="1" t="n">
        <v>45257.58666666667</v>
      </c>
      <c r="C1203" s="1" t="n">
        <v>45937</v>
      </c>
      <c r="D1203" t="inlineStr">
        <is>
          <t>VÄRMLANDS LÄN</t>
        </is>
      </c>
      <c r="E1203" t="inlineStr">
        <is>
          <t>TORSBY</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31850-2025</t>
        </is>
      </c>
      <c r="B1204" s="1" t="n">
        <v>45834</v>
      </c>
      <c r="C1204" s="1" t="n">
        <v>45937</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31630-2025</t>
        </is>
      </c>
      <c r="B1205" s="1" t="n">
        <v>45834.32670138889</v>
      </c>
      <c r="C1205" s="1" t="n">
        <v>45937</v>
      </c>
      <c r="D1205" t="inlineStr">
        <is>
          <t>VÄRMLANDS LÄN</t>
        </is>
      </c>
      <c r="E1205" t="inlineStr">
        <is>
          <t>TORSBY</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52078-2023</t>
        </is>
      </c>
      <c r="B1206" s="1" t="n">
        <v>45223</v>
      </c>
      <c r="C1206" s="1" t="n">
        <v>45937</v>
      </c>
      <c r="D1206" t="inlineStr">
        <is>
          <t>VÄRMLANDS LÄN</t>
        </is>
      </c>
      <c r="E1206" t="inlineStr">
        <is>
          <t>TORSBY</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7215-2025</t>
        </is>
      </c>
      <c r="B1207" s="1" t="n">
        <v>45702</v>
      </c>
      <c r="C1207" s="1" t="n">
        <v>45937</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24630-2024</t>
        </is>
      </c>
      <c r="B1208" s="1" t="n">
        <v>45460.51149305556</v>
      </c>
      <c r="C1208" s="1" t="n">
        <v>45937</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38991-2023</t>
        </is>
      </c>
      <c r="B1209" s="1" t="n">
        <v>45163.65929398148</v>
      </c>
      <c r="C1209" s="1" t="n">
        <v>45937</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906-2025</t>
        </is>
      </c>
      <c r="B1210" s="1" t="n">
        <v>45664</v>
      </c>
      <c r="C1210" s="1" t="n">
        <v>45937</v>
      </c>
      <c r="D1210" t="inlineStr">
        <is>
          <t>VÄRMLANDS LÄN</t>
        </is>
      </c>
      <c r="E1210" t="inlineStr">
        <is>
          <t>TORSBY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31902-2025</t>
        </is>
      </c>
      <c r="B1211" s="1" t="n">
        <v>45834.68592592593</v>
      </c>
      <c r="C1211" s="1" t="n">
        <v>45937</v>
      </c>
      <c r="D1211" t="inlineStr">
        <is>
          <t>VÄRMLANDS LÄN</t>
        </is>
      </c>
      <c r="E1211" t="inlineStr">
        <is>
          <t>TORSBY</t>
        </is>
      </c>
      <c r="G1211" t="n">
        <v>27.1</v>
      </c>
      <c r="H1211" t="n">
        <v>0</v>
      </c>
      <c r="I1211" t="n">
        <v>0</v>
      </c>
      <c r="J1211" t="n">
        <v>0</v>
      </c>
      <c r="K1211" t="n">
        <v>0</v>
      </c>
      <c r="L1211" t="n">
        <v>0</v>
      </c>
      <c r="M1211" t="n">
        <v>0</v>
      </c>
      <c r="N1211" t="n">
        <v>0</v>
      </c>
      <c r="O1211" t="n">
        <v>0</v>
      </c>
      <c r="P1211" t="n">
        <v>0</v>
      </c>
      <c r="Q1211" t="n">
        <v>0</v>
      </c>
      <c r="R1211" s="2" t="inlineStr"/>
    </row>
    <row r="1212" ht="15" customHeight="1">
      <c r="A1212" t="inlineStr">
        <is>
          <t>A 31906-2025</t>
        </is>
      </c>
      <c r="B1212" s="1" t="n">
        <v>45834.69046296296</v>
      </c>
      <c r="C1212" s="1" t="n">
        <v>45937</v>
      </c>
      <c r="D1212" t="inlineStr">
        <is>
          <t>VÄRMLANDS LÄN</t>
        </is>
      </c>
      <c r="E1212" t="inlineStr">
        <is>
          <t>TORSBY</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31335-2025</t>
        </is>
      </c>
      <c r="B1213" s="1" t="n">
        <v>45833.42608796297</v>
      </c>
      <c r="C1213" s="1" t="n">
        <v>45937</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17053-2025</t>
        </is>
      </c>
      <c r="B1214" s="1" t="n">
        <v>45754</v>
      </c>
      <c r="C1214" s="1" t="n">
        <v>45937</v>
      </c>
      <c r="D1214" t="inlineStr">
        <is>
          <t>VÄRMLANDS LÄN</t>
        </is>
      </c>
      <c r="E1214" t="inlineStr">
        <is>
          <t>TORSBY</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26686-2022</t>
        </is>
      </c>
      <c r="B1215" s="1" t="n">
        <v>44739.67833333334</v>
      </c>
      <c r="C1215" s="1" t="n">
        <v>45937</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10587-2024</t>
        </is>
      </c>
      <c r="B1216" s="1" t="n">
        <v>45366</v>
      </c>
      <c r="C1216" s="1" t="n">
        <v>45937</v>
      </c>
      <c r="D1216" t="inlineStr">
        <is>
          <t>VÄRMLANDS LÄN</t>
        </is>
      </c>
      <c r="E1216" t="inlineStr">
        <is>
          <t>TORSBY</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38076-2024</t>
        </is>
      </c>
      <c r="B1217" s="1" t="n">
        <v>45544</v>
      </c>
      <c r="C1217" s="1" t="n">
        <v>45937</v>
      </c>
      <c r="D1217" t="inlineStr">
        <is>
          <t>VÄRMLANDS LÄN</t>
        </is>
      </c>
      <c r="E1217" t="inlineStr">
        <is>
          <t>TORSBY</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1432-2025</t>
        </is>
      </c>
      <c r="B1218" s="1" t="n">
        <v>45669</v>
      </c>
      <c r="C1218" s="1" t="n">
        <v>45937</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1435-2025</t>
        </is>
      </c>
      <c r="B1219" s="1" t="n">
        <v>45669</v>
      </c>
      <c r="C1219" s="1" t="n">
        <v>45937</v>
      </c>
      <c r="D1219" t="inlineStr">
        <is>
          <t>VÄRMLANDS LÄN</t>
        </is>
      </c>
      <c r="E1219" t="inlineStr">
        <is>
          <t>TORSBY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47694-2022</t>
        </is>
      </c>
      <c r="B1220" s="1" t="n">
        <v>44854</v>
      </c>
      <c r="C1220" s="1" t="n">
        <v>45937</v>
      </c>
      <c r="D1220" t="inlineStr">
        <is>
          <t>VÄRMLANDS LÄN</t>
        </is>
      </c>
      <c r="E1220" t="inlineStr">
        <is>
          <t>TORSBY</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28559-2021</t>
        </is>
      </c>
      <c r="B1221" s="1" t="n">
        <v>44356</v>
      </c>
      <c r="C1221" s="1" t="n">
        <v>45937</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51987-2024</t>
        </is>
      </c>
      <c r="B1222" s="1" t="n">
        <v>45607</v>
      </c>
      <c r="C1222" s="1" t="n">
        <v>45937</v>
      </c>
      <c r="D1222" t="inlineStr">
        <is>
          <t>VÄRMLANDS LÄN</t>
        </is>
      </c>
      <c r="E1222" t="inlineStr">
        <is>
          <t>TORSBY</t>
        </is>
      </c>
      <c r="G1222" t="n">
        <v>17.7</v>
      </c>
      <c r="H1222" t="n">
        <v>0</v>
      </c>
      <c r="I1222" t="n">
        <v>0</v>
      </c>
      <c r="J1222" t="n">
        <v>0</v>
      </c>
      <c r="K1222" t="n">
        <v>0</v>
      </c>
      <c r="L1222" t="n">
        <v>0</v>
      </c>
      <c r="M1222" t="n">
        <v>0</v>
      </c>
      <c r="N1222" t="n">
        <v>0</v>
      </c>
      <c r="O1222" t="n">
        <v>0</v>
      </c>
      <c r="P1222" t="n">
        <v>0</v>
      </c>
      <c r="Q1222" t="n">
        <v>0</v>
      </c>
      <c r="R1222" s="2" t="inlineStr"/>
    </row>
    <row r="1223" ht="15" customHeight="1">
      <c r="A1223" t="inlineStr">
        <is>
          <t>A 15169-2025</t>
        </is>
      </c>
      <c r="B1223" s="1" t="n">
        <v>45744</v>
      </c>
      <c r="C1223" s="1" t="n">
        <v>45937</v>
      </c>
      <c r="D1223" t="inlineStr">
        <is>
          <t>VÄRMLANDS LÄN</t>
        </is>
      </c>
      <c r="E1223" t="inlineStr">
        <is>
          <t>TORSBY</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46503-2024</t>
        </is>
      </c>
      <c r="B1224" s="1" t="n">
        <v>45582</v>
      </c>
      <c r="C1224" s="1" t="n">
        <v>45937</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21790-2023</t>
        </is>
      </c>
      <c r="B1225" s="1" t="n">
        <v>45067</v>
      </c>
      <c r="C1225" s="1" t="n">
        <v>45937</v>
      </c>
      <c r="D1225" t="inlineStr">
        <is>
          <t>VÄRMLANDS LÄN</t>
        </is>
      </c>
      <c r="E1225" t="inlineStr">
        <is>
          <t>TORSBY</t>
        </is>
      </c>
      <c r="F1225" t="inlineStr">
        <is>
          <t>Övriga statliga verk och myndigheter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43157-2021</t>
        </is>
      </c>
      <c r="B1226" s="1" t="n">
        <v>44431</v>
      </c>
      <c r="C1226" s="1" t="n">
        <v>45937</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43529-2023</t>
        </is>
      </c>
      <c r="B1227" s="1" t="n">
        <v>45181</v>
      </c>
      <c r="C1227" s="1" t="n">
        <v>45937</v>
      </c>
      <c r="D1227" t="inlineStr">
        <is>
          <t>VÄRMLANDS LÄN</t>
        </is>
      </c>
      <c r="E1227" t="inlineStr">
        <is>
          <t>TORSBY</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57990-2023</t>
        </is>
      </c>
      <c r="B1228" s="1" t="n">
        <v>45247.60293981482</v>
      </c>
      <c r="C1228" s="1" t="n">
        <v>45937</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51144-2023</t>
        </is>
      </c>
      <c r="B1229" s="1" t="n">
        <v>45212</v>
      </c>
      <c r="C1229" s="1" t="n">
        <v>45937</v>
      </c>
      <c r="D1229" t="inlineStr">
        <is>
          <t>VÄRMLANDS LÄN</t>
        </is>
      </c>
      <c r="E1229" t="inlineStr">
        <is>
          <t>TORSBY</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11842-2025</t>
        </is>
      </c>
      <c r="B1230" s="1" t="n">
        <v>45728.36950231482</v>
      </c>
      <c r="C1230" s="1" t="n">
        <v>45937</v>
      </c>
      <c r="D1230" t="inlineStr">
        <is>
          <t>VÄRMLANDS LÄN</t>
        </is>
      </c>
      <c r="E1230" t="inlineStr">
        <is>
          <t>TORSBY</t>
        </is>
      </c>
      <c r="F1230" t="inlineStr">
        <is>
          <t>Bergvik skog väst AB</t>
        </is>
      </c>
      <c r="G1230" t="n">
        <v>32.1</v>
      </c>
      <c r="H1230" t="n">
        <v>0</v>
      </c>
      <c r="I1230" t="n">
        <v>0</v>
      </c>
      <c r="J1230" t="n">
        <v>0</v>
      </c>
      <c r="K1230" t="n">
        <v>0</v>
      </c>
      <c r="L1230" t="n">
        <v>0</v>
      </c>
      <c r="M1230" t="n">
        <v>0</v>
      </c>
      <c r="N1230" t="n">
        <v>0</v>
      </c>
      <c r="O1230" t="n">
        <v>0</v>
      </c>
      <c r="P1230" t="n">
        <v>0</v>
      </c>
      <c r="Q1230" t="n">
        <v>0</v>
      </c>
      <c r="R1230" s="2" t="inlineStr"/>
    </row>
    <row r="1231" ht="15" customHeight="1">
      <c r="A1231" t="inlineStr">
        <is>
          <t>A 31672-2025</t>
        </is>
      </c>
      <c r="B1231" s="1" t="n">
        <v>45834.36979166666</v>
      </c>
      <c r="C1231" s="1" t="n">
        <v>45937</v>
      </c>
      <c r="D1231" t="inlineStr">
        <is>
          <t>VÄRMLANDS LÄN</t>
        </is>
      </c>
      <c r="E1231" t="inlineStr">
        <is>
          <t>TORSBY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31416-2025</t>
        </is>
      </c>
      <c r="B1232" s="1" t="n">
        <v>45833.48278935185</v>
      </c>
      <c r="C1232" s="1" t="n">
        <v>45937</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14367-2025</t>
        </is>
      </c>
      <c r="B1233" s="1" t="n">
        <v>45741.38988425926</v>
      </c>
      <c r="C1233" s="1" t="n">
        <v>45937</v>
      </c>
      <c r="D1233" t="inlineStr">
        <is>
          <t>VÄRMLANDS LÄN</t>
        </is>
      </c>
      <c r="E1233" t="inlineStr">
        <is>
          <t>TORSBY</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14419-2025</t>
        </is>
      </c>
      <c r="B1234" s="1" t="n">
        <v>45741</v>
      </c>
      <c r="C1234" s="1" t="n">
        <v>45937</v>
      </c>
      <c r="D1234" t="inlineStr">
        <is>
          <t>VÄRMLANDS LÄN</t>
        </is>
      </c>
      <c r="E1234" t="inlineStr">
        <is>
          <t>TORSBY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27223-2022</t>
        </is>
      </c>
      <c r="B1235" s="1" t="n">
        <v>44741</v>
      </c>
      <c r="C1235" s="1" t="n">
        <v>45937</v>
      </c>
      <c r="D1235" t="inlineStr">
        <is>
          <t>VÄRMLANDS LÄN</t>
        </is>
      </c>
      <c r="E1235" t="inlineStr">
        <is>
          <t>TORSBY</t>
        </is>
      </c>
      <c r="F1235" t="inlineStr">
        <is>
          <t>Bergvik skog väst AB</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20633-2024</t>
        </is>
      </c>
      <c r="B1236" s="1" t="n">
        <v>45436</v>
      </c>
      <c r="C1236" s="1" t="n">
        <v>45937</v>
      </c>
      <c r="D1236" t="inlineStr">
        <is>
          <t>VÄRMLANDS LÄN</t>
        </is>
      </c>
      <c r="E1236" t="inlineStr">
        <is>
          <t>TORSBY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32134-2025</t>
        </is>
      </c>
      <c r="B1237" s="1" t="n">
        <v>45835.5102662037</v>
      </c>
      <c r="C1237" s="1" t="n">
        <v>45937</v>
      </c>
      <c r="D1237" t="inlineStr">
        <is>
          <t>VÄRMLANDS LÄN</t>
        </is>
      </c>
      <c r="E1237" t="inlineStr">
        <is>
          <t>TORSBY</t>
        </is>
      </c>
      <c r="G1237" t="n">
        <v>8.5</v>
      </c>
      <c r="H1237" t="n">
        <v>0</v>
      </c>
      <c r="I1237" t="n">
        <v>0</v>
      </c>
      <c r="J1237" t="n">
        <v>0</v>
      </c>
      <c r="K1237" t="n">
        <v>0</v>
      </c>
      <c r="L1237" t="n">
        <v>0</v>
      </c>
      <c r="M1237" t="n">
        <v>0</v>
      </c>
      <c r="N1237" t="n">
        <v>0</v>
      </c>
      <c r="O1237" t="n">
        <v>0</v>
      </c>
      <c r="P1237" t="n">
        <v>0</v>
      </c>
      <c r="Q1237" t="n">
        <v>0</v>
      </c>
      <c r="R1237" s="2" t="inlineStr"/>
    </row>
    <row r="1238" ht="15" customHeight="1">
      <c r="A1238" t="inlineStr">
        <is>
          <t>A 35132-2022</t>
        </is>
      </c>
      <c r="B1238" s="1" t="n">
        <v>44797</v>
      </c>
      <c r="C1238" s="1" t="n">
        <v>45937</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4510-2023</t>
        </is>
      </c>
      <c r="B1239" s="1" t="n">
        <v>44956.57528935185</v>
      </c>
      <c r="C1239" s="1" t="n">
        <v>45937</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32622-2025</t>
        </is>
      </c>
      <c r="B1240" s="1" t="n">
        <v>45838</v>
      </c>
      <c r="C1240" s="1" t="n">
        <v>45937</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68153-2021</t>
        </is>
      </c>
      <c r="B1241" s="1" t="n">
        <v>44526.43881944445</v>
      </c>
      <c r="C1241" s="1" t="n">
        <v>45937</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32618-2025</t>
        </is>
      </c>
      <c r="B1242" s="1" t="n">
        <v>45838.6435300926</v>
      </c>
      <c r="C1242" s="1" t="n">
        <v>45937</v>
      </c>
      <c r="D1242" t="inlineStr">
        <is>
          <t>VÄRMLANDS LÄN</t>
        </is>
      </c>
      <c r="E1242" t="inlineStr">
        <is>
          <t>TORSBY</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40034-2025</t>
        </is>
      </c>
      <c r="B1243" s="1" t="n">
        <v>45894.38159722222</v>
      </c>
      <c r="C1243" s="1" t="n">
        <v>45937</v>
      </c>
      <c r="D1243" t="inlineStr">
        <is>
          <t>VÄRMLANDS LÄN</t>
        </is>
      </c>
      <c r="E1243" t="inlineStr">
        <is>
          <t>TORSBY</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9723-2025</t>
        </is>
      </c>
      <c r="B1244" s="1" t="n">
        <v>45715</v>
      </c>
      <c r="C1244" s="1" t="n">
        <v>45937</v>
      </c>
      <c r="D1244" t="inlineStr">
        <is>
          <t>VÄRMLANDS LÄN</t>
        </is>
      </c>
      <c r="E1244" t="inlineStr">
        <is>
          <t>TORSBY</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32298-2025</t>
        </is>
      </c>
      <c r="B1245" s="1" t="n">
        <v>45835.7144675926</v>
      </c>
      <c r="C1245" s="1" t="n">
        <v>45937</v>
      </c>
      <c r="D1245" t="inlineStr">
        <is>
          <t>VÄRMLANDS LÄN</t>
        </is>
      </c>
      <c r="E1245" t="inlineStr">
        <is>
          <t>TORSBY</t>
        </is>
      </c>
      <c r="G1245" t="n">
        <v>19.2</v>
      </c>
      <c r="H1245" t="n">
        <v>0</v>
      </c>
      <c r="I1245" t="n">
        <v>0</v>
      </c>
      <c r="J1245" t="n">
        <v>0</v>
      </c>
      <c r="K1245" t="n">
        <v>0</v>
      </c>
      <c r="L1245" t="n">
        <v>0</v>
      </c>
      <c r="M1245" t="n">
        <v>0</v>
      </c>
      <c r="N1245" t="n">
        <v>0</v>
      </c>
      <c r="O1245" t="n">
        <v>0</v>
      </c>
      <c r="P1245" t="n">
        <v>0</v>
      </c>
      <c r="Q1245" t="n">
        <v>0</v>
      </c>
      <c r="R1245" s="2" t="inlineStr"/>
    </row>
    <row r="1246" ht="15" customHeight="1">
      <c r="A1246" t="inlineStr">
        <is>
          <t>A 36290-2022</t>
        </is>
      </c>
      <c r="B1246" s="1" t="n">
        <v>44803</v>
      </c>
      <c r="C1246" s="1" t="n">
        <v>45937</v>
      </c>
      <c r="D1246" t="inlineStr">
        <is>
          <t>VÄRMLANDS LÄN</t>
        </is>
      </c>
      <c r="E1246" t="inlineStr">
        <is>
          <t>TORSBY</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7745-2023</t>
        </is>
      </c>
      <c r="B1247" s="1" t="n">
        <v>44973.35336805556</v>
      </c>
      <c r="C1247" s="1" t="n">
        <v>45937</v>
      </c>
      <c r="D1247" t="inlineStr">
        <is>
          <t>VÄRMLANDS LÄN</t>
        </is>
      </c>
      <c r="E1247" t="inlineStr">
        <is>
          <t>TORSBY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32343-2025</t>
        </is>
      </c>
      <c r="B1248" s="1" t="n">
        <v>45837.37171296297</v>
      </c>
      <c r="C1248" s="1" t="n">
        <v>45937</v>
      </c>
      <c r="D1248" t="inlineStr">
        <is>
          <t>VÄRMLANDS LÄN</t>
        </is>
      </c>
      <c r="E1248" t="inlineStr">
        <is>
          <t>TORSBY</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32084-2025</t>
        </is>
      </c>
      <c r="B1249" s="1" t="n">
        <v>45835.45379629629</v>
      </c>
      <c r="C1249" s="1" t="n">
        <v>45937</v>
      </c>
      <c r="D1249" t="inlineStr">
        <is>
          <t>VÄRMLANDS LÄN</t>
        </is>
      </c>
      <c r="E1249" t="inlineStr">
        <is>
          <t>TORSBY</t>
        </is>
      </c>
      <c r="F1249" t="inlineStr">
        <is>
          <t>Bergvik skog väst AB</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32433-2025</t>
        </is>
      </c>
      <c r="B1250" s="1" t="n">
        <v>45838.37252314815</v>
      </c>
      <c r="C1250" s="1" t="n">
        <v>45937</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39845-2025</t>
        </is>
      </c>
      <c r="B1251" s="1" t="n">
        <v>45891</v>
      </c>
      <c r="C1251" s="1" t="n">
        <v>45937</v>
      </c>
      <c r="D1251" t="inlineStr">
        <is>
          <t>VÄRMLANDS LÄN</t>
        </is>
      </c>
      <c r="E1251" t="inlineStr">
        <is>
          <t>TORSBY</t>
        </is>
      </c>
      <c r="F1251" t="inlineStr">
        <is>
          <t>Bergvik skog väst AB</t>
        </is>
      </c>
      <c r="G1251" t="n">
        <v>14.1</v>
      </c>
      <c r="H1251" t="n">
        <v>0</v>
      </c>
      <c r="I1251" t="n">
        <v>0</v>
      </c>
      <c r="J1251" t="n">
        <v>0</v>
      </c>
      <c r="K1251" t="n">
        <v>0</v>
      </c>
      <c r="L1251" t="n">
        <v>0</v>
      </c>
      <c r="M1251" t="n">
        <v>0</v>
      </c>
      <c r="N1251" t="n">
        <v>0</v>
      </c>
      <c r="O1251" t="n">
        <v>0</v>
      </c>
      <c r="P1251" t="n">
        <v>0</v>
      </c>
      <c r="Q1251" t="n">
        <v>0</v>
      </c>
      <c r="R1251" s="2" t="inlineStr"/>
    </row>
    <row r="1252" ht="15" customHeight="1">
      <c r="A1252" t="inlineStr">
        <is>
          <t>A 32342-2025</t>
        </is>
      </c>
      <c r="B1252" s="1" t="n">
        <v>45837.34560185186</v>
      </c>
      <c r="C1252" s="1" t="n">
        <v>45937</v>
      </c>
      <c r="D1252" t="inlineStr">
        <is>
          <t>VÄRMLANDS LÄN</t>
        </is>
      </c>
      <c r="E1252" t="inlineStr">
        <is>
          <t>TORSBY</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32331-2025</t>
        </is>
      </c>
      <c r="B1253" s="1" t="n">
        <v>45836.50674768518</v>
      </c>
      <c r="C1253" s="1" t="n">
        <v>45937</v>
      </c>
      <c r="D1253" t="inlineStr">
        <is>
          <t>VÄRMLANDS LÄN</t>
        </is>
      </c>
      <c r="E1253" t="inlineStr">
        <is>
          <t>TORSBY</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48375-2025</t>
        </is>
      </c>
      <c r="B1254" s="1" t="n">
        <v>45933.71201388889</v>
      </c>
      <c r="C1254" s="1" t="n">
        <v>45937</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27115-2024</t>
        </is>
      </c>
      <c r="B1255" s="1" t="n">
        <v>45471</v>
      </c>
      <c r="C1255" s="1" t="n">
        <v>45937</v>
      </c>
      <c r="D1255" t="inlineStr">
        <is>
          <t>VÄRMLANDS LÄN</t>
        </is>
      </c>
      <c r="E1255" t="inlineStr">
        <is>
          <t>TORSBY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27144-2024</t>
        </is>
      </c>
      <c r="B1256" s="1" t="n">
        <v>45471.55459490741</v>
      </c>
      <c r="C1256" s="1" t="n">
        <v>45937</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25090-2023</t>
        </is>
      </c>
      <c r="B1257" s="1" t="n">
        <v>45086</v>
      </c>
      <c r="C1257" s="1" t="n">
        <v>45937</v>
      </c>
      <c r="D1257" t="inlineStr">
        <is>
          <t>VÄRMLANDS LÄN</t>
        </is>
      </c>
      <c r="E1257" t="inlineStr">
        <is>
          <t>TORSBY</t>
        </is>
      </c>
      <c r="F1257" t="inlineStr">
        <is>
          <t>Bergvik skog väst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44262-2023</t>
        </is>
      </c>
      <c r="B1258" s="1" t="n">
        <v>45188.59809027778</v>
      </c>
      <c r="C1258" s="1" t="n">
        <v>45937</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18258-2025</t>
        </is>
      </c>
      <c r="B1259" s="1" t="n">
        <v>45762.35762731481</v>
      </c>
      <c r="C1259" s="1" t="n">
        <v>45937</v>
      </c>
      <c r="D1259" t="inlineStr">
        <is>
          <t>VÄRMLANDS LÄN</t>
        </is>
      </c>
      <c r="E1259" t="inlineStr">
        <is>
          <t>TORSBY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32191-2025</t>
        </is>
      </c>
      <c r="B1260" s="1" t="n">
        <v>45835.57099537037</v>
      </c>
      <c r="C1260" s="1" t="n">
        <v>45937</v>
      </c>
      <c r="D1260" t="inlineStr">
        <is>
          <t>VÄRMLANDS LÄN</t>
        </is>
      </c>
      <c r="E1260" t="inlineStr">
        <is>
          <t>TORSBY</t>
        </is>
      </c>
      <c r="F1260" t="inlineStr">
        <is>
          <t>Bergvik skog väst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41253-2021</t>
        </is>
      </c>
      <c r="B1261" s="1" t="n">
        <v>44424</v>
      </c>
      <c r="C1261" s="1" t="n">
        <v>45937</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39743-2025</t>
        </is>
      </c>
      <c r="B1262" s="1" t="n">
        <v>45891</v>
      </c>
      <c r="C1262" s="1" t="n">
        <v>45937</v>
      </c>
      <c r="D1262" t="inlineStr">
        <is>
          <t>VÄRMLANDS LÄN</t>
        </is>
      </c>
      <c r="E1262" t="inlineStr">
        <is>
          <t>TORSBY</t>
        </is>
      </c>
      <c r="F1262" t="inlineStr">
        <is>
          <t>Bergvik skog väst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11569-2025</t>
        </is>
      </c>
      <c r="B1263" s="1" t="n">
        <v>45727.37971064815</v>
      </c>
      <c r="C1263" s="1" t="n">
        <v>45937</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53583-2024</t>
        </is>
      </c>
      <c r="B1264" s="1" t="n">
        <v>45614.66449074074</v>
      </c>
      <c r="C1264" s="1" t="n">
        <v>45937</v>
      </c>
      <c r="D1264" t="inlineStr">
        <is>
          <t>VÄRMLANDS LÄN</t>
        </is>
      </c>
      <c r="E1264" t="inlineStr">
        <is>
          <t>TORSBY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48180-2025</t>
        </is>
      </c>
      <c r="B1265" s="1" t="n">
        <v>45933.45245370371</v>
      </c>
      <c r="C1265" s="1" t="n">
        <v>45937</v>
      </c>
      <c r="D1265" t="inlineStr">
        <is>
          <t>VÄRMLANDS LÄN</t>
        </is>
      </c>
      <c r="E1265" t="inlineStr">
        <is>
          <t>TORSBY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502-2024</t>
        </is>
      </c>
      <c r="B1266" s="1" t="n">
        <v>45299</v>
      </c>
      <c r="C1266" s="1" t="n">
        <v>45937</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40128-2025</t>
        </is>
      </c>
      <c r="B1267" s="1" t="n">
        <v>45894</v>
      </c>
      <c r="C1267" s="1" t="n">
        <v>45937</v>
      </c>
      <c r="D1267" t="inlineStr">
        <is>
          <t>VÄRMLANDS LÄN</t>
        </is>
      </c>
      <c r="E1267" t="inlineStr">
        <is>
          <t>TORSBY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44141-2025</t>
        </is>
      </c>
      <c r="B1268" s="1" t="n">
        <v>45915</v>
      </c>
      <c r="C1268" s="1" t="n">
        <v>45937</v>
      </c>
      <c r="D1268" t="inlineStr">
        <is>
          <t>VÄRMLANDS LÄN</t>
        </is>
      </c>
      <c r="E1268" t="inlineStr">
        <is>
          <t>TORSBY</t>
        </is>
      </c>
      <c r="F1268" t="inlineStr">
        <is>
          <t>Kyrkan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48499-2025</t>
        </is>
      </c>
      <c r="B1269" s="1" t="n">
        <v>45936.37533564815</v>
      </c>
      <c r="C1269" s="1" t="n">
        <v>45937</v>
      </c>
      <c r="D1269" t="inlineStr">
        <is>
          <t>VÄRMLANDS LÄN</t>
        </is>
      </c>
      <c r="E1269" t="inlineStr">
        <is>
          <t>TORSBY</t>
        </is>
      </c>
      <c r="F1269" t="inlineStr">
        <is>
          <t>Bergvik skog väst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37913-2022</t>
        </is>
      </c>
      <c r="B1270" s="1" t="n">
        <v>44811</v>
      </c>
      <c r="C1270" s="1" t="n">
        <v>45937</v>
      </c>
      <c r="D1270" t="inlineStr">
        <is>
          <t>VÄRMLANDS LÄN</t>
        </is>
      </c>
      <c r="E1270" t="inlineStr">
        <is>
          <t>TORSBY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52750-2024</t>
        </is>
      </c>
      <c r="B1271" s="1" t="n">
        <v>45610</v>
      </c>
      <c r="C1271" s="1" t="n">
        <v>45937</v>
      </c>
      <c r="D1271" t="inlineStr">
        <is>
          <t>VÄRMLANDS LÄN</t>
        </is>
      </c>
      <c r="E1271" t="inlineStr">
        <is>
          <t>TORSBY</t>
        </is>
      </c>
      <c r="F1271" t="inlineStr">
        <is>
          <t>Kyrkan</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32339-2025</t>
        </is>
      </c>
      <c r="B1272" s="1" t="n">
        <v>45836.68836805555</v>
      </c>
      <c r="C1272" s="1" t="n">
        <v>45937</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364-2025</t>
        </is>
      </c>
      <c r="B1273" s="1" t="n">
        <v>45661</v>
      </c>
      <c r="C1273" s="1" t="n">
        <v>45937</v>
      </c>
      <c r="D1273" t="inlineStr">
        <is>
          <t>VÄRMLANDS LÄN</t>
        </is>
      </c>
      <c r="E1273" t="inlineStr">
        <is>
          <t>TORSBY</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51662-2024</t>
        </is>
      </c>
      <c r="B1274" s="1" t="n">
        <v>45606.75559027777</v>
      </c>
      <c r="C1274" s="1" t="n">
        <v>45937</v>
      </c>
      <c r="D1274" t="inlineStr">
        <is>
          <t>VÄRMLANDS LÄN</t>
        </is>
      </c>
      <c r="E1274" t="inlineStr">
        <is>
          <t>TORSBY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23264-2022</t>
        </is>
      </c>
      <c r="B1275" s="1" t="n">
        <v>44720.40818287037</v>
      </c>
      <c r="C1275" s="1" t="n">
        <v>45937</v>
      </c>
      <c r="D1275" t="inlineStr">
        <is>
          <t>VÄRMLANDS LÄN</t>
        </is>
      </c>
      <c r="E1275" t="inlineStr">
        <is>
          <t>TORSBY</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47141-2022</t>
        </is>
      </c>
      <c r="B1276" s="1" t="n">
        <v>44852.56548611111</v>
      </c>
      <c r="C1276" s="1" t="n">
        <v>45937</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57809-2024</t>
        </is>
      </c>
      <c r="B1277" s="1" t="n">
        <v>45631</v>
      </c>
      <c r="C1277" s="1" t="n">
        <v>45937</v>
      </c>
      <c r="D1277" t="inlineStr">
        <is>
          <t>VÄRMLANDS LÄN</t>
        </is>
      </c>
      <c r="E1277" t="inlineStr">
        <is>
          <t>TORSBY</t>
        </is>
      </c>
      <c r="F1277" t="inlineStr">
        <is>
          <t>Bergvik skog väst AB</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32345-2025</t>
        </is>
      </c>
      <c r="B1278" s="1" t="n">
        <v>45837.44293981481</v>
      </c>
      <c r="C1278" s="1" t="n">
        <v>45937</v>
      </c>
      <c r="D1278" t="inlineStr">
        <is>
          <t>VÄRMLANDS LÄN</t>
        </is>
      </c>
      <c r="E1278" t="inlineStr">
        <is>
          <t>TORSBY</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32555-2025</t>
        </is>
      </c>
      <c r="B1279" s="1" t="n">
        <v>45838.56084490741</v>
      </c>
      <c r="C1279" s="1" t="n">
        <v>45937</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39731-2025</t>
        </is>
      </c>
      <c r="B1280" s="1" t="n">
        <v>45891</v>
      </c>
      <c r="C1280" s="1" t="n">
        <v>45937</v>
      </c>
      <c r="D1280" t="inlineStr">
        <is>
          <t>VÄRMLANDS LÄN</t>
        </is>
      </c>
      <c r="E1280" t="inlineStr">
        <is>
          <t>TORSBY</t>
        </is>
      </c>
      <c r="F1280" t="inlineStr">
        <is>
          <t>Bergvik skog väst AB</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1700-2024</t>
        </is>
      </c>
      <c r="B1281" s="1" t="n">
        <v>45307.37347222222</v>
      </c>
      <c r="C1281" s="1" t="n">
        <v>45937</v>
      </c>
      <c r="D1281" t="inlineStr">
        <is>
          <t>VÄRMLANDS LÄN</t>
        </is>
      </c>
      <c r="E1281" t="inlineStr">
        <is>
          <t>TORSBY</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31936-2023</t>
        </is>
      </c>
      <c r="B1282" s="1" t="n">
        <v>45107</v>
      </c>
      <c r="C1282" s="1" t="n">
        <v>45937</v>
      </c>
      <c r="D1282" t="inlineStr">
        <is>
          <t>VÄRMLANDS LÄN</t>
        </is>
      </c>
      <c r="E1282" t="inlineStr">
        <is>
          <t>TORSBY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32348-2025</t>
        </is>
      </c>
      <c r="B1283" s="1" t="n">
        <v>45837.47078703704</v>
      </c>
      <c r="C1283" s="1" t="n">
        <v>45937</v>
      </c>
      <c r="D1283" t="inlineStr">
        <is>
          <t>VÄRMLANDS LÄN</t>
        </is>
      </c>
      <c r="E1283" t="inlineStr">
        <is>
          <t>TORSBY</t>
        </is>
      </c>
      <c r="G1283" t="n">
        <v>9.300000000000001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62258-2023</t>
        </is>
      </c>
      <c r="B1284" s="1" t="n">
        <v>45266</v>
      </c>
      <c r="C1284" s="1" t="n">
        <v>45937</v>
      </c>
      <c r="D1284" t="inlineStr">
        <is>
          <t>VÄRMLANDS LÄN</t>
        </is>
      </c>
      <c r="E1284" t="inlineStr">
        <is>
          <t>TORSBY</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32054-2025</t>
        </is>
      </c>
      <c r="B1285" s="1" t="n">
        <v>45835</v>
      </c>
      <c r="C1285" s="1" t="n">
        <v>45937</v>
      </c>
      <c r="D1285" t="inlineStr">
        <is>
          <t>VÄRMLANDS LÄN</t>
        </is>
      </c>
      <c r="E1285" t="inlineStr">
        <is>
          <t>TORSBY</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28284-2024</t>
        </is>
      </c>
      <c r="B1286" s="1" t="n">
        <v>45477</v>
      </c>
      <c r="C1286" s="1" t="n">
        <v>45937</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33221-2025</t>
        </is>
      </c>
      <c r="B1287" s="1" t="n">
        <v>45840.63471064815</v>
      </c>
      <c r="C1287" s="1" t="n">
        <v>45937</v>
      </c>
      <c r="D1287" t="inlineStr">
        <is>
          <t>VÄRMLANDS LÄN</t>
        </is>
      </c>
      <c r="E1287" t="inlineStr">
        <is>
          <t>TORSBY</t>
        </is>
      </c>
      <c r="F1287" t="inlineStr">
        <is>
          <t>Bergvik skog väst AB</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19630-2025</t>
        </is>
      </c>
      <c r="B1288" s="1" t="n">
        <v>45770.64239583333</v>
      </c>
      <c r="C1288" s="1" t="n">
        <v>45937</v>
      </c>
      <c r="D1288" t="inlineStr">
        <is>
          <t>VÄRMLANDS LÄN</t>
        </is>
      </c>
      <c r="E1288" t="inlineStr">
        <is>
          <t>TORSBY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18877-2022</t>
        </is>
      </c>
      <c r="B1289" s="1" t="n">
        <v>44690.52556712963</v>
      </c>
      <c r="C1289" s="1" t="n">
        <v>45937</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48214-2025</t>
        </is>
      </c>
      <c r="B1290" s="1" t="n">
        <v>45933.49465277778</v>
      </c>
      <c r="C1290" s="1" t="n">
        <v>45937</v>
      </c>
      <c r="D1290" t="inlineStr">
        <is>
          <t>VÄRMLANDS LÄN</t>
        </is>
      </c>
      <c r="E1290" t="inlineStr">
        <is>
          <t>TORSBY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61206-2024</t>
        </is>
      </c>
      <c r="B1291" s="1" t="n">
        <v>45645.64626157407</v>
      </c>
      <c r="C1291" s="1" t="n">
        <v>45937</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32983-2025</t>
        </is>
      </c>
      <c r="B1292" s="1" t="n">
        <v>45839.92967592592</v>
      </c>
      <c r="C1292" s="1" t="n">
        <v>45937</v>
      </c>
      <c r="D1292" t="inlineStr">
        <is>
          <t>VÄRMLANDS LÄN</t>
        </is>
      </c>
      <c r="E1292" t="inlineStr">
        <is>
          <t>TORSBY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17048-2025</t>
        </is>
      </c>
      <c r="B1293" s="1" t="n">
        <v>45754</v>
      </c>
      <c r="C1293" s="1" t="n">
        <v>45937</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6713-2023</t>
        </is>
      </c>
      <c r="B1294" s="1" t="n">
        <v>44960</v>
      </c>
      <c r="C1294" s="1" t="n">
        <v>45937</v>
      </c>
      <c r="D1294" t="inlineStr">
        <is>
          <t>VÄRMLANDS LÄN</t>
        </is>
      </c>
      <c r="E1294" t="inlineStr">
        <is>
          <t>TORSBY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33149-2025</t>
        </is>
      </c>
      <c r="B1295" s="1" t="n">
        <v>45840.54246527778</v>
      </c>
      <c r="C1295" s="1" t="n">
        <v>45937</v>
      </c>
      <c r="D1295" t="inlineStr">
        <is>
          <t>VÄRMLANDS LÄN</t>
        </is>
      </c>
      <c r="E1295" t="inlineStr">
        <is>
          <t>TORSBY</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33196-2025</t>
        </is>
      </c>
      <c r="B1296" s="1" t="n">
        <v>45840.60381944444</v>
      </c>
      <c r="C1296" s="1" t="n">
        <v>45937</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44820.43179398148</v>
      </c>
      <c r="C1297" s="1" t="n">
        <v>45937</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17153-2025</t>
        </is>
      </c>
      <c r="B1298" s="1" t="n">
        <v>45756</v>
      </c>
      <c r="C1298" s="1" t="n">
        <v>45937</v>
      </c>
      <c r="D1298" t="inlineStr">
        <is>
          <t>VÄRMLANDS LÄN</t>
        </is>
      </c>
      <c r="E1298" t="inlineStr">
        <is>
          <t>TORSBY</t>
        </is>
      </c>
      <c r="F1298" t="inlineStr">
        <is>
          <t>Bergvik skog väst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33189-2025</t>
        </is>
      </c>
      <c r="B1299" s="1" t="n">
        <v>45840.59884259259</v>
      </c>
      <c r="C1299" s="1" t="n">
        <v>45937</v>
      </c>
      <c r="D1299" t="inlineStr">
        <is>
          <t>VÄRMLANDS LÄN</t>
        </is>
      </c>
      <c r="E1299" t="inlineStr">
        <is>
          <t>TORSBY</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33192-2025</t>
        </is>
      </c>
      <c r="B1300" s="1" t="n">
        <v>45840.60081018518</v>
      </c>
      <c r="C1300" s="1" t="n">
        <v>45937</v>
      </c>
      <c r="D1300" t="inlineStr">
        <is>
          <t>VÄRMLANDS LÄN</t>
        </is>
      </c>
      <c r="E1300" t="inlineStr">
        <is>
          <t>TORSBY</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24580-2025</t>
        </is>
      </c>
      <c r="B1301" s="1" t="n">
        <v>45798</v>
      </c>
      <c r="C1301" s="1" t="n">
        <v>45937</v>
      </c>
      <c r="D1301" t="inlineStr">
        <is>
          <t>VÄRMLANDS LÄN</t>
        </is>
      </c>
      <c r="E1301" t="inlineStr">
        <is>
          <t>TORSBY</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375-2025</t>
        </is>
      </c>
      <c r="B1302" s="1" t="n">
        <v>45661</v>
      </c>
      <c r="C1302" s="1" t="n">
        <v>45937</v>
      </c>
      <c r="D1302" t="inlineStr">
        <is>
          <t>VÄRMLANDS LÄN</t>
        </is>
      </c>
      <c r="E1302" t="inlineStr">
        <is>
          <t>TORSBY</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10684-2024</t>
        </is>
      </c>
      <c r="B1303" s="1" t="n">
        <v>45369.37938657407</v>
      </c>
      <c r="C1303" s="1" t="n">
        <v>45937</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33161-2025</t>
        </is>
      </c>
      <c r="B1304" s="1" t="n">
        <v>45840.56846064814</v>
      </c>
      <c r="C1304" s="1" t="n">
        <v>45937</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47077-2023</t>
        </is>
      </c>
      <c r="B1305" s="1" t="n">
        <v>45201</v>
      </c>
      <c r="C1305" s="1" t="n">
        <v>45937</v>
      </c>
      <c r="D1305" t="inlineStr">
        <is>
          <t>VÄRMLANDS LÄN</t>
        </is>
      </c>
      <c r="E1305" t="inlineStr">
        <is>
          <t>TORSBY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15939-2021</t>
        </is>
      </c>
      <c r="B1306" s="1" t="n">
        <v>44287</v>
      </c>
      <c r="C1306" s="1" t="n">
        <v>45937</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32995-2025</t>
        </is>
      </c>
      <c r="B1307" s="1" t="n">
        <v>45839</v>
      </c>
      <c r="C1307" s="1" t="n">
        <v>45937</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39499-2025</t>
        </is>
      </c>
      <c r="B1308" s="1" t="n">
        <v>45890</v>
      </c>
      <c r="C1308" s="1" t="n">
        <v>45937</v>
      </c>
      <c r="D1308" t="inlineStr">
        <is>
          <t>VÄRMLANDS LÄN</t>
        </is>
      </c>
      <c r="E1308" t="inlineStr">
        <is>
          <t>TORSBY</t>
        </is>
      </c>
      <c r="F1308" t="inlineStr">
        <is>
          <t>Kommuner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36318-2022</t>
        </is>
      </c>
      <c r="B1309" s="1" t="n">
        <v>44803</v>
      </c>
      <c r="C1309" s="1" t="n">
        <v>45937</v>
      </c>
      <c r="D1309" t="inlineStr">
        <is>
          <t>VÄRMLANDS LÄN</t>
        </is>
      </c>
      <c r="E1309" t="inlineStr">
        <is>
          <t>TORSBY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12670-2023</t>
        </is>
      </c>
      <c r="B1310" s="1" t="n">
        <v>45000.58043981482</v>
      </c>
      <c r="C1310" s="1" t="n">
        <v>45937</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32710-2025</t>
        </is>
      </c>
      <c r="B1311" s="1" t="n">
        <v>45839.36722222222</v>
      </c>
      <c r="C1311" s="1" t="n">
        <v>45937</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12574-2025</t>
        </is>
      </c>
      <c r="B1312" s="1" t="n">
        <v>45732</v>
      </c>
      <c r="C1312" s="1" t="n">
        <v>45937</v>
      </c>
      <c r="D1312" t="inlineStr">
        <is>
          <t>VÄRMLANDS LÄN</t>
        </is>
      </c>
      <c r="E1312" t="inlineStr">
        <is>
          <t>TORSBY</t>
        </is>
      </c>
      <c r="G1312" t="n">
        <v>9.800000000000001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1092-2025</t>
        </is>
      </c>
      <c r="B1313" s="1" t="n">
        <v>45666.6333912037</v>
      </c>
      <c r="C1313" s="1" t="n">
        <v>45937</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21465-2022</t>
        </is>
      </c>
      <c r="B1314" s="1" t="n">
        <v>44706.38893518518</v>
      </c>
      <c r="C1314" s="1" t="n">
        <v>45937</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33146-2025</t>
        </is>
      </c>
      <c r="B1315" s="1" t="n">
        <v>45840.53549768519</v>
      </c>
      <c r="C1315" s="1" t="n">
        <v>45937</v>
      </c>
      <c r="D1315" t="inlineStr">
        <is>
          <t>VÄRMLANDS LÄN</t>
        </is>
      </c>
      <c r="E1315" t="inlineStr">
        <is>
          <t>TORSBY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1527-2024</t>
        </is>
      </c>
      <c r="B1316" s="1" t="n">
        <v>45306.45614583333</v>
      </c>
      <c r="C1316" s="1" t="n">
        <v>45937</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23818-2022</t>
        </is>
      </c>
      <c r="B1317" s="1" t="n">
        <v>44722</v>
      </c>
      <c r="C1317" s="1" t="n">
        <v>45937</v>
      </c>
      <c r="D1317" t="inlineStr">
        <is>
          <t>VÄRMLANDS LÄN</t>
        </is>
      </c>
      <c r="E1317" t="inlineStr">
        <is>
          <t>TORSBY</t>
        </is>
      </c>
      <c r="G1317" t="n">
        <v>23.5</v>
      </c>
      <c r="H1317" t="n">
        <v>0</v>
      </c>
      <c r="I1317" t="n">
        <v>0</v>
      </c>
      <c r="J1317" t="n">
        <v>0</v>
      </c>
      <c r="K1317" t="n">
        <v>0</v>
      </c>
      <c r="L1317" t="n">
        <v>0</v>
      </c>
      <c r="M1317" t="n">
        <v>0</v>
      </c>
      <c r="N1317" t="n">
        <v>0</v>
      </c>
      <c r="O1317" t="n">
        <v>0</v>
      </c>
      <c r="P1317" t="n">
        <v>0</v>
      </c>
      <c r="Q1317" t="n">
        <v>0</v>
      </c>
      <c r="R1317" s="2" t="inlineStr"/>
    </row>
    <row r="1318" ht="15" customHeight="1">
      <c r="A1318" t="inlineStr">
        <is>
          <t>A 42347-2021</t>
        </is>
      </c>
      <c r="B1318" s="1" t="n">
        <v>44427</v>
      </c>
      <c r="C1318" s="1" t="n">
        <v>45937</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17754-2025</t>
        </is>
      </c>
      <c r="B1319" s="1" t="n">
        <v>45758</v>
      </c>
      <c r="C1319" s="1" t="n">
        <v>45937</v>
      </c>
      <c r="D1319" t="inlineStr">
        <is>
          <t>VÄRMLANDS LÄN</t>
        </is>
      </c>
      <c r="E1319" t="inlineStr">
        <is>
          <t>TORSBY</t>
        </is>
      </c>
      <c r="F1319" t="inlineStr">
        <is>
          <t>Bergvik skog väst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29908-2022</t>
        </is>
      </c>
      <c r="B1320" s="1" t="n">
        <v>44756</v>
      </c>
      <c r="C1320" s="1" t="n">
        <v>45937</v>
      </c>
      <c r="D1320" t="inlineStr">
        <is>
          <t>VÄRMLANDS LÄN</t>
        </is>
      </c>
      <c r="E1320" t="inlineStr">
        <is>
          <t>TORSBY</t>
        </is>
      </c>
      <c r="F1320" t="inlineStr">
        <is>
          <t>Kommuner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35134-2022</t>
        </is>
      </c>
      <c r="B1321" s="1" t="n">
        <v>44797</v>
      </c>
      <c r="C1321" s="1" t="n">
        <v>45937</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15873-2025</t>
        </is>
      </c>
      <c r="B1322" s="1" t="n">
        <v>45749.3759375</v>
      </c>
      <c r="C1322" s="1" t="n">
        <v>45937</v>
      </c>
      <c r="D1322" t="inlineStr">
        <is>
          <t>VÄRMLANDS LÄN</t>
        </is>
      </c>
      <c r="E1322" t="inlineStr">
        <is>
          <t>TORSBY</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29990-2022</t>
        </is>
      </c>
      <c r="B1323" s="1" t="n">
        <v>44756.73530092592</v>
      </c>
      <c r="C1323" s="1" t="n">
        <v>45937</v>
      </c>
      <c r="D1323" t="inlineStr">
        <is>
          <t>VÄRMLANDS LÄN</t>
        </is>
      </c>
      <c r="E1323" t="inlineStr">
        <is>
          <t>TORSBY</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17184-2023</t>
        </is>
      </c>
      <c r="B1324" s="1" t="n">
        <v>45034.69127314815</v>
      </c>
      <c r="C1324" s="1" t="n">
        <v>45937</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33712-2025</t>
        </is>
      </c>
      <c r="B1325" s="1" t="n">
        <v>45841</v>
      </c>
      <c r="C1325" s="1" t="n">
        <v>45937</v>
      </c>
      <c r="D1325" t="inlineStr">
        <is>
          <t>VÄRMLANDS LÄN</t>
        </is>
      </c>
      <c r="E1325" t="inlineStr">
        <is>
          <t>TORSBY</t>
        </is>
      </c>
      <c r="F1325" t="inlineStr">
        <is>
          <t>Bergvik skog väst AB</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33897-2025</t>
        </is>
      </c>
      <c r="B1326" s="1" t="n">
        <v>45842</v>
      </c>
      <c r="C1326" s="1" t="n">
        <v>45937</v>
      </c>
      <c r="D1326" t="inlineStr">
        <is>
          <t>VÄRMLANDS LÄN</t>
        </is>
      </c>
      <c r="E1326" t="inlineStr">
        <is>
          <t>TORSBY</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17065-2025</t>
        </is>
      </c>
      <c r="B1327" s="1" t="n">
        <v>45754</v>
      </c>
      <c r="C1327" s="1" t="n">
        <v>45937</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14801-2025</t>
        </is>
      </c>
      <c r="B1328" s="1" t="n">
        <v>45743</v>
      </c>
      <c r="C1328" s="1" t="n">
        <v>45937</v>
      </c>
      <c r="D1328" t="inlineStr">
        <is>
          <t>VÄRMLANDS LÄN</t>
        </is>
      </c>
      <c r="E1328" t="inlineStr">
        <is>
          <t>TORSBY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33567-2025</t>
        </is>
      </c>
      <c r="B1329" s="1" t="n">
        <v>45841.58232638889</v>
      </c>
      <c r="C1329" s="1" t="n">
        <v>45937</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8018-2025</t>
        </is>
      </c>
      <c r="B1330" s="1" t="n">
        <v>45707</v>
      </c>
      <c r="C1330" s="1" t="n">
        <v>45937</v>
      </c>
      <c r="D1330" t="inlineStr">
        <is>
          <t>VÄRMLANDS LÄN</t>
        </is>
      </c>
      <c r="E1330" t="inlineStr">
        <is>
          <t>TORSBY</t>
        </is>
      </c>
      <c r="G1330" t="n">
        <v>22.6</v>
      </c>
      <c r="H1330" t="n">
        <v>0</v>
      </c>
      <c r="I1330" t="n">
        <v>0</v>
      </c>
      <c r="J1330" t="n">
        <v>0</v>
      </c>
      <c r="K1330" t="n">
        <v>0</v>
      </c>
      <c r="L1330" t="n">
        <v>0</v>
      </c>
      <c r="M1330" t="n">
        <v>0</v>
      </c>
      <c r="N1330" t="n">
        <v>0</v>
      </c>
      <c r="O1330" t="n">
        <v>0</v>
      </c>
      <c r="P1330" t="n">
        <v>0</v>
      </c>
      <c r="Q1330" t="n">
        <v>0</v>
      </c>
      <c r="R1330" s="2" t="inlineStr"/>
    </row>
    <row r="1331" ht="15" customHeight="1">
      <c r="A1331" t="inlineStr">
        <is>
          <t>A 6968-2025</t>
        </is>
      </c>
      <c r="B1331" s="1" t="n">
        <v>45701.53253472222</v>
      </c>
      <c r="C1331" s="1" t="n">
        <v>45937</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16309-2023</t>
        </is>
      </c>
      <c r="B1332" s="1" t="n">
        <v>45028.58873842593</v>
      </c>
      <c r="C1332" s="1" t="n">
        <v>45937</v>
      </c>
      <c r="D1332" t="inlineStr">
        <is>
          <t>VÄRMLANDS LÄN</t>
        </is>
      </c>
      <c r="E1332" t="inlineStr">
        <is>
          <t>TORSBY</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30011-2024</t>
        </is>
      </c>
      <c r="B1333" s="1" t="n">
        <v>45488</v>
      </c>
      <c r="C1333" s="1" t="n">
        <v>45937</v>
      </c>
      <c r="D1333" t="inlineStr">
        <is>
          <t>VÄRMLANDS LÄN</t>
        </is>
      </c>
      <c r="E1333" t="inlineStr">
        <is>
          <t>TORSBY</t>
        </is>
      </c>
      <c r="F1333" t="inlineStr">
        <is>
          <t>Kommuner</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34353-2025</t>
        </is>
      </c>
      <c r="B1334" s="1" t="n">
        <v>45846.4775</v>
      </c>
      <c r="C1334" s="1" t="n">
        <v>45937</v>
      </c>
      <c r="D1334" t="inlineStr">
        <is>
          <t>VÄRMLANDS LÄN</t>
        </is>
      </c>
      <c r="E1334" t="inlineStr">
        <is>
          <t>TORSBY</t>
        </is>
      </c>
      <c r="G1334" t="n">
        <v>14.5</v>
      </c>
      <c r="H1334" t="n">
        <v>0</v>
      </c>
      <c r="I1334" t="n">
        <v>0</v>
      </c>
      <c r="J1334" t="n">
        <v>0</v>
      </c>
      <c r="K1334" t="n">
        <v>0</v>
      </c>
      <c r="L1334" t="n">
        <v>0</v>
      </c>
      <c r="M1334" t="n">
        <v>0</v>
      </c>
      <c r="N1334" t="n">
        <v>0</v>
      </c>
      <c r="O1334" t="n">
        <v>0</v>
      </c>
      <c r="P1334" t="n">
        <v>0</v>
      </c>
      <c r="Q1334" t="n">
        <v>0</v>
      </c>
      <c r="R1334" s="2" t="inlineStr"/>
    </row>
    <row r="1335" ht="15" customHeight="1">
      <c r="A1335" t="inlineStr">
        <is>
          <t>A 34355-2025</t>
        </is>
      </c>
      <c r="B1335" s="1" t="n">
        <v>45846.48114583334</v>
      </c>
      <c r="C1335" s="1" t="n">
        <v>45937</v>
      </c>
      <c r="D1335" t="inlineStr">
        <is>
          <t>VÄRMLANDS LÄN</t>
        </is>
      </c>
      <c r="E1335" t="inlineStr">
        <is>
          <t>TORSBY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34358-2025</t>
        </is>
      </c>
      <c r="B1336" s="1" t="n">
        <v>45846.48637731482</v>
      </c>
      <c r="C1336" s="1" t="n">
        <v>45937</v>
      </c>
      <c r="D1336" t="inlineStr">
        <is>
          <t>VÄRMLANDS LÄN</t>
        </is>
      </c>
      <c r="E1336" t="inlineStr">
        <is>
          <t>TORSBY</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44708-2022</t>
        </is>
      </c>
      <c r="B1337" s="1" t="n">
        <v>44840.73633101852</v>
      </c>
      <c r="C1337" s="1" t="n">
        <v>45937</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10329-2025</t>
        </is>
      </c>
      <c r="B1338" s="1" t="n">
        <v>45720</v>
      </c>
      <c r="C1338" s="1" t="n">
        <v>45937</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10343-2025</t>
        </is>
      </c>
      <c r="B1339" s="1" t="n">
        <v>45720</v>
      </c>
      <c r="C1339" s="1" t="n">
        <v>45937</v>
      </c>
      <c r="D1339" t="inlineStr">
        <is>
          <t>VÄRMLANDS LÄN</t>
        </is>
      </c>
      <c r="E1339" t="inlineStr">
        <is>
          <t>TORSBY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34398-2025</t>
        </is>
      </c>
      <c r="B1340" s="1" t="n">
        <v>45846.60688657407</v>
      </c>
      <c r="C1340" s="1" t="n">
        <v>45937</v>
      </c>
      <c r="D1340" t="inlineStr">
        <is>
          <t>VÄRMLANDS LÄN</t>
        </is>
      </c>
      <c r="E1340" t="inlineStr">
        <is>
          <t>TORSBY</t>
        </is>
      </c>
      <c r="F1340" t="inlineStr">
        <is>
          <t>Bergvik skog väst AB</t>
        </is>
      </c>
      <c r="G1340" t="n">
        <v>22.3</v>
      </c>
      <c r="H1340" t="n">
        <v>0</v>
      </c>
      <c r="I1340" t="n">
        <v>0</v>
      </c>
      <c r="J1340" t="n">
        <v>0</v>
      </c>
      <c r="K1340" t="n">
        <v>0</v>
      </c>
      <c r="L1340" t="n">
        <v>0</v>
      </c>
      <c r="M1340" t="n">
        <v>0</v>
      </c>
      <c r="N1340" t="n">
        <v>0</v>
      </c>
      <c r="O1340" t="n">
        <v>0</v>
      </c>
      <c r="P1340" t="n">
        <v>0</v>
      </c>
      <c r="Q1340" t="n">
        <v>0</v>
      </c>
      <c r="R1340" s="2" t="inlineStr"/>
    </row>
    <row r="1341" ht="15" customHeight="1">
      <c r="A1341" t="inlineStr">
        <is>
          <t>A 34372-2025</t>
        </is>
      </c>
      <c r="B1341" s="1" t="n">
        <v>45846.5134837963</v>
      </c>
      <c r="C1341" s="1" t="n">
        <v>45937</v>
      </c>
      <c r="D1341" t="inlineStr">
        <is>
          <t>VÄRMLANDS LÄN</t>
        </is>
      </c>
      <c r="E1341" t="inlineStr">
        <is>
          <t>TORSBY</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34365-2025</t>
        </is>
      </c>
      <c r="B1342" s="1" t="n">
        <v>45846.49326388889</v>
      </c>
      <c r="C1342" s="1" t="n">
        <v>45937</v>
      </c>
      <c r="D1342" t="inlineStr">
        <is>
          <t>VÄRMLANDS LÄN</t>
        </is>
      </c>
      <c r="E1342" t="inlineStr">
        <is>
          <t>TORSBY</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51843-2022</t>
        </is>
      </c>
      <c r="B1343" s="1" t="n">
        <v>44872</v>
      </c>
      <c r="C1343" s="1" t="n">
        <v>45937</v>
      </c>
      <c r="D1343" t="inlineStr">
        <is>
          <t>VÄRMLANDS LÄN</t>
        </is>
      </c>
      <c r="E1343" t="inlineStr">
        <is>
          <t>TORSBY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37279-2022</t>
        </is>
      </c>
      <c r="B1344" s="1" t="n">
        <v>44807</v>
      </c>
      <c r="C1344" s="1" t="n">
        <v>45937</v>
      </c>
      <c r="D1344" t="inlineStr">
        <is>
          <t>VÄRMLANDS LÄN</t>
        </is>
      </c>
      <c r="E1344" t="inlineStr">
        <is>
          <t>TORSBY</t>
        </is>
      </c>
      <c r="G1344" t="n">
        <v>18.2</v>
      </c>
      <c r="H1344" t="n">
        <v>0</v>
      </c>
      <c r="I1344" t="n">
        <v>0</v>
      </c>
      <c r="J1344" t="n">
        <v>0</v>
      </c>
      <c r="K1344" t="n">
        <v>0</v>
      </c>
      <c r="L1344" t="n">
        <v>0</v>
      </c>
      <c r="M1344" t="n">
        <v>0</v>
      </c>
      <c r="N1344" t="n">
        <v>0</v>
      </c>
      <c r="O1344" t="n">
        <v>0</v>
      </c>
      <c r="P1344" t="n">
        <v>0</v>
      </c>
      <c r="Q1344" t="n">
        <v>0</v>
      </c>
      <c r="R1344" s="2" t="inlineStr"/>
    </row>
    <row r="1345" ht="15" customHeight="1">
      <c r="A1345" t="inlineStr">
        <is>
          <t>A 56571-2024</t>
        </is>
      </c>
      <c r="B1345" s="1" t="n">
        <v>45625</v>
      </c>
      <c r="C1345" s="1" t="n">
        <v>45937</v>
      </c>
      <c r="D1345" t="inlineStr">
        <is>
          <t>VÄRMLANDS LÄN</t>
        </is>
      </c>
      <c r="E1345" t="inlineStr">
        <is>
          <t>TORSBY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34388-2025</t>
        </is>
      </c>
      <c r="B1346" s="1" t="n">
        <v>45846.57305555556</v>
      </c>
      <c r="C1346" s="1" t="n">
        <v>45937</v>
      </c>
      <c r="D1346" t="inlineStr">
        <is>
          <t>VÄRMLANDS LÄN</t>
        </is>
      </c>
      <c r="E1346" t="inlineStr">
        <is>
          <t>TORSBY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34140-2025</t>
        </is>
      </c>
      <c r="B1347" s="1" t="n">
        <v>45845.54896990741</v>
      </c>
      <c r="C1347" s="1" t="n">
        <v>45937</v>
      </c>
      <c r="D1347" t="inlineStr">
        <is>
          <t>VÄRMLANDS LÄN</t>
        </is>
      </c>
      <c r="E1347" t="inlineStr">
        <is>
          <t>TORSBY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34137-2025</t>
        </is>
      </c>
      <c r="B1348" s="1" t="n">
        <v>45845.54340277778</v>
      </c>
      <c r="C1348" s="1" t="n">
        <v>45937</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34138-2025</t>
        </is>
      </c>
      <c r="B1349" s="1" t="n">
        <v>45845.54486111111</v>
      </c>
      <c r="C1349" s="1" t="n">
        <v>45937</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34146-2025</t>
        </is>
      </c>
      <c r="B1350" s="1" t="n">
        <v>45845.56008101852</v>
      </c>
      <c r="C1350" s="1" t="n">
        <v>45937</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34363-2025</t>
        </is>
      </c>
      <c r="B1351" s="1" t="n">
        <v>45846.49144675926</v>
      </c>
      <c r="C1351" s="1" t="n">
        <v>45937</v>
      </c>
      <c r="D1351" t="inlineStr">
        <is>
          <t>VÄRMLANDS LÄN</t>
        </is>
      </c>
      <c r="E1351" t="inlineStr">
        <is>
          <t>TORSBY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34370-2025</t>
        </is>
      </c>
      <c r="B1352" s="1" t="n">
        <v>45846.51056712963</v>
      </c>
      <c r="C1352" s="1" t="n">
        <v>45937</v>
      </c>
      <c r="D1352" t="inlineStr">
        <is>
          <t>VÄRMLANDS LÄN</t>
        </is>
      </c>
      <c r="E1352" t="inlineStr">
        <is>
          <t>TORSBY</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18576-2025</t>
        </is>
      </c>
      <c r="B1353" s="1" t="n">
        <v>45763</v>
      </c>
      <c r="C1353" s="1" t="n">
        <v>45937</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18584-2025</t>
        </is>
      </c>
      <c r="B1354" s="1" t="n">
        <v>45763.46973379629</v>
      </c>
      <c r="C1354" s="1" t="n">
        <v>45937</v>
      </c>
      <c r="D1354" t="inlineStr">
        <is>
          <t>VÄRMLANDS LÄN</t>
        </is>
      </c>
      <c r="E1354" t="inlineStr">
        <is>
          <t>TORSBY</t>
        </is>
      </c>
      <c r="F1354" t="inlineStr">
        <is>
          <t>Kyrkan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4219-2024</t>
        </is>
      </c>
      <c r="B1355" s="1" t="n">
        <v>45324</v>
      </c>
      <c r="C1355" s="1" t="n">
        <v>45937</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731-2024</t>
        </is>
      </c>
      <c r="B1356" s="1" t="n">
        <v>45300</v>
      </c>
      <c r="C1356" s="1" t="n">
        <v>45937</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34046-2025</t>
        </is>
      </c>
      <c r="B1357" s="1" t="n">
        <v>45845.38671296297</v>
      </c>
      <c r="C1357" s="1" t="n">
        <v>45937</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34268-2025</t>
        </is>
      </c>
      <c r="B1358" s="1" t="n">
        <v>45845</v>
      </c>
      <c r="C1358" s="1" t="n">
        <v>45937</v>
      </c>
      <c r="D1358" t="inlineStr">
        <is>
          <t>VÄRMLANDS LÄN</t>
        </is>
      </c>
      <c r="E1358" t="inlineStr">
        <is>
          <t>TORSBY</t>
        </is>
      </c>
      <c r="F1358" t="inlineStr">
        <is>
          <t>Bergvik skog väst AB</t>
        </is>
      </c>
      <c r="G1358" t="n">
        <v>19.7</v>
      </c>
      <c r="H1358" t="n">
        <v>0</v>
      </c>
      <c r="I1358" t="n">
        <v>0</v>
      </c>
      <c r="J1358" t="n">
        <v>0</v>
      </c>
      <c r="K1358" t="n">
        <v>0</v>
      </c>
      <c r="L1358" t="n">
        <v>0</v>
      </c>
      <c r="M1358" t="n">
        <v>0</v>
      </c>
      <c r="N1358" t="n">
        <v>0</v>
      </c>
      <c r="O1358" t="n">
        <v>0</v>
      </c>
      <c r="P1358" t="n">
        <v>0</v>
      </c>
      <c r="Q1358" t="n">
        <v>0</v>
      </c>
      <c r="R1358" s="2" t="inlineStr"/>
    </row>
    <row r="1359" ht="15" customHeight="1">
      <c r="A1359" t="inlineStr">
        <is>
          <t>A 41377-2021</t>
        </is>
      </c>
      <c r="B1359" s="1" t="n">
        <v>44424.65148148148</v>
      </c>
      <c r="C1359" s="1" t="n">
        <v>45937</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18544-2023</t>
        </is>
      </c>
      <c r="B1360" s="1" t="n">
        <v>45041</v>
      </c>
      <c r="C1360" s="1" t="n">
        <v>45937</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8281-2023</t>
        </is>
      </c>
      <c r="B1361" s="1" t="n">
        <v>44974</v>
      </c>
      <c r="C1361" s="1" t="n">
        <v>45937</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67457-2021</t>
        </is>
      </c>
      <c r="B1362" s="1" t="n">
        <v>44524</v>
      </c>
      <c r="C1362" s="1" t="n">
        <v>45937</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34136-2025</t>
        </is>
      </c>
      <c r="B1363" s="1" t="n">
        <v>45845.54184027778</v>
      </c>
      <c r="C1363" s="1" t="n">
        <v>45937</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34145-2025</t>
        </is>
      </c>
      <c r="B1364" s="1" t="n">
        <v>45845.55372685185</v>
      </c>
      <c r="C1364" s="1" t="n">
        <v>45937</v>
      </c>
      <c r="D1364" t="inlineStr">
        <is>
          <t>VÄRMLANDS LÄN</t>
        </is>
      </c>
      <c r="E1364" t="inlineStr">
        <is>
          <t>TORSBY</t>
        </is>
      </c>
      <c r="G1364" t="n">
        <v>19.2</v>
      </c>
      <c r="H1364" t="n">
        <v>0</v>
      </c>
      <c r="I1364" t="n">
        <v>0</v>
      </c>
      <c r="J1364" t="n">
        <v>0</v>
      </c>
      <c r="K1364" t="n">
        <v>0</v>
      </c>
      <c r="L1364" t="n">
        <v>0</v>
      </c>
      <c r="M1364" t="n">
        <v>0</v>
      </c>
      <c r="N1364" t="n">
        <v>0</v>
      </c>
      <c r="O1364" t="n">
        <v>0</v>
      </c>
      <c r="P1364" t="n">
        <v>0</v>
      </c>
      <c r="Q1364" t="n">
        <v>0</v>
      </c>
      <c r="R1364" s="2" t="inlineStr"/>
    </row>
    <row r="1365" ht="15" customHeight="1">
      <c r="A1365" t="inlineStr">
        <is>
          <t>A 34179-2025</t>
        </is>
      </c>
      <c r="B1365" s="1" t="n">
        <v>45845</v>
      </c>
      <c r="C1365" s="1" t="n">
        <v>45937</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34399-2025</t>
        </is>
      </c>
      <c r="B1366" s="1" t="n">
        <v>45846.610625</v>
      </c>
      <c r="C1366" s="1" t="n">
        <v>45937</v>
      </c>
      <c r="D1366" t="inlineStr">
        <is>
          <t>VÄRMLANDS LÄN</t>
        </is>
      </c>
      <c r="E1366" t="inlineStr">
        <is>
          <t>TORSBY</t>
        </is>
      </c>
      <c r="F1366" t="inlineStr">
        <is>
          <t>Bergvik skog väst AB</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33853-2021</t>
        </is>
      </c>
      <c r="B1367" s="1" t="n">
        <v>44378.61460648148</v>
      </c>
      <c r="C1367" s="1" t="n">
        <v>45937</v>
      </c>
      <c r="D1367" t="inlineStr">
        <is>
          <t>VÄRMLANDS LÄN</t>
        </is>
      </c>
      <c r="E1367" t="inlineStr">
        <is>
          <t>TORSBY</t>
        </is>
      </c>
      <c r="F1367" t="inlineStr">
        <is>
          <t>Bergvik skog väst AB</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16362-2025</t>
        </is>
      </c>
      <c r="B1368" s="1" t="n">
        <v>45751</v>
      </c>
      <c r="C1368" s="1" t="n">
        <v>45937</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32444-2022</t>
        </is>
      </c>
      <c r="B1369" s="1" t="n">
        <v>44782</v>
      </c>
      <c r="C1369" s="1" t="n">
        <v>45937</v>
      </c>
      <c r="D1369" t="inlineStr">
        <is>
          <t>VÄRMLANDS LÄN</t>
        </is>
      </c>
      <c r="E1369" t="inlineStr">
        <is>
          <t>TORSBY</t>
        </is>
      </c>
      <c r="F1369" t="inlineStr">
        <is>
          <t>Bergvik skog väst AB</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32496-2022</t>
        </is>
      </c>
      <c r="B1370" s="1" t="n">
        <v>44782</v>
      </c>
      <c r="C1370" s="1" t="n">
        <v>45937</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34792-2025</t>
        </is>
      </c>
      <c r="B1371" s="1" t="n">
        <v>45848.70331018518</v>
      </c>
      <c r="C1371" s="1" t="n">
        <v>45937</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34517-2025</t>
        </is>
      </c>
      <c r="B1372" s="1" t="n">
        <v>45847.46900462963</v>
      </c>
      <c r="C1372" s="1" t="n">
        <v>45937</v>
      </c>
      <c r="D1372" t="inlineStr">
        <is>
          <t>VÄRMLANDS LÄN</t>
        </is>
      </c>
      <c r="E1372" t="inlineStr">
        <is>
          <t>TORSBY</t>
        </is>
      </c>
      <c r="F1372" t="inlineStr">
        <is>
          <t>Övriga Aktiebolag</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40807-2024</t>
        </is>
      </c>
      <c r="B1373" s="1" t="n">
        <v>45558</v>
      </c>
      <c r="C1373" s="1" t="n">
        <v>45937</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34533-2025</t>
        </is>
      </c>
      <c r="B1374" s="1" t="n">
        <v>45847.50868055555</v>
      </c>
      <c r="C1374" s="1" t="n">
        <v>45937</v>
      </c>
      <c r="D1374" t="inlineStr">
        <is>
          <t>VÄRMLANDS LÄN</t>
        </is>
      </c>
      <c r="E1374" t="inlineStr">
        <is>
          <t>TORSBY</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15022-2025</t>
        </is>
      </c>
      <c r="B1375" s="1" t="n">
        <v>45743</v>
      </c>
      <c r="C1375" s="1" t="n">
        <v>45937</v>
      </c>
      <c r="D1375" t="inlineStr">
        <is>
          <t>VÄRMLANDS LÄN</t>
        </is>
      </c>
      <c r="E1375" t="inlineStr">
        <is>
          <t>TORSBY</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40009-2022</t>
        </is>
      </c>
      <c r="B1376" s="1" t="n">
        <v>44820</v>
      </c>
      <c r="C1376" s="1" t="n">
        <v>45937</v>
      </c>
      <c r="D1376" t="inlineStr">
        <is>
          <t>VÄRMLANDS LÄN</t>
        </is>
      </c>
      <c r="E1376" t="inlineStr">
        <is>
          <t>TORSBY</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34480-2025</t>
        </is>
      </c>
      <c r="B1377" s="1" t="n">
        <v>45847.37582175926</v>
      </c>
      <c r="C1377" s="1" t="n">
        <v>45937</v>
      </c>
      <c r="D1377" t="inlineStr">
        <is>
          <t>VÄRMLANDS LÄN</t>
        </is>
      </c>
      <c r="E1377" t="inlineStr">
        <is>
          <t>TORSBY</t>
        </is>
      </c>
      <c r="F1377" t="inlineStr">
        <is>
          <t>Övriga Aktiebolag</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34495-2025</t>
        </is>
      </c>
      <c r="B1378" s="1" t="n">
        <v>45847.42686342593</v>
      </c>
      <c r="C1378" s="1" t="n">
        <v>45937</v>
      </c>
      <c r="D1378" t="inlineStr">
        <is>
          <t>VÄRMLANDS LÄN</t>
        </is>
      </c>
      <c r="E1378" t="inlineStr">
        <is>
          <t>TORSBY</t>
        </is>
      </c>
      <c r="F1378" t="inlineStr">
        <is>
          <t>Övriga Aktiebolag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34451-2025</t>
        </is>
      </c>
      <c r="B1379" s="1" t="n">
        <v>45846.85114583333</v>
      </c>
      <c r="C1379" s="1" t="n">
        <v>45937</v>
      </c>
      <c r="D1379" t="inlineStr">
        <is>
          <t>VÄRMLANDS LÄN</t>
        </is>
      </c>
      <c r="E1379" t="inlineStr">
        <is>
          <t>TORSBY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57647-2023</t>
        </is>
      </c>
      <c r="B1380" s="1" t="n">
        <v>45246.59627314815</v>
      </c>
      <c r="C1380" s="1" t="n">
        <v>45937</v>
      </c>
      <c r="D1380" t="inlineStr">
        <is>
          <t>VÄRMLANDS LÄN</t>
        </is>
      </c>
      <c r="E1380" t="inlineStr">
        <is>
          <t>TORSBY</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924-2024</t>
        </is>
      </c>
      <c r="B1381" s="1" t="n">
        <v>45301</v>
      </c>
      <c r="C1381" s="1" t="n">
        <v>45937</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67933-2021</t>
        </is>
      </c>
      <c r="B1382" s="1" t="n">
        <v>44525</v>
      </c>
      <c r="C1382" s="1" t="n">
        <v>45937</v>
      </c>
      <c r="D1382" t="inlineStr">
        <is>
          <t>VÄRMLANDS LÄN</t>
        </is>
      </c>
      <c r="E1382" t="inlineStr">
        <is>
          <t>TORSBY</t>
        </is>
      </c>
      <c r="F1382" t="inlineStr">
        <is>
          <t>Bergvik skog väst AB</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31316-2025</t>
        </is>
      </c>
      <c r="B1383" s="1" t="n">
        <v>45833.40241898148</v>
      </c>
      <c r="C1383" s="1" t="n">
        <v>45937</v>
      </c>
      <c r="D1383" t="inlineStr">
        <is>
          <t>VÄRMLANDS LÄN</t>
        </is>
      </c>
      <c r="E1383" t="inlineStr">
        <is>
          <t>TORSBY</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37822-2023</t>
        </is>
      </c>
      <c r="B1384" s="1" t="n">
        <v>45160.30215277777</v>
      </c>
      <c r="C1384" s="1" t="n">
        <v>45937</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30789-2024</t>
        </is>
      </c>
      <c r="B1385" s="1" t="n">
        <v>45497.178125</v>
      </c>
      <c r="C1385" s="1" t="n">
        <v>45937</v>
      </c>
      <c r="D1385" t="inlineStr">
        <is>
          <t>VÄRMLANDS LÄN</t>
        </is>
      </c>
      <c r="E1385" t="inlineStr">
        <is>
          <t>TORSBY</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34997-2025</t>
        </is>
      </c>
      <c r="B1386" s="1" t="n">
        <v>45849.87340277778</v>
      </c>
      <c r="C1386" s="1" t="n">
        <v>45937</v>
      </c>
      <c r="D1386" t="inlineStr">
        <is>
          <t>VÄRMLANDS LÄN</t>
        </is>
      </c>
      <c r="E1386" t="inlineStr">
        <is>
          <t>TORSBY</t>
        </is>
      </c>
      <c r="G1386" t="n">
        <v>24.4</v>
      </c>
      <c r="H1386" t="n">
        <v>0</v>
      </c>
      <c r="I1386" t="n">
        <v>0</v>
      </c>
      <c r="J1386" t="n">
        <v>0</v>
      </c>
      <c r="K1386" t="n">
        <v>0</v>
      </c>
      <c r="L1386" t="n">
        <v>0</v>
      </c>
      <c r="M1386" t="n">
        <v>0</v>
      </c>
      <c r="N1386" t="n">
        <v>0</v>
      </c>
      <c r="O1386" t="n">
        <v>0</v>
      </c>
      <c r="P1386" t="n">
        <v>0</v>
      </c>
      <c r="Q1386" t="n">
        <v>0</v>
      </c>
      <c r="R1386" s="2" t="inlineStr"/>
    </row>
    <row r="1387" ht="15" customHeight="1">
      <c r="A1387" t="inlineStr">
        <is>
          <t>A 38184-2024</t>
        </is>
      </c>
      <c r="B1387" s="1" t="n">
        <v>45545</v>
      </c>
      <c r="C1387" s="1" t="n">
        <v>45937</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61546-2024</t>
        </is>
      </c>
      <c r="B1388" s="1" t="n">
        <v>45645</v>
      </c>
      <c r="C1388" s="1" t="n">
        <v>45937</v>
      </c>
      <c r="D1388" t="inlineStr">
        <is>
          <t>VÄRMLANDS LÄN</t>
        </is>
      </c>
      <c r="E1388" t="inlineStr">
        <is>
          <t>TORSBY</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34717-2024</t>
        </is>
      </c>
      <c r="B1389" s="1" t="n">
        <v>45526.56409722222</v>
      </c>
      <c r="C1389" s="1" t="n">
        <v>45937</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33782-2023</t>
        </is>
      </c>
      <c r="B1390" s="1" t="n">
        <v>45120</v>
      </c>
      <c r="C1390" s="1" t="n">
        <v>45937</v>
      </c>
      <c r="D1390" t="inlineStr">
        <is>
          <t>VÄRMLANDS LÄN</t>
        </is>
      </c>
      <c r="E1390" t="inlineStr">
        <is>
          <t>TORSBY</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54532-2023</t>
        </is>
      </c>
      <c r="B1391" s="1" t="n">
        <v>45233</v>
      </c>
      <c r="C1391" s="1" t="n">
        <v>45937</v>
      </c>
      <c r="D1391" t="inlineStr">
        <is>
          <t>VÄRMLANDS LÄN</t>
        </is>
      </c>
      <c r="E1391" t="inlineStr">
        <is>
          <t>TORSBY</t>
        </is>
      </c>
      <c r="F1391" t="inlineStr">
        <is>
          <t>Bergvik skog väst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58304-2024</t>
        </is>
      </c>
      <c r="B1392" s="1" t="n">
        <v>45632</v>
      </c>
      <c r="C1392" s="1" t="n">
        <v>45937</v>
      </c>
      <c r="D1392" t="inlineStr">
        <is>
          <t>VÄRMLANDS LÄN</t>
        </is>
      </c>
      <c r="E1392" t="inlineStr">
        <is>
          <t>TORSBY</t>
        </is>
      </c>
      <c r="F1392" t="inlineStr">
        <is>
          <t>Bergvik skog väst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20985-2024</t>
        </is>
      </c>
      <c r="B1393" s="1" t="n">
        <v>45439</v>
      </c>
      <c r="C1393" s="1" t="n">
        <v>45937</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3160-2021</t>
        </is>
      </c>
      <c r="B1394" s="1" t="n">
        <v>44217</v>
      </c>
      <c r="C1394" s="1" t="n">
        <v>45937</v>
      </c>
      <c r="D1394" t="inlineStr">
        <is>
          <t>VÄRMLANDS LÄN</t>
        </is>
      </c>
      <c r="E1394" t="inlineStr">
        <is>
          <t>TORSBY</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34846-2025</t>
        </is>
      </c>
      <c r="B1395" s="1" t="n">
        <v>45849.41454861111</v>
      </c>
      <c r="C1395" s="1" t="n">
        <v>45937</v>
      </c>
      <c r="D1395" t="inlineStr">
        <is>
          <t>VÄRMLANDS LÄN</t>
        </is>
      </c>
      <c r="E1395" t="inlineStr">
        <is>
          <t>TORSBY</t>
        </is>
      </c>
      <c r="F1395" t="inlineStr">
        <is>
          <t>Bergvik skog väst AB</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15931-2025</t>
        </is>
      </c>
      <c r="B1396" s="1" t="n">
        <v>45749.46791666667</v>
      </c>
      <c r="C1396" s="1" t="n">
        <v>45937</v>
      </c>
      <c r="D1396" t="inlineStr">
        <is>
          <t>VÄRMLANDS LÄN</t>
        </is>
      </c>
      <c r="E1396" t="inlineStr">
        <is>
          <t>TORSBY</t>
        </is>
      </c>
      <c r="F1396" t="inlineStr">
        <is>
          <t>Bergvik skog väst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52460-2020</t>
        </is>
      </c>
      <c r="B1397" s="1" t="n">
        <v>44116</v>
      </c>
      <c r="C1397" s="1" t="n">
        <v>45937</v>
      </c>
      <c r="D1397" t="inlineStr">
        <is>
          <t>VÄRMLANDS LÄN</t>
        </is>
      </c>
      <c r="E1397" t="inlineStr">
        <is>
          <t>TORSBY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34568-2022</t>
        </is>
      </c>
      <c r="B1398" s="1" t="n">
        <v>44795.28277777778</v>
      </c>
      <c r="C1398" s="1" t="n">
        <v>45937</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46424-2023</t>
        </is>
      </c>
      <c r="B1399" s="1" t="n">
        <v>45197.56141203704</v>
      </c>
      <c r="C1399" s="1" t="n">
        <v>45937</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69878-2021</t>
        </is>
      </c>
      <c r="B1400" s="1" t="n">
        <v>44532.82293981482</v>
      </c>
      <c r="C1400" s="1" t="n">
        <v>45937</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18684-2025</t>
        </is>
      </c>
      <c r="B1401" s="1" t="n">
        <v>45763.61064814815</v>
      </c>
      <c r="C1401" s="1" t="n">
        <v>45937</v>
      </c>
      <c r="D1401" t="inlineStr">
        <is>
          <t>VÄRMLANDS LÄN</t>
        </is>
      </c>
      <c r="E1401" t="inlineStr">
        <is>
          <t>TORSBY</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1547-2024</t>
        </is>
      </c>
      <c r="B1402" s="1" t="n">
        <v>45306.48456018518</v>
      </c>
      <c r="C1402" s="1" t="n">
        <v>45937</v>
      </c>
      <c r="D1402" t="inlineStr">
        <is>
          <t>VÄRMLANDS LÄN</t>
        </is>
      </c>
      <c r="E1402" t="inlineStr">
        <is>
          <t>TORSBY</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40519-2025</t>
        </is>
      </c>
      <c r="B1403" s="1" t="n">
        <v>45896.3640162037</v>
      </c>
      <c r="C1403" s="1" t="n">
        <v>45937</v>
      </c>
      <c r="D1403" t="inlineStr">
        <is>
          <t>VÄRMLANDS LÄN</t>
        </is>
      </c>
      <c r="E1403" t="inlineStr">
        <is>
          <t>TORSBY</t>
        </is>
      </c>
      <c r="F1403" t="inlineStr">
        <is>
          <t>Bergvik skog väst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72200-2021</t>
        </is>
      </c>
      <c r="B1404" s="1" t="n">
        <v>44544.67358796296</v>
      </c>
      <c r="C1404" s="1" t="n">
        <v>45937</v>
      </c>
      <c r="D1404" t="inlineStr">
        <is>
          <t>VÄRMLANDS LÄN</t>
        </is>
      </c>
      <c r="E1404" t="inlineStr">
        <is>
          <t>TORSBY</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35191-2025</t>
        </is>
      </c>
      <c r="B1405" s="1" t="n">
        <v>45853.3469675926</v>
      </c>
      <c r="C1405" s="1" t="n">
        <v>45937</v>
      </c>
      <c r="D1405" t="inlineStr">
        <is>
          <t>VÄRMLANDS LÄN</t>
        </is>
      </c>
      <c r="E1405" t="inlineStr">
        <is>
          <t>TORSBY</t>
        </is>
      </c>
      <c r="F1405" t="inlineStr">
        <is>
          <t>Bergvik skog väst AB</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38084-2023</t>
        </is>
      </c>
      <c r="B1406" s="1" t="n">
        <v>45160</v>
      </c>
      <c r="C1406" s="1" t="n">
        <v>45937</v>
      </c>
      <c r="D1406" t="inlineStr">
        <is>
          <t>VÄRMLANDS LÄN</t>
        </is>
      </c>
      <c r="E1406" t="inlineStr">
        <is>
          <t>TORSBY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57172-2022</t>
        </is>
      </c>
      <c r="B1407" s="1" t="n">
        <v>44895</v>
      </c>
      <c r="C1407" s="1" t="n">
        <v>45937</v>
      </c>
      <c r="D1407" t="inlineStr">
        <is>
          <t>VÄRMLANDS LÄN</t>
        </is>
      </c>
      <c r="E1407" t="inlineStr">
        <is>
          <t>TORSBY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35185-2025</t>
        </is>
      </c>
      <c r="B1408" s="1" t="n">
        <v>45853.30383101852</v>
      </c>
      <c r="C1408" s="1" t="n">
        <v>45937</v>
      </c>
      <c r="D1408" t="inlineStr">
        <is>
          <t>VÄRMLANDS LÄN</t>
        </is>
      </c>
      <c r="E1408" t="inlineStr">
        <is>
          <t>TORSBY</t>
        </is>
      </c>
      <c r="F1408" t="inlineStr">
        <is>
          <t>Bergvik skog väst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41843-2023</t>
        </is>
      </c>
      <c r="B1409" s="1" t="n">
        <v>45176.60533564815</v>
      </c>
      <c r="C1409" s="1" t="n">
        <v>45937</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41841-2023</t>
        </is>
      </c>
      <c r="B1410" s="1" t="n">
        <v>45176.60436342593</v>
      </c>
      <c r="C1410" s="1" t="n">
        <v>45937</v>
      </c>
      <c r="D1410" t="inlineStr">
        <is>
          <t>VÄRMLANDS LÄN</t>
        </is>
      </c>
      <c r="E1410" t="inlineStr">
        <is>
          <t>TORSBY</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40007-2023</t>
        </is>
      </c>
      <c r="B1411" s="1" t="n">
        <v>45168</v>
      </c>
      <c r="C1411" s="1" t="n">
        <v>45937</v>
      </c>
      <c r="D1411" t="inlineStr">
        <is>
          <t>VÄRMLANDS LÄN</t>
        </is>
      </c>
      <c r="E1411" t="inlineStr">
        <is>
          <t>TORSBY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19527-2023</t>
        </is>
      </c>
      <c r="B1412" s="1" t="n">
        <v>45050</v>
      </c>
      <c r="C1412" s="1" t="n">
        <v>45937</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35367-2025</t>
        </is>
      </c>
      <c r="B1413" s="1" t="n">
        <v>45854</v>
      </c>
      <c r="C1413" s="1" t="n">
        <v>45937</v>
      </c>
      <c r="D1413" t="inlineStr">
        <is>
          <t>VÄRMLANDS LÄN</t>
        </is>
      </c>
      <c r="E1413" t="inlineStr">
        <is>
          <t>TORSBY</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3098-2023</t>
        </is>
      </c>
      <c r="B1414" s="1" t="n">
        <v>44946.46096064815</v>
      </c>
      <c r="C1414" s="1" t="n">
        <v>45937</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3103-2023</t>
        </is>
      </c>
      <c r="B1415" s="1" t="n">
        <v>44946</v>
      </c>
      <c r="C1415" s="1" t="n">
        <v>45937</v>
      </c>
      <c r="D1415" t="inlineStr">
        <is>
          <t>VÄRMLANDS LÄN</t>
        </is>
      </c>
      <c r="E1415" t="inlineStr">
        <is>
          <t>TORSBY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35194-2025</t>
        </is>
      </c>
      <c r="B1416" s="1" t="n">
        <v>45853.35740740741</v>
      </c>
      <c r="C1416" s="1" t="n">
        <v>45937</v>
      </c>
      <c r="D1416" t="inlineStr">
        <is>
          <t>VÄRMLANDS LÄN</t>
        </is>
      </c>
      <c r="E1416" t="inlineStr">
        <is>
          <t>TORSBY</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59005-2024</t>
        </is>
      </c>
      <c r="B1417" s="1" t="n">
        <v>45636.65234953703</v>
      </c>
      <c r="C1417" s="1" t="n">
        <v>45937</v>
      </c>
      <c r="D1417" t="inlineStr">
        <is>
          <t>VÄRMLANDS LÄN</t>
        </is>
      </c>
      <c r="E1417" t="inlineStr">
        <is>
          <t>TORSBY</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18244-2023</t>
        </is>
      </c>
      <c r="B1418" s="1" t="n">
        <v>45041</v>
      </c>
      <c r="C1418" s="1" t="n">
        <v>45937</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55522-2023</t>
        </is>
      </c>
      <c r="B1419" s="1" t="n">
        <v>45238</v>
      </c>
      <c r="C1419" s="1" t="n">
        <v>45937</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35334-2025</t>
        </is>
      </c>
      <c r="B1420" s="1" t="n">
        <v>45854.57973379629</v>
      </c>
      <c r="C1420" s="1" t="n">
        <v>45937</v>
      </c>
      <c r="D1420" t="inlineStr">
        <is>
          <t>VÄRMLANDS LÄN</t>
        </is>
      </c>
      <c r="E1420" t="inlineStr">
        <is>
          <t>TORSBY</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4030-2024</t>
        </is>
      </c>
      <c r="B1421" s="1" t="n">
        <v>45323</v>
      </c>
      <c r="C1421" s="1" t="n">
        <v>45937</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43111-2022</t>
        </is>
      </c>
      <c r="B1422" s="1" t="n">
        <v>44833</v>
      </c>
      <c r="C1422" s="1" t="n">
        <v>45937</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45056-2022</t>
        </is>
      </c>
      <c r="B1423" s="1" t="n">
        <v>44841.72731481482</v>
      </c>
      <c r="C1423" s="1" t="n">
        <v>45937</v>
      </c>
      <c r="D1423" t="inlineStr">
        <is>
          <t>VÄRMLANDS LÄN</t>
        </is>
      </c>
      <c r="E1423" t="inlineStr">
        <is>
          <t>TORSBY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29925-2024</t>
        </is>
      </c>
      <c r="B1424" s="1" t="n">
        <v>45488</v>
      </c>
      <c r="C1424" s="1" t="n">
        <v>45937</v>
      </c>
      <c r="D1424" t="inlineStr">
        <is>
          <t>VÄRMLANDS LÄN</t>
        </is>
      </c>
      <c r="E1424" t="inlineStr">
        <is>
          <t>TORSBY</t>
        </is>
      </c>
      <c r="F1424" t="inlineStr">
        <is>
          <t>Kyrkan</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29936-2024</t>
        </is>
      </c>
      <c r="B1425" s="1" t="n">
        <v>45488</v>
      </c>
      <c r="C1425" s="1" t="n">
        <v>45937</v>
      </c>
      <c r="D1425" t="inlineStr">
        <is>
          <t>VÄRMLANDS LÄN</t>
        </is>
      </c>
      <c r="E1425" t="inlineStr">
        <is>
          <t>TORSBY</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41124-2025</t>
        </is>
      </c>
      <c r="B1426" s="1" t="n">
        <v>45898.47166666666</v>
      </c>
      <c r="C1426" s="1" t="n">
        <v>45937</v>
      </c>
      <c r="D1426" t="inlineStr">
        <is>
          <t>VÄRMLANDS LÄN</t>
        </is>
      </c>
      <c r="E1426" t="inlineStr">
        <is>
          <t>TORSBY</t>
        </is>
      </c>
      <c r="F1426" t="inlineStr">
        <is>
          <t>Bergvik skog väst AB</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2797-2025</t>
        </is>
      </c>
      <c r="B1427" s="1" t="n">
        <v>45677</v>
      </c>
      <c r="C1427" s="1" t="n">
        <v>45937</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62510-2023</t>
        </is>
      </c>
      <c r="B1428" s="1" t="n">
        <v>45268.61853009259</v>
      </c>
      <c r="C1428" s="1" t="n">
        <v>45937</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17562-2024</t>
        </is>
      </c>
      <c r="B1429" s="1" t="n">
        <v>45415</v>
      </c>
      <c r="C1429" s="1" t="n">
        <v>45937</v>
      </c>
      <c r="D1429" t="inlineStr">
        <is>
          <t>VÄRMLANDS LÄN</t>
        </is>
      </c>
      <c r="E1429" t="inlineStr">
        <is>
          <t>TORSBY</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41232-2025</t>
        </is>
      </c>
      <c r="B1430" s="1" t="n">
        <v>45898</v>
      </c>
      <c r="C1430" s="1" t="n">
        <v>45937</v>
      </c>
      <c r="D1430" t="inlineStr">
        <is>
          <t>VÄRMLANDS LÄN</t>
        </is>
      </c>
      <c r="E1430" t="inlineStr">
        <is>
          <t>TORSBY</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27038-2024</t>
        </is>
      </c>
      <c r="B1431" s="1" t="n">
        <v>45471</v>
      </c>
      <c r="C1431" s="1" t="n">
        <v>45937</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27045-2024</t>
        </is>
      </c>
      <c r="B1432" s="1" t="n">
        <v>45471</v>
      </c>
      <c r="C1432" s="1" t="n">
        <v>45937</v>
      </c>
      <c r="D1432" t="inlineStr">
        <is>
          <t>VÄRMLANDS LÄN</t>
        </is>
      </c>
      <c r="E1432" t="inlineStr">
        <is>
          <t>TORSBY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27090-2024</t>
        </is>
      </c>
      <c r="B1433" s="1" t="n">
        <v>45471</v>
      </c>
      <c r="C1433" s="1" t="n">
        <v>45937</v>
      </c>
      <c r="D1433" t="inlineStr">
        <is>
          <t>VÄRMLANDS LÄN</t>
        </is>
      </c>
      <c r="E1433" t="inlineStr">
        <is>
          <t>TORSBY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60458-2024</t>
        </is>
      </c>
      <c r="B1434" s="1" t="n">
        <v>45643</v>
      </c>
      <c r="C1434" s="1" t="n">
        <v>45937</v>
      </c>
      <c r="D1434" t="inlineStr">
        <is>
          <t>VÄRMLANDS LÄN</t>
        </is>
      </c>
      <c r="E1434" t="inlineStr">
        <is>
          <t>TORSBY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35552-2025</t>
        </is>
      </c>
      <c r="B1435" s="1" t="n">
        <v>45856.49702546297</v>
      </c>
      <c r="C1435" s="1" t="n">
        <v>45937</v>
      </c>
      <c r="D1435" t="inlineStr">
        <is>
          <t>VÄRMLANDS LÄN</t>
        </is>
      </c>
      <c r="E1435" t="inlineStr">
        <is>
          <t>TORSBY</t>
        </is>
      </c>
      <c r="F1435" t="inlineStr">
        <is>
          <t>Bergvik skog väst AB</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41168-2025</t>
        </is>
      </c>
      <c r="B1436" s="1" t="n">
        <v>45898</v>
      </c>
      <c r="C1436" s="1" t="n">
        <v>45937</v>
      </c>
      <c r="D1436" t="inlineStr">
        <is>
          <t>VÄRMLANDS LÄN</t>
        </is>
      </c>
      <c r="E1436" t="inlineStr">
        <is>
          <t>TORSBY</t>
        </is>
      </c>
      <c r="F1436" t="inlineStr">
        <is>
          <t>Övriga Aktiebolag</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41137-2025</t>
        </is>
      </c>
      <c r="B1437" s="1" t="n">
        <v>45898</v>
      </c>
      <c r="C1437" s="1" t="n">
        <v>45937</v>
      </c>
      <c r="D1437" t="inlineStr">
        <is>
          <t>VÄRMLANDS LÄN</t>
        </is>
      </c>
      <c r="E1437" t="inlineStr">
        <is>
          <t>TORSBY</t>
        </is>
      </c>
      <c r="F1437" t="inlineStr">
        <is>
          <t>Övriga Aktiebolag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41518-2024</t>
        </is>
      </c>
      <c r="B1438" s="1" t="n">
        <v>45560</v>
      </c>
      <c r="C1438" s="1" t="n">
        <v>45937</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33429-2024</t>
        </is>
      </c>
      <c r="B1439" s="1" t="n">
        <v>45519.52792824074</v>
      </c>
      <c r="C1439" s="1" t="n">
        <v>45937</v>
      </c>
      <c r="D1439" t="inlineStr">
        <is>
          <t>VÄRMLANDS LÄN</t>
        </is>
      </c>
      <c r="E1439" t="inlineStr">
        <is>
          <t>TORSBY</t>
        </is>
      </c>
      <c r="F1439" t="inlineStr">
        <is>
          <t>Bergvik skog väst AB</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40729-2025</t>
        </is>
      </c>
      <c r="B1440" s="1" t="n">
        <v>45897.35421296296</v>
      </c>
      <c r="C1440" s="1" t="n">
        <v>45937</v>
      </c>
      <c r="D1440" t="inlineStr">
        <is>
          <t>VÄRMLANDS LÄN</t>
        </is>
      </c>
      <c r="E1440" t="inlineStr">
        <is>
          <t>TORSBY</t>
        </is>
      </c>
      <c r="F1440" t="inlineStr">
        <is>
          <t>Bergvik skog väst AB</t>
        </is>
      </c>
      <c r="G1440" t="n">
        <v>25.4</v>
      </c>
      <c r="H1440" t="n">
        <v>0</v>
      </c>
      <c r="I1440" t="n">
        <v>0</v>
      </c>
      <c r="J1440" t="n">
        <v>0</v>
      </c>
      <c r="K1440" t="n">
        <v>0</v>
      </c>
      <c r="L1440" t="n">
        <v>0</v>
      </c>
      <c r="M1440" t="n">
        <v>0</v>
      </c>
      <c r="N1440" t="n">
        <v>0</v>
      </c>
      <c r="O1440" t="n">
        <v>0</v>
      </c>
      <c r="P1440" t="n">
        <v>0</v>
      </c>
      <c r="Q1440" t="n">
        <v>0</v>
      </c>
      <c r="R1440" s="2" t="inlineStr"/>
    </row>
    <row r="1441" ht="15" customHeight="1">
      <c r="A1441" t="inlineStr">
        <is>
          <t>A 69250-2020</t>
        </is>
      </c>
      <c r="B1441" s="1" t="n">
        <v>44192</v>
      </c>
      <c r="C1441" s="1" t="n">
        <v>45937</v>
      </c>
      <c r="D1441" t="inlineStr">
        <is>
          <t>VÄRMLANDS LÄN</t>
        </is>
      </c>
      <c r="E1441" t="inlineStr">
        <is>
          <t>TORSBY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20060-2025</t>
        </is>
      </c>
      <c r="B1442" s="1" t="n">
        <v>45772.41831018519</v>
      </c>
      <c r="C1442" s="1" t="n">
        <v>45937</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41194-2025</t>
        </is>
      </c>
      <c r="B1443" s="1" t="n">
        <v>45898.57028935185</v>
      </c>
      <c r="C1443" s="1" t="n">
        <v>45937</v>
      </c>
      <c r="D1443" t="inlineStr">
        <is>
          <t>VÄRMLANDS LÄN</t>
        </is>
      </c>
      <c r="E1443" t="inlineStr">
        <is>
          <t>TORSBY</t>
        </is>
      </c>
      <c r="F1443" t="inlineStr">
        <is>
          <t>Bergvik skog väst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35408-2025</t>
        </is>
      </c>
      <c r="B1444" s="1" t="n">
        <v>45855.37256944444</v>
      </c>
      <c r="C1444" s="1" t="n">
        <v>45937</v>
      </c>
      <c r="D1444" t="inlineStr">
        <is>
          <t>VÄRMLANDS LÄN</t>
        </is>
      </c>
      <c r="E1444" t="inlineStr">
        <is>
          <t>TORSBY</t>
        </is>
      </c>
      <c r="F1444" t="inlineStr">
        <is>
          <t>Bergvik skog väst AB</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2803-2025</t>
        </is>
      </c>
      <c r="B1445" s="1" t="n">
        <v>45677</v>
      </c>
      <c r="C1445" s="1" t="n">
        <v>45937</v>
      </c>
      <c r="D1445" t="inlineStr">
        <is>
          <t>VÄRMLANDS LÄN</t>
        </is>
      </c>
      <c r="E1445" t="inlineStr">
        <is>
          <t>TORSBY</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46221-2023</t>
        </is>
      </c>
      <c r="B1446" s="1" t="n">
        <v>45196.66636574074</v>
      </c>
      <c r="C1446" s="1" t="n">
        <v>45937</v>
      </c>
      <c r="D1446" t="inlineStr">
        <is>
          <t>VÄRMLANDS LÄN</t>
        </is>
      </c>
      <c r="E1446" t="inlineStr">
        <is>
          <t>TORSBY</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42662-2024</t>
        </is>
      </c>
      <c r="B1447" s="1" t="n">
        <v>45566</v>
      </c>
      <c r="C1447" s="1" t="n">
        <v>45937</v>
      </c>
      <c r="D1447" t="inlineStr">
        <is>
          <t>VÄRMLANDS LÄN</t>
        </is>
      </c>
      <c r="E1447" t="inlineStr">
        <is>
          <t>TORSBY</t>
        </is>
      </c>
      <c r="F1447" t="inlineStr">
        <is>
          <t>Bergvik skog väst AB</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12440-2025</t>
        </is>
      </c>
      <c r="B1448" s="1" t="n">
        <v>45730</v>
      </c>
      <c r="C1448" s="1" t="n">
        <v>45937</v>
      </c>
      <c r="D1448" t="inlineStr">
        <is>
          <t>VÄRMLANDS LÄN</t>
        </is>
      </c>
      <c r="E1448" t="inlineStr">
        <is>
          <t>TORSBY</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56021-2023</t>
        </is>
      </c>
      <c r="B1449" s="1" t="n">
        <v>45240</v>
      </c>
      <c r="C1449" s="1" t="n">
        <v>45937</v>
      </c>
      <c r="D1449" t="inlineStr">
        <is>
          <t>VÄRMLANDS LÄN</t>
        </is>
      </c>
      <c r="E1449" t="inlineStr">
        <is>
          <t>TORSBY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37081-2023</t>
        </is>
      </c>
      <c r="B1450" s="1" t="n">
        <v>45155</v>
      </c>
      <c r="C1450" s="1" t="n">
        <v>45937</v>
      </c>
      <c r="D1450" t="inlineStr">
        <is>
          <t>VÄRMLANDS LÄN</t>
        </is>
      </c>
      <c r="E1450" t="inlineStr">
        <is>
          <t>TORSBY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8197-2025</t>
        </is>
      </c>
      <c r="B1451" s="1" t="n">
        <v>45708.4318287037</v>
      </c>
      <c r="C1451" s="1" t="n">
        <v>45937</v>
      </c>
      <c r="D1451" t="inlineStr">
        <is>
          <t>VÄRMLANDS LÄN</t>
        </is>
      </c>
      <c r="E1451" t="inlineStr">
        <is>
          <t>TORSBY</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25316-2024</t>
        </is>
      </c>
      <c r="B1452" s="1" t="n">
        <v>45462</v>
      </c>
      <c r="C1452" s="1" t="n">
        <v>45937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57980-2023</t>
        </is>
      </c>
      <c r="B1453" s="1" t="n">
        <v>45247.59328703704</v>
      </c>
      <c r="C1453" s="1" t="n">
        <v>45937</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14613-2025</t>
        </is>
      </c>
      <c r="B1454" s="1" t="n">
        <v>45742.39615740741</v>
      </c>
      <c r="C1454" s="1" t="n">
        <v>45937</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5052-2025</t>
        </is>
      </c>
      <c r="B1455" s="1" t="n">
        <v>45691</v>
      </c>
      <c r="C1455" s="1" t="n">
        <v>45937</v>
      </c>
      <c r="D1455" t="inlineStr">
        <is>
          <t>VÄRMLANDS LÄN</t>
        </is>
      </c>
      <c r="E1455" t="inlineStr">
        <is>
          <t>TORSBY</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41189-2025</t>
        </is>
      </c>
      <c r="B1456" s="1" t="n">
        <v>45898</v>
      </c>
      <c r="C1456" s="1" t="n">
        <v>45937</v>
      </c>
      <c r="D1456" t="inlineStr">
        <is>
          <t>VÄRMLANDS LÄN</t>
        </is>
      </c>
      <c r="E1456" t="inlineStr">
        <is>
          <t>TORSBY</t>
        </is>
      </c>
      <c r="F1456" t="inlineStr">
        <is>
          <t>Övriga Aktiebolag</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15899-2024</t>
        </is>
      </c>
      <c r="B1457" s="1" t="n">
        <v>45405.4034837963</v>
      </c>
      <c r="C1457" s="1" t="n">
        <v>45937</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19662-2025</t>
        </is>
      </c>
      <c r="B1458" s="1" t="n">
        <v>45770</v>
      </c>
      <c r="C1458" s="1" t="n">
        <v>45937</v>
      </c>
      <c r="D1458" t="inlineStr">
        <is>
          <t>VÄRMLANDS LÄN</t>
        </is>
      </c>
      <c r="E1458" t="inlineStr">
        <is>
          <t>TORSBY</t>
        </is>
      </c>
      <c r="F1458" t="inlineStr">
        <is>
          <t>Bergvik skog väst AB</t>
        </is>
      </c>
      <c r="G1458" t="n">
        <v>11.6</v>
      </c>
      <c r="H1458" t="n">
        <v>0</v>
      </c>
      <c r="I1458" t="n">
        <v>0</v>
      </c>
      <c r="J1458" t="n">
        <v>0</v>
      </c>
      <c r="K1458" t="n">
        <v>0</v>
      </c>
      <c r="L1458" t="n">
        <v>0</v>
      </c>
      <c r="M1458" t="n">
        <v>0</v>
      </c>
      <c r="N1458" t="n">
        <v>0</v>
      </c>
      <c r="O1458" t="n">
        <v>0</v>
      </c>
      <c r="P1458" t="n">
        <v>0</v>
      </c>
      <c r="Q1458" t="n">
        <v>0</v>
      </c>
      <c r="R1458" s="2" t="inlineStr"/>
    </row>
    <row r="1459" ht="15" customHeight="1">
      <c r="A1459" t="inlineStr">
        <is>
          <t>A 19763-2025</t>
        </is>
      </c>
      <c r="B1459" s="1" t="n">
        <v>45771.40707175926</v>
      </c>
      <c r="C1459" s="1" t="n">
        <v>45937</v>
      </c>
      <c r="D1459" t="inlineStr">
        <is>
          <t>VÄRMLANDS LÄN</t>
        </is>
      </c>
      <c r="E1459" t="inlineStr">
        <is>
          <t>TORSBY</t>
        </is>
      </c>
      <c r="F1459" t="inlineStr">
        <is>
          <t>Bergvik skog väst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19159-2025</t>
        </is>
      </c>
      <c r="B1460" s="1" t="n">
        <v>45769</v>
      </c>
      <c r="C1460" s="1" t="n">
        <v>45937</v>
      </c>
      <c r="D1460" t="inlineStr">
        <is>
          <t>VÄRMLANDS LÄN</t>
        </is>
      </c>
      <c r="E1460" t="inlineStr">
        <is>
          <t>TORSBY</t>
        </is>
      </c>
      <c r="F1460" t="inlineStr">
        <is>
          <t>Bergvik skog väst AB</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1803-2024</t>
        </is>
      </c>
      <c r="B1461" s="1" t="n">
        <v>45307</v>
      </c>
      <c r="C1461" s="1" t="n">
        <v>45937</v>
      </c>
      <c r="D1461" t="inlineStr">
        <is>
          <t>VÄRMLANDS LÄN</t>
        </is>
      </c>
      <c r="E1461" t="inlineStr">
        <is>
          <t>TORSBY</t>
        </is>
      </c>
      <c r="G1461" t="n">
        <v>12.9</v>
      </c>
      <c r="H1461" t="n">
        <v>0</v>
      </c>
      <c r="I1461" t="n">
        <v>0</v>
      </c>
      <c r="J1461" t="n">
        <v>0</v>
      </c>
      <c r="K1461" t="n">
        <v>0</v>
      </c>
      <c r="L1461" t="n">
        <v>0</v>
      </c>
      <c r="M1461" t="n">
        <v>0</v>
      </c>
      <c r="N1461" t="n">
        <v>0</v>
      </c>
      <c r="O1461" t="n">
        <v>0</v>
      </c>
      <c r="P1461" t="n">
        <v>0</v>
      </c>
      <c r="Q1461" t="n">
        <v>0</v>
      </c>
      <c r="R1461" s="2" t="inlineStr"/>
    </row>
    <row r="1462" ht="15" customHeight="1">
      <c r="A1462" t="inlineStr">
        <is>
          <t>A 40180-2024</t>
        </is>
      </c>
      <c r="B1462" s="1" t="n">
        <v>45554.55413194445</v>
      </c>
      <c r="C1462" s="1" t="n">
        <v>45937</v>
      </c>
      <c r="D1462" t="inlineStr">
        <is>
          <t>VÄRMLANDS LÄN</t>
        </is>
      </c>
      <c r="E1462" t="inlineStr">
        <is>
          <t>TORSBY</t>
        </is>
      </c>
      <c r="F1462" t="inlineStr">
        <is>
          <t>Bergvik skog väst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34697-2024</t>
        </is>
      </c>
      <c r="B1463" s="1" t="n">
        <v>45526.55518518519</v>
      </c>
      <c r="C1463" s="1" t="n">
        <v>45937</v>
      </c>
      <c r="D1463" t="inlineStr">
        <is>
          <t>VÄRMLANDS LÄN</t>
        </is>
      </c>
      <c r="E1463" t="inlineStr">
        <is>
          <t>TORSBY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36419-2024</t>
        </is>
      </c>
      <c r="B1464" s="1" t="n">
        <v>45536.58380787037</v>
      </c>
      <c r="C1464" s="1" t="n">
        <v>45937</v>
      </c>
      <c r="D1464" t="inlineStr">
        <is>
          <t>VÄRMLANDS LÄN</t>
        </is>
      </c>
      <c r="E1464" t="inlineStr">
        <is>
          <t>TORSBY</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32845-2024</t>
        </is>
      </c>
      <c r="B1465" s="1" t="n">
        <v>45516.62422453704</v>
      </c>
      <c r="C1465" s="1" t="n">
        <v>45937</v>
      </c>
      <c r="D1465" t="inlineStr">
        <is>
          <t>VÄRMLANDS LÄN</t>
        </is>
      </c>
      <c r="E1465" t="inlineStr">
        <is>
          <t>TORSBY</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41746-2025</t>
        </is>
      </c>
      <c r="B1466" s="1" t="n">
        <v>45902.48660879629</v>
      </c>
      <c r="C1466" s="1" t="n">
        <v>45937</v>
      </c>
      <c r="D1466" t="inlineStr">
        <is>
          <t>VÄRMLANDS LÄN</t>
        </is>
      </c>
      <c r="E1466" t="inlineStr">
        <is>
          <t>TORSBY</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41478-2025</t>
        </is>
      </c>
      <c r="B1467" s="1" t="n">
        <v>45901</v>
      </c>
      <c r="C1467" s="1" t="n">
        <v>45937</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4537-2025</t>
        </is>
      </c>
      <c r="B1468" s="1" t="n">
        <v>45687.38836805556</v>
      </c>
      <c r="C1468" s="1" t="n">
        <v>45937</v>
      </c>
      <c r="D1468" t="inlineStr">
        <is>
          <t>VÄRMLANDS LÄN</t>
        </is>
      </c>
      <c r="E1468" t="inlineStr">
        <is>
          <t>TORSBY</t>
        </is>
      </c>
      <c r="F1468" t="inlineStr">
        <is>
          <t>Kommuner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20461-2025</t>
        </is>
      </c>
      <c r="B1469" s="1" t="n">
        <v>45775.53158564815</v>
      </c>
      <c r="C1469" s="1" t="n">
        <v>45937</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33133-2024</t>
        </is>
      </c>
      <c r="B1470" s="1" t="n">
        <v>45518.31722222222</v>
      </c>
      <c r="C1470" s="1" t="n">
        <v>45937</v>
      </c>
      <c r="D1470" t="inlineStr">
        <is>
          <t>VÄRMLANDS LÄN</t>
        </is>
      </c>
      <c r="E1470" t="inlineStr">
        <is>
          <t>TORSBY</t>
        </is>
      </c>
      <c r="F1470" t="inlineStr">
        <is>
          <t>Bergvik skog väst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34093-2024</t>
        </is>
      </c>
      <c r="B1471" s="1" t="n">
        <v>45523</v>
      </c>
      <c r="C1471" s="1" t="n">
        <v>45937</v>
      </c>
      <c r="D1471" t="inlineStr">
        <is>
          <t>VÄRMLANDS LÄN</t>
        </is>
      </c>
      <c r="E1471" t="inlineStr">
        <is>
          <t>TORSBY</t>
        </is>
      </c>
      <c r="F1471" t="inlineStr">
        <is>
          <t>Bergvik skog väst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52809-2024</t>
        </is>
      </c>
      <c r="B1472" s="1" t="n">
        <v>45610</v>
      </c>
      <c r="C1472" s="1" t="n">
        <v>45937</v>
      </c>
      <c r="D1472" t="inlineStr">
        <is>
          <t>VÄRMLANDS LÄN</t>
        </is>
      </c>
      <c r="E1472" t="inlineStr">
        <is>
          <t>TORSBY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6317-2025</t>
        </is>
      </c>
      <c r="B1473" s="1" t="n">
        <v>45698.74826388889</v>
      </c>
      <c r="C1473" s="1" t="n">
        <v>45937</v>
      </c>
      <c r="D1473" t="inlineStr">
        <is>
          <t>VÄRMLANDS LÄN</t>
        </is>
      </c>
      <c r="E1473" t="inlineStr">
        <is>
          <t>TORSBY</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14800-2025</t>
        </is>
      </c>
      <c r="B1474" s="1" t="n">
        <v>45743</v>
      </c>
      <c r="C1474" s="1" t="n">
        <v>45937</v>
      </c>
      <c r="D1474" t="inlineStr">
        <is>
          <t>VÄRMLANDS LÄN</t>
        </is>
      </c>
      <c r="E1474" t="inlineStr">
        <is>
          <t>TORSBY</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38298-2021</t>
        </is>
      </c>
      <c r="B1475" s="1" t="n">
        <v>44406</v>
      </c>
      <c r="C1475" s="1" t="n">
        <v>45937</v>
      </c>
      <c r="D1475" t="inlineStr">
        <is>
          <t>VÄRMLANDS LÄN</t>
        </is>
      </c>
      <c r="E1475" t="inlineStr">
        <is>
          <t>TORSBY</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41471-2025</t>
        </is>
      </c>
      <c r="B1476" s="1" t="n">
        <v>45901.46770833333</v>
      </c>
      <c r="C1476" s="1" t="n">
        <v>45937</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13285-2025</t>
        </is>
      </c>
      <c r="B1477" s="1" t="n">
        <v>45735</v>
      </c>
      <c r="C1477" s="1" t="n">
        <v>45937</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41209-2025</t>
        </is>
      </c>
      <c r="B1478" s="1" t="n">
        <v>45898</v>
      </c>
      <c r="C1478" s="1" t="n">
        <v>45937</v>
      </c>
      <c r="D1478" t="inlineStr">
        <is>
          <t>VÄRMLANDS LÄN</t>
        </is>
      </c>
      <c r="E1478" t="inlineStr">
        <is>
          <t>TORSBY</t>
        </is>
      </c>
      <c r="F1478" t="inlineStr">
        <is>
          <t>Övriga Aktiebolag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15315-2024</t>
        </is>
      </c>
      <c r="B1479" s="1" t="n">
        <v>45400</v>
      </c>
      <c r="C1479" s="1" t="n">
        <v>45937</v>
      </c>
      <c r="D1479" t="inlineStr">
        <is>
          <t>VÄRMLANDS LÄN</t>
        </is>
      </c>
      <c r="E1479" t="inlineStr">
        <is>
          <t>TORSBY</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53381-2022</t>
        </is>
      </c>
      <c r="B1480" s="1" t="n">
        <v>44879</v>
      </c>
      <c r="C1480" s="1" t="n">
        <v>45937</v>
      </c>
      <c r="D1480" t="inlineStr">
        <is>
          <t>VÄRMLANDS LÄN</t>
        </is>
      </c>
      <c r="E1480" t="inlineStr">
        <is>
          <t>TORSBY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66194-2020</t>
        </is>
      </c>
      <c r="B1481" s="1" t="n">
        <v>44175</v>
      </c>
      <c r="C1481" s="1" t="n">
        <v>45937</v>
      </c>
      <c r="D1481" t="inlineStr">
        <is>
          <t>VÄRMLANDS LÄN</t>
        </is>
      </c>
      <c r="E1481" t="inlineStr">
        <is>
          <t>TORSBY</t>
        </is>
      </c>
      <c r="F1481" t="inlineStr">
        <is>
          <t>Bergvik skog väst AB</t>
        </is>
      </c>
      <c r="G1481" t="n">
        <v>18.4</v>
      </c>
      <c r="H1481" t="n">
        <v>0</v>
      </c>
      <c r="I1481" t="n">
        <v>0</v>
      </c>
      <c r="J1481" t="n">
        <v>0</v>
      </c>
      <c r="K1481" t="n">
        <v>0</v>
      </c>
      <c r="L1481" t="n">
        <v>0</v>
      </c>
      <c r="M1481" t="n">
        <v>0</v>
      </c>
      <c r="N1481" t="n">
        <v>0</v>
      </c>
      <c r="O1481" t="n">
        <v>0</v>
      </c>
      <c r="P1481" t="n">
        <v>0</v>
      </c>
      <c r="Q1481" t="n">
        <v>0</v>
      </c>
      <c r="R1481" s="2" t="inlineStr"/>
    </row>
    <row r="1482" ht="15" customHeight="1">
      <c r="A1482" t="inlineStr">
        <is>
          <t>A 41293-2025</t>
        </is>
      </c>
      <c r="B1482" s="1" t="n">
        <v>45898</v>
      </c>
      <c r="C1482" s="1" t="n">
        <v>45937</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54885-2022</t>
        </is>
      </c>
      <c r="B1483" s="1" t="n">
        <v>44886</v>
      </c>
      <c r="C1483" s="1" t="n">
        <v>45937</v>
      </c>
      <c r="D1483" t="inlineStr">
        <is>
          <t>VÄRMLANDS LÄN</t>
        </is>
      </c>
      <c r="E1483" t="inlineStr">
        <is>
          <t>TORSBY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21516-2022</t>
        </is>
      </c>
      <c r="B1484" s="1" t="n">
        <v>44706</v>
      </c>
      <c r="C1484" s="1" t="n">
        <v>45937</v>
      </c>
      <c r="D1484" t="inlineStr">
        <is>
          <t>VÄRMLANDS LÄN</t>
        </is>
      </c>
      <c r="E1484" t="inlineStr">
        <is>
          <t>TORSBY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41711-2025</t>
        </is>
      </c>
      <c r="B1485" s="1" t="n">
        <v>45902.43106481482</v>
      </c>
      <c r="C1485" s="1" t="n">
        <v>45937</v>
      </c>
      <c r="D1485" t="inlineStr">
        <is>
          <t>VÄRMLANDS LÄN</t>
        </is>
      </c>
      <c r="E1485" t="inlineStr">
        <is>
          <t>TORSBY</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41627-2025</t>
        </is>
      </c>
      <c r="B1486" s="1" t="n">
        <v>45901.79328703704</v>
      </c>
      <c r="C1486" s="1" t="n">
        <v>45937</v>
      </c>
      <c r="D1486" t="inlineStr">
        <is>
          <t>VÄRMLANDS LÄN</t>
        </is>
      </c>
      <c r="E1486" t="inlineStr">
        <is>
          <t>TORSBY</t>
        </is>
      </c>
      <c r="F1486" t="inlineStr">
        <is>
          <t>Bergvik skog väst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41416-2025</t>
        </is>
      </c>
      <c r="B1487" s="1" t="n">
        <v>45901</v>
      </c>
      <c r="C1487" s="1" t="n">
        <v>45937</v>
      </c>
      <c r="D1487" t="inlineStr">
        <is>
          <t>VÄRMLANDS LÄN</t>
        </is>
      </c>
      <c r="E1487" t="inlineStr">
        <is>
          <t>TORSBY</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23073-2023</t>
        </is>
      </c>
      <c r="B1488" s="1" t="n">
        <v>45070</v>
      </c>
      <c r="C1488" s="1" t="n">
        <v>45937</v>
      </c>
      <c r="D1488" t="inlineStr">
        <is>
          <t>VÄRMLANDS LÄN</t>
        </is>
      </c>
      <c r="E1488" t="inlineStr">
        <is>
          <t>TORSBY</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41376-2025</t>
        </is>
      </c>
      <c r="B1489" s="1" t="n">
        <v>45900.84105324074</v>
      </c>
      <c r="C1489" s="1" t="n">
        <v>45937</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4516-2025</t>
        </is>
      </c>
      <c r="B1490" s="1" t="n">
        <v>45686.88212962963</v>
      </c>
      <c r="C1490" s="1" t="n">
        <v>45937</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4517-2025</t>
        </is>
      </c>
      <c r="B1491" s="1" t="n">
        <v>45686</v>
      </c>
      <c r="C1491" s="1" t="n">
        <v>45937</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41895-2025</t>
        </is>
      </c>
      <c r="B1492" s="1" t="n">
        <v>45903.38645833333</v>
      </c>
      <c r="C1492" s="1" t="n">
        <v>45937</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42273-2025</t>
        </is>
      </c>
      <c r="B1493" s="1" t="n">
        <v>45904.60708333334</v>
      </c>
      <c r="C1493" s="1" t="n">
        <v>45937</v>
      </c>
      <c r="D1493" t="inlineStr">
        <is>
          <t>VÄRMLANDS LÄN</t>
        </is>
      </c>
      <c r="E1493" t="inlineStr">
        <is>
          <t>TORSBY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42304-2025</t>
        </is>
      </c>
      <c r="B1494" s="1" t="n">
        <v>45904.6447337963</v>
      </c>
      <c r="C1494" s="1" t="n">
        <v>45937</v>
      </c>
      <c r="D1494" t="inlineStr">
        <is>
          <t>VÄRMLANDS LÄN</t>
        </is>
      </c>
      <c r="E1494" t="inlineStr">
        <is>
          <t>TORSBY</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42305-2025</t>
        </is>
      </c>
      <c r="B1495" s="1" t="n">
        <v>45904.64886574074</v>
      </c>
      <c r="C1495" s="1" t="n">
        <v>45937</v>
      </c>
      <c r="D1495" t="inlineStr">
        <is>
          <t>VÄRMLANDS LÄN</t>
        </is>
      </c>
      <c r="E1495" t="inlineStr">
        <is>
          <t>TORSBY</t>
        </is>
      </c>
      <c r="F1495" t="inlineStr">
        <is>
          <t>Bergvik skog väst AB</t>
        </is>
      </c>
      <c r="G1495" t="n">
        <v>8.699999999999999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11872-2025</t>
        </is>
      </c>
      <c r="B1496" s="1" t="n">
        <v>45728.43021990741</v>
      </c>
      <c r="C1496" s="1" t="n">
        <v>45937</v>
      </c>
      <c r="D1496" t="inlineStr">
        <is>
          <t>VÄRMLANDS LÄN</t>
        </is>
      </c>
      <c r="E1496" t="inlineStr">
        <is>
          <t>TORSBY</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24244-2023</t>
        </is>
      </c>
      <c r="B1497" s="1" t="n">
        <v>45079.61969907407</v>
      </c>
      <c r="C1497" s="1" t="n">
        <v>45937</v>
      </c>
      <c r="D1497" t="inlineStr">
        <is>
          <t>VÄRMLANDS LÄN</t>
        </is>
      </c>
      <c r="E1497" t="inlineStr">
        <is>
          <t>TORSBY</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42149-2025</t>
        </is>
      </c>
      <c r="B1498" s="1" t="n">
        <v>45904.38109953704</v>
      </c>
      <c r="C1498" s="1" t="n">
        <v>45937</v>
      </c>
      <c r="D1498" t="inlineStr">
        <is>
          <t>VÄRMLANDS LÄN</t>
        </is>
      </c>
      <c r="E1498" t="inlineStr">
        <is>
          <t>TORSBY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1839-2022</t>
        </is>
      </c>
      <c r="B1499" s="1" t="n">
        <v>44574</v>
      </c>
      <c r="C1499" s="1" t="n">
        <v>45937</v>
      </c>
      <c r="D1499" t="inlineStr">
        <is>
          <t>VÄRMLANDS LÄN</t>
        </is>
      </c>
      <c r="E1499" t="inlineStr">
        <is>
          <t>TORSBY</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47602-2021</t>
        </is>
      </c>
      <c r="B1500" s="1" t="n">
        <v>44448</v>
      </c>
      <c r="C1500" s="1" t="n">
        <v>45937</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42296-2025</t>
        </is>
      </c>
      <c r="B1501" s="1" t="n">
        <v>45904.63361111111</v>
      </c>
      <c r="C1501" s="1" t="n">
        <v>45937</v>
      </c>
      <c r="D1501" t="inlineStr">
        <is>
          <t>VÄRMLANDS LÄN</t>
        </is>
      </c>
      <c r="E1501" t="inlineStr">
        <is>
          <t>TORSBY</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42308-2025</t>
        </is>
      </c>
      <c r="B1502" s="1" t="n">
        <v>45904.65320601852</v>
      </c>
      <c r="C1502" s="1" t="n">
        <v>45937</v>
      </c>
      <c r="D1502" t="inlineStr">
        <is>
          <t>VÄRMLANDS LÄN</t>
        </is>
      </c>
      <c r="E1502" t="inlineStr">
        <is>
          <t>TORSBY</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41975-2025</t>
        </is>
      </c>
      <c r="B1503" s="1" t="n">
        <v>45903.49732638889</v>
      </c>
      <c r="C1503" s="1" t="n">
        <v>45937</v>
      </c>
      <c r="D1503" t="inlineStr">
        <is>
          <t>VÄRMLANDS LÄN</t>
        </is>
      </c>
      <c r="E1503" t="inlineStr">
        <is>
          <t>TORSBY</t>
        </is>
      </c>
      <c r="F1503" t="inlineStr">
        <is>
          <t>Bergvik skog väst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6711-2023</t>
        </is>
      </c>
      <c r="B1504" s="1" t="n">
        <v>44960</v>
      </c>
      <c r="C1504" s="1" t="n">
        <v>45937</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6715-2023</t>
        </is>
      </c>
      <c r="B1505" s="1" t="n">
        <v>44960</v>
      </c>
      <c r="C1505" s="1" t="n">
        <v>45937</v>
      </c>
      <c r="D1505" t="inlineStr">
        <is>
          <t>VÄRMLANDS LÄN</t>
        </is>
      </c>
      <c r="E1505" t="inlineStr">
        <is>
          <t>TORSBY</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35817-2025</t>
        </is>
      </c>
      <c r="B1506" s="1" t="n">
        <v>45861.44365740741</v>
      </c>
      <c r="C1506" s="1" t="n">
        <v>45937</v>
      </c>
      <c r="D1506" t="inlineStr">
        <is>
          <t>VÄRMLANDS LÄN</t>
        </is>
      </c>
      <c r="E1506" t="inlineStr">
        <is>
          <t>TORSBY</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45937</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53460-2024</t>
        </is>
      </c>
      <c r="B1508" s="1" t="n">
        <v>45611</v>
      </c>
      <c r="C1508" s="1" t="n">
        <v>45937</v>
      </c>
      <c r="D1508" t="inlineStr">
        <is>
          <t>VÄRMLANDS LÄN</t>
        </is>
      </c>
      <c r="E1508" t="inlineStr">
        <is>
          <t>TORSBY</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35855-2025</t>
        </is>
      </c>
      <c r="B1509" s="1" t="n">
        <v>45861.61864583333</v>
      </c>
      <c r="C1509" s="1" t="n">
        <v>45937</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42152-2025</t>
        </is>
      </c>
      <c r="B1510" s="1" t="n">
        <v>45904.3884375</v>
      </c>
      <c r="C1510" s="1" t="n">
        <v>45937</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41958-2025</t>
        </is>
      </c>
      <c r="B1511" s="1" t="n">
        <v>45903.46856481482</v>
      </c>
      <c r="C1511" s="1" t="n">
        <v>45937</v>
      </c>
      <c r="D1511" t="inlineStr">
        <is>
          <t>VÄRMLANDS LÄN</t>
        </is>
      </c>
      <c r="E1511" t="inlineStr">
        <is>
          <t>TORSBY</t>
        </is>
      </c>
      <c r="F1511" t="inlineStr">
        <is>
          <t>Bergvik skog väst AB</t>
        </is>
      </c>
      <c r="G1511" t="n">
        <v>15.8</v>
      </c>
      <c r="H1511" t="n">
        <v>0</v>
      </c>
      <c r="I1511" t="n">
        <v>0</v>
      </c>
      <c r="J1511" t="n">
        <v>0</v>
      </c>
      <c r="K1511" t="n">
        <v>0</v>
      </c>
      <c r="L1511" t="n">
        <v>0</v>
      </c>
      <c r="M1511" t="n">
        <v>0</v>
      </c>
      <c r="N1511" t="n">
        <v>0</v>
      </c>
      <c r="O1511" t="n">
        <v>0</v>
      </c>
      <c r="P1511" t="n">
        <v>0</v>
      </c>
      <c r="Q1511" t="n">
        <v>0</v>
      </c>
      <c r="R1511" s="2" t="inlineStr"/>
    </row>
    <row r="1512" ht="15" customHeight="1">
      <c r="A1512" t="inlineStr">
        <is>
          <t>A 42108-2025</t>
        </is>
      </c>
      <c r="B1512" s="1" t="n">
        <v>45903.96076388889</v>
      </c>
      <c r="C1512" s="1" t="n">
        <v>45937</v>
      </c>
      <c r="D1512" t="inlineStr">
        <is>
          <t>VÄRMLANDS LÄN</t>
        </is>
      </c>
      <c r="E1512" t="inlineStr">
        <is>
          <t>TORSBY</t>
        </is>
      </c>
      <c r="F1512" t="inlineStr">
        <is>
          <t>Bergvik skog väst AB</t>
        </is>
      </c>
      <c r="G1512" t="n">
        <v>13.5</v>
      </c>
      <c r="H1512" t="n">
        <v>0</v>
      </c>
      <c r="I1512" t="n">
        <v>0</v>
      </c>
      <c r="J1512" t="n">
        <v>0</v>
      </c>
      <c r="K1512" t="n">
        <v>0</v>
      </c>
      <c r="L1512" t="n">
        <v>0</v>
      </c>
      <c r="M1512" t="n">
        <v>0</v>
      </c>
      <c r="N1512" t="n">
        <v>0</v>
      </c>
      <c r="O1512" t="n">
        <v>0</v>
      </c>
      <c r="P1512" t="n">
        <v>0</v>
      </c>
      <c r="Q1512" t="n">
        <v>0</v>
      </c>
      <c r="R1512" s="2" t="inlineStr"/>
    </row>
    <row r="1513" ht="15" customHeight="1">
      <c r="A1513" t="inlineStr">
        <is>
          <t>A 70658-2021</t>
        </is>
      </c>
      <c r="B1513" s="1" t="n">
        <v>44537.52368055555</v>
      </c>
      <c r="C1513" s="1" t="n">
        <v>45937</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37401-2022</t>
        </is>
      </c>
      <c r="B1514" s="1" t="n">
        <v>44809</v>
      </c>
      <c r="C1514" s="1" t="n">
        <v>45937</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27273-2024</t>
        </is>
      </c>
      <c r="B1515" s="1" t="n">
        <v>45471.84013888889</v>
      </c>
      <c r="C1515" s="1" t="n">
        <v>45937</v>
      </c>
      <c r="D1515" t="inlineStr">
        <is>
          <t>VÄRMLANDS LÄN</t>
        </is>
      </c>
      <c r="E1515" t="inlineStr">
        <is>
          <t>TORSBY</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27275-2024</t>
        </is>
      </c>
      <c r="B1516" s="1" t="n">
        <v>45471.85645833334</v>
      </c>
      <c r="C1516" s="1" t="n">
        <v>45937</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42886-2025</t>
        </is>
      </c>
      <c r="B1517" s="1" t="n">
        <v>45908.65288194444</v>
      </c>
      <c r="C1517" s="1" t="n">
        <v>45937</v>
      </c>
      <c r="D1517" t="inlineStr">
        <is>
          <t>VÄRMLANDS LÄN</t>
        </is>
      </c>
      <c r="E1517" t="inlineStr">
        <is>
          <t>TORSBY</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30958-2025</t>
        </is>
      </c>
      <c r="B1518" s="1" t="n">
        <v>45832.43880787037</v>
      </c>
      <c r="C1518" s="1" t="n">
        <v>45937</v>
      </c>
      <c r="D1518" t="inlineStr">
        <is>
          <t>VÄRMLANDS LÄN</t>
        </is>
      </c>
      <c r="E1518" t="inlineStr">
        <is>
          <t>TORSBY</t>
        </is>
      </c>
      <c r="G1518" t="n">
        <v>28.5</v>
      </c>
      <c r="H1518" t="n">
        <v>0</v>
      </c>
      <c r="I1518" t="n">
        <v>0</v>
      </c>
      <c r="J1518" t="n">
        <v>0</v>
      </c>
      <c r="K1518" t="n">
        <v>0</v>
      </c>
      <c r="L1518" t="n">
        <v>0</v>
      </c>
      <c r="M1518" t="n">
        <v>0</v>
      </c>
      <c r="N1518" t="n">
        <v>0</v>
      </c>
      <c r="O1518" t="n">
        <v>0</v>
      </c>
      <c r="P1518" t="n">
        <v>0</v>
      </c>
      <c r="Q1518" t="n">
        <v>0</v>
      </c>
      <c r="R1518" s="2" t="inlineStr"/>
    </row>
    <row r="1519" ht="15" customHeight="1">
      <c r="A1519" t="inlineStr">
        <is>
          <t>A 42720-2025</t>
        </is>
      </c>
      <c r="B1519" s="1" t="n">
        <v>45908.39427083333</v>
      </c>
      <c r="C1519" s="1" t="n">
        <v>45937</v>
      </c>
      <c r="D1519" t="inlineStr">
        <is>
          <t>VÄRMLANDS LÄN</t>
        </is>
      </c>
      <c r="E1519" t="inlineStr">
        <is>
          <t>TORSBY</t>
        </is>
      </c>
      <c r="F1519" t="inlineStr">
        <is>
          <t>Bergvik skog väst AB</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7178-2025</t>
        </is>
      </c>
      <c r="B1520" s="1" t="n">
        <v>45702.42493055556</v>
      </c>
      <c r="C1520" s="1" t="n">
        <v>45937</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55100-2023</t>
        </is>
      </c>
      <c r="B1521" s="1" t="n">
        <v>45237.45715277778</v>
      </c>
      <c r="C1521" s="1" t="n">
        <v>45937</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42350-2025</t>
        </is>
      </c>
      <c r="B1522" s="1" t="n">
        <v>45904</v>
      </c>
      <c r="C1522" s="1" t="n">
        <v>45937</v>
      </c>
      <c r="D1522" t="inlineStr">
        <is>
          <t>VÄRMLANDS LÄN</t>
        </is>
      </c>
      <c r="E1522" t="inlineStr">
        <is>
          <t>TORSBY</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42352-2025</t>
        </is>
      </c>
      <c r="B1523" s="1" t="n">
        <v>45904</v>
      </c>
      <c r="C1523" s="1" t="n">
        <v>45937</v>
      </c>
      <c r="D1523" t="inlineStr">
        <is>
          <t>VÄRMLANDS LÄN</t>
        </is>
      </c>
      <c r="E1523" t="inlineStr">
        <is>
          <t>TORSBY</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42563-2025</t>
        </is>
      </c>
      <c r="B1524" s="1" t="n">
        <v>45905.60097222222</v>
      </c>
      <c r="C1524" s="1" t="n">
        <v>45937</v>
      </c>
      <c r="D1524" t="inlineStr">
        <is>
          <t>VÄRMLANDS LÄN</t>
        </is>
      </c>
      <c r="E1524" t="inlineStr">
        <is>
          <t>TORSBY</t>
        </is>
      </c>
      <c r="F1524" t="inlineStr">
        <is>
          <t>Bergvik skog väst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42499-2025</t>
        </is>
      </c>
      <c r="B1525" s="1" t="n">
        <v>45905.5194675926</v>
      </c>
      <c r="C1525" s="1" t="n">
        <v>45937</v>
      </c>
      <c r="D1525" t="inlineStr">
        <is>
          <t>VÄRMLANDS LÄN</t>
        </is>
      </c>
      <c r="E1525" t="inlineStr">
        <is>
          <t>TORSBY</t>
        </is>
      </c>
      <c r="F1525" t="inlineStr">
        <is>
          <t>Bergvik skog väst AB</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9729-2025</t>
        </is>
      </c>
      <c r="B1526" s="1" t="n">
        <v>45715</v>
      </c>
      <c r="C1526" s="1" t="n">
        <v>45937</v>
      </c>
      <c r="D1526" t="inlineStr">
        <is>
          <t>VÄRMLANDS LÄN</t>
        </is>
      </c>
      <c r="E1526" t="inlineStr">
        <is>
          <t>TORSBY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35965-2025</t>
        </is>
      </c>
      <c r="B1527" s="1" t="n">
        <v>45863.39790509259</v>
      </c>
      <c r="C1527" s="1" t="n">
        <v>45937</v>
      </c>
      <c r="D1527" t="inlineStr">
        <is>
          <t>VÄRMLANDS LÄN</t>
        </is>
      </c>
      <c r="E1527" t="inlineStr">
        <is>
          <t>TORSBY</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20528-2023</t>
        </is>
      </c>
      <c r="B1528" s="1" t="n">
        <v>45057</v>
      </c>
      <c r="C1528" s="1" t="n">
        <v>45937</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43060-2021</t>
        </is>
      </c>
      <c r="B1529" s="1" t="n">
        <v>44431</v>
      </c>
      <c r="C1529" s="1" t="n">
        <v>45937</v>
      </c>
      <c r="D1529" t="inlineStr">
        <is>
          <t>VÄRMLANDS LÄN</t>
        </is>
      </c>
      <c r="E1529" t="inlineStr">
        <is>
          <t>TORSBY</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42705-2025</t>
        </is>
      </c>
      <c r="B1530" s="1" t="n">
        <v>45908.37063657407</v>
      </c>
      <c r="C1530" s="1" t="n">
        <v>45937</v>
      </c>
      <c r="D1530" t="inlineStr">
        <is>
          <t>VÄRMLANDS LÄN</t>
        </is>
      </c>
      <c r="E1530" t="inlineStr">
        <is>
          <t>TORSBY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7378-2025</t>
        </is>
      </c>
      <c r="B1531" s="1" t="n">
        <v>45705</v>
      </c>
      <c r="C1531" s="1" t="n">
        <v>45937</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22687-2023</t>
        </is>
      </c>
      <c r="B1532" s="1" t="n">
        <v>45071</v>
      </c>
      <c r="C1532" s="1" t="n">
        <v>45937</v>
      </c>
      <c r="D1532" t="inlineStr">
        <is>
          <t>VÄRMLANDS LÄN</t>
        </is>
      </c>
      <c r="E1532" t="inlineStr">
        <is>
          <t>TORSBY</t>
        </is>
      </c>
      <c r="F1532" t="inlineStr">
        <is>
          <t>Bergvik skog väst AB</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23572-2023</t>
        </is>
      </c>
      <c r="B1533" s="1" t="n">
        <v>45077</v>
      </c>
      <c r="C1533" s="1" t="n">
        <v>45937</v>
      </c>
      <c r="D1533" t="inlineStr">
        <is>
          <t>VÄRMLANDS LÄN</t>
        </is>
      </c>
      <c r="E1533" t="inlineStr">
        <is>
          <t>TORSBY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35980-2025</t>
        </is>
      </c>
      <c r="B1534" s="1" t="n">
        <v>45863</v>
      </c>
      <c r="C1534" s="1" t="n">
        <v>45937</v>
      </c>
      <c r="D1534" t="inlineStr">
        <is>
          <t>VÄRMLANDS LÄN</t>
        </is>
      </c>
      <c r="E1534" t="inlineStr">
        <is>
          <t>TORSBY</t>
        </is>
      </c>
      <c r="F1534" t="inlineStr">
        <is>
          <t>Bergvik skog väst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52062-2024</t>
        </is>
      </c>
      <c r="B1535" s="1" t="n">
        <v>45608</v>
      </c>
      <c r="C1535" s="1" t="n">
        <v>45937</v>
      </c>
      <c r="D1535" t="inlineStr">
        <is>
          <t>VÄRMLANDS LÄN</t>
        </is>
      </c>
      <c r="E1535" t="inlineStr">
        <is>
          <t>TORSBY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42349-2025</t>
        </is>
      </c>
      <c r="B1536" s="1" t="n">
        <v>45904</v>
      </c>
      <c r="C1536" s="1" t="n">
        <v>45937</v>
      </c>
      <c r="D1536" t="inlineStr">
        <is>
          <t>VÄRMLANDS LÄN</t>
        </is>
      </c>
      <c r="E1536" t="inlineStr">
        <is>
          <t>TORSBY</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739-2022</t>
        </is>
      </c>
      <c r="B1537" s="1" t="n">
        <v>44568</v>
      </c>
      <c r="C1537" s="1" t="n">
        <v>45937</v>
      </c>
      <c r="D1537" t="inlineStr">
        <is>
          <t>VÄRMLANDS LÄN</t>
        </is>
      </c>
      <c r="E1537" t="inlineStr">
        <is>
          <t>TORSBY</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38486-2022</t>
        </is>
      </c>
      <c r="B1538" s="1" t="n">
        <v>44813</v>
      </c>
      <c r="C1538" s="1" t="n">
        <v>45937</v>
      </c>
      <c r="D1538" t="inlineStr">
        <is>
          <t>VÄRMLANDS LÄN</t>
        </is>
      </c>
      <c r="E1538" t="inlineStr">
        <is>
          <t>TORSBY</t>
        </is>
      </c>
      <c r="F1538" t="inlineStr">
        <is>
          <t>Bergvik skog väst AB</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25961-2025</t>
        </is>
      </c>
      <c r="B1539" s="1" t="n">
        <v>45804</v>
      </c>
      <c r="C1539" s="1" t="n">
        <v>45937</v>
      </c>
      <c r="D1539" t="inlineStr">
        <is>
          <t>VÄRMLANDS LÄN</t>
        </is>
      </c>
      <c r="E1539" t="inlineStr">
        <is>
          <t>TORSBY</t>
        </is>
      </c>
      <c r="G1539" t="n">
        <v>17.8</v>
      </c>
      <c r="H1539" t="n">
        <v>0</v>
      </c>
      <c r="I1539" t="n">
        <v>0</v>
      </c>
      <c r="J1539" t="n">
        <v>0</v>
      </c>
      <c r="K1539" t="n">
        <v>0</v>
      </c>
      <c r="L1539" t="n">
        <v>0</v>
      </c>
      <c r="M1539" t="n">
        <v>0</v>
      </c>
      <c r="N1539" t="n">
        <v>0</v>
      </c>
      <c r="O1539" t="n">
        <v>0</v>
      </c>
      <c r="P1539" t="n">
        <v>0</v>
      </c>
      <c r="Q1539" t="n">
        <v>0</v>
      </c>
      <c r="R1539" s="2" t="inlineStr"/>
    </row>
    <row r="1540" ht="15" customHeight="1">
      <c r="A1540" t="inlineStr">
        <is>
          <t>A 42742-2025</t>
        </is>
      </c>
      <c r="B1540" s="1" t="n">
        <v>45908</v>
      </c>
      <c r="C1540" s="1" t="n">
        <v>45937</v>
      </c>
      <c r="D1540" t="inlineStr">
        <is>
          <t>VÄRMLANDS LÄN</t>
        </is>
      </c>
      <c r="E1540" t="inlineStr">
        <is>
          <t>TORSBY</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6111-2021</t>
        </is>
      </c>
      <c r="B1541" s="1" t="n">
        <v>44232</v>
      </c>
      <c r="C1541" s="1" t="n">
        <v>45937</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35987-2025</t>
        </is>
      </c>
      <c r="B1542" s="1" t="n">
        <v>45863.46144675926</v>
      </c>
      <c r="C1542" s="1" t="n">
        <v>45937</v>
      </c>
      <c r="D1542" t="inlineStr">
        <is>
          <t>VÄRMLANDS LÄN</t>
        </is>
      </c>
      <c r="E1542" t="inlineStr">
        <is>
          <t>TORSBY</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22635-2022</t>
        </is>
      </c>
      <c r="B1543" s="1" t="n">
        <v>44714</v>
      </c>
      <c r="C1543" s="1" t="n">
        <v>45937</v>
      </c>
      <c r="D1543" t="inlineStr">
        <is>
          <t>VÄRMLANDS LÄN</t>
        </is>
      </c>
      <c r="E1543" t="inlineStr">
        <is>
          <t>TORSBY</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8012-2023</t>
        </is>
      </c>
      <c r="B1544" s="1" t="n">
        <v>44973</v>
      </c>
      <c r="C1544" s="1" t="n">
        <v>45937</v>
      </c>
      <c r="D1544" t="inlineStr">
        <is>
          <t>VÄRMLANDS LÄN</t>
        </is>
      </c>
      <c r="E1544" t="inlineStr">
        <is>
          <t>TORSBY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42481-2025</t>
        </is>
      </c>
      <c r="B1545" s="1" t="n">
        <v>45904</v>
      </c>
      <c r="C1545" s="1" t="n">
        <v>45937</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41634-2025</t>
        </is>
      </c>
      <c r="B1546" s="1" t="n">
        <v>45902</v>
      </c>
      <c r="C1546" s="1" t="n">
        <v>45937</v>
      </c>
      <c r="D1546" t="inlineStr">
        <is>
          <t>VÄRMLANDS LÄN</t>
        </is>
      </c>
      <c r="E1546" t="inlineStr">
        <is>
          <t>TORSBY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42496-2025</t>
        </is>
      </c>
      <c r="B1547" s="1" t="n">
        <v>45905.50864583333</v>
      </c>
      <c r="C1547" s="1" t="n">
        <v>45937</v>
      </c>
      <c r="D1547" t="inlineStr">
        <is>
          <t>VÄRMLANDS LÄN</t>
        </is>
      </c>
      <c r="E1547" t="inlineStr">
        <is>
          <t>TORSBY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42529-2025</t>
        </is>
      </c>
      <c r="B1548" s="1" t="n">
        <v>45905.55716435185</v>
      </c>
      <c r="C1548" s="1" t="n">
        <v>45937</v>
      </c>
      <c r="D1548" t="inlineStr">
        <is>
          <t>VÄRMLANDS LÄN</t>
        </is>
      </c>
      <c r="E1548" t="inlineStr">
        <is>
          <t>TORSBY</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15274-2024</t>
        </is>
      </c>
      <c r="B1549" s="1" t="n">
        <v>45400.58201388889</v>
      </c>
      <c r="C1549" s="1" t="n">
        <v>45937</v>
      </c>
      <c r="D1549" t="inlineStr">
        <is>
          <t>VÄRMLANDS LÄN</t>
        </is>
      </c>
      <c r="E1549" t="inlineStr">
        <is>
          <t>TORSBY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61738-2020</t>
        </is>
      </c>
      <c r="B1550" s="1" t="n">
        <v>44158</v>
      </c>
      <c r="C1550" s="1" t="n">
        <v>45937</v>
      </c>
      <c r="D1550" t="inlineStr">
        <is>
          <t>VÄRMLANDS LÄN</t>
        </is>
      </c>
      <c r="E1550" t="inlineStr">
        <is>
          <t>TORSBY</t>
        </is>
      </c>
      <c r="F1550" t="inlineStr">
        <is>
          <t>Kommuner</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41130-2022</t>
        </is>
      </c>
      <c r="B1551" s="1" t="n">
        <v>44825</v>
      </c>
      <c r="C1551" s="1" t="n">
        <v>45937</v>
      </c>
      <c r="D1551" t="inlineStr">
        <is>
          <t>VÄRMLANDS LÄN</t>
        </is>
      </c>
      <c r="E1551" t="inlineStr">
        <is>
          <t>TORSBY</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43256-2024</t>
        </is>
      </c>
      <c r="B1552" s="1" t="n">
        <v>45568</v>
      </c>
      <c r="C1552" s="1" t="n">
        <v>45937</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20191-2025</t>
        </is>
      </c>
      <c r="B1553" s="1" t="n">
        <v>45772</v>
      </c>
      <c r="C1553" s="1" t="n">
        <v>45937</v>
      </c>
      <c r="D1553" t="inlineStr">
        <is>
          <t>VÄRMLANDS LÄN</t>
        </is>
      </c>
      <c r="E1553" t="inlineStr">
        <is>
          <t>TORSBY</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42354-2025</t>
        </is>
      </c>
      <c r="B1554" s="1" t="n">
        <v>45904</v>
      </c>
      <c r="C1554" s="1" t="n">
        <v>45937</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20745-2023</t>
        </is>
      </c>
      <c r="B1555" s="1" t="n">
        <v>45058</v>
      </c>
      <c r="C1555" s="1" t="n">
        <v>45937</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53771-2020</t>
        </is>
      </c>
      <c r="B1556" s="1" t="n">
        <v>44124</v>
      </c>
      <c r="C1556" s="1" t="n">
        <v>45937</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21988-2023</t>
        </is>
      </c>
      <c r="B1557" s="1" t="n">
        <v>45068</v>
      </c>
      <c r="C1557" s="1" t="n">
        <v>45937</v>
      </c>
      <c r="D1557" t="inlineStr">
        <is>
          <t>VÄRMLANDS LÄN</t>
        </is>
      </c>
      <c r="E1557" t="inlineStr">
        <is>
          <t>TORSBY</t>
        </is>
      </c>
      <c r="F1557" t="inlineStr">
        <is>
          <t>Bergvik skog väst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36850-2024</t>
        </is>
      </c>
      <c r="B1558" s="1" t="n">
        <v>45538</v>
      </c>
      <c r="C1558" s="1" t="n">
        <v>45937</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15450-2023</t>
        </is>
      </c>
      <c r="B1559" s="1" t="n">
        <v>45020</v>
      </c>
      <c r="C1559" s="1" t="n">
        <v>45937</v>
      </c>
      <c r="D1559" t="inlineStr">
        <is>
          <t>VÄRMLANDS LÄN</t>
        </is>
      </c>
      <c r="E1559" t="inlineStr">
        <is>
          <t>TORSBY</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6529-2025</t>
        </is>
      </c>
      <c r="B1560" s="1" t="n">
        <v>45699</v>
      </c>
      <c r="C1560" s="1" t="n">
        <v>45937</v>
      </c>
      <c r="D1560" t="inlineStr">
        <is>
          <t>VÄRMLANDS LÄN</t>
        </is>
      </c>
      <c r="E1560" t="inlineStr">
        <is>
          <t>TORSBY</t>
        </is>
      </c>
      <c r="F1560" t="inlineStr">
        <is>
          <t>Kommuner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6532-2025</t>
        </is>
      </c>
      <c r="B1561" s="1" t="n">
        <v>45699</v>
      </c>
      <c r="C1561" s="1" t="n">
        <v>45937</v>
      </c>
      <c r="D1561" t="inlineStr">
        <is>
          <t>VÄRMLANDS LÄN</t>
        </is>
      </c>
      <c r="E1561" t="inlineStr">
        <is>
          <t>TORSBY</t>
        </is>
      </c>
      <c r="F1561" t="inlineStr">
        <is>
          <t>Kommuner</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36288-2025</t>
        </is>
      </c>
      <c r="B1562" s="1" t="n">
        <v>45867.6619212963</v>
      </c>
      <c r="C1562" s="1" t="n">
        <v>45937</v>
      </c>
      <c r="D1562" t="inlineStr">
        <is>
          <t>VÄRMLANDS LÄN</t>
        </is>
      </c>
      <c r="E1562" t="inlineStr">
        <is>
          <t>TORSBY</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36289-2025</t>
        </is>
      </c>
      <c r="B1563" s="1" t="n">
        <v>45867.66329861111</v>
      </c>
      <c r="C1563" s="1" t="n">
        <v>45937</v>
      </c>
      <c r="D1563" t="inlineStr">
        <is>
          <t>VÄRMLANDS LÄN</t>
        </is>
      </c>
      <c r="E1563" t="inlineStr">
        <is>
          <t>TORSBY</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55475-2022</t>
        </is>
      </c>
      <c r="B1564" s="1" t="n">
        <v>44887.66210648148</v>
      </c>
      <c r="C1564" s="1" t="n">
        <v>45937</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6863-2023</t>
        </is>
      </c>
      <c r="B1565" s="1" t="n">
        <v>44964</v>
      </c>
      <c r="C1565" s="1" t="n">
        <v>45937</v>
      </c>
      <c r="D1565" t="inlineStr">
        <is>
          <t>VÄRMLANDS LÄN</t>
        </is>
      </c>
      <c r="E1565" t="inlineStr">
        <is>
          <t>TORSBY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36256-2025</t>
        </is>
      </c>
      <c r="B1566" s="1" t="n">
        <v>45867.58938657407</v>
      </c>
      <c r="C1566" s="1" t="n">
        <v>45937</v>
      </c>
      <c r="D1566" t="inlineStr">
        <is>
          <t>VÄRMLANDS LÄN</t>
        </is>
      </c>
      <c r="E1566" t="inlineStr">
        <is>
          <t>TORSBY</t>
        </is>
      </c>
      <c r="F1566" t="inlineStr">
        <is>
          <t>Bergvik skog väst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21094-2022</t>
        </is>
      </c>
      <c r="B1567" s="1" t="n">
        <v>44704</v>
      </c>
      <c r="C1567" s="1" t="n">
        <v>45937</v>
      </c>
      <c r="D1567" t="inlineStr">
        <is>
          <t>VÄRMLANDS LÄN</t>
        </is>
      </c>
      <c r="E1567" t="inlineStr">
        <is>
          <t>TORSBY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11670-2025</t>
        </is>
      </c>
      <c r="B1568" s="1" t="n">
        <v>45727</v>
      </c>
      <c r="C1568" s="1" t="n">
        <v>45937</v>
      </c>
      <c r="D1568" t="inlineStr">
        <is>
          <t>VÄRMLANDS LÄN</t>
        </is>
      </c>
      <c r="E1568" t="inlineStr">
        <is>
          <t>TORSBY</t>
        </is>
      </c>
      <c r="G1568" t="n">
        <v>10.9</v>
      </c>
      <c r="H1568" t="n">
        <v>0</v>
      </c>
      <c r="I1568" t="n">
        <v>0</v>
      </c>
      <c r="J1568" t="n">
        <v>0</v>
      </c>
      <c r="K1568" t="n">
        <v>0</v>
      </c>
      <c r="L1568" t="n">
        <v>0</v>
      </c>
      <c r="M1568" t="n">
        <v>0</v>
      </c>
      <c r="N1568" t="n">
        <v>0</v>
      </c>
      <c r="O1568" t="n">
        <v>0</v>
      </c>
      <c r="P1568" t="n">
        <v>0</v>
      </c>
      <c r="Q1568" t="n">
        <v>0</v>
      </c>
      <c r="R1568" s="2" t="inlineStr"/>
    </row>
    <row r="1569" ht="15" customHeight="1">
      <c r="A1569" t="inlineStr">
        <is>
          <t>A 14369-2025</t>
        </is>
      </c>
      <c r="B1569" s="1" t="n">
        <v>45741</v>
      </c>
      <c r="C1569" s="1" t="n">
        <v>45937</v>
      </c>
      <c r="D1569" t="inlineStr">
        <is>
          <t>VÄRMLANDS LÄN</t>
        </is>
      </c>
      <c r="E1569" t="inlineStr">
        <is>
          <t>TORSBY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14413-2025</t>
        </is>
      </c>
      <c r="B1570" s="1" t="n">
        <v>45741</v>
      </c>
      <c r="C1570" s="1" t="n">
        <v>45937</v>
      </c>
      <c r="D1570" t="inlineStr">
        <is>
          <t>VÄRMLANDS LÄN</t>
        </is>
      </c>
      <c r="E1570" t="inlineStr">
        <is>
          <t>TORSBY</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18354-2021</t>
        </is>
      </c>
      <c r="B1571" s="1" t="n">
        <v>44305.56186342592</v>
      </c>
      <c r="C1571" s="1" t="n">
        <v>45937</v>
      </c>
      <c r="D1571" t="inlineStr">
        <is>
          <t>VÄRMLANDS LÄN</t>
        </is>
      </c>
      <c r="E1571" t="inlineStr">
        <is>
          <t>TORSBY</t>
        </is>
      </c>
      <c r="F1571" t="inlineStr">
        <is>
          <t>Kommuner</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42966-2025</t>
        </is>
      </c>
      <c r="B1572" s="1" t="n">
        <v>45909.38825231481</v>
      </c>
      <c r="C1572" s="1" t="n">
        <v>45937</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67547-2020</t>
        </is>
      </c>
      <c r="B1573" s="1" t="n">
        <v>44181</v>
      </c>
      <c r="C1573" s="1" t="n">
        <v>45937</v>
      </c>
      <c r="D1573" t="inlineStr">
        <is>
          <t>VÄRMLANDS LÄN</t>
        </is>
      </c>
      <c r="E1573" t="inlineStr">
        <is>
          <t>TORSBY</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36258-2025</t>
        </is>
      </c>
      <c r="B1574" s="1" t="n">
        <v>45867.59559027778</v>
      </c>
      <c r="C1574" s="1" t="n">
        <v>45937</v>
      </c>
      <c r="D1574" t="inlineStr">
        <is>
          <t>VÄRMLANDS LÄN</t>
        </is>
      </c>
      <c r="E1574" t="inlineStr">
        <is>
          <t>TORSBY</t>
        </is>
      </c>
      <c r="F1574" t="inlineStr">
        <is>
          <t>Bergvik skog väst AB</t>
        </is>
      </c>
      <c r="G1574" t="n">
        <v>13.7</v>
      </c>
      <c r="H1574" t="n">
        <v>0</v>
      </c>
      <c r="I1574" t="n">
        <v>0</v>
      </c>
      <c r="J1574" t="n">
        <v>0</v>
      </c>
      <c r="K1574" t="n">
        <v>0</v>
      </c>
      <c r="L1574" t="n">
        <v>0</v>
      </c>
      <c r="M1574" t="n">
        <v>0</v>
      </c>
      <c r="N1574" t="n">
        <v>0</v>
      </c>
      <c r="O1574" t="n">
        <v>0</v>
      </c>
      <c r="P1574" t="n">
        <v>0</v>
      </c>
      <c r="Q1574" t="n">
        <v>0</v>
      </c>
      <c r="R1574" s="2" t="inlineStr"/>
    </row>
    <row r="1575" ht="15" customHeight="1">
      <c r="A1575" t="inlineStr">
        <is>
          <t>A 24896-2023</t>
        </is>
      </c>
      <c r="B1575" s="1" t="n">
        <v>45085</v>
      </c>
      <c r="C1575" s="1" t="n">
        <v>45937</v>
      </c>
      <c r="D1575" t="inlineStr">
        <is>
          <t>VÄRMLANDS LÄN</t>
        </is>
      </c>
      <c r="E1575" t="inlineStr">
        <is>
          <t>TORSBY</t>
        </is>
      </c>
      <c r="F1575" t="inlineStr">
        <is>
          <t>Bergvik skog väst AB</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32624-2025</t>
        </is>
      </c>
      <c r="B1576" s="1" t="n">
        <v>45838.64796296296</v>
      </c>
      <c r="C1576" s="1" t="n">
        <v>45937</v>
      </c>
      <c r="D1576" t="inlineStr">
        <is>
          <t>VÄRMLANDS LÄN</t>
        </is>
      </c>
      <c r="E1576" t="inlineStr">
        <is>
          <t>TORSBY</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46698-2024</t>
        </is>
      </c>
      <c r="B1577" s="1" t="n">
        <v>45583.43209490741</v>
      </c>
      <c r="C1577" s="1" t="n">
        <v>45937</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21390-2023</t>
        </is>
      </c>
      <c r="B1578" s="1" t="n">
        <v>45063</v>
      </c>
      <c r="C1578" s="1" t="n">
        <v>45937</v>
      </c>
      <c r="D1578" t="inlineStr">
        <is>
          <t>VÄRMLANDS LÄN</t>
        </is>
      </c>
      <c r="E1578" t="inlineStr">
        <is>
          <t>TORSBY</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21409-2023</t>
        </is>
      </c>
      <c r="B1579" s="1" t="n">
        <v>45063</v>
      </c>
      <c r="C1579" s="1" t="n">
        <v>45937</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34164-2024</t>
        </is>
      </c>
      <c r="B1580" s="1" t="n">
        <v>45524.41924768518</v>
      </c>
      <c r="C1580" s="1" t="n">
        <v>45937</v>
      </c>
      <c r="D1580" t="inlineStr">
        <is>
          <t>VÄRMLANDS LÄN</t>
        </is>
      </c>
      <c r="E1580" t="inlineStr">
        <is>
          <t>TORSBY</t>
        </is>
      </c>
      <c r="F1580" t="inlineStr">
        <is>
          <t>Bergvik skog väst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42945-2024</t>
        </is>
      </c>
      <c r="B1581" s="1" t="n">
        <v>45567</v>
      </c>
      <c r="C1581" s="1" t="n">
        <v>45937</v>
      </c>
      <c r="D1581" t="inlineStr">
        <is>
          <t>VÄRMLANDS LÄN</t>
        </is>
      </c>
      <c r="E1581" t="inlineStr">
        <is>
          <t>TORSBY</t>
        </is>
      </c>
      <c r="F1581" t="inlineStr">
        <is>
          <t>Bergvik skog väst AB</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52979-2020</t>
        </is>
      </c>
      <c r="B1582" s="1" t="n">
        <v>44120</v>
      </c>
      <c r="C1582" s="1" t="n">
        <v>45937</v>
      </c>
      <c r="D1582" t="inlineStr">
        <is>
          <t>VÄRMLANDS LÄN</t>
        </is>
      </c>
      <c r="E1582" t="inlineStr">
        <is>
          <t>TORSBY</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8048-2022</t>
        </is>
      </c>
      <c r="B1583" s="1" t="n">
        <v>44609</v>
      </c>
      <c r="C1583" s="1" t="n">
        <v>45937</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42961-2025</t>
        </is>
      </c>
      <c r="B1584" s="1" t="n">
        <v>45909.36737268518</v>
      </c>
      <c r="C1584" s="1" t="n">
        <v>45937</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36287-2025</t>
        </is>
      </c>
      <c r="B1585" s="1" t="n">
        <v>45867.65814814815</v>
      </c>
      <c r="C1585" s="1" t="n">
        <v>45937</v>
      </c>
      <c r="D1585" t="inlineStr">
        <is>
          <t>VÄRMLANDS LÄN</t>
        </is>
      </c>
      <c r="E1585" t="inlineStr">
        <is>
          <t>TORSBY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36279-2025</t>
        </is>
      </c>
      <c r="B1586" s="1" t="n">
        <v>45867.638125</v>
      </c>
      <c r="C1586" s="1" t="n">
        <v>45937</v>
      </c>
      <c r="D1586" t="inlineStr">
        <is>
          <t>VÄRMLANDS LÄN</t>
        </is>
      </c>
      <c r="E1586" t="inlineStr">
        <is>
          <t>TORSBY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42965-2025</t>
        </is>
      </c>
      <c r="B1587" s="1" t="n">
        <v>45909.37575231482</v>
      </c>
      <c r="C1587" s="1" t="n">
        <v>45937</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21585-2024</t>
        </is>
      </c>
      <c r="B1588" s="1" t="n">
        <v>45441</v>
      </c>
      <c r="C1588" s="1" t="n">
        <v>45937</v>
      </c>
      <c r="D1588" t="inlineStr">
        <is>
          <t>VÄRMLANDS LÄN</t>
        </is>
      </c>
      <c r="E1588" t="inlineStr">
        <is>
          <t>TORSBY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40788-2022</t>
        </is>
      </c>
      <c r="B1589" s="1" t="n">
        <v>44824</v>
      </c>
      <c r="C1589" s="1" t="n">
        <v>45937</v>
      </c>
      <c r="D1589" t="inlineStr">
        <is>
          <t>VÄRMLANDS LÄN</t>
        </is>
      </c>
      <c r="E1589" t="inlineStr">
        <is>
          <t>TORSBY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41148-2025</t>
        </is>
      </c>
      <c r="B1590" s="1" t="n">
        <v>45898</v>
      </c>
      <c r="C1590" s="1" t="n">
        <v>45937</v>
      </c>
      <c r="D1590" t="inlineStr">
        <is>
          <t>VÄRMLANDS LÄN</t>
        </is>
      </c>
      <c r="E1590" t="inlineStr">
        <is>
          <t>TORSBY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44470-2024</t>
        </is>
      </c>
      <c r="B1591" s="1" t="n">
        <v>45574</v>
      </c>
      <c r="C1591" s="1" t="n">
        <v>45937</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43304-2025</t>
        </is>
      </c>
      <c r="B1592" s="1" t="n">
        <v>45910.63630787037</v>
      </c>
      <c r="C1592" s="1" t="n">
        <v>45937</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52447-2022</t>
        </is>
      </c>
      <c r="B1593" s="1" t="n">
        <v>44874</v>
      </c>
      <c r="C1593" s="1" t="n">
        <v>45937</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30836-2025</t>
        </is>
      </c>
      <c r="B1594" s="1" t="n">
        <v>45831.70571759259</v>
      </c>
      <c r="C1594" s="1" t="n">
        <v>45937</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43831-2025</t>
        </is>
      </c>
      <c r="B1595" s="1" t="n">
        <v>45912.62987268518</v>
      </c>
      <c r="C1595" s="1" t="n">
        <v>45937</v>
      </c>
      <c r="D1595" t="inlineStr">
        <is>
          <t>VÄRMLANDS LÄN</t>
        </is>
      </c>
      <c r="E1595" t="inlineStr">
        <is>
          <t>TORSBY</t>
        </is>
      </c>
      <c r="F1595" t="inlineStr">
        <is>
          <t>Bergvik skog väst AB</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6013-2024</t>
        </is>
      </c>
      <c r="B1596" s="1" t="n">
        <v>45336.60763888889</v>
      </c>
      <c r="C1596" s="1" t="n">
        <v>45937</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16425-2022</t>
        </is>
      </c>
      <c r="B1597" s="1" t="n">
        <v>44671</v>
      </c>
      <c r="C1597" s="1" t="n">
        <v>45937</v>
      </c>
      <c r="D1597" t="inlineStr">
        <is>
          <t>VÄRMLANDS LÄN</t>
        </is>
      </c>
      <c r="E1597" t="inlineStr">
        <is>
          <t>TORSBY</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34256-2024</t>
        </is>
      </c>
      <c r="B1598" s="1" t="n">
        <v>45524.59434027778</v>
      </c>
      <c r="C1598" s="1" t="n">
        <v>45937</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21255-2023</t>
        </is>
      </c>
      <c r="B1599" s="1" t="n">
        <v>45058</v>
      </c>
      <c r="C1599" s="1" t="n">
        <v>45937</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36548-2025</t>
        </is>
      </c>
      <c r="B1600" s="1" t="n">
        <v>45869.74849537037</v>
      </c>
      <c r="C1600" s="1" t="n">
        <v>45937</v>
      </c>
      <c r="D1600" t="inlineStr">
        <is>
          <t>VÄRMLANDS LÄN</t>
        </is>
      </c>
      <c r="E1600" t="inlineStr">
        <is>
          <t>TORSBY</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43301-2024</t>
        </is>
      </c>
      <c r="B1601" s="1" t="n">
        <v>45568</v>
      </c>
      <c r="C1601" s="1" t="n">
        <v>45937</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43608-2025</t>
        </is>
      </c>
      <c r="B1602" s="1" t="n">
        <v>45911.67491898148</v>
      </c>
      <c r="C1602" s="1" t="n">
        <v>45937</v>
      </c>
      <c r="D1602" t="inlineStr">
        <is>
          <t>VÄRMLANDS LÄN</t>
        </is>
      </c>
      <c r="E1602" t="inlineStr">
        <is>
          <t>TORSBY</t>
        </is>
      </c>
      <c r="F1602" t="inlineStr">
        <is>
          <t>Bergvik skog väst AB</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43614-2025</t>
        </is>
      </c>
      <c r="B1603" s="1" t="n">
        <v>45911.67766203704</v>
      </c>
      <c r="C1603" s="1" t="n">
        <v>45937</v>
      </c>
      <c r="D1603" t="inlineStr">
        <is>
          <t>VÄRMLANDS LÄN</t>
        </is>
      </c>
      <c r="E1603" t="inlineStr">
        <is>
          <t>TORSBY</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20737-2023</t>
        </is>
      </c>
      <c r="B1604" s="1" t="n">
        <v>45058</v>
      </c>
      <c r="C1604" s="1" t="n">
        <v>45937</v>
      </c>
      <c r="D1604" t="inlineStr">
        <is>
          <t>VÄRMLANDS LÄN</t>
        </is>
      </c>
      <c r="E1604" t="inlineStr">
        <is>
          <t>TORSBY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22158-2022</t>
        </is>
      </c>
      <c r="B1605" s="1" t="n">
        <v>44708</v>
      </c>
      <c r="C1605" s="1" t="n">
        <v>45937</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36530-2025</t>
        </is>
      </c>
      <c r="B1606" s="1" t="n">
        <v>45869.61282407407</v>
      </c>
      <c r="C1606" s="1" t="n">
        <v>45937</v>
      </c>
      <c r="D1606" t="inlineStr">
        <is>
          <t>VÄRMLANDS LÄN</t>
        </is>
      </c>
      <c r="E1606" t="inlineStr">
        <is>
          <t>TORSBY</t>
        </is>
      </c>
      <c r="F1606" t="inlineStr">
        <is>
          <t>Bergvik skog väst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18105-2022</t>
        </is>
      </c>
      <c r="B1607" s="1" t="n">
        <v>44684</v>
      </c>
      <c r="C1607" s="1" t="n">
        <v>45937</v>
      </c>
      <c r="D1607" t="inlineStr">
        <is>
          <t>VÄRMLANDS LÄN</t>
        </is>
      </c>
      <c r="E1607" t="inlineStr">
        <is>
          <t>TORSBY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36477-2025</t>
        </is>
      </c>
      <c r="B1608" s="1" t="n">
        <v>45869</v>
      </c>
      <c r="C1608" s="1" t="n">
        <v>45937</v>
      </c>
      <c r="D1608" t="inlineStr">
        <is>
          <t>VÄRMLANDS LÄN</t>
        </is>
      </c>
      <c r="E1608" t="inlineStr">
        <is>
          <t>TORSBY</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36498-2025</t>
        </is>
      </c>
      <c r="B1609" s="1" t="n">
        <v>45869</v>
      </c>
      <c r="C1609" s="1" t="n">
        <v>45937</v>
      </c>
      <c r="D1609" t="inlineStr">
        <is>
          <t>VÄRMLANDS LÄN</t>
        </is>
      </c>
      <c r="E1609" t="inlineStr">
        <is>
          <t>TORSBY</t>
        </is>
      </c>
      <c r="F1609" t="inlineStr">
        <is>
          <t>Bergvik skog väst AB</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36500-2025</t>
        </is>
      </c>
      <c r="B1610" s="1" t="n">
        <v>45869</v>
      </c>
      <c r="C1610" s="1" t="n">
        <v>45937</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53705-2021</t>
        </is>
      </c>
      <c r="B1611" s="1" t="n">
        <v>44469</v>
      </c>
      <c r="C1611" s="1" t="n">
        <v>45937</v>
      </c>
      <c r="D1611" t="inlineStr">
        <is>
          <t>VÄRMLANDS LÄN</t>
        </is>
      </c>
      <c r="E1611" t="inlineStr">
        <is>
          <t>TORSBY</t>
        </is>
      </c>
      <c r="F1611" t="inlineStr">
        <is>
          <t>Kyrkan</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36483-2025</t>
        </is>
      </c>
      <c r="B1612" s="1" t="n">
        <v>45869</v>
      </c>
      <c r="C1612" s="1" t="n">
        <v>45937</v>
      </c>
      <c r="D1612" t="inlineStr">
        <is>
          <t>VÄRMLANDS LÄN</t>
        </is>
      </c>
      <c r="E1612" t="inlineStr">
        <is>
          <t>TORSBY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16329-2025</t>
        </is>
      </c>
      <c r="B1613" s="1" t="n">
        <v>45751</v>
      </c>
      <c r="C1613" s="1" t="n">
        <v>45937</v>
      </c>
      <c r="D1613" t="inlineStr">
        <is>
          <t>VÄRMLANDS LÄN</t>
        </is>
      </c>
      <c r="E1613" t="inlineStr">
        <is>
          <t>TORSBY</t>
        </is>
      </c>
      <c r="F1613" t="inlineStr">
        <is>
          <t>Bergvik skog väst AB</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43669-2025</t>
        </is>
      </c>
      <c r="B1614" s="1" t="n">
        <v>45912.36299768519</v>
      </c>
      <c r="C1614" s="1" t="n">
        <v>45937</v>
      </c>
      <c r="D1614" t="inlineStr">
        <is>
          <t>VÄRMLANDS LÄN</t>
        </is>
      </c>
      <c r="E1614" t="inlineStr">
        <is>
          <t>TORSBY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12365-2022</t>
        </is>
      </c>
      <c r="B1615" s="1" t="n">
        <v>44637.70670138889</v>
      </c>
      <c r="C1615" s="1" t="n">
        <v>45937</v>
      </c>
      <c r="D1615" t="inlineStr">
        <is>
          <t>VÄRMLANDS LÄN</t>
        </is>
      </c>
      <c r="E1615" t="inlineStr">
        <is>
          <t>TORSBY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38286-2023</t>
        </is>
      </c>
      <c r="B1616" s="1" t="n">
        <v>45161.63807870371</v>
      </c>
      <c r="C1616" s="1" t="n">
        <v>45937</v>
      </c>
      <c r="D1616" t="inlineStr">
        <is>
          <t>VÄRMLANDS LÄN</t>
        </is>
      </c>
      <c r="E1616" t="inlineStr">
        <is>
          <t>TORSBY</t>
        </is>
      </c>
      <c r="F1616" t="inlineStr">
        <is>
          <t>Kyrkan</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43313-2025</t>
        </is>
      </c>
      <c r="B1617" s="1" t="n">
        <v>45910</v>
      </c>
      <c r="C1617" s="1" t="n">
        <v>45937</v>
      </c>
      <c r="D1617" t="inlineStr">
        <is>
          <t>VÄRMLANDS LÄN</t>
        </is>
      </c>
      <c r="E1617" t="inlineStr">
        <is>
          <t>TORSBY</t>
        </is>
      </c>
      <c r="F1617" t="inlineStr">
        <is>
          <t>Övriga Aktiebolag</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43055-2025</t>
        </is>
      </c>
      <c r="B1618" s="1" t="n">
        <v>45909</v>
      </c>
      <c r="C1618" s="1" t="n">
        <v>45937</v>
      </c>
      <c r="D1618" t="inlineStr">
        <is>
          <t>VÄRMLANDS LÄN</t>
        </is>
      </c>
      <c r="E1618" t="inlineStr">
        <is>
          <t>TORSBY</t>
        </is>
      </c>
      <c r="F1618" t="inlineStr">
        <is>
          <t>Bergvik skog väst AB</t>
        </is>
      </c>
      <c r="G1618" t="n">
        <v>20.1</v>
      </c>
      <c r="H1618" t="n">
        <v>0</v>
      </c>
      <c r="I1618" t="n">
        <v>0</v>
      </c>
      <c r="J1618" t="n">
        <v>0</v>
      </c>
      <c r="K1618" t="n">
        <v>0</v>
      </c>
      <c r="L1618" t="n">
        <v>0</v>
      </c>
      <c r="M1618" t="n">
        <v>0</v>
      </c>
      <c r="N1618" t="n">
        <v>0</v>
      </c>
      <c r="O1618" t="n">
        <v>0</v>
      </c>
      <c r="P1618" t="n">
        <v>0</v>
      </c>
      <c r="Q1618" t="n">
        <v>0</v>
      </c>
      <c r="R1618" s="2" t="inlineStr"/>
    </row>
    <row r="1619" ht="15" customHeight="1">
      <c r="A1619" t="inlineStr">
        <is>
          <t>A 56281-2022</t>
        </is>
      </c>
      <c r="B1619" s="1" t="n">
        <v>44890</v>
      </c>
      <c r="C1619" s="1" t="n">
        <v>45937</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19878-2025</t>
        </is>
      </c>
      <c r="B1620" s="1" t="n">
        <v>45771.55361111111</v>
      </c>
      <c r="C1620" s="1" t="n">
        <v>45937</v>
      </c>
      <c r="D1620" t="inlineStr">
        <is>
          <t>VÄRMLANDS LÄN</t>
        </is>
      </c>
      <c r="E1620" t="inlineStr">
        <is>
          <t>TORSBY</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20130-2023</t>
        </is>
      </c>
      <c r="B1621" s="1" t="n">
        <v>45055.38503472223</v>
      </c>
      <c r="C1621" s="1" t="n">
        <v>45937</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26343-2023</t>
        </is>
      </c>
      <c r="B1622" s="1" t="n">
        <v>45091</v>
      </c>
      <c r="C1622" s="1" t="n">
        <v>45937</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65713-2021</t>
        </is>
      </c>
      <c r="B1623" s="1" t="n">
        <v>44516</v>
      </c>
      <c r="C1623" s="1" t="n">
        <v>45937</v>
      </c>
      <c r="D1623" t="inlineStr">
        <is>
          <t>VÄRMLANDS LÄN</t>
        </is>
      </c>
      <c r="E1623" t="inlineStr">
        <is>
          <t>TORSBY</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17548-2023</t>
        </is>
      </c>
      <c r="B1624" s="1" t="n">
        <v>45036</v>
      </c>
      <c r="C1624" s="1" t="n">
        <v>45937</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69241-2020</t>
        </is>
      </c>
      <c r="B1625" s="1" t="n">
        <v>44192.85814814815</v>
      </c>
      <c r="C1625" s="1" t="n">
        <v>45937</v>
      </c>
      <c r="D1625" t="inlineStr">
        <is>
          <t>VÄRMLANDS LÄN</t>
        </is>
      </c>
      <c r="E1625" t="inlineStr">
        <is>
          <t>TORSBY</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8447-2023</t>
        </is>
      </c>
      <c r="B1626" s="1" t="n">
        <v>44977</v>
      </c>
      <c r="C1626" s="1" t="n">
        <v>45937</v>
      </c>
      <c r="D1626" t="inlineStr">
        <is>
          <t>VÄRMLANDS LÄN</t>
        </is>
      </c>
      <c r="E1626" t="inlineStr">
        <is>
          <t>TORSBY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44170-2022</t>
        </is>
      </c>
      <c r="B1627" s="1" t="n">
        <v>44838</v>
      </c>
      <c r="C1627" s="1" t="n">
        <v>45937</v>
      </c>
      <c r="D1627" t="inlineStr">
        <is>
          <t>VÄRMLANDS LÄN</t>
        </is>
      </c>
      <c r="E1627" t="inlineStr">
        <is>
          <t>TORSBY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36856-2025</t>
        </is>
      </c>
      <c r="B1628" s="1" t="n">
        <v>45874.40421296296</v>
      </c>
      <c r="C1628" s="1" t="n">
        <v>45937</v>
      </c>
      <c r="D1628" t="inlineStr">
        <is>
          <t>VÄRMLANDS LÄN</t>
        </is>
      </c>
      <c r="E1628" t="inlineStr">
        <is>
          <t>TORSBY</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4236-2023</t>
        </is>
      </c>
      <c r="B1629" s="1" t="n">
        <v>44953.48950231481</v>
      </c>
      <c r="C1629" s="1" t="n">
        <v>45937</v>
      </c>
      <c r="D1629" t="inlineStr">
        <is>
          <t>VÄRMLANDS LÄN</t>
        </is>
      </c>
      <c r="E1629" t="inlineStr">
        <is>
          <t>TORSBY</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4250-2023</t>
        </is>
      </c>
      <c r="B1630" s="1" t="n">
        <v>44953.51747685186</v>
      </c>
      <c r="C1630" s="1" t="n">
        <v>45937</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46917-2024</t>
        </is>
      </c>
      <c r="B1631" s="1" t="n">
        <v>45583</v>
      </c>
      <c r="C1631" s="1" t="n">
        <v>45937</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7127-2023</t>
        </is>
      </c>
      <c r="B1632" s="1" t="n">
        <v>44970.41383101852</v>
      </c>
      <c r="C1632" s="1" t="n">
        <v>45937</v>
      </c>
      <c r="D1632" t="inlineStr">
        <is>
          <t>VÄRMLANDS LÄN</t>
        </is>
      </c>
      <c r="E1632" t="inlineStr">
        <is>
          <t>TORSBY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44374-2025</t>
        </is>
      </c>
      <c r="B1633" s="1" t="n">
        <v>45916.47035879629</v>
      </c>
      <c r="C1633" s="1" t="n">
        <v>45937</v>
      </c>
      <c r="D1633" t="inlineStr">
        <is>
          <t>VÄRMLANDS LÄN</t>
        </is>
      </c>
      <c r="E1633" t="inlineStr">
        <is>
          <t>TORSBY</t>
        </is>
      </c>
      <c r="F1633" t="inlineStr">
        <is>
          <t>Bergvik skog väst AB</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7133-2023</t>
        </is>
      </c>
      <c r="B1634" s="1" t="n">
        <v>44970.43622685185</v>
      </c>
      <c r="C1634" s="1" t="n">
        <v>45937</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44233-2025</t>
        </is>
      </c>
      <c r="B1635" s="1" t="n">
        <v>45915.65515046296</v>
      </c>
      <c r="C1635" s="1" t="n">
        <v>45937</v>
      </c>
      <c r="D1635" t="inlineStr">
        <is>
          <t>VÄRMLANDS LÄN</t>
        </is>
      </c>
      <c r="E1635" t="inlineStr">
        <is>
          <t>TORSBY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15170-2025</t>
        </is>
      </c>
      <c r="B1636" s="1" t="n">
        <v>45743</v>
      </c>
      <c r="C1636" s="1" t="n">
        <v>45937</v>
      </c>
      <c r="D1636" t="inlineStr">
        <is>
          <t>VÄRMLANDS LÄN</t>
        </is>
      </c>
      <c r="E1636" t="inlineStr">
        <is>
          <t>TORSBY</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16073-2024</t>
        </is>
      </c>
      <c r="B1637" s="1" t="n">
        <v>45406</v>
      </c>
      <c r="C1637" s="1" t="n">
        <v>45937</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58956-2022</t>
        </is>
      </c>
      <c r="B1638" s="1" t="n">
        <v>44903.65895833333</v>
      </c>
      <c r="C1638" s="1" t="n">
        <v>45937</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39390-2023</t>
        </is>
      </c>
      <c r="B1639" s="1" t="n">
        <v>45166.65104166666</v>
      </c>
      <c r="C1639" s="1" t="n">
        <v>45937</v>
      </c>
      <c r="D1639" t="inlineStr">
        <is>
          <t>VÄRMLANDS LÄN</t>
        </is>
      </c>
      <c r="E1639" t="inlineStr">
        <is>
          <t>TORSBY</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36050-2023</t>
        </is>
      </c>
      <c r="B1640" s="1" t="n">
        <v>45149</v>
      </c>
      <c r="C1640" s="1" t="n">
        <v>45937</v>
      </c>
      <c r="D1640" t="inlineStr">
        <is>
          <t>VÄRMLANDS LÄN</t>
        </is>
      </c>
      <c r="E1640" t="inlineStr">
        <is>
          <t>TORSBY</t>
        </is>
      </c>
      <c r="F1640" t="inlineStr">
        <is>
          <t>Kommuner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65301-2021</t>
        </is>
      </c>
      <c r="B1641" s="1" t="n">
        <v>44515</v>
      </c>
      <c r="C1641" s="1" t="n">
        <v>45937</v>
      </c>
      <c r="D1641" t="inlineStr">
        <is>
          <t>VÄRMLANDS LÄN</t>
        </is>
      </c>
      <c r="E1641" t="inlineStr">
        <is>
          <t>TORSBY</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34966-2024</t>
        </is>
      </c>
      <c r="B1642" s="1" t="n">
        <v>45527.49600694444</v>
      </c>
      <c r="C1642" s="1" t="n">
        <v>45937</v>
      </c>
      <c r="D1642" t="inlineStr">
        <is>
          <t>VÄRMLANDS LÄN</t>
        </is>
      </c>
      <c r="E1642" t="inlineStr">
        <is>
          <t>TORSBY</t>
        </is>
      </c>
      <c r="F1642" t="inlineStr">
        <is>
          <t>Bergvik skog väst AB</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69628-2020</t>
        </is>
      </c>
      <c r="B1643" s="1" t="n">
        <v>44195</v>
      </c>
      <c r="C1643" s="1" t="n">
        <v>45937</v>
      </c>
      <c r="D1643" t="inlineStr">
        <is>
          <t>VÄRMLANDS LÄN</t>
        </is>
      </c>
      <c r="E1643" t="inlineStr">
        <is>
          <t>TORSBY</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11153-2024</t>
        </is>
      </c>
      <c r="B1644" s="1" t="n">
        <v>45371.4759837963</v>
      </c>
      <c r="C1644" s="1" t="n">
        <v>45937</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14162-2025</t>
        </is>
      </c>
      <c r="B1645" s="1" t="n">
        <v>45740</v>
      </c>
      <c r="C1645" s="1" t="n">
        <v>45937</v>
      </c>
      <c r="D1645" t="inlineStr">
        <is>
          <t>VÄRMLANDS LÄN</t>
        </is>
      </c>
      <c r="E1645" t="inlineStr">
        <is>
          <t>TORSBY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61753-2020</t>
        </is>
      </c>
      <c r="B1646" s="1" t="n">
        <v>44158</v>
      </c>
      <c r="C1646" s="1" t="n">
        <v>45937</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1512-2025</t>
        </is>
      </c>
      <c r="B1647" s="1" t="n">
        <v>45670.45255787037</v>
      </c>
      <c r="C1647" s="1" t="n">
        <v>45937</v>
      </c>
      <c r="D1647" t="inlineStr">
        <is>
          <t>VÄRMLANDS LÄN</t>
        </is>
      </c>
      <c r="E1647" t="inlineStr">
        <is>
          <t>TORSBY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6438-2022</t>
        </is>
      </c>
      <c r="B1648" s="1" t="n">
        <v>44601.32209490741</v>
      </c>
      <c r="C1648" s="1" t="n">
        <v>45937</v>
      </c>
      <c r="D1648" t="inlineStr">
        <is>
          <t>VÄRMLANDS LÄN</t>
        </is>
      </c>
      <c r="E1648" t="inlineStr">
        <is>
          <t>TORSBY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44156-2025</t>
        </is>
      </c>
      <c r="B1649" s="1" t="n">
        <v>45915.59539351852</v>
      </c>
      <c r="C1649" s="1" t="n">
        <v>45937</v>
      </c>
      <c r="D1649" t="inlineStr">
        <is>
          <t>VÄRMLANDS LÄN</t>
        </is>
      </c>
      <c r="E1649" t="inlineStr">
        <is>
          <t>TORSBY</t>
        </is>
      </c>
      <c r="F1649" t="inlineStr">
        <is>
          <t>Kyrkan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44288-2025</t>
        </is>
      </c>
      <c r="B1650" s="1" t="n">
        <v>45916.3500462963</v>
      </c>
      <c r="C1650" s="1" t="n">
        <v>45937</v>
      </c>
      <c r="D1650" t="inlineStr">
        <is>
          <t>VÄRMLANDS LÄN</t>
        </is>
      </c>
      <c r="E1650" t="inlineStr">
        <is>
          <t>TORSBY</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44290-2025</t>
        </is>
      </c>
      <c r="B1651" s="1" t="n">
        <v>45916.35228009259</v>
      </c>
      <c r="C1651" s="1" t="n">
        <v>45937</v>
      </c>
      <c r="D1651" t="inlineStr">
        <is>
          <t>VÄRMLANDS LÄN</t>
        </is>
      </c>
      <c r="E1651" t="inlineStr">
        <is>
          <t>TORSBY</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36920-2025</t>
        </is>
      </c>
      <c r="B1652" s="1" t="n">
        <v>45874</v>
      </c>
      <c r="C1652" s="1" t="n">
        <v>45937</v>
      </c>
      <c r="D1652" t="inlineStr">
        <is>
          <t>VÄRMLANDS LÄN</t>
        </is>
      </c>
      <c r="E1652" t="inlineStr">
        <is>
          <t>TORSBY</t>
        </is>
      </c>
      <c r="F1652" t="inlineStr">
        <is>
          <t>Bergvik skog väst AB</t>
        </is>
      </c>
      <c r="G1652" t="n">
        <v>15.9</v>
      </c>
      <c r="H1652" t="n">
        <v>0</v>
      </c>
      <c r="I1652" t="n">
        <v>0</v>
      </c>
      <c r="J1652" t="n">
        <v>0</v>
      </c>
      <c r="K1652" t="n">
        <v>0</v>
      </c>
      <c r="L1652" t="n">
        <v>0</v>
      </c>
      <c r="M1652" t="n">
        <v>0</v>
      </c>
      <c r="N1652" t="n">
        <v>0</v>
      </c>
      <c r="O1652" t="n">
        <v>0</v>
      </c>
      <c r="P1652" t="n">
        <v>0</v>
      </c>
      <c r="Q1652" t="n">
        <v>0</v>
      </c>
      <c r="R1652" s="2" t="inlineStr"/>
    </row>
    <row r="1653" ht="15" customHeight="1">
      <c r="A1653" t="inlineStr">
        <is>
          <t>A 49206-2022</t>
        </is>
      </c>
      <c r="B1653" s="1" t="n">
        <v>44860.95984953704</v>
      </c>
      <c r="C1653" s="1" t="n">
        <v>45937</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9908-2024</t>
        </is>
      </c>
      <c r="B1654" s="1" t="n">
        <v>45363</v>
      </c>
      <c r="C1654" s="1" t="n">
        <v>45937</v>
      </c>
      <c r="D1654" t="inlineStr">
        <is>
          <t>VÄRMLANDS LÄN</t>
        </is>
      </c>
      <c r="E1654" t="inlineStr">
        <is>
          <t>TORSBY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44055-2025</t>
        </is>
      </c>
      <c r="B1655" s="1" t="n">
        <v>45915.52358796296</v>
      </c>
      <c r="C1655" s="1" t="n">
        <v>45937</v>
      </c>
      <c r="D1655" t="inlineStr">
        <is>
          <t>VÄRMLANDS LÄN</t>
        </is>
      </c>
      <c r="E1655" t="inlineStr">
        <is>
          <t>TORSBY</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11672-2025</t>
        </is>
      </c>
      <c r="B1656" s="1" t="n">
        <v>45727</v>
      </c>
      <c r="C1656" s="1" t="n">
        <v>45937</v>
      </c>
      <c r="D1656" t="inlineStr">
        <is>
          <t>VÄRMLANDS LÄN</t>
        </is>
      </c>
      <c r="E1656" t="inlineStr">
        <is>
          <t>TORSBY</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16592-2024</t>
        </is>
      </c>
      <c r="B1657" s="1" t="n">
        <v>45408.49623842593</v>
      </c>
      <c r="C1657" s="1" t="n">
        <v>45937</v>
      </c>
      <c r="D1657" t="inlineStr">
        <is>
          <t>VÄRMLANDS LÄN</t>
        </is>
      </c>
      <c r="E1657" t="inlineStr">
        <is>
          <t>TORSBY</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20393-2023</t>
        </is>
      </c>
      <c r="B1658" s="1" t="n">
        <v>45056</v>
      </c>
      <c r="C1658" s="1" t="n">
        <v>45937</v>
      </c>
      <c r="D1658" t="inlineStr">
        <is>
          <t>VÄRMLANDS LÄN</t>
        </is>
      </c>
      <c r="E1658" t="inlineStr">
        <is>
          <t>TORSBY</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37230-2025</t>
        </is>
      </c>
      <c r="B1659" s="1" t="n">
        <v>45876</v>
      </c>
      <c r="C1659" s="1" t="n">
        <v>45937</v>
      </c>
      <c r="D1659" t="inlineStr">
        <is>
          <t>VÄRMLANDS LÄN</t>
        </is>
      </c>
      <c r="E1659" t="inlineStr">
        <is>
          <t>TORSBY</t>
        </is>
      </c>
      <c r="F1659" t="inlineStr">
        <is>
          <t>Bergvik skog väst AB</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41529-2024</t>
        </is>
      </c>
      <c r="B1660" s="1" t="n">
        <v>45560.48552083333</v>
      </c>
      <c r="C1660" s="1" t="n">
        <v>45937</v>
      </c>
      <c r="D1660" t="inlineStr">
        <is>
          <t>VÄRMLANDS LÄN</t>
        </is>
      </c>
      <c r="E1660" t="inlineStr">
        <is>
          <t>TORSBY</t>
        </is>
      </c>
      <c r="F1660" t="inlineStr">
        <is>
          <t>Bergvik skog väst AB</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37236-2025</t>
        </is>
      </c>
      <c r="B1661" s="1" t="n">
        <v>45876.36116898148</v>
      </c>
      <c r="C1661" s="1" t="n">
        <v>45937</v>
      </c>
      <c r="D1661" t="inlineStr">
        <is>
          <t>VÄRMLANDS LÄN</t>
        </is>
      </c>
      <c r="E1661" t="inlineStr">
        <is>
          <t>TORSBY</t>
        </is>
      </c>
      <c r="F1661" t="inlineStr">
        <is>
          <t>Bergvik skog väst AB</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19307-2022</t>
        </is>
      </c>
      <c r="B1662" s="1" t="n">
        <v>44692.55497685185</v>
      </c>
      <c r="C1662" s="1" t="n">
        <v>45937</v>
      </c>
      <c r="D1662" t="inlineStr">
        <is>
          <t>VÄRMLANDS LÄN</t>
        </is>
      </c>
      <c r="E1662" t="inlineStr">
        <is>
          <t>TORSBY</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37334-2025</t>
        </is>
      </c>
      <c r="B1663" s="1" t="n">
        <v>45876.66663194444</v>
      </c>
      <c r="C1663" s="1" t="n">
        <v>45937</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37339-2025</t>
        </is>
      </c>
      <c r="B1664" s="1" t="n">
        <v>45876.68457175926</v>
      </c>
      <c r="C1664" s="1" t="n">
        <v>45937</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52314-2024</t>
        </is>
      </c>
      <c r="B1665" s="1" t="n">
        <v>45608.87075231481</v>
      </c>
      <c r="C1665" s="1" t="n">
        <v>45937</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44590-2025</t>
        </is>
      </c>
      <c r="B1666" s="1" t="n">
        <v>45917.42607638889</v>
      </c>
      <c r="C1666" s="1" t="n">
        <v>45937</v>
      </c>
      <c r="D1666" t="inlineStr">
        <is>
          <t>VÄRMLANDS LÄN</t>
        </is>
      </c>
      <c r="E1666" t="inlineStr">
        <is>
          <t>TORSBY</t>
        </is>
      </c>
      <c r="F1666" t="inlineStr">
        <is>
          <t>Bergvik skog väst AB</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30531-2023</t>
        </is>
      </c>
      <c r="B1667" s="1" t="n">
        <v>45111.68223379629</v>
      </c>
      <c r="C1667" s="1" t="n">
        <v>45937</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42931-2025</t>
        </is>
      </c>
      <c r="B1668" s="1" t="n">
        <v>45909</v>
      </c>
      <c r="C1668" s="1" t="n">
        <v>45937</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43420-2024</t>
        </is>
      </c>
      <c r="B1669" s="1" t="n">
        <v>45568</v>
      </c>
      <c r="C1669" s="1" t="n">
        <v>45937</v>
      </c>
      <c r="D1669" t="inlineStr">
        <is>
          <t>VÄRMLANDS LÄN</t>
        </is>
      </c>
      <c r="E1669" t="inlineStr">
        <is>
          <t>TORSBY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276-2024</t>
        </is>
      </c>
      <c r="B1670" s="1" t="n">
        <v>45295</v>
      </c>
      <c r="C1670" s="1" t="n">
        <v>45937</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3667-2023</t>
        </is>
      </c>
      <c r="B1671" s="1" t="n">
        <v>44950</v>
      </c>
      <c r="C1671" s="1" t="n">
        <v>45937</v>
      </c>
      <c r="D1671" t="inlineStr">
        <is>
          <t>VÄRMLANDS LÄN</t>
        </is>
      </c>
      <c r="E1671" t="inlineStr">
        <is>
          <t>TORSBY</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37348-2025</t>
        </is>
      </c>
      <c r="B1672" s="1" t="n">
        <v>45876.71136574074</v>
      </c>
      <c r="C1672" s="1" t="n">
        <v>45937</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28598-2023</t>
        </is>
      </c>
      <c r="B1673" s="1" t="n">
        <v>45103.57421296297</v>
      </c>
      <c r="C1673" s="1" t="n">
        <v>45937</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14304-2023</t>
        </is>
      </c>
      <c r="B1674" s="1" t="n">
        <v>45011.76541666667</v>
      </c>
      <c r="C1674" s="1" t="n">
        <v>45937</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37260-2025</t>
        </is>
      </c>
      <c r="B1675" s="1" t="n">
        <v>45876</v>
      </c>
      <c r="C1675" s="1" t="n">
        <v>45937</v>
      </c>
      <c r="D1675" t="inlineStr">
        <is>
          <t>VÄRMLANDS LÄN</t>
        </is>
      </c>
      <c r="E1675" t="inlineStr">
        <is>
          <t>TORSBY</t>
        </is>
      </c>
      <c r="F1675" t="inlineStr">
        <is>
          <t>Bergvik skog väst AB</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37300-2025</t>
        </is>
      </c>
      <c r="B1676" s="1" t="n">
        <v>45876</v>
      </c>
      <c r="C1676" s="1" t="n">
        <v>45937</v>
      </c>
      <c r="D1676" t="inlineStr">
        <is>
          <t>VÄRMLANDS LÄN</t>
        </is>
      </c>
      <c r="E1676" t="inlineStr">
        <is>
          <t>TORSBY</t>
        </is>
      </c>
      <c r="F1676" t="inlineStr">
        <is>
          <t>Bergvik skog väst AB</t>
        </is>
      </c>
      <c r="G1676" t="n">
        <v>33.6</v>
      </c>
      <c r="H1676" t="n">
        <v>0</v>
      </c>
      <c r="I1676" t="n">
        <v>0</v>
      </c>
      <c r="J1676" t="n">
        <v>0</v>
      </c>
      <c r="K1676" t="n">
        <v>0</v>
      </c>
      <c r="L1676" t="n">
        <v>0</v>
      </c>
      <c r="M1676" t="n">
        <v>0</v>
      </c>
      <c r="N1676" t="n">
        <v>0</v>
      </c>
      <c r="O1676" t="n">
        <v>0</v>
      </c>
      <c r="P1676" t="n">
        <v>0</v>
      </c>
      <c r="Q1676" t="n">
        <v>0</v>
      </c>
      <c r="R1676" s="2" t="inlineStr"/>
    </row>
    <row r="1677" ht="15" customHeight="1">
      <c r="A1677" t="inlineStr">
        <is>
          <t>A 44715-2025</t>
        </is>
      </c>
      <c r="B1677" s="1" t="n">
        <v>45917.62854166667</v>
      </c>
      <c r="C1677" s="1" t="n">
        <v>45937</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46471-2024</t>
        </is>
      </c>
      <c r="B1678" s="1" t="n">
        <v>45582.5517824074</v>
      </c>
      <c r="C1678" s="1" t="n">
        <v>45937</v>
      </c>
      <c r="D1678" t="inlineStr">
        <is>
          <t>VÄRMLANDS LÄN</t>
        </is>
      </c>
      <c r="E1678" t="inlineStr">
        <is>
          <t>TORSBY</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44794-2025</t>
        </is>
      </c>
      <c r="B1679" s="1" t="n">
        <v>45918.34465277778</v>
      </c>
      <c r="C1679" s="1" t="n">
        <v>45937</v>
      </c>
      <c r="D1679" t="inlineStr">
        <is>
          <t>VÄRMLANDS LÄN</t>
        </is>
      </c>
      <c r="E1679" t="inlineStr">
        <is>
          <t>TORSBY</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6121-2021</t>
        </is>
      </c>
      <c r="B1680" s="1" t="n">
        <v>44232</v>
      </c>
      <c r="C1680" s="1" t="n">
        <v>45937</v>
      </c>
      <c r="D1680" t="inlineStr">
        <is>
          <t>VÄRMLANDS LÄN</t>
        </is>
      </c>
      <c r="E1680" t="inlineStr">
        <is>
          <t>TORSBY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32332-2023</t>
        </is>
      </c>
      <c r="B1681" s="1" t="n">
        <v>45110</v>
      </c>
      <c r="C1681" s="1" t="n">
        <v>45937</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52669-2024</t>
        </is>
      </c>
      <c r="B1682" s="1" t="n">
        <v>45610</v>
      </c>
      <c r="C1682" s="1" t="n">
        <v>45937</v>
      </c>
      <c r="D1682" t="inlineStr">
        <is>
          <t>VÄRMLANDS LÄN</t>
        </is>
      </c>
      <c r="E1682" t="inlineStr">
        <is>
          <t>TORSBY</t>
        </is>
      </c>
      <c r="F1682" t="inlineStr">
        <is>
          <t>Kyrkan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15085-2023</t>
        </is>
      </c>
      <c r="B1683" s="1" t="n">
        <v>45016</v>
      </c>
      <c r="C1683" s="1" t="n">
        <v>45937</v>
      </c>
      <c r="D1683" t="inlineStr">
        <is>
          <t>VÄRMLANDS LÄN</t>
        </is>
      </c>
      <c r="E1683" t="inlineStr">
        <is>
          <t>TORSBY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71679-2021</t>
        </is>
      </c>
      <c r="B1684" s="1" t="n">
        <v>44543</v>
      </c>
      <c r="C1684" s="1" t="n">
        <v>45937</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41740-2025</t>
        </is>
      </c>
      <c r="B1685" s="1" t="n">
        <v>45902</v>
      </c>
      <c r="C1685" s="1" t="n">
        <v>45937</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41744-2025</t>
        </is>
      </c>
      <c r="B1686" s="1" t="n">
        <v>45902</v>
      </c>
      <c r="C1686" s="1" t="n">
        <v>45937</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48874-2024</t>
        </is>
      </c>
      <c r="B1687" s="1" t="n">
        <v>45594</v>
      </c>
      <c r="C1687" s="1" t="n">
        <v>45937</v>
      </c>
      <c r="D1687" t="inlineStr">
        <is>
          <t>VÄRMLANDS LÄN</t>
        </is>
      </c>
      <c r="E1687" t="inlineStr">
        <is>
          <t>TORSBY</t>
        </is>
      </c>
      <c r="F1687" t="inlineStr">
        <is>
          <t>Bergvik skog väst AB</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42932-2025</t>
        </is>
      </c>
      <c r="B1688" s="1" t="n">
        <v>45909</v>
      </c>
      <c r="C1688" s="1" t="n">
        <v>45937</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37273-2025</t>
        </is>
      </c>
      <c r="B1689" s="1" t="n">
        <v>45876</v>
      </c>
      <c r="C1689" s="1" t="n">
        <v>45937</v>
      </c>
      <c r="D1689" t="inlineStr">
        <is>
          <t>VÄRMLANDS LÄN</t>
        </is>
      </c>
      <c r="E1689" t="inlineStr">
        <is>
          <t>TORSBY</t>
        </is>
      </c>
      <c r="F1689" t="inlineStr">
        <is>
          <t>Bergvik skog väst AB</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6063-2021</t>
        </is>
      </c>
      <c r="B1690" s="1" t="n">
        <v>44232</v>
      </c>
      <c r="C1690" s="1" t="n">
        <v>45937</v>
      </c>
      <c r="D1690" t="inlineStr">
        <is>
          <t>VÄRMLANDS LÄN</t>
        </is>
      </c>
      <c r="E1690" t="inlineStr">
        <is>
          <t>TORSBY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45133-2025</t>
        </is>
      </c>
      <c r="B1691" s="1" t="n">
        <v>45919.4447337963</v>
      </c>
      <c r="C1691" s="1" t="n">
        <v>45937</v>
      </c>
      <c r="D1691" t="inlineStr">
        <is>
          <t>VÄRMLANDS LÄN</t>
        </is>
      </c>
      <c r="E1691" t="inlineStr">
        <is>
          <t>TORSBY</t>
        </is>
      </c>
      <c r="F1691" t="inlineStr">
        <is>
          <t>Bergvik skog väst AB</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45245-2025</t>
        </is>
      </c>
      <c r="B1692" s="1" t="n">
        <v>45919.60621527778</v>
      </c>
      <c r="C1692" s="1" t="n">
        <v>45937</v>
      </c>
      <c r="D1692" t="inlineStr">
        <is>
          <t>VÄRMLANDS LÄN</t>
        </is>
      </c>
      <c r="E1692" t="inlineStr">
        <is>
          <t>TORSBY</t>
        </is>
      </c>
      <c r="F1692" t="inlineStr">
        <is>
          <t>Kyrkan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56880-2023</t>
        </is>
      </c>
      <c r="B1693" s="1" t="n">
        <v>45244</v>
      </c>
      <c r="C1693" s="1" t="n">
        <v>45937</v>
      </c>
      <c r="D1693" t="inlineStr">
        <is>
          <t>VÄRMLANDS LÄN</t>
        </is>
      </c>
      <c r="E1693" t="inlineStr">
        <is>
          <t>TORSBY</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45937</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56170-2023</t>
        </is>
      </c>
      <c r="B1695" s="1" t="n">
        <v>45240.62975694444</v>
      </c>
      <c r="C1695" s="1" t="n">
        <v>45937</v>
      </c>
      <c r="D1695" t="inlineStr">
        <is>
          <t>VÄRMLANDS LÄN</t>
        </is>
      </c>
      <c r="E1695" t="inlineStr">
        <is>
          <t>TORSBY</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6646-2024</t>
        </is>
      </c>
      <c r="B1696" s="1" t="n">
        <v>45341.66643518519</v>
      </c>
      <c r="C1696" s="1" t="n">
        <v>45937</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6648-2024</t>
        </is>
      </c>
      <c r="B1697" s="1" t="n">
        <v>45341</v>
      </c>
      <c r="C1697" s="1" t="n">
        <v>45937</v>
      </c>
      <c r="D1697" t="inlineStr">
        <is>
          <t>VÄRMLANDS LÄN</t>
        </is>
      </c>
      <c r="E1697" t="inlineStr">
        <is>
          <t>TORSBY</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45043-2025</t>
        </is>
      </c>
      <c r="B1698" s="1" t="n">
        <v>45918.92902777778</v>
      </c>
      <c r="C1698" s="1" t="n">
        <v>45937</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37381-2025</t>
        </is>
      </c>
      <c r="B1699" s="1" t="n">
        <v>45877</v>
      </c>
      <c r="C1699" s="1" t="n">
        <v>45937</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70785-2021</t>
        </is>
      </c>
      <c r="B1700" s="1" t="n">
        <v>44537</v>
      </c>
      <c r="C1700" s="1" t="n">
        <v>45937</v>
      </c>
      <c r="D1700" t="inlineStr">
        <is>
          <t>VÄRMLANDS LÄN</t>
        </is>
      </c>
      <c r="E1700" t="inlineStr">
        <is>
          <t>TORSBY</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18337-2024</t>
        </is>
      </c>
      <c r="B1701" s="1" t="n">
        <v>45422</v>
      </c>
      <c r="C1701" s="1" t="n">
        <v>45937</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12402-2025</t>
        </is>
      </c>
      <c r="B1702" s="1" t="n">
        <v>45730.4228125</v>
      </c>
      <c r="C1702" s="1" t="n">
        <v>45937</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49845-2024</t>
        </is>
      </c>
      <c r="B1703" s="1" t="n">
        <v>45597</v>
      </c>
      <c r="C1703" s="1" t="n">
        <v>45937</v>
      </c>
      <c r="D1703" t="inlineStr">
        <is>
          <t>VÄRMLANDS LÄN</t>
        </is>
      </c>
      <c r="E1703" t="inlineStr">
        <is>
          <t>TORSBY</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50372-2024</t>
        </is>
      </c>
      <c r="B1704" s="1" t="n">
        <v>45601.25935185186</v>
      </c>
      <c r="C1704" s="1" t="n">
        <v>45937</v>
      </c>
      <c r="D1704" t="inlineStr">
        <is>
          <t>VÄRMLANDS LÄN</t>
        </is>
      </c>
      <c r="E1704" t="inlineStr">
        <is>
          <t>TORSBY</t>
        </is>
      </c>
      <c r="F1704" t="inlineStr">
        <is>
          <t>Övriga Aktiebolag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34968-2024</t>
        </is>
      </c>
      <c r="B1705" s="1" t="n">
        <v>45527.49986111111</v>
      </c>
      <c r="C1705" s="1" t="n">
        <v>45937</v>
      </c>
      <c r="D1705" t="inlineStr">
        <is>
          <t>VÄRMLANDS LÄN</t>
        </is>
      </c>
      <c r="E1705" t="inlineStr">
        <is>
          <t>TORSBY</t>
        </is>
      </c>
      <c r="F1705" t="inlineStr">
        <is>
          <t>Bergvik skog väst AB</t>
        </is>
      </c>
      <c r="G1705" t="n">
        <v>10.2</v>
      </c>
      <c r="H1705" t="n">
        <v>0</v>
      </c>
      <c r="I1705" t="n">
        <v>0</v>
      </c>
      <c r="J1705" t="n">
        <v>0</v>
      </c>
      <c r="K1705" t="n">
        <v>0</v>
      </c>
      <c r="L1705" t="n">
        <v>0</v>
      </c>
      <c r="M1705" t="n">
        <v>0</v>
      </c>
      <c r="N1705" t="n">
        <v>0</v>
      </c>
      <c r="O1705" t="n">
        <v>0</v>
      </c>
      <c r="P1705" t="n">
        <v>0</v>
      </c>
      <c r="Q1705" t="n">
        <v>0</v>
      </c>
      <c r="R1705" s="2" t="inlineStr"/>
    </row>
    <row r="1706" ht="15" customHeight="1">
      <c r="A1706" t="inlineStr">
        <is>
          <t>A 44808-2025</t>
        </is>
      </c>
      <c r="B1706" s="1" t="n">
        <v>45918</v>
      </c>
      <c r="C1706" s="1" t="n">
        <v>45937</v>
      </c>
      <c r="D1706" t="inlineStr">
        <is>
          <t>VÄRMLANDS LÄN</t>
        </is>
      </c>
      <c r="E1706" t="inlineStr">
        <is>
          <t>TORSBY</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62574-2022</t>
        </is>
      </c>
      <c r="B1707" s="1" t="n">
        <v>44924.85943287037</v>
      </c>
      <c r="C1707" s="1" t="n">
        <v>45937</v>
      </c>
      <c r="D1707" t="inlineStr">
        <is>
          <t>VÄRMLANDS LÄN</t>
        </is>
      </c>
      <c r="E1707" t="inlineStr">
        <is>
          <t>TORSBY</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37566-2025</t>
        </is>
      </c>
      <c r="B1708" s="1" t="n">
        <v>45880</v>
      </c>
      <c r="C1708" s="1" t="n">
        <v>45937</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50852-2023</t>
        </is>
      </c>
      <c r="B1709" s="1" t="n">
        <v>45218.29837962963</v>
      </c>
      <c r="C1709" s="1" t="n">
        <v>45937</v>
      </c>
      <c r="D1709" t="inlineStr">
        <is>
          <t>VÄRMLANDS LÄN</t>
        </is>
      </c>
      <c r="E1709" t="inlineStr">
        <is>
          <t>TORSBY</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52982-2023</t>
        </is>
      </c>
      <c r="B1710" s="1" t="n">
        <v>45226.61299768519</v>
      </c>
      <c r="C1710" s="1" t="n">
        <v>45937</v>
      </c>
      <c r="D1710" t="inlineStr">
        <is>
          <t>VÄRMLANDS LÄN</t>
        </is>
      </c>
      <c r="E1710" t="inlineStr">
        <is>
          <t>TORSBY</t>
        </is>
      </c>
      <c r="G1710" t="n">
        <v>35.5</v>
      </c>
      <c r="H1710" t="n">
        <v>0</v>
      </c>
      <c r="I1710" t="n">
        <v>0</v>
      </c>
      <c r="J1710" t="n">
        <v>0</v>
      </c>
      <c r="K1710" t="n">
        <v>0</v>
      </c>
      <c r="L1710" t="n">
        <v>0</v>
      </c>
      <c r="M1710" t="n">
        <v>0</v>
      </c>
      <c r="N1710" t="n">
        <v>0</v>
      </c>
      <c r="O1710" t="n">
        <v>0</v>
      </c>
      <c r="P1710" t="n">
        <v>0</v>
      </c>
      <c r="Q1710" t="n">
        <v>0</v>
      </c>
      <c r="R1710" s="2" t="inlineStr"/>
    </row>
    <row r="1711" ht="15" customHeight="1">
      <c r="A1711" t="inlineStr">
        <is>
          <t>A 3542-2023</t>
        </is>
      </c>
      <c r="B1711" s="1" t="n">
        <v>44950</v>
      </c>
      <c r="C1711" s="1" t="n">
        <v>45937</v>
      </c>
      <c r="D1711" t="inlineStr">
        <is>
          <t>VÄRMLANDS LÄN</t>
        </is>
      </c>
      <c r="E1711" t="inlineStr">
        <is>
          <t>TORSBY</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64664-2023</t>
        </is>
      </c>
      <c r="B1712" s="1" t="n">
        <v>45281.60710648148</v>
      </c>
      <c r="C1712" s="1" t="n">
        <v>45937</v>
      </c>
      <c r="D1712" t="inlineStr">
        <is>
          <t>VÄRMLANDS LÄN</t>
        </is>
      </c>
      <c r="E1712" t="inlineStr">
        <is>
          <t>TORSBY</t>
        </is>
      </c>
      <c r="F1712" t="inlineStr">
        <is>
          <t>Bergvik skog väst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3678-2024</t>
        </is>
      </c>
      <c r="B1713" s="1" t="n">
        <v>45321.37844907407</v>
      </c>
      <c r="C1713" s="1" t="n">
        <v>45937</v>
      </c>
      <c r="D1713" t="inlineStr">
        <is>
          <t>VÄRMLANDS LÄN</t>
        </is>
      </c>
      <c r="E1713" t="inlineStr">
        <is>
          <t>TORSBY</t>
        </is>
      </c>
      <c r="G1713" t="n">
        <v>24.6</v>
      </c>
      <c r="H1713" t="n">
        <v>0</v>
      </c>
      <c r="I1713" t="n">
        <v>0</v>
      </c>
      <c r="J1713" t="n">
        <v>0</v>
      </c>
      <c r="K1713" t="n">
        <v>0</v>
      </c>
      <c r="L1713" t="n">
        <v>0</v>
      </c>
      <c r="M1713" t="n">
        <v>0</v>
      </c>
      <c r="N1713" t="n">
        <v>0</v>
      </c>
      <c r="O1713" t="n">
        <v>0</v>
      </c>
      <c r="P1713" t="n">
        <v>0</v>
      </c>
      <c r="Q1713" t="n">
        <v>0</v>
      </c>
      <c r="R1713" s="2" t="inlineStr"/>
    </row>
    <row r="1714" ht="15" customHeight="1">
      <c r="A1714" t="inlineStr">
        <is>
          <t>A 59781-2023</t>
        </is>
      </c>
      <c r="B1714" s="1" t="n">
        <v>45257.44043981482</v>
      </c>
      <c r="C1714" s="1" t="n">
        <v>45937</v>
      </c>
      <c r="D1714" t="inlineStr">
        <is>
          <t>VÄRMLANDS LÄN</t>
        </is>
      </c>
      <c r="E1714" t="inlineStr">
        <is>
          <t>TORSBY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45489-2025</t>
        </is>
      </c>
      <c r="B1715" s="1" t="n">
        <v>45921</v>
      </c>
      <c r="C1715" s="1" t="n">
        <v>45937</v>
      </c>
      <c r="D1715" t="inlineStr">
        <is>
          <t>VÄRMLANDS LÄN</t>
        </is>
      </c>
      <c r="E1715" t="inlineStr">
        <is>
          <t>TORSBY</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57216-2023</t>
        </is>
      </c>
      <c r="B1716" s="1" t="n">
        <v>45245</v>
      </c>
      <c r="C1716" s="1" t="n">
        <v>45937</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41270-2023</t>
        </is>
      </c>
      <c r="B1717" s="1" t="n">
        <v>45174.54952546296</v>
      </c>
      <c r="C1717" s="1" t="n">
        <v>45937</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32932-2024</t>
        </is>
      </c>
      <c r="B1718" s="1" t="n">
        <v>45517.31537037037</v>
      </c>
      <c r="C1718" s="1" t="n">
        <v>45937</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61565-2024</t>
        </is>
      </c>
      <c r="B1719" s="1" t="n">
        <v>45646</v>
      </c>
      <c r="C1719" s="1" t="n">
        <v>45937</v>
      </c>
      <c r="D1719" t="inlineStr">
        <is>
          <t>VÄRMLANDS LÄN</t>
        </is>
      </c>
      <c r="E1719" t="inlineStr">
        <is>
          <t>TORSBY</t>
        </is>
      </c>
      <c r="F1719" t="inlineStr">
        <is>
          <t>Bergvik skog väst AB</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25264-2024</t>
        </is>
      </c>
      <c r="B1720" s="1" t="n">
        <v>45462.61859953704</v>
      </c>
      <c r="C1720" s="1" t="n">
        <v>45937</v>
      </c>
      <c r="D1720" t="inlineStr">
        <is>
          <t>VÄRMLANDS LÄN</t>
        </is>
      </c>
      <c r="E1720" t="inlineStr">
        <is>
          <t>TORSBY</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55428-2022</t>
        </is>
      </c>
      <c r="B1721" s="1" t="n">
        <v>44887.60894675926</v>
      </c>
      <c r="C1721" s="1" t="n">
        <v>45937</v>
      </c>
      <c r="D1721" t="inlineStr">
        <is>
          <t>VÄRMLANDS LÄN</t>
        </is>
      </c>
      <c r="E1721" t="inlineStr">
        <is>
          <t>TORSBY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22386-2025</t>
        </is>
      </c>
      <c r="B1722" s="1" t="n">
        <v>45786.50703703704</v>
      </c>
      <c r="C1722" s="1" t="n">
        <v>45937</v>
      </c>
      <c r="D1722" t="inlineStr">
        <is>
          <t>VÄRMLANDS LÄN</t>
        </is>
      </c>
      <c r="E1722" t="inlineStr">
        <is>
          <t>TORSBY</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20898-2023</t>
        </is>
      </c>
      <c r="B1723" s="1" t="n">
        <v>45059</v>
      </c>
      <c r="C1723" s="1" t="n">
        <v>45937</v>
      </c>
      <c r="D1723" t="inlineStr">
        <is>
          <t>VÄRMLANDS LÄN</t>
        </is>
      </c>
      <c r="E1723" t="inlineStr">
        <is>
          <t>TORSBY</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37760-2025</t>
        </is>
      </c>
      <c r="B1724" s="1" t="n">
        <v>45880</v>
      </c>
      <c r="C1724" s="1" t="n">
        <v>45937</v>
      </c>
      <c r="D1724" t="inlineStr">
        <is>
          <t>VÄRMLANDS LÄN</t>
        </is>
      </c>
      <c r="E1724" t="inlineStr">
        <is>
          <t>TORSBY</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22702-2023</t>
        </is>
      </c>
      <c r="B1725" s="1" t="n">
        <v>45071</v>
      </c>
      <c r="C1725" s="1" t="n">
        <v>45937</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44901-2025</t>
        </is>
      </c>
      <c r="B1726" s="1" t="n">
        <v>45918</v>
      </c>
      <c r="C1726" s="1" t="n">
        <v>45937</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17941-2021</t>
        </is>
      </c>
      <c r="B1727" s="1" t="n">
        <v>44301</v>
      </c>
      <c r="C1727" s="1" t="n">
        <v>45937</v>
      </c>
      <c r="D1727" t="inlineStr">
        <is>
          <t>VÄRMLANDS LÄN</t>
        </is>
      </c>
      <c r="E1727" t="inlineStr">
        <is>
          <t>TORSBY</t>
        </is>
      </c>
      <c r="F1727" t="inlineStr">
        <is>
          <t>Kommuner</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6828-2024</t>
        </is>
      </c>
      <c r="B1728" s="1" t="n">
        <v>45342</v>
      </c>
      <c r="C1728" s="1" t="n">
        <v>45937</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52901-2022</t>
        </is>
      </c>
      <c r="B1729" s="1" t="n">
        <v>44872</v>
      </c>
      <c r="C1729" s="1" t="n">
        <v>45937</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50138-2023</t>
        </is>
      </c>
      <c r="B1730" s="1" t="n">
        <v>45215.66738425926</v>
      </c>
      <c r="C1730" s="1" t="n">
        <v>45937</v>
      </c>
      <c r="D1730" t="inlineStr">
        <is>
          <t>VÄRMLANDS LÄN</t>
        </is>
      </c>
      <c r="E1730" t="inlineStr">
        <is>
          <t>TORSBY</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57452-2022</t>
        </is>
      </c>
      <c r="B1731" s="1" t="n">
        <v>44896.55787037037</v>
      </c>
      <c r="C1731" s="1" t="n">
        <v>45937</v>
      </c>
      <c r="D1731" t="inlineStr">
        <is>
          <t>VÄRMLANDS LÄN</t>
        </is>
      </c>
      <c r="E1731" t="inlineStr">
        <is>
          <t>TORSBY</t>
        </is>
      </c>
      <c r="F1731" t="inlineStr">
        <is>
          <t>Bergvik skog väst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31493-2021</t>
        </is>
      </c>
      <c r="B1732" s="1" t="n">
        <v>44369</v>
      </c>
      <c r="C1732" s="1" t="n">
        <v>45937</v>
      </c>
      <c r="D1732" t="inlineStr">
        <is>
          <t>VÄRMLANDS LÄN</t>
        </is>
      </c>
      <c r="E1732" t="inlineStr">
        <is>
          <t>TORSBY</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44821-2025</t>
        </is>
      </c>
      <c r="B1733" s="1" t="n">
        <v>45918</v>
      </c>
      <c r="C1733" s="1" t="n">
        <v>45937</v>
      </c>
      <c r="D1733" t="inlineStr">
        <is>
          <t>VÄRMLANDS LÄN</t>
        </is>
      </c>
      <c r="E1733" t="inlineStr">
        <is>
          <t>TORSBY</t>
        </is>
      </c>
      <c r="F1733" t="inlineStr">
        <is>
          <t>Bergvik skog väst AB</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45425-2025</t>
        </is>
      </c>
      <c r="B1734" s="1" t="n">
        <v>45922.45195601852</v>
      </c>
      <c r="C1734" s="1" t="n">
        <v>45937</v>
      </c>
      <c r="D1734" t="inlineStr">
        <is>
          <t>VÄRMLANDS LÄN</t>
        </is>
      </c>
      <c r="E1734" t="inlineStr">
        <is>
          <t>TORSBY</t>
        </is>
      </c>
      <c r="F1734" t="inlineStr">
        <is>
          <t>Bergvik skog väst AB</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6653-2025</t>
        </is>
      </c>
      <c r="B1735" s="1" t="n">
        <v>45700.42601851852</v>
      </c>
      <c r="C1735" s="1" t="n">
        <v>45937</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12933-2023</t>
        </is>
      </c>
      <c r="B1736" s="1" t="n">
        <v>45001</v>
      </c>
      <c r="C1736" s="1" t="n">
        <v>45937</v>
      </c>
      <c r="D1736" t="inlineStr">
        <is>
          <t>VÄRMLANDS LÄN</t>
        </is>
      </c>
      <c r="E1736" t="inlineStr">
        <is>
          <t>TORSBY</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32747-2021</t>
        </is>
      </c>
      <c r="B1737" s="1" t="n">
        <v>44375</v>
      </c>
      <c r="C1737" s="1" t="n">
        <v>45937</v>
      </c>
      <c r="D1737" t="inlineStr">
        <is>
          <t>VÄRMLANDS LÄN</t>
        </is>
      </c>
      <c r="E1737" t="inlineStr">
        <is>
          <t>TORSBY</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39069-2022</t>
        </is>
      </c>
      <c r="B1738" s="1" t="n">
        <v>44816</v>
      </c>
      <c r="C1738" s="1" t="n">
        <v>45937</v>
      </c>
      <c r="D1738" t="inlineStr">
        <is>
          <t>VÄRMLANDS LÄN</t>
        </is>
      </c>
      <c r="E1738" t="inlineStr">
        <is>
          <t>TORSBY</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41315-2022</t>
        </is>
      </c>
      <c r="B1739" s="1" t="n">
        <v>44826</v>
      </c>
      <c r="C1739" s="1" t="n">
        <v>45937</v>
      </c>
      <c r="D1739" t="inlineStr">
        <is>
          <t>VÄRMLANDS LÄN</t>
        </is>
      </c>
      <c r="E1739" t="inlineStr">
        <is>
          <t>TORSBY</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18411-2023</t>
        </is>
      </c>
      <c r="B1740" s="1" t="n">
        <v>45042</v>
      </c>
      <c r="C1740" s="1" t="n">
        <v>45937</v>
      </c>
      <c r="D1740" t="inlineStr">
        <is>
          <t>VÄRMLANDS LÄN</t>
        </is>
      </c>
      <c r="E1740" t="inlineStr">
        <is>
          <t>TORSBY</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58062-2021</t>
        </is>
      </c>
      <c r="B1741" s="1" t="n">
        <v>44487</v>
      </c>
      <c r="C1741" s="1" t="n">
        <v>45937</v>
      </c>
      <c r="D1741" t="inlineStr">
        <is>
          <t>VÄRMLANDS LÄN</t>
        </is>
      </c>
      <c r="E1741" t="inlineStr">
        <is>
          <t>TORSBY</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24150-2021</t>
        </is>
      </c>
      <c r="B1742" s="1" t="n">
        <v>44336</v>
      </c>
      <c r="C1742" s="1" t="n">
        <v>45937</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54029-2021</t>
        </is>
      </c>
      <c r="B1743" s="1" t="n">
        <v>44470.37834490741</v>
      </c>
      <c r="C1743" s="1" t="n">
        <v>45937</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12528-2025</t>
        </is>
      </c>
      <c r="B1744" s="1" t="n">
        <v>45730</v>
      </c>
      <c r="C1744" s="1" t="n">
        <v>45937</v>
      </c>
      <c r="D1744" t="inlineStr">
        <is>
          <t>VÄRMLANDS LÄN</t>
        </is>
      </c>
      <c r="E1744" t="inlineStr">
        <is>
          <t>TORSBY</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12554-2025</t>
        </is>
      </c>
      <c r="B1745" s="1" t="n">
        <v>45731</v>
      </c>
      <c r="C1745" s="1" t="n">
        <v>45937</v>
      </c>
      <c r="D1745" t="inlineStr">
        <is>
          <t>VÄRMLANDS LÄN</t>
        </is>
      </c>
      <c r="E1745" t="inlineStr">
        <is>
          <t>TORSBY</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63083-2023</t>
        </is>
      </c>
      <c r="B1746" s="1" t="n">
        <v>45273.348125</v>
      </c>
      <c r="C1746" s="1" t="n">
        <v>45937</v>
      </c>
      <c r="D1746" t="inlineStr">
        <is>
          <t>VÄRMLANDS LÄN</t>
        </is>
      </c>
      <c r="E1746" t="inlineStr">
        <is>
          <t>TORSBY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15464-2025</t>
        </is>
      </c>
      <c r="B1747" s="1" t="n">
        <v>45747</v>
      </c>
      <c r="C1747" s="1" t="n">
        <v>45937</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10584-2023</t>
        </is>
      </c>
      <c r="B1748" s="1" t="n">
        <v>44988.36736111111</v>
      </c>
      <c r="C1748" s="1" t="n">
        <v>45937</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44273-2025</t>
        </is>
      </c>
      <c r="B1749" s="1" t="n">
        <v>45916</v>
      </c>
      <c r="C1749" s="1" t="n">
        <v>45937</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59941-2023</t>
        </is>
      </c>
      <c r="B1750" s="1" t="n">
        <v>45257.67721064815</v>
      </c>
      <c r="C1750" s="1" t="n">
        <v>45937</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7927-2024</t>
        </is>
      </c>
      <c r="B1751" s="1" t="n">
        <v>45350</v>
      </c>
      <c r="C1751" s="1" t="n">
        <v>45937</v>
      </c>
      <c r="D1751" t="inlineStr">
        <is>
          <t>VÄRMLANDS LÄN</t>
        </is>
      </c>
      <c r="E1751" t="inlineStr">
        <is>
          <t>TORSBY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60314-2023</t>
        </is>
      </c>
      <c r="B1752" s="1" t="n">
        <v>45258.87101851852</v>
      </c>
      <c r="C1752" s="1" t="n">
        <v>45937</v>
      </c>
      <c r="D1752" t="inlineStr">
        <is>
          <t>VÄRMLANDS LÄN</t>
        </is>
      </c>
      <c r="E1752" t="inlineStr">
        <is>
          <t>TORSBY</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52580-2023</t>
        </is>
      </c>
      <c r="B1753" s="1" t="n">
        <v>45225.59354166667</v>
      </c>
      <c r="C1753" s="1" t="n">
        <v>45937</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52591-2023</t>
        </is>
      </c>
      <c r="B1754" s="1" t="n">
        <v>45225</v>
      </c>
      <c r="C1754" s="1" t="n">
        <v>45937</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30299-2025</t>
        </is>
      </c>
      <c r="B1755" s="1" t="n">
        <v>45827</v>
      </c>
      <c r="C1755" s="1" t="n">
        <v>45937</v>
      </c>
      <c r="D1755" t="inlineStr">
        <is>
          <t>VÄRMLANDS LÄN</t>
        </is>
      </c>
      <c r="E1755" t="inlineStr">
        <is>
          <t>TORSBY</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45269-2025</t>
        </is>
      </c>
      <c r="B1756" s="1" t="n">
        <v>45919.67443287037</v>
      </c>
      <c r="C1756" s="1" t="n">
        <v>45937</v>
      </c>
      <c r="D1756" t="inlineStr">
        <is>
          <t>VÄRMLANDS LÄN</t>
        </is>
      </c>
      <c r="E1756" t="inlineStr">
        <is>
          <t>TORSBY</t>
        </is>
      </c>
      <c r="F1756" t="inlineStr">
        <is>
          <t>Bergvik skog väst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36782-2024</t>
        </is>
      </c>
      <c r="B1757" s="1" t="n">
        <v>45538</v>
      </c>
      <c r="C1757" s="1" t="n">
        <v>45937</v>
      </c>
      <c r="D1757" t="inlineStr">
        <is>
          <t>VÄRMLANDS LÄN</t>
        </is>
      </c>
      <c r="E1757" t="inlineStr">
        <is>
          <t>TORSBY</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36790-2024</t>
        </is>
      </c>
      <c r="B1758" s="1" t="n">
        <v>45538.43484953704</v>
      </c>
      <c r="C1758" s="1" t="n">
        <v>45937</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37736-2025</t>
        </is>
      </c>
      <c r="B1759" s="1" t="n">
        <v>45880</v>
      </c>
      <c r="C1759" s="1" t="n">
        <v>45937</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44976-2025</t>
        </is>
      </c>
      <c r="B1760" s="1" t="n">
        <v>45918</v>
      </c>
      <c r="C1760" s="1" t="n">
        <v>45937</v>
      </c>
      <c r="D1760" t="inlineStr">
        <is>
          <t>VÄRMLANDS LÄN</t>
        </is>
      </c>
      <c r="E1760" t="inlineStr">
        <is>
          <t>TORSBY</t>
        </is>
      </c>
      <c r="F1760" t="inlineStr">
        <is>
          <t>Bergvik skog väst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58430-2023</t>
        </is>
      </c>
      <c r="B1761" s="1" t="n">
        <v>45250.80646990741</v>
      </c>
      <c r="C1761" s="1" t="n">
        <v>45937</v>
      </c>
      <c r="D1761" t="inlineStr">
        <is>
          <t>VÄRMLANDS LÄN</t>
        </is>
      </c>
      <c r="E1761" t="inlineStr">
        <is>
          <t>TORSBY</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44817-2025</t>
        </is>
      </c>
      <c r="B1762" s="1" t="n">
        <v>45918</v>
      </c>
      <c r="C1762" s="1" t="n">
        <v>45937</v>
      </c>
      <c r="D1762" t="inlineStr">
        <is>
          <t>VÄRMLANDS LÄN</t>
        </is>
      </c>
      <c r="E1762" t="inlineStr">
        <is>
          <t>TORSBY</t>
        </is>
      </c>
      <c r="F1762" t="inlineStr">
        <is>
          <t>Bergvik skog väst AB</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37547-2025</t>
        </is>
      </c>
      <c r="B1763" s="1" t="n">
        <v>45879</v>
      </c>
      <c r="C1763" s="1" t="n">
        <v>45937</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54160-2022</t>
        </is>
      </c>
      <c r="B1764" s="1" t="n">
        <v>44881</v>
      </c>
      <c r="C1764" s="1" t="n">
        <v>45937</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29043-2023</t>
        </is>
      </c>
      <c r="B1765" s="1" t="n">
        <v>45104</v>
      </c>
      <c r="C1765" s="1" t="n">
        <v>45937</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36674-2023</t>
        </is>
      </c>
      <c r="B1766" s="1" t="n">
        <v>45153.5908912037</v>
      </c>
      <c r="C1766" s="1" t="n">
        <v>45937</v>
      </c>
      <c r="D1766" t="inlineStr">
        <is>
          <t>VÄRMLANDS LÄN</t>
        </is>
      </c>
      <c r="E1766" t="inlineStr">
        <is>
          <t>TORSBY</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19675-2023</t>
        </is>
      </c>
      <c r="B1767" s="1" t="n">
        <v>45051</v>
      </c>
      <c r="C1767" s="1" t="n">
        <v>45937</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37583-2025</t>
        </is>
      </c>
      <c r="B1768" s="1" t="n">
        <v>45880</v>
      </c>
      <c r="C1768" s="1" t="n">
        <v>45937</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33072-2023</t>
        </is>
      </c>
      <c r="B1769" s="1" t="n">
        <v>45126</v>
      </c>
      <c r="C1769" s="1" t="n">
        <v>45937</v>
      </c>
      <c r="D1769" t="inlineStr">
        <is>
          <t>VÄRMLANDS LÄN</t>
        </is>
      </c>
      <c r="E1769" t="inlineStr">
        <is>
          <t>TORSBY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44522-2025</t>
        </is>
      </c>
      <c r="B1770" s="1" t="n">
        <v>45916</v>
      </c>
      <c r="C1770" s="1" t="n">
        <v>45937</v>
      </c>
      <c r="D1770" t="inlineStr">
        <is>
          <t>VÄRMLANDS LÄN</t>
        </is>
      </c>
      <c r="E1770" t="inlineStr">
        <is>
          <t>TORSBY</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65134-2023</t>
        </is>
      </c>
      <c r="B1771" s="1" t="n">
        <v>45288.52010416667</v>
      </c>
      <c r="C1771" s="1" t="n">
        <v>45937</v>
      </c>
      <c r="D1771" t="inlineStr">
        <is>
          <t>VÄRMLANDS LÄN</t>
        </is>
      </c>
      <c r="E1771" t="inlineStr">
        <is>
          <t>TORSBY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27677-2024</t>
        </is>
      </c>
      <c r="B1772" s="1" t="n">
        <v>45475</v>
      </c>
      <c r="C1772" s="1" t="n">
        <v>45937</v>
      </c>
      <c r="D1772" t="inlineStr">
        <is>
          <t>VÄRMLANDS LÄN</t>
        </is>
      </c>
      <c r="E1772" t="inlineStr">
        <is>
          <t>TORSBY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27678-2024</t>
        </is>
      </c>
      <c r="B1773" s="1" t="n">
        <v>45475</v>
      </c>
      <c r="C1773" s="1" t="n">
        <v>45937</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45152-2023</t>
        </is>
      </c>
      <c r="B1774" s="1" t="n">
        <v>45191</v>
      </c>
      <c r="C1774" s="1" t="n">
        <v>45937</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28005-2024</t>
        </is>
      </c>
      <c r="B1775" s="1" t="n">
        <v>45476</v>
      </c>
      <c r="C1775" s="1" t="n">
        <v>45937</v>
      </c>
      <c r="D1775" t="inlineStr">
        <is>
          <t>VÄRMLANDS LÄN</t>
        </is>
      </c>
      <c r="E1775" t="inlineStr">
        <is>
          <t>TORSBY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44995-2025</t>
        </is>
      </c>
      <c r="B1776" s="1" t="n">
        <v>45918</v>
      </c>
      <c r="C1776" s="1" t="n">
        <v>45937</v>
      </c>
      <c r="D1776" t="inlineStr">
        <is>
          <t>VÄRMLANDS LÄN</t>
        </is>
      </c>
      <c r="E1776" t="inlineStr">
        <is>
          <t>TORSBY</t>
        </is>
      </c>
      <c r="F1776" t="inlineStr">
        <is>
          <t>Bergvik skog väst AB</t>
        </is>
      </c>
      <c r="G1776" t="n">
        <v>18.7</v>
      </c>
      <c r="H1776" t="n">
        <v>0</v>
      </c>
      <c r="I1776" t="n">
        <v>0</v>
      </c>
      <c r="J1776" t="n">
        <v>0</v>
      </c>
      <c r="K1776" t="n">
        <v>0</v>
      </c>
      <c r="L1776" t="n">
        <v>0</v>
      </c>
      <c r="M1776" t="n">
        <v>0</v>
      </c>
      <c r="N1776" t="n">
        <v>0</v>
      </c>
      <c r="O1776" t="n">
        <v>0</v>
      </c>
      <c r="P1776" t="n">
        <v>0</v>
      </c>
      <c r="Q1776" t="n">
        <v>0</v>
      </c>
      <c r="R1776" s="2" t="inlineStr"/>
      <c r="U1776">
        <f>HYPERLINK("https://klasma.github.io/Logging_1737/knärot/A 44995-2025 karta knärot.png", "A 44995-2025")</f>
        <v/>
      </c>
      <c r="V1776">
        <f>HYPERLINK("https://klasma.github.io/Logging_1737/klagomål/A 44995-2025 FSC-klagomål.docx", "A 44995-2025")</f>
        <v/>
      </c>
      <c r="W1776">
        <f>HYPERLINK("https://klasma.github.io/Logging_1737/klagomålsmail/A 44995-2025 FSC-klagomål mail.docx", "A 44995-2025")</f>
        <v/>
      </c>
      <c r="X1776">
        <f>HYPERLINK("https://klasma.github.io/Logging_1737/tillsyn/A 44995-2025 tillsynsbegäran.docx", "A 44995-2025")</f>
        <v/>
      </c>
      <c r="Y1776">
        <f>HYPERLINK("https://klasma.github.io/Logging_1737/tillsynsmail/A 44995-2025 tillsynsbegäran mail.docx", "A 44995-2025")</f>
        <v/>
      </c>
    </row>
    <row r="1777" ht="15" customHeight="1">
      <c r="A1777" t="inlineStr">
        <is>
          <t>A 45093-2025</t>
        </is>
      </c>
      <c r="B1777" s="1" t="n">
        <v>45919.38398148148</v>
      </c>
      <c r="C1777" s="1" t="n">
        <v>45937</v>
      </c>
      <c r="D1777" t="inlineStr">
        <is>
          <t>VÄRMLANDS LÄN</t>
        </is>
      </c>
      <c r="E1777" t="inlineStr">
        <is>
          <t>TORSBY</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1979-2023</t>
        </is>
      </c>
      <c r="B1778" s="1" t="n">
        <v>44939</v>
      </c>
      <c r="C1778" s="1" t="n">
        <v>45937</v>
      </c>
      <c r="D1778" t="inlineStr">
        <is>
          <t>VÄRMLANDS LÄN</t>
        </is>
      </c>
      <c r="E1778" t="inlineStr">
        <is>
          <t>TORSBY</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49840-2024</t>
        </is>
      </c>
      <c r="B1779" s="1" t="n">
        <v>45597</v>
      </c>
      <c r="C1779" s="1" t="n">
        <v>45937</v>
      </c>
      <c r="D1779" t="inlineStr">
        <is>
          <t>VÄRMLANDS LÄN</t>
        </is>
      </c>
      <c r="E1779" t="inlineStr">
        <is>
          <t>TORSBY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45357-2025</t>
        </is>
      </c>
      <c r="B1780" s="1" t="n">
        <v>45922.36716435185</v>
      </c>
      <c r="C1780" s="1" t="n">
        <v>45937</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45360-2025</t>
        </is>
      </c>
      <c r="B1781" s="1" t="n">
        <v>45922.37266203704</v>
      </c>
      <c r="C1781" s="1" t="n">
        <v>45937</v>
      </c>
      <c r="D1781" t="inlineStr">
        <is>
          <t>VÄRMLANDS LÄN</t>
        </is>
      </c>
      <c r="E1781" t="inlineStr">
        <is>
          <t>TORSBY</t>
        </is>
      </c>
      <c r="F1781" t="inlineStr">
        <is>
          <t>Kommuner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17879-2024</t>
        </is>
      </c>
      <c r="B1782" s="1" t="n">
        <v>45419</v>
      </c>
      <c r="C1782" s="1" t="n">
        <v>45937</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5839-2021</t>
        </is>
      </c>
      <c r="B1783" s="1" t="n">
        <v>44231</v>
      </c>
      <c r="C1783" s="1" t="n">
        <v>45937</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41322-2022</t>
        </is>
      </c>
      <c r="B1784" s="1" t="n">
        <v>44826</v>
      </c>
      <c r="C1784" s="1" t="n">
        <v>45937</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13561-2023</t>
        </is>
      </c>
      <c r="B1785" s="1" t="n">
        <v>45006.47429398148</v>
      </c>
      <c r="C1785" s="1" t="n">
        <v>45937</v>
      </c>
      <c r="D1785" t="inlineStr">
        <is>
          <t>VÄRMLANDS LÄN</t>
        </is>
      </c>
      <c r="E1785" t="inlineStr">
        <is>
          <t>TORSBY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54033-2021</t>
        </is>
      </c>
      <c r="B1786" s="1" t="n">
        <v>44470.38454861111</v>
      </c>
      <c r="C1786" s="1" t="n">
        <v>45937</v>
      </c>
      <c r="D1786" t="inlineStr">
        <is>
          <t>VÄRMLANDS LÄN</t>
        </is>
      </c>
      <c r="E1786" t="inlineStr">
        <is>
          <t>TORSBY</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40718-2022</t>
        </is>
      </c>
      <c r="B1787" s="1" t="n">
        <v>44824.49635416667</v>
      </c>
      <c r="C1787" s="1" t="n">
        <v>45937</v>
      </c>
      <c r="D1787" t="inlineStr">
        <is>
          <t>VÄRMLANDS LÄN</t>
        </is>
      </c>
      <c r="E1787" t="inlineStr">
        <is>
          <t>TORSBY</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42701-2022</t>
        </is>
      </c>
      <c r="B1788" s="1" t="n">
        <v>44832</v>
      </c>
      <c r="C1788" s="1" t="n">
        <v>45937</v>
      </c>
      <c r="D1788" t="inlineStr">
        <is>
          <t>VÄRMLANDS LÄN</t>
        </is>
      </c>
      <c r="E1788" t="inlineStr">
        <is>
          <t>TORSBY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59613-2024</t>
        </is>
      </c>
      <c r="B1789" s="1" t="n">
        <v>45638</v>
      </c>
      <c r="C1789" s="1" t="n">
        <v>45937</v>
      </c>
      <c r="D1789" t="inlineStr">
        <is>
          <t>VÄRMLANDS LÄN</t>
        </is>
      </c>
      <c r="E1789" t="inlineStr">
        <is>
          <t>TORSBY</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61367-2022</t>
        </is>
      </c>
      <c r="B1790" s="1" t="n">
        <v>44915.82997685186</v>
      </c>
      <c r="C1790" s="1" t="n">
        <v>45937</v>
      </c>
      <c r="D1790" t="inlineStr">
        <is>
          <t>VÄRMLANDS LÄN</t>
        </is>
      </c>
      <c r="E1790" t="inlineStr">
        <is>
          <t>TORSBY</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37546-2025</t>
        </is>
      </c>
      <c r="B1791" s="1" t="n">
        <v>45879</v>
      </c>
      <c r="C1791" s="1" t="n">
        <v>45937</v>
      </c>
      <c r="D1791" t="inlineStr">
        <is>
          <t>VÄRMLANDS LÄN</t>
        </is>
      </c>
      <c r="E1791" t="inlineStr">
        <is>
          <t>TORSBY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37575-2025</t>
        </is>
      </c>
      <c r="B1792" s="1" t="n">
        <v>45880.38028935185</v>
      </c>
      <c r="C1792" s="1" t="n">
        <v>45937</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6068-2021</t>
        </is>
      </c>
      <c r="B1793" s="1" t="n">
        <v>44232</v>
      </c>
      <c r="C1793" s="1" t="n">
        <v>45937</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26042-2024</t>
        </is>
      </c>
      <c r="B1794" s="1" t="n">
        <v>45468.29846064815</v>
      </c>
      <c r="C1794" s="1" t="n">
        <v>45937</v>
      </c>
      <c r="D1794" t="inlineStr">
        <is>
          <t>VÄRMLANDS LÄN</t>
        </is>
      </c>
      <c r="E1794" t="inlineStr">
        <is>
          <t>TORSBY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45108-2025</t>
        </is>
      </c>
      <c r="B1795" s="1" t="n">
        <v>45919.41467592592</v>
      </c>
      <c r="C1795" s="1" t="n">
        <v>45937</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58976-2024</t>
        </is>
      </c>
      <c r="B1796" s="1" t="n">
        <v>45636.6081712963</v>
      </c>
      <c r="C1796" s="1" t="n">
        <v>45937</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45268-2025</t>
        </is>
      </c>
      <c r="B1797" s="1" t="n">
        <v>45919.66782407407</v>
      </c>
      <c r="C1797" s="1" t="n">
        <v>45937</v>
      </c>
      <c r="D1797" t="inlineStr">
        <is>
          <t>VÄRMLANDS LÄN</t>
        </is>
      </c>
      <c r="E1797" t="inlineStr">
        <is>
          <t>TORSBY</t>
        </is>
      </c>
      <c r="F1797" t="inlineStr">
        <is>
          <t>Bergvik skog väst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45679-2025</t>
        </is>
      </c>
      <c r="B1798" s="1" t="n">
        <v>45923.36864583333</v>
      </c>
      <c r="C1798" s="1" t="n">
        <v>45937</v>
      </c>
      <c r="D1798" t="inlineStr">
        <is>
          <t>VÄRMLANDS LÄN</t>
        </is>
      </c>
      <c r="E1798" t="inlineStr">
        <is>
          <t>TORSBY</t>
        </is>
      </c>
      <c r="F1798" t="inlineStr">
        <is>
          <t>Bergvik skog väst AB</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53396-2024</t>
        </is>
      </c>
      <c r="B1799" s="1" t="n">
        <v>45614</v>
      </c>
      <c r="C1799" s="1" t="n">
        <v>45937</v>
      </c>
      <c r="D1799" t="inlineStr">
        <is>
          <t>VÄRMLANDS LÄN</t>
        </is>
      </c>
      <c r="E1799" t="inlineStr">
        <is>
          <t>TORSBY</t>
        </is>
      </c>
      <c r="F1799" t="inlineStr">
        <is>
          <t>Bergvik skog väst AB</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45967-2025</t>
        </is>
      </c>
      <c r="B1800" s="1" t="n">
        <v>45924</v>
      </c>
      <c r="C1800" s="1" t="n">
        <v>45937</v>
      </c>
      <c r="D1800" t="inlineStr">
        <is>
          <t>VÄRMLANDS LÄN</t>
        </is>
      </c>
      <c r="E1800" t="inlineStr">
        <is>
          <t>TORSBY</t>
        </is>
      </c>
      <c r="F1800" t="inlineStr">
        <is>
          <t>Övriga Aktiebolag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28329-2024</t>
        </is>
      </c>
      <c r="B1801" s="1" t="n">
        <v>45477</v>
      </c>
      <c r="C1801" s="1" t="n">
        <v>45937</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16591-2024</t>
        </is>
      </c>
      <c r="B1802" s="1" t="n">
        <v>45408.49420138889</v>
      </c>
      <c r="C1802" s="1" t="n">
        <v>45937</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14917-2023</t>
        </is>
      </c>
      <c r="B1803" s="1" t="n">
        <v>45015.39938657408</v>
      </c>
      <c r="C1803" s="1" t="n">
        <v>45937</v>
      </c>
      <c r="D1803" t="inlineStr">
        <is>
          <t>VÄRMLANDS LÄN</t>
        </is>
      </c>
      <c r="E1803" t="inlineStr">
        <is>
          <t>TORSBY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52581-2024</t>
        </is>
      </c>
      <c r="B1804" s="1" t="n">
        <v>45609</v>
      </c>
      <c r="C1804" s="1" t="n">
        <v>45937</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60148-2024</t>
        </is>
      </c>
      <c r="B1805" s="1" t="n">
        <v>45642</v>
      </c>
      <c r="C1805" s="1" t="n">
        <v>45937</v>
      </c>
      <c r="D1805" t="inlineStr">
        <is>
          <t>VÄRMLANDS LÄN</t>
        </is>
      </c>
      <c r="E1805" t="inlineStr">
        <is>
          <t>TORSBY</t>
        </is>
      </c>
      <c r="G1805" t="n">
        <v>12.4</v>
      </c>
      <c r="H1805" t="n">
        <v>0</v>
      </c>
      <c r="I1805" t="n">
        <v>0</v>
      </c>
      <c r="J1805" t="n">
        <v>0</v>
      </c>
      <c r="K1805" t="n">
        <v>0</v>
      </c>
      <c r="L1805" t="n">
        <v>0</v>
      </c>
      <c r="M1805" t="n">
        <v>0</v>
      </c>
      <c r="N1805" t="n">
        <v>0</v>
      </c>
      <c r="O1805" t="n">
        <v>0</v>
      </c>
      <c r="P1805" t="n">
        <v>0</v>
      </c>
      <c r="Q1805" t="n">
        <v>0</v>
      </c>
      <c r="R1805" s="2" t="inlineStr"/>
    </row>
    <row r="1806" ht="15" customHeight="1">
      <c r="A1806" t="inlineStr">
        <is>
          <t>A 27101-2024</t>
        </is>
      </c>
      <c r="B1806" s="1" t="n">
        <v>45471</v>
      </c>
      <c r="C1806" s="1" t="n">
        <v>45937</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27116-2024</t>
        </is>
      </c>
      <c r="B1807" s="1" t="n">
        <v>45471.5056712963</v>
      </c>
      <c r="C1807" s="1" t="n">
        <v>45937</v>
      </c>
      <c r="D1807" t="inlineStr">
        <is>
          <t>VÄRMLANDS LÄN</t>
        </is>
      </c>
      <c r="E1807" t="inlineStr">
        <is>
          <t>TORSBY</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44507-2025</t>
        </is>
      </c>
      <c r="B1808" s="1" t="n">
        <v>45916</v>
      </c>
      <c r="C1808" s="1" t="n">
        <v>45937</v>
      </c>
      <c r="D1808" t="inlineStr">
        <is>
          <t>VÄRMLANDS LÄN</t>
        </is>
      </c>
      <c r="E1808" t="inlineStr">
        <is>
          <t>TORSBY</t>
        </is>
      </c>
      <c r="F1808" t="inlineStr">
        <is>
          <t>Bergvik skog väst AB</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11242-2024</t>
        </is>
      </c>
      <c r="B1809" s="1" t="n">
        <v>45371</v>
      </c>
      <c r="C1809" s="1" t="n">
        <v>45937</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37878-2025</t>
        </is>
      </c>
      <c r="B1810" s="1" t="n">
        <v>45881</v>
      </c>
      <c r="C1810" s="1" t="n">
        <v>45937</v>
      </c>
      <c r="D1810" t="inlineStr">
        <is>
          <t>VÄRMLANDS LÄN</t>
        </is>
      </c>
      <c r="E1810" t="inlineStr">
        <is>
          <t>TORSBY</t>
        </is>
      </c>
      <c r="F1810" t="inlineStr">
        <is>
          <t>Bergvik skog väst AB</t>
        </is>
      </c>
      <c r="G1810" t="n">
        <v>9.9</v>
      </c>
      <c r="H1810" t="n">
        <v>0</v>
      </c>
      <c r="I1810" t="n">
        <v>0</v>
      </c>
      <c r="J1810" t="n">
        <v>0</v>
      </c>
      <c r="K1810" t="n">
        <v>0</v>
      </c>
      <c r="L1810" t="n">
        <v>0</v>
      </c>
      <c r="M1810" t="n">
        <v>0</v>
      </c>
      <c r="N1810" t="n">
        <v>0</v>
      </c>
      <c r="O1810" t="n">
        <v>0</v>
      </c>
      <c r="P1810" t="n">
        <v>0</v>
      </c>
      <c r="Q1810" t="n">
        <v>0</v>
      </c>
      <c r="R1810" s="2" t="inlineStr"/>
    </row>
    <row r="1811" ht="15" customHeight="1">
      <c r="A1811" t="inlineStr">
        <is>
          <t>A 37904-2025</t>
        </is>
      </c>
      <c r="B1811" s="1" t="n">
        <v>45881</v>
      </c>
      <c r="C1811" s="1" t="n">
        <v>45937</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37927-2025</t>
        </is>
      </c>
      <c r="B1812" s="1" t="n">
        <v>45881.58063657407</v>
      </c>
      <c r="C1812" s="1" t="n">
        <v>45937</v>
      </c>
      <c r="D1812" t="inlineStr">
        <is>
          <t>VÄRMLANDS LÄN</t>
        </is>
      </c>
      <c r="E1812" t="inlineStr">
        <is>
          <t>TORSBY</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73521-2021</t>
        </is>
      </c>
      <c r="B1813" s="1" t="n">
        <v>44551</v>
      </c>
      <c r="C1813" s="1" t="n">
        <v>45937</v>
      </c>
      <c r="D1813" t="inlineStr">
        <is>
          <t>VÄRMLANDS LÄN</t>
        </is>
      </c>
      <c r="E1813" t="inlineStr">
        <is>
          <t>TORSBY</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37937-2025</t>
        </is>
      </c>
      <c r="B1814" s="1" t="n">
        <v>45881</v>
      </c>
      <c r="C1814" s="1" t="n">
        <v>45937</v>
      </c>
      <c r="D1814" t="inlineStr">
        <is>
          <t>VÄRMLANDS LÄN</t>
        </is>
      </c>
      <c r="E1814" t="inlineStr">
        <is>
          <t>TORSBY</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11776-2024</t>
        </is>
      </c>
      <c r="B1815" s="1" t="n">
        <v>45374</v>
      </c>
      <c r="C1815" s="1" t="n">
        <v>45937</v>
      </c>
      <c r="D1815" t="inlineStr">
        <is>
          <t>VÄRMLANDS LÄN</t>
        </is>
      </c>
      <c r="E1815" t="inlineStr">
        <is>
          <t>TORSBY</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45490-2025</t>
        </is>
      </c>
      <c r="B1816" s="1" t="n">
        <v>45921</v>
      </c>
      <c r="C1816" s="1" t="n">
        <v>45937</v>
      </c>
      <c r="D1816" t="inlineStr">
        <is>
          <t>VÄRMLANDS LÄN</t>
        </is>
      </c>
      <c r="E1816" t="inlineStr">
        <is>
          <t>TORSBY</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45508-2025</t>
        </is>
      </c>
      <c r="B1817" s="1" t="n">
        <v>45922</v>
      </c>
      <c r="C1817" s="1" t="n">
        <v>45937</v>
      </c>
      <c r="D1817" t="inlineStr">
        <is>
          <t>VÄRMLANDS LÄN</t>
        </is>
      </c>
      <c r="E1817" t="inlineStr">
        <is>
          <t>TORSBY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38165-2025</t>
        </is>
      </c>
      <c r="B1818" s="1" t="n">
        <v>45882.63063657407</v>
      </c>
      <c r="C1818" s="1" t="n">
        <v>45937</v>
      </c>
      <c r="D1818" t="inlineStr">
        <is>
          <t>VÄRMLANDS LÄN</t>
        </is>
      </c>
      <c r="E1818" t="inlineStr">
        <is>
          <t>TORSBY</t>
        </is>
      </c>
      <c r="F1818" t="inlineStr">
        <is>
          <t>Bergvik skog väst AB</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31052-2023</t>
        </is>
      </c>
      <c r="B1819" s="1" t="n">
        <v>45113</v>
      </c>
      <c r="C1819" s="1" t="n">
        <v>45937</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41160-2023</t>
        </is>
      </c>
      <c r="B1820" s="1" t="n">
        <v>45174</v>
      </c>
      <c r="C1820" s="1" t="n">
        <v>45937</v>
      </c>
      <c r="D1820" t="inlineStr">
        <is>
          <t>VÄRMLANDS LÄN</t>
        </is>
      </c>
      <c r="E1820" t="inlineStr">
        <is>
          <t>TORSBY</t>
        </is>
      </c>
      <c r="F1820" t="inlineStr">
        <is>
          <t>Kyrkan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61138-2022</t>
        </is>
      </c>
      <c r="B1821" s="1" t="n">
        <v>44915</v>
      </c>
      <c r="C1821" s="1" t="n">
        <v>45937</v>
      </c>
      <c r="D1821" t="inlineStr">
        <is>
          <t>VÄRMLANDS LÄN</t>
        </is>
      </c>
      <c r="E1821" t="inlineStr">
        <is>
          <t>TORSBY</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60133-2023</t>
        </is>
      </c>
      <c r="B1822" s="1" t="n">
        <v>45258</v>
      </c>
      <c r="C1822" s="1" t="n">
        <v>45937</v>
      </c>
      <c r="D1822" t="inlineStr">
        <is>
          <t>VÄRMLANDS LÄN</t>
        </is>
      </c>
      <c r="E1822" t="inlineStr">
        <is>
          <t>TORSBY</t>
        </is>
      </c>
      <c r="F1822" t="inlineStr">
        <is>
          <t>Bergvik skog väst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64902-2021</t>
        </is>
      </c>
      <c r="B1823" s="1" t="n">
        <v>44512.64336805556</v>
      </c>
      <c r="C1823" s="1" t="n">
        <v>45937</v>
      </c>
      <c r="D1823" t="inlineStr">
        <is>
          <t>VÄRMLANDS LÄN</t>
        </is>
      </c>
      <c r="E1823" t="inlineStr">
        <is>
          <t>TORSBY</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22662-2022</t>
        </is>
      </c>
      <c r="B1824" s="1" t="n">
        <v>44714</v>
      </c>
      <c r="C1824" s="1" t="n">
        <v>45937</v>
      </c>
      <c r="D1824" t="inlineStr">
        <is>
          <t>VÄRMLANDS LÄN</t>
        </is>
      </c>
      <c r="E1824" t="inlineStr">
        <is>
          <t>TORSBY</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51661-2024</t>
        </is>
      </c>
      <c r="B1825" s="1" t="n">
        <v>45606.74392361111</v>
      </c>
      <c r="C1825" s="1" t="n">
        <v>45937</v>
      </c>
      <c r="D1825" t="inlineStr">
        <is>
          <t>VÄRMLANDS LÄN</t>
        </is>
      </c>
      <c r="E1825" t="inlineStr">
        <is>
          <t>TORSBY</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51663-2024</t>
        </is>
      </c>
      <c r="B1826" s="1" t="n">
        <v>45606.76396990741</v>
      </c>
      <c r="C1826" s="1" t="n">
        <v>45937</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53099-2024</t>
        </is>
      </c>
      <c r="B1827" s="1" t="n">
        <v>45611.54206018519</v>
      </c>
      <c r="C1827" s="1" t="n">
        <v>45937</v>
      </c>
      <c r="D1827" t="inlineStr">
        <is>
          <t>VÄRMLANDS LÄN</t>
        </is>
      </c>
      <c r="E1827" t="inlineStr">
        <is>
          <t>TORSBY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37908-2025</t>
        </is>
      </c>
      <c r="B1828" s="1" t="n">
        <v>45881.5732175926</v>
      </c>
      <c r="C1828" s="1" t="n">
        <v>45937</v>
      </c>
      <c r="D1828" t="inlineStr">
        <is>
          <t>VÄRMLANDS LÄN</t>
        </is>
      </c>
      <c r="E1828" t="inlineStr">
        <is>
          <t>TORSBY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37945-2025</t>
        </is>
      </c>
      <c r="B1829" s="1" t="n">
        <v>45881</v>
      </c>
      <c r="C1829" s="1" t="n">
        <v>45937</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45825-2025</t>
        </is>
      </c>
      <c r="B1830" s="1" t="n">
        <v>45923.59983796296</v>
      </c>
      <c r="C1830" s="1" t="n">
        <v>45937</v>
      </c>
      <c r="D1830" t="inlineStr">
        <is>
          <t>VÄRMLANDS LÄN</t>
        </is>
      </c>
      <c r="E1830" t="inlineStr">
        <is>
          <t>TORSBY</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45380-2025</t>
        </is>
      </c>
      <c r="B1831" s="1" t="n">
        <v>45922</v>
      </c>
      <c r="C1831" s="1" t="n">
        <v>45937</v>
      </c>
      <c r="D1831" t="inlineStr">
        <is>
          <t>VÄRMLANDS LÄN</t>
        </is>
      </c>
      <c r="E1831" t="inlineStr">
        <is>
          <t>TORSBY</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2130-2024</t>
        </is>
      </c>
      <c r="B1832" s="1" t="n">
        <v>45309.51518518518</v>
      </c>
      <c r="C1832" s="1" t="n">
        <v>45937</v>
      </c>
      <c r="D1832" t="inlineStr">
        <is>
          <t>VÄRMLANDS LÄN</t>
        </is>
      </c>
      <c r="E1832" t="inlineStr">
        <is>
          <t>TORSBY</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14292-2023</t>
        </is>
      </c>
      <c r="B1833" s="1" t="n">
        <v>45011</v>
      </c>
      <c r="C1833" s="1" t="n">
        <v>45937</v>
      </c>
      <c r="D1833" t="inlineStr">
        <is>
          <t>VÄRMLANDS LÄN</t>
        </is>
      </c>
      <c r="E1833" t="inlineStr">
        <is>
          <t>TORSBY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14293-2023</t>
        </is>
      </c>
      <c r="B1834" s="1" t="n">
        <v>45011</v>
      </c>
      <c r="C1834" s="1" t="n">
        <v>45937</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234-2024</t>
        </is>
      </c>
      <c r="B1835" s="1" t="n">
        <v>45294.8253587963</v>
      </c>
      <c r="C1835" s="1" t="n">
        <v>45937</v>
      </c>
      <c r="D1835" t="inlineStr">
        <is>
          <t>VÄRMLANDS LÄN</t>
        </is>
      </c>
      <c r="E1835" t="inlineStr">
        <is>
          <t>TORSBY</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236-2024</t>
        </is>
      </c>
      <c r="B1836" s="1" t="n">
        <v>45294.85927083333</v>
      </c>
      <c r="C1836" s="1" t="n">
        <v>45937</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26887-2024</t>
        </is>
      </c>
      <c r="B1837" s="1" t="n">
        <v>45470.64864583333</v>
      </c>
      <c r="C1837" s="1" t="n">
        <v>45937</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21280-2024</t>
        </is>
      </c>
      <c r="B1838" s="1" t="n">
        <v>45440</v>
      </c>
      <c r="C1838" s="1" t="n">
        <v>45937</v>
      </c>
      <c r="D1838" t="inlineStr">
        <is>
          <t>VÄRMLANDS LÄN</t>
        </is>
      </c>
      <c r="E1838" t="inlineStr">
        <is>
          <t>TORSBY</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64672-2023</t>
        </is>
      </c>
      <c r="B1839" s="1" t="n">
        <v>45281.61913194445</v>
      </c>
      <c r="C1839" s="1" t="n">
        <v>45937</v>
      </c>
      <c r="D1839" t="inlineStr">
        <is>
          <t>VÄRMLANDS LÄN</t>
        </is>
      </c>
      <c r="E1839" t="inlineStr">
        <is>
          <t>TORSBY</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3922-2024</t>
        </is>
      </c>
      <c r="B1840" s="1" t="n">
        <v>45322.57271990741</v>
      </c>
      <c r="C1840" s="1" t="n">
        <v>45937</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47271-2021</t>
        </is>
      </c>
      <c r="B1841" s="1" t="n">
        <v>44447</v>
      </c>
      <c r="C1841" s="1" t="n">
        <v>45937</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53988-2022</t>
        </is>
      </c>
      <c r="B1842" s="1" t="n">
        <v>44876</v>
      </c>
      <c r="C1842" s="1" t="n">
        <v>45937</v>
      </c>
      <c r="D1842" t="inlineStr">
        <is>
          <t>VÄRMLANDS LÄN</t>
        </is>
      </c>
      <c r="E1842" t="inlineStr">
        <is>
          <t>TORSBY</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47465-2024</t>
        </is>
      </c>
      <c r="B1843" s="1" t="n">
        <v>45587</v>
      </c>
      <c r="C1843" s="1" t="n">
        <v>45937</v>
      </c>
      <c r="D1843" t="inlineStr">
        <is>
          <t>VÄRMLANDS LÄN</t>
        </is>
      </c>
      <c r="E1843" t="inlineStr">
        <is>
          <t>TORSBY</t>
        </is>
      </c>
      <c r="F1843" t="inlineStr">
        <is>
          <t>Övriga Aktiebolag</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11050-2022</t>
        </is>
      </c>
      <c r="B1844" s="1" t="n">
        <v>44628.60393518519</v>
      </c>
      <c r="C1844" s="1" t="n">
        <v>45937</v>
      </c>
      <c r="D1844" t="inlineStr">
        <is>
          <t>VÄRMLANDS LÄN</t>
        </is>
      </c>
      <c r="E1844" t="inlineStr">
        <is>
          <t>TORSBY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33862-2024</t>
        </is>
      </c>
      <c r="B1845" s="1" t="n">
        <v>45520.69163194444</v>
      </c>
      <c r="C1845" s="1" t="n">
        <v>45937</v>
      </c>
      <c r="D1845" t="inlineStr">
        <is>
          <t>VÄRMLANDS LÄN</t>
        </is>
      </c>
      <c r="E1845" t="inlineStr">
        <is>
          <t>TORSBY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4707-2023</t>
        </is>
      </c>
      <c r="B1846" s="1" t="n">
        <v>44957</v>
      </c>
      <c r="C1846" s="1" t="n">
        <v>45937</v>
      </c>
      <c r="D1846" t="inlineStr">
        <is>
          <t>VÄRMLANDS LÄN</t>
        </is>
      </c>
      <c r="E1846" t="inlineStr">
        <is>
          <t>TORSBY</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34500-2024</t>
        </is>
      </c>
      <c r="B1847" s="1" t="n">
        <v>45525</v>
      </c>
      <c r="C1847" s="1" t="n">
        <v>45937</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1166-2023</t>
        </is>
      </c>
      <c r="B1848" s="1" t="n">
        <v>44935</v>
      </c>
      <c r="C1848" s="1" t="n">
        <v>45937</v>
      </c>
      <c r="D1848" t="inlineStr">
        <is>
          <t>VÄRMLANDS LÄN</t>
        </is>
      </c>
      <c r="E1848" t="inlineStr">
        <is>
          <t>TORSBY</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29256-2023</t>
        </is>
      </c>
      <c r="B1849" s="1" t="n">
        <v>45105.65310185185</v>
      </c>
      <c r="C1849" s="1" t="n">
        <v>45937</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13723-2023</t>
        </is>
      </c>
      <c r="B1850" s="1" t="n">
        <v>45007</v>
      </c>
      <c r="C1850" s="1" t="n">
        <v>45937</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5814-2024</t>
        </is>
      </c>
      <c r="B1851" s="1" t="n">
        <v>45335</v>
      </c>
      <c r="C1851" s="1" t="n">
        <v>45937</v>
      </c>
      <c r="D1851" t="inlineStr">
        <is>
          <t>VÄRMLANDS LÄN</t>
        </is>
      </c>
      <c r="E1851" t="inlineStr">
        <is>
          <t>TORSBY</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1104-2025</t>
        </is>
      </c>
      <c r="B1852" s="1" t="n">
        <v>45666</v>
      </c>
      <c r="C1852" s="1" t="n">
        <v>45937</v>
      </c>
      <c r="D1852" t="inlineStr">
        <is>
          <t>VÄRMLANDS LÄN</t>
        </is>
      </c>
      <c r="E1852" t="inlineStr">
        <is>
          <t>TORSBY</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33469-2024</t>
        </is>
      </c>
      <c r="B1853" s="1" t="n">
        <v>45519.5996875</v>
      </c>
      <c r="C1853" s="1" t="n">
        <v>45937</v>
      </c>
      <c r="D1853" t="inlineStr">
        <is>
          <t>VÄRMLANDS LÄN</t>
        </is>
      </c>
      <c r="E1853" t="inlineStr">
        <is>
          <t>TORSBY</t>
        </is>
      </c>
      <c r="F1853" t="inlineStr">
        <is>
          <t>Bergvik skog väst AB</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16433-2023</t>
        </is>
      </c>
      <c r="B1854" s="1" t="n">
        <v>45022</v>
      </c>
      <c r="C1854" s="1" t="n">
        <v>45937</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45966-2025</t>
        </is>
      </c>
      <c r="B1855" s="1" t="n">
        <v>45924</v>
      </c>
      <c r="C1855" s="1" t="n">
        <v>45937</v>
      </c>
      <c r="D1855" t="inlineStr">
        <is>
          <t>VÄRMLANDS LÄN</t>
        </is>
      </c>
      <c r="E1855" t="inlineStr">
        <is>
          <t>TORSBY</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21411-2023</t>
        </is>
      </c>
      <c r="B1856" s="1" t="n">
        <v>45063.38505787037</v>
      </c>
      <c r="C1856" s="1" t="n">
        <v>45937</v>
      </c>
      <c r="D1856" t="inlineStr">
        <is>
          <t>VÄRMLANDS LÄN</t>
        </is>
      </c>
      <c r="E1856" t="inlineStr">
        <is>
          <t>TORSBY</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44286-2025</t>
        </is>
      </c>
      <c r="B1857" s="1" t="n">
        <v>45916</v>
      </c>
      <c r="C1857" s="1" t="n">
        <v>45937</v>
      </c>
      <c r="D1857" t="inlineStr">
        <is>
          <t>VÄRMLANDS LÄN</t>
        </is>
      </c>
      <c r="E1857" t="inlineStr">
        <is>
          <t>TORSBY</t>
        </is>
      </c>
      <c r="F1857" t="inlineStr">
        <is>
          <t>Bergvik skog väst AB</t>
        </is>
      </c>
      <c r="G1857" t="n">
        <v>13.8</v>
      </c>
      <c r="H1857" t="n">
        <v>0</v>
      </c>
      <c r="I1857" t="n">
        <v>0</v>
      </c>
      <c r="J1857" t="n">
        <v>0</v>
      </c>
      <c r="K1857" t="n">
        <v>0</v>
      </c>
      <c r="L1857" t="n">
        <v>0</v>
      </c>
      <c r="M1857" t="n">
        <v>0</v>
      </c>
      <c r="N1857" t="n">
        <v>0</v>
      </c>
      <c r="O1857" t="n">
        <v>0</v>
      </c>
      <c r="P1857" t="n">
        <v>0</v>
      </c>
      <c r="Q1857" t="n">
        <v>0</v>
      </c>
      <c r="R1857" s="2" t="inlineStr"/>
    </row>
    <row r="1858" ht="15" customHeight="1">
      <c r="A1858" t="inlineStr">
        <is>
          <t>A 38056-2025</t>
        </is>
      </c>
      <c r="B1858" s="1" t="n">
        <v>45882</v>
      </c>
      <c r="C1858" s="1" t="n">
        <v>45937</v>
      </c>
      <c r="D1858" t="inlineStr">
        <is>
          <t>VÄRMLANDS LÄN</t>
        </is>
      </c>
      <c r="E1858" t="inlineStr">
        <is>
          <t>TORSBY</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45615-2025</t>
        </is>
      </c>
      <c r="B1859" s="1" t="n">
        <v>45921</v>
      </c>
      <c r="C1859" s="1" t="n">
        <v>45937</v>
      </c>
      <c r="D1859" t="inlineStr">
        <is>
          <t>VÄRMLANDS LÄN</t>
        </is>
      </c>
      <c r="E1859" t="inlineStr">
        <is>
          <t>TORSBY</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74375-2021</t>
        </is>
      </c>
      <c r="B1860" s="1" t="n">
        <v>44559.71840277778</v>
      </c>
      <c r="C1860" s="1" t="n">
        <v>45937</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32588-2024</t>
        </is>
      </c>
      <c r="B1861" s="1" t="n">
        <v>45513.59612268519</v>
      </c>
      <c r="C1861" s="1" t="n">
        <v>45937</v>
      </c>
      <c r="D1861" t="inlineStr">
        <is>
          <t>VÄRMLANDS LÄN</t>
        </is>
      </c>
      <c r="E1861" t="inlineStr">
        <is>
          <t>TORSBY</t>
        </is>
      </c>
      <c r="F1861" t="inlineStr">
        <is>
          <t>Bergvik skog väst AB</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66133-2021</t>
        </is>
      </c>
      <c r="B1862" s="1" t="n">
        <v>44517</v>
      </c>
      <c r="C1862" s="1" t="n">
        <v>45937</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16427-2023</t>
        </is>
      </c>
      <c r="B1863" s="1" t="n">
        <v>45022</v>
      </c>
      <c r="C1863" s="1" t="n">
        <v>45937</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35057-2023</t>
        </is>
      </c>
      <c r="B1864" s="1" t="n">
        <v>45145.3909375</v>
      </c>
      <c r="C1864" s="1" t="n">
        <v>45937</v>
      </c>
      <c r="D1864" t="inlineStr">
        <is>
          <t>VÄRMLANDS LÄN</t>
        </is>
      </c>
      <c r="E1864" t="inlineStr">
        <is>
          <t>TORSBY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485-2025</t>
        </is>
      </c>
      <c r="B1865" s="1" t="n">
        <v>45664</v>
      </c>
      <c r="C1865" s="1" t="n">
        <v>45937</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3442-2025</t>
        </is>
      </c>
      <c r="B1866" s="1" t="n">
        <v>45680.45114583334</v>
      </c>
      <c r="C1866" s="1" t="n">
        <v>45937</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3409-2025</t>
        </is>
      </c>
      <c r="B1867" s="1" t="n">
        <v>45680.39391203703</v>
      </c>
      <c r="C1867" s="1" t="n">
        <v>45937</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33848-2023</t>
        </is>
      </c>
      <c r="B1868" s="1" t="n">
        <v>45133.68835648148</v>
      </c>
      <c r="C1868" s="1" t="n">
        <v>45937</v>
      </c>
      <c r="D1868" t="inlineStr">
        <is>
          <t>VÄRMLANDS LÄN</t>
        </is>
      </c>
      <c r="E1868" t="inlineStr">
        <is>
          <t>TORSBY</t>
        </is>
      </c>
      <c r="F1868" t="inlineStr">
        <is>
          <t>Bergvik skog väst AB</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15413-2023</t>
        </is>
      </c>
      <c r="B1869" s="1" t="n">
        <v>45019</v>
      </c>
      <c r="C1869" s="1" t="n">
        <v>45937</v>
      </c>
      <c r="D1869" t="inlineStr">
        <is>
          <t>VÄRMLANDS LÄN</t>
        </is>
      </c>
      <c r="E1869" t="inlineStr">
        <is>
          <t>TORSBY</t>
        </is>
      </c>
      <c r="G1869" t="n">
        <v>17.1</v>
      </c>
      <c r="H1869" t="n">
        <v>0</v>
      </c>
      <c r="I1869" t="n">
        <v>0</v>
      </c>
      <c r="J1869" t="n">
        <v>0</v>
      </c>
      <c r="K1869" t="n">
        <v>0</v>
      </c>
      <c r="L1869" t="n">
        <v>0</v>
      </c>
      <c r="M1869" t="n">
        <v>0</v>
      </c>
      <c r="N1869" t="n">
        <v>0</v>
      </c>
      <c r="O1869" t="n">
        <v>0</v>
      </c>
      <c r="P1869" t="n">
        <v>0</v>
      </c>
      <c r="Q1869" t="n">
        <v>0</v>
      </c>
      <c r="R1869" s="2" t="inlineStr"/>
    </row>
    <row r="1870" ht="15" customHeight="1">
      <c r="A1870" t="inlineStr">
        <is>
          <t>A 15488-2023</t>
        </is>
      </c>
      <c r="B1870" s="1" t="n">
        <v>45020</v>
      </c>
      <c r="C1870" s="1" t="n">
        <v>45937</v>
      </c>
      <c r="D1870" t="inlineStr">
        <is>
          <t>VÄRMLANDS LÄN</t>
        </is>
      </c>
      <c r="E1870" t="inlineStr">
        <is>
          <t>TORSBY</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11878-2024</t>
        </is>
      </c>
      <c r="B1871" s="1" t="n">
        <v>45376.47877314815</v>
      </c>
      <c r="C1871" s="1" t="n">
        <v>45937</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23843-2024</t>
        </is>
      </c>
      <c r="B1872" s="1" t="n">
        <v>45455</v>
      </c>
      <c r="C1872" s="1" t="n">
        <v>45937</v>
      </c>
      <c r="D1872" t="inlineStr">
        <is>
          <t>VÄRMLANDS LÄN</t>
        </is>
      </c>
      <c r="E1872" t="inlineStr">
        <is>
          <t>TORSBY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48239-2022</t>
        </is>
      </c>
      <c r="B1873" s="1" t="n">
        <v>44858.45881944444</v>
      </c>
      <c r="C1873" s="1" t="n">
        <v>45937</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22124-2022</t>
        </is>
      </c>
      <c r="B1874" s="1" t="n">
        <v>44712</v>
      </c>
      <c r="C1874" s="1" t="n">
        <v>45937</v>
      </c>
      <c r="D1874" t="inlineStr">
        <is>
          <t>VÄRMLANDS LÄN</t>
        </is>
      </c>
      <c r="E1874" t="inlineStr">
        <is>
          <t>TORSBY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6708-2023</t>
        </is>
      </c>
      <c r="B1875" s="1" t="n">
        <v>44960</v>
      </c>
      <c r="C1875" s="1" t="n">
        <v>45937</v>
      </c>
      <c r="D1875" t="inlineStr">
        <is>
          <t>VÄRMLANDS LÄN</t>
        </is>
      </c>
      <c r="E1875" t="inlineStr">
        <is>
          <t>TORSBY</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53744-2024</t>
        </is>
      </c>
      <c r="B1876" s="1" t="n">
        <v>45615</v>
      </c>
      <c r="C1876" s="1" t="n">
        <v>45937</v>
      </c>
      <c r="D1876" t="inlineStr">
        <is>
          <t>VÄRMLANDS LÄN</t>
        </is>
      </c>
      <c r="E1876" t="inlineStr">
        <is>
          <t>TORSBY</t>
        </is>
      </c>
      <c r="G1876" t="n">
        <v>16.9</v>
      </c>
      <c r="H1876" t="n">
        <v>0</v>
      </c>
      <c r="I1876" t="n">
        <v>0</v>
      </c>
      <c r="J1876" t="n">
        <v>0</v>
      </c>
      <c r="K1876" t="n">
        <v>0</v>
      </c>
      <c r="L1876" t="n">
        <v>0</v>
      </c>
      <c r="M1876" t="n">
        <v>0</v>
      </c>
      <c r="N1876" t="n">
        <v>0</v>
      </c>
      <c r="O1876" t="n">
        <v>0</v>
      </c>
      <c r="P1876" t="n">
        <v>0</v>
      </c>
      <c r="Q1876" t="n">
        <v>0</v>
      </c>
      <c r="R1876" s="2" t="inlineStr"/>
    </row>
    <row r="1877" ht="15" customHeight="1">
      <c r="A1877" t="inlineStr">
        <is>
          <t>A 39648-2023</t>
        </is>
      </c>
      <c r="B1877" s="1" t="n">
        <v>45167.5528587963</v>
      </c>
      <c r="C1877" s="1" t="n">
        <v>45937</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1100-2025</t>
        </is>
      </c>
      <c r="B1878" s="1" t="n">
        <v>45666.64099537037</v>
      </c>
      <c r="C1878" s="1" t="n">
        <v>45937</v>
      </c>
      <c r="D1878" t="inlineStr">
        <is>
          <t>VÄRMLANDS LÄN</t>
        </is>
      </c>
      <c r="E1878" t="inlineStr">
        <is>
          <t>TORSBY</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10895-2024</t>
        </is>
      </c>
      <c r="B1879" s="1" t="n">
        <v>45370.34901620371</v>
      </c>
      <c r="C1879" s="1" t="n">
        <v>45937</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58728-2021</t>
        </is>
      </c>
      <c r="B1880" s="1" t="n">
        <v>44489</v>
      </c>
      <c r="C1880" s="1" t="n">
        <v>45937</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62445-2023</t>
        </is>
      </c>
      <c r="B1881" s="1" t="n">
        <v>45268.47487268518</v>
      </c>
      <c r="C1881" s="1" t="n">
        <v>45937</v>
      </c>
      <c r="D1881" t="inlineStr">
        <is>
          <t>VÄRMLANDS LÄN</t>
        </is>
      </c>
      <c r="E1881" t="inlineStr">
        <is>
          <t>TORSBY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28624-2024</t>
        </is>
      </c>
      <c r="B1882" s="1" t="n">
        <v>45478.44297453704</v>
      </c>
      <c r="C1882" s="1" t="n">
        <v>45937</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34655-2022</t>
        </is>
      </c>
      <c r="B1883" s="1" t="n">
        <v>44795</v>
      </c>
      <c r="C1883" s="1" t="n">
        <v>45937</v>
      </c>
      <c r="D1883" t="inlineStr">
        <is>
          <t>VÄRMLANDS LÄN</t>
        </is>
      </c>
      <c r="E1883" t="inlineStr">
        <is>
          <t>TORSBY</t>
        </is>
      </c>
      <c r="G1883" t="n">
        <v>12.8</v>
      </c>
      <c r="H1883" t="n">
        <v>0</v>
      </c>
      <c r="I1883" t="n">
        <v>0</v>
      </c>
      <c r="J1883" t="n">
        <v>0</v>
      </c>
      <c r="K1883" t="n">
        <v>0</v>
      </c>
      <c r="L1883" t="n">
        <v>0</v>
      </c>
      <c r="M1883" t="n">
        <v>0</v>
      </c>
      <c r="N1883" t="n">
        <v>0</v>
      </c>
      <c r="O1883" t="n">
        <v>0</v>
      </c>
      <c r="P1883" t="n">
        <v>0</v>
      </c>
      <c r="Q1883" t="n">
        <v>0</v>
      </c>
      <c r="R1883" s="2" t="inlineStr"/>
    </row>
    <row r="1884" ht="15" customHeight="1">
      <c r="A1884" t="inlineStr">
        <is>
          <t>A 345-2023</t>
        </is>
      </c>
      <c r="B1884" s="1" t="n">
        <v>44923</v>
      </c>
      <c r="C1884" s="1" t="n">
        <v>45937</v>
      </c>
      <c r="D1884" t="inlineStr">
        <is>
          <t>VÄRMLANDS LÄN</t>
        </is>
      </c>
      <c r="E1884" t="inlineStr">
        <is>
          <t>TORSBY</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522-2023</t>
        </is>
      </c>
      <c r="B1885" s="1" t="n">
        <v>44930</v>
      </c>
      <c r="C1885" s="1" t="n">
        <v>45937</v>
      </c>
      <c r="D1885" t="inlineStr">
        <is>
          <t>VÄRMLANDS LÄN</t>
        </is>
      </c>
      <c r="E1885" t="inlineStr">
        <is>
          <t>TORSBY</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36758-2024</t>
        </is>
      </c>
      <c r="B1886" s="1" t="n">
        <v>45538.35525462963</v>
      </c>
      <c r="C1886" s="1" t="n">
        <v>45937</v>
      </c>
      <c r="D1886" t="inlineStr">
        <is>
          <t>VÄRMLANDS LÄN</t>
        </is>
      </c>
      <c r="E1886" t="inlineStr">
        <is>
          <t>TORSBY</t>
        </is>
      </c>
      <c r="F1886" t="inlineStr">
        <is>
          <t>Kyrkan</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43943-2022</t>
        </is>
      </c>
      <c r="B1887" s="1" t="n">
        <v>44838</v>
      </c>
      <c r="C1887" s="1" t="n">
        <v>45937</v>
      </c>
      <c r="D1887" t="inlineStr">
        <is>
          <t>VÄRMLANDS LÄN</t>
        </is>
      </c>
      <c r="E1887" t="inlineStr">
        <is>
          <t>TORSBY</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21089-2022</t>
        </is>
      </c>
      <c r="B1888" s="1" t="n">
        <v>44704</v>
      </c>
      <c r="C1888" s="1" t="n">
        <v>45937</v>
      </c>
      <c r="D1888" t="inlineStr">
        <is>
          <t>VÄRMLANDS LÄN</t>
        </is>
      </c>
      <c r="E1888" t="inlineStr">
        <is>
          <t>TORSBY</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2807-2025</t>
        </is>
      </c>
      <c r="B1889" s="1" t="n">
        <v>45677</v>
      </c>
      <c r="C1889" s="1" t="n">
        <v>45937</v>
      </c>
      <c r="D1889" t="inlineStr">
        <is>
          <t>VÄRMLANDS LÄN</t>
        </is>
      </c>
      <c r="E1889" t="inlineStr">
        <is>
          <t>TORSBY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17941-2021</t>
        </is>
      </c>
      <c r="B1890" s="1" t="n">
        <v>44301</v>
      </c>
      <c r="C1890" s="1" t="n">
        <v>45937</v>
      </c>
      <c r="D1890" t="inlineStr">
        <is>
          <t>VÄRMLANDS LÄN</t>
        </is>
      </c>
      <c r="E1890" t="inlineStr">
        <is>
          <t>TORSBY</t>
        </is>
      </c>
      <c r="F1890" t="inlineStr">
        <is>
          <t>Kommuner</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34667-2022</t>
        </is>
      </c>
      <c r="B1891" s="1" t="n">
        <v>44795</v>
      </c>
      <c r="C1891" s="1" t="n">
        <v>45937</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26124-2024</t>
        </is>
      </c>
      <c r="B1892" s="1" t="n">
        <v>45468</v>
      </c>
      <c r="C1892" s="1" t="n">
        <v>45937</v>
      </c>
      <c r="D1892" t="inlineStr">
        <is>
          <t>VÄRMLANDS LÄN</t>
        </is>
      </c>
      <c r="E1892" t="inlineStr">
        <is>
          <t>TORSBY</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13006-2025</t>
        </is>
      </c>
      <c r="B1893" s="1" t="n">
        <v>45734.51652777778</v>
      </c>
      <c r="C1893" s="1" t="n">
        <v>45937</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37340-2022</t>
        </is>
      </c>
      <c r="B1894" s="1" t="n">
        <v>44809</v>
      </c>
      <c r="C1894" s="1" t="n">
        <v>45937</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61428-2022</t>
        </is>
      </c>
      <c r="B1895" s="1" t="n">
        <v>44910</v>
      </c>
      <c r="C1895" s="1" t="n">
        <v>45937</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61432-2022</t>
        </is>
      </c>
      <c r="B1896" s="1" t="n">
        <v>44910</v>
      </c>
      <c r="C1896" s="1" t="n">
        <v>45937</v>
      </c>
      <c r="D1896" t="inlineStr">
        <is>
          <t>VÄRMLANDS LÄN</t>
        </is>
      </c>
      <c r="E1896" t="inlineStr">
        <is>
          <t>TORSBY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14581-2023</t>
        </is>
      </c>
      <c r="B1897" s="1" t="n">
        <v>45013.52122685185</v>
      </c>
      <c r="C1897" s="1" t="n">
        <v>45937</v>
      </c>
      <c r="D1897" t="inlineStr">
        <is>
          <t>VÄRMLANDS LÄN</t>
        </is>
      </c>
      <c r="E1897" t="inlineStr">
        <is>
          <t>TORSBY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3387-2025</t>
        </is>
      </c>
      <c r="B1898" s="1" t="n">
        <v>45680</v>
      </c>
      <c r="C1898" s="1" t="n">
        <v>45937</v>
      </c>
      <c r="D1898" t="inlineStr">
        <is>
          <t>VÄRMLANDS LÄN</t>
        </is>
      </c>
      <c r="E1898" t="inlineStr">
        <is>
          <t>TORSBY</t>
        </is>
      </c>
      <c r="F1898" t="inlineStr">
        <is>
          <t>Kommuner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2390-2025</t>
        </is>
      </c>
      <c r="B1899" s="1" t="n">
        <v>45674.32071759259</v>
      </c>
      <c r="C1899" s="1" t="n">
        <v>45937</v>
      </c>
      <c r="D1899" t="inlineStr">
        <is>
          <t>VÄRMLANDS LÄN</t>
        </is>
      </c>
      <c r="E1899" t="inlineStr">
        <is>
          <t>TORSBY</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68136-2021</t>
        </is>
      </c>
      <c r="B1900" s="1" t="n">
        <v>44526.40984953703</v>
      </c>
      <c r="C1900" s="1" t="n">
        <v>45937</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11214-2024</t>
        </is>
      </c>
      <c r="B1901" s="1" t="n">
        <v>45371</v>
      </c>
      <c r="C1901" s="1" t="n">
        <v>45937</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3951-2025</t>
        </is>
      </c>
      <c r="B1902" s="1" t="n">
        <v>45684.49333333333</v>
      </c>
      <c r="C1902" s="1" t="n">
        <v>45937</v>
      </c>
      <c r="D1902" t="inlineStr">
        <is>
          <t>VÄRMLANDS LÄN</t>
        </is>
      </c>
      <c r="E1902" t="inlineStr">
        <is>
          <t>TORSBY</t>
        </is>
      </c>
      <c r="F1902" t="inlineStr">
        <is>
          <t>Bergvik skog väst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34430-2023</t>
        </is>
      </c>
      <c r="B1903" s="1" t="n">
        <v>45139.62216435185</v>
      </c>
      <c r="C1903" s="1" t="n">
        <v>45937</v>
      </c>
      <c r="D1903" t="inlineStr">
        <is>
          <t>VÄRMLANDS LÄN</t>
        </is>
      </c>
      <c r="E1903" t="inlineStr">
        <is>
          <t>TORSBY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36327-2021</t>
        </is>
      </c>
      <c r="B1904" s="1" t="n">
        <v>44390</v>
      </c>
      <c r="C1904" s="1" t="n">
        <v>45937</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52483-2022</t>
        </is>
      </c>
      <c r="B1905" s="1" t="n">
        <v>44874.48637731482</v>
      </c>
      <c r="C1905" s="1" t="n">
        <v>45937</v>
      </c>
      <c r="D1905" t="inlineStr">
        <is>
          <t>VÄRMLANDS LÄN</t>
        </is>
      </c>
      <c r="E1905" t="inlineStr">
        <is>
          <t>TORSBY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49073-2022</t>
        </is>
      </c>
      <c r="B1906" s="1" t="n">
        <v>44860</v>
      </c>
      <c r="C1906" s="1" t="n">
        <v>45937</v>
      </c>
      <c r="D1906" t="inlineStr">
        <is>
          <t>VÄRMLANDS LÄN</t>
        </is>
      </c>
      <c r="E1906" t="inlineStr">
        <is>
          <t>TORSBY</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54452-2022</t>
        </is>
      </c>
      <c r="B1907" s="1" t="n">
        <v>44880</v>
      </c>
      <c r="C1907" s="1" t="n">
        <v>45937</v>
      </c>
      <c r="D1907" t="inlineStr">
        <is>
          <t>VÄRMLANDS LÄN</t>
        </is>
      </c>
      <c r="E1907" t="inlineStr">
        <is>
          <t>TORSBY</t>
        </is>
      </c>
      <c r="F1907" t="inlineStr">
        <is>
          <t>Kyrkan</t>
        </is>
      </c>
      <c r="G1907" t="n">
        <v>10.6</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45233.63445601852</v>
      </c>
      <c r="C1908" s="1" t="n">
        <v>45937</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34405-2023</t>
        </is>
      </c>
      <c r="B1909" s="1" t="n">
        <v>45139.55131944444</v>
      </c>
      <c r="C1909" s="1" t="n">
        <v>45937</v>
      </c>
      <c r="D1909" t="inlineStr">
        <is>
          <t>VÄRMLANDS LÄN</t>
        </is>
      </c>
      <c r="E1909" t="inlineStr">
        <is>
          <t>TORSBY</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44340-2022</t>
        </is>
      </c>
      <c r="B1910" s="1" t="n">
        <v>44838</v>
      </c>
      <c r="C1910" s="1" t="n">
        <v>45937</v>
      </c>
      <c r="D1910" t="inlineStr">
        <is>
          <t>VÄRMLANDS LÄN</t>
        </is>
      </c>
      <c r="E1910" t="inlineStr">
        <is>
          <t>TORSBY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30104-2023</t>
        </is>
      </c>
      <c r="B1911" s="1" t="n">
        <v>45110</v>
      </c>
      <c r="C1911" s="1" t="n">
        <v>45937</v>
      </c>
      <c r="D1911" t="inlineStr">
        <is>
          <t>VÄRMLANDS LÄN</t>
        </is>
      </c>
      <c r="E1911" t="inlineStr">
        <is>
          <t>TORSBY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52239-2024</t>
        </is>
      </c>
      <c r="B1912" s="1" t="n">
        <v>45608.61837962963</v>
      </c>
      <c r="C1912" s="1" t="n">
        <v>45937</v>
      </c>
      <c r="D1912" t="inlineStr">
        <is>
          <t>VÄRMLANDS LÄN</t>
        </is>
      </c>
      <c r="E1912" t="inlineStr">
        <is>
          <t>TORSBY</t>
        </is>
      </c>
      <c r="F1912" t="inlineStr">
        <is>
          <t>Bergvik skog väst AB</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56473-2022</t>
        </is>
      </c>
      <c r="B1913" s="1" t="n">
        <v>44893</v>
      </c>
      <c r="C1913" s="1" t="n">
        <v>45937</v>
      </c>
      <c r="D1913" t="inlineStr">
        <is>
          <t>VÄRMLANDS LÄN</t>
        </is>
      </c>
      <c r="E1913" t="inlineStr">
        <is>
          <t>TORSBY</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45328-2022</t>
        </is>
      </c>
      <c r="B1914" s="1" t="n">
        <v>44844</v>
      </c>
      <c r="C1914" s="1" t="n">
        <v>45937</v>
      </c>
      <c r="D1914" t="inlineStr">
        <is>
          <t>VÄRMLANDS LÄN</t>
        </is>
      </c>
      <c r="E1914" t="inlineStr">
        <is>
          <t>TORSBY</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25355-2024</t>
        </is>
      </c>
      <c r="B1915" s="1" t="n">
        <v>45462.92868055555</v>
      </c>
      <c r="C1915" s="1" t="n">
        <v>45937</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34534-2024</t>
        </is>
      </c>
      <c r="B1916" s="1" t="n">
        <v>45525</v>
      </c>
      <c r="C1916" s="1" t="n">
        <v>45937</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30074-2024</t>
        </is>
      </c>
      <c r="B1917" s="1" t="n">
        <v>45489</v>
      </c>
      <c r="C1917" s="1" t="n">
        <v>45937</v>
      </c>
      <c r="D1917" t="inlineStr">
        <is>
          <t>VÄRMLANDS LÄN</t>
        </is>
      </c>
      <c r="E1917" t="inlineStr">
        <is>
          <t>TORSBY</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21258-2023</t>
        </is>
      </c>
      <c r="B1918" s="1" t="n">
        <v>45058</v>
      </c>
      <c r="C1918" s="1" t="n">
        <v>45937</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19743-2025</t>
        </is>
      </c>
      <c r="B1919" s="1" t="n">
        <v>45771.37554398148</v>
      </c>
      <c r="C1919" s="1" t="n">
        <v>45937</v>
      </c>
      <c r="D1919" t="inlineStr">
        <is>
          <t>VÄRMLANDS LÄN</t>
        </is>
      </c>
      <c r="E1919" t="inlineStr">
        <is>
          <t>TORSBY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38086-2023</t>
        </is>
      </c>
      <c r="B1920" s="1" t="n">
        <v>45160</v>
      </c>
      <c r="C1920" s="1" t="n">
        <v>45937</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48629-2024</t>
        </is>
      </c>
      <c r="B1921" s="1" t="n">
        <v>45593.46605324074</v>
      </c>
      <c r="C1921" s="1" t="n">
        <v>45937</v>
      </c>
      <c r="D1921" t="inlineStr">
        <is>
          <t>VÄRMLANDS LÄN</t>
        </is>
      </c>
      <c r="E1921" t="inlineStr">
        <is>
          <t>TORSBY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20721-2023</t>
        </is>
      </c>
      <c r="B1922" s="1" t="n">
        <v>45058</v>
      </c>
      <c r="C1922" s="1" t="n">
        <v>45937</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18314-2025</t>
        </is>
      </c>
      <c r="B1923" s="1" t="n">
        <v>45762.44986111111</v>
      </c>
      <c r="C1923" s="1" t="n">
        <v>45937</v>
      </c>
      <c r="D1923" t="inlineStr">
        <is>
          <t>VÄRMLANDS LÄN</t>
        </is>
      </c>
      <c r="E1923" t="inlineStr">
        <is>
          <t>TORSBY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235-2024</t>
        </is>
      </c>
      <c r="B1924" s="1" t="n">
        <v>45294.85100694445</v>
      </c>
      <c r="C1924" s="1" t="n">
        <v>45937</v>
      </c>
      <c r="D1924" t="inlineStr">
        <is>
          <t>VÄRMLANDS LÄN</t>
        </is>
      </c>
      <c r="E1924" t="inlineStr">
        <is>
          <t>TORSBY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18308-2024</t>
        </is>
      </c>
      <c r="B1925" s="1" t="n">
        <v>45422</v>
      </c>
      <c r="C1925" s="1" t="n">
        <v>45937</v>
      </c>
      <c r="D1925" t="inlineStr">
        <is>
          <t>VÄRMLANDS LÄN</t>
        </is>
      </c>
      <c r="E1925" t="inlineStr">
        <is>
          <t>TORSBY</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34105-2023</t>
        </is>
      </c>
      <c r="B1926" s="1" t="n">
        <v>45126</v>
      </c>
      <c r="C1926" s="1" t="n">
        <v>45937</v>
      </c>
      <c r="D1926" t="inlineStr">
        <is>
          <t>VÄRMLANDS LÄN</t>
        </is>
      </c>
      <c r="E1926" t="inlineStr">
        <is>
          <t>TORSBY</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58707-2024</t>
        </is>
      </c>
      <c r="B1927" s="1" t="n">
        <v>45635</v>
      </c>
      <c r="C1927" s="1" t="n">
        <v>45937</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56634-2024</t>
        </is>
      </c>
      <c r="B1928" s="1" t="n">
        <v>45625.68491898148</v>
      </c>
      <c r="C1928" s="1" t="n">
        <v>45937</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49717-2023</t>
        </is>
      </c>
      <c r="B1929" s="1" t="n">
        <v>45208</v>
      </c>
      <c r="C1929" s="1" t="n">
        <v>45937</v>
      </c>
      <c r="D1929" t="inlineStr">
        <is>
          <t>VÄRMLANDS LÄN</t>
        </is>
      </c>
      <c r="E1929" t="inlineStr">
        <is>
          <t>TORSBY</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54011-2024</t>
        </is>
      </c>
      <c r="B1930" s="1" t="n">
        <v>45616.37576388889</v>
      </c>
      <c r="C1930" s="1" t="n">
        <v>45937</v>
      </c>
      <c r="D1930" t="inlineStr">
        <is>
          <t>VÄRMLANDS LÄN</t>
        </is>
      </c>
      <c r="E1930" t="inlineStr">
        <is>
          <t>TORSBY</t>
        </is>
      </c>
      <c r="F1930" t="inlineStr">
        <is>
          <t>Kommuner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54026-2024</t>
        </is>
      </c>
      <c r="B1931" s="1" t="n">
        <v>45616</v>
      </c>
      <c r="C1931" s="1" t="n">
        <v>45937</v>
      </c>
      <c r="D1931" t="inlineStr">
        <is>
          <t>VÄRMLANDS LÄN</t>
        </is>
      </c>
      <c r="E1931" t="inlineStr">
        <is>
          <t>TORSBY</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61251-2024</t>
        </is>
      </c>
      <c r="B1932" s="1" t="n">
        <v>45645</v>
      </c>
      <c r="C1932" s="1" t="n">
        <v>45937</v>
      </c>
      <c r="D1932" t="inlineStr">
        <is>
          <t>VÄRMLANDS LÄN</t>
        </is>
      </c>
      <c r="E1932" t="inlineStr">
        <is>
          <t>TORSBY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61259-2024</t>
        </is>
      </c>
      <c r="B1933" s="1" t="n">
        <v>45645.71188657408</v>
      </c>
      <c r="C1933" s="1" t="n">
        <v>45937</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22826-2022</t>
        </is>
      </c>
      <c r="B1934" s="1" t="n">
        <v>44714</v>
      </c>
      <c r="C1934" s="1" t="n">
        <v>45937</v>
      </c>
      <c r="D1934" t="inlineStr">
        <is>
          <t>VÄRMLANDS LÄN</t>
        </is>
      </c>
      <c r="E1934" t="inlineStr">
        <is>
          <t>TORSBY</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2616-2025</t>
        </is>
      </c>
      <c r="B1935" s="1" t="n">
        <v>45675</v>
      </c>
      <c r="C1935" s="1" t="n">
        <v>45937</v>
      </c>
      <c r="D1935" t="inlineStr">
        <is>
          <t>VÄRMLANDS LÄN</t>
        </is>
      </c>
      <c r="E1935" t="inlineStr">
        <is>
          <t>TORSBY</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17018-2025</t>
        </is>
      </c>
      <c r="B1936" s="1" t="n">
        <v>45755</v>
      </c>
      <c r="C1936" s="1" t="n">
        <v>45937</v>
      </c>
      <c r="D1936" t="inlineStr">
        <is>
          <t>VÄRMLANDS LÄN</t>
        </is>
      </c>
      <c r="E1936" t="inlineStr">
        <is>
          <t>TORSBY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54777-2023</t>
        </is>
      </c>
      <c r="B1937" s="1" t="n">
        <v>45236</v>
      </c>
      <c r="C1937" s="1" t="n">
        <v>45937</v>
      </c>
      <c r="D1937" t="inlineStr">
        <is>
          <t>VÄRMLANDS LÄN</t>
        </is>
      </c>
      <c r="E1937" t="inlineStr">
        <is>
          <t>TORSBY</t>
        </is>
      </c>
      <c r="F1937" t="inlineStr">
        <is>
          <t>Bergvik skog väst AB</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3904-2025</t>
        </is>
      </c>
      <c r="B1938" s="1" t="n">
        <v>45684</v>
      </c>
      <c r="C1938" s="1" t="n">
        <v>45937</v>
      </c>
      <c r="D1938" t="inlineStr">
        <is>
          <t>VÄRMLANDS LÄN</t>
        </is>
      </c>
      <c r="E1938" t="inlineStr">
        <is>
          <t>TORSBY</t>
        </is>
      </c>
      <c r="F1938" t="inlineStr">
        <is>
          <t>Övriga statliga verk och myndigheter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56098-2024</t>
        </is>
      </c>
      <c r="B1939" s="1" t="n">
        <v>45624.42371527778</v>
      </c>
      <c r="C1939" s="1" t="n">
        <v>45937</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14301-2025</t>
        </is>
      </c>
      <c r="B1940" s="1" t="n">
        <v>45740</v>
      </c>
      <c r="C1940" s="1" t="n">
        <v>45937</v>
      </c>
      <c r="D1940" t="inlineStr">
        <is>
          <t>VÄRMLANDS LÄN</t>
        </is>
      </c>
      <c r="E1940" t="inlineStr">
        <is>
          <t>TORSBY</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19787-2025</t>
        </is>
      </c>
      <c r="B1941" s="1" t="n">
        <v>45771.4408912037</v>
      </c>
      <c r="C1941" s="1" t="n">
        <v>45937</v>
      </c>
      <c r="D1941" t="inlineStr">
        <is>
          <t>VÄRMLANDS LÄN</t>
        </is>
      </c>
      <c r="E1941" t="inlineStr">
        <is>
          <t>TORSBY</t>
        </is>
      </c>
      <c r="F1941" t="inlineStr">
        <is>
          <t>Bergvik skog väst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3326-2024</t>
        </is>
      </c>
      <c r="B1942" s="1" t="n">
        <v>45317</v>
      </c>
      <c r="C1942" s="1" t="n">
        <v>45937</v>
      </c>
      <c r="D1942" t="inlineStr">
        <is>
          <t>VÄRMLANDS LÄN</t>
        </is>
      </c>
      <c r="E1942" t="inlineStr">
        <is>
          <t>TORSBY</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55808-2024</t>
        </is>
      </c>
      <c r="B1943" s="1" t="n">
        <v>45622</v>
      </c>
      <c r="C1943" s="1" t="n">
        <v>45937</v>
      </c>
      <c r="D1943" t="inlineStr">
        <is>
          <t>VÄRMLANDS LÄN</t>
        </is>
      </c>
      <c r="E1943" t="inlineStr">
        <is>
          <t>TORSBY</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39567-2024</t>
        </is>
      </c>
      <c r="B1944" s="1" t="n">
        <v>45552.3584375</v>
      </c>
      <c r="C1944" s="1" t="n">
        <v>45937</v>
      </c>
      <c r="D1944" t="inlineStr">
        <is>
          <t>VÄRMLANDS LÄN</t>
        </is>
      </c>
      <c r="E1944" t="inlineStr">
        <is>
          <t>TORSBY</t>
        </is>
      </c>
      <c r="F1944" t="inlineStr">
        <is>
          <t>Bergvik skog väst AB</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18344-2021</t>
        </is>
      </c>
      <c r="B1945" s="1" t="n">
        <v>44305</v>
      </c>
      <c r="C1945" s="1" t="n">
        <v>45937</v>
      </c>
      <c r="D1945" t="inlineStr">
        <is>
          <t>VÄRMLANDS LÄN</t>
        </is>
      </c>
      <c r="E1945" t="inlineStr">
        <is>
          <t>TORSBY</t>
        </is>
      </c>
      <c r="F1945" t="inlineStr">
        <is>
          <t>Kommuner</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54306-2024</t>
        </is>
      </c>
      <c r="B1946" s="1" t="n">
        <v>45617</v>
      </c>
      <c r="C1946" s="1" t="n">
        <v>45937</v>
      </c>
      <c r="D1946" t="inlineStr">
        <is>
          <t>VÄRMLANDS LÄN</t>
        </is>
      </c>
      <c r="E1946" t="inlineStr">
        <is>
          <t>TORSBY</t>
        </is>
      </c>
      <c r="F1946" t="inlineStr">
        <is>
          <t>Bergvik skog väst AB</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21587-2024</t>
        </is>
      </c>
      <c r="B1947" s="1" t="n">
        <v>45441</v>
      </c>
      <c r="C1947" s="1" t="n">
        <v>45937</v>
      </c>
      <c r="D1947" t="inlineStr">
        <is>
          <t>VÄRMLANDS LÄN</t>
        </is>
      </c>
      <c r="E1947" t="inlineStr">
        <is>
          <t>TORSBY</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9578-2023</t>
        </is>
      </c>
      <c r="B1948" s="1" t="n">
        <v>44982.69790509259</v>
      </c>
      <c r="C1948" s="1" t="n">
        <v>45937</v>
      </c>
      <c r="D1948" t="inlineStr">
        <is>
          <t>VÄRMLANDS LÄN</t>
        </is>
      </c>
      <c r="E1948" t="inlineStr">
        <is>
          <t>TORSBY</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20120-2023</t>
        </is>
      </c>
      <c r="B1949" s="1" t="n">
        <v>45055</v>
      </c>
      <c r="C1949" s="1" t="n">
        <v>45937</v>
      </c>
      <c r="D1949" t="inlineStr">
        <is>
          <t>VÄRMLANDS LÄN</t>
        </is>
      </c>
      <c r="E1949" t="inlineStr">
        <is>
          <t>TORSBY</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54265-2024</t>
        </is>
      </c>
      <c r="B1950" s="1" t="n">
        <v>45616</v>
      </c>
      <c r="C1950" s="1" t="n">
        <v>45937</v>
      </c>
      <c r="D1950" t="inlineStr">
        <is>
          <t>VÄRMLANDS LÄN</t>
        </is>
      </c>
      <c r="E1950" t="inlineStr">
        <is>
          <t>TORSBY</t>
        </is>
      </c>
      <c r="F1950" t="inlineStr">
        <is>
          <t>Kommuner</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6534-2025</t>
        </is>
      </c>
      <c r="B1951" s="1" t="n">
        <v>45699</v>
      </c>
      <c r="C1951" s="1" t="n">
        <v>45937</v>
      </c>
      <c r="D1951" t="inlineStr">
        <is>
          <t>VÄRMLANDS LÄN</t>
        </is>
      </c>
      <c r="E1951" t="inlineStr">
        <is>
          <t>TORSBY</t>
        </is>
      </c>
      <c r="F1951" t="inlineStr">
        <is>
          <t>Kommuner</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20321-2023</t>
        </is>
      </c>
      <c r="B1952" s="1" t="n">
        <v>45056.45232638889</v>
      </c>
      <c r="C1952" s="1" t="n">
        <v>45937</v>
      </c>
      <c r="D1952" t="inlineStr">
        <is>
          <t>VÄRMLANDS LÄN</t>
        </is>
      </c>
      <c r="E1952" t="inlineStr">
        <is>
          <t>TORSBY</t>
        </is>
      </c>
      <c r="F1952" t="inlineStr">
        <is>
          <t>Kyrkan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17944-2021</t>
        </is>
      </c>
      <c r="B1953" s="1" t="n">
        <v>44301</v>
      </c>
      <c r="C1953" s="1" t="n">
        <v>45937</v>
      </c>
      <c r="D1953" t="inlineStr">
        <is>
          <t>VÄRMLANDS LÄN</t>
        </is>
      </c>
      <c r="E1953" t="inlineStr">
        <is>
          <t>TORSBY</t>
        </is>
      </c>
      <c r="F1953" t="inlineStr">
        <is>
          <t>Kommuner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57642-2023</t>
        </is>
      </c>
      <c r="B1954" s="1" t="n">
        <v>45246.5915625</v>
      </c>
      <c r="C1954" s="1" t="n">
        <v>45937</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8033-2022</t>
        </is>
      </c>
      <c r="B1955" s="1" t="n">
        <v>44609.43644675926</v>
      </c>
      <c r="C1955" s="1" t="n">
        <v>45937</v>
      </c>
      <c r="D1955" t="inlineStr">
        <is>
          <t>VÄRMLANDS LÄN</t>
        </is>
      </c>
      <c r="E1955" t="inlineStr">
        <is>
          <t>TORSBY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22973-2024</t>
        </is>
      </c>
      <c r="B1956" s="1" t="n">
        <v>45449</v>
      </c>
      <c r="C1956" s="1" t="n">
        <v>45937</v>
      </c>
      <c r="D1956" t="inlineStr">
        <is>
          <t>VÄRMLANDS LÄN</t>
        </is>
      </c>
      <c r="E1956" t="inlineStr">
        <is>
          <t>TORSBY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34378-2022</t>
        </is>
      </c>
      <c r="B1957" s="1" t="n">
        <v>44792.48787037037</v>
      </c>
      <c r="C1957" s="1" t="n">
        <v>45937</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17024-2024</t>
        </is>
      </c>
      <c r="B1958" s="1" t="n">
        <v>45412.38322916667</v>
      </c>
      <c r="C1958" s="1" t="n">
        <v>45937</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15052-2024</t>
        </is>
      </c>
      <c r="B1959" s="1" t="n">
        <v>45399.52613425926</v>
      </c>
      <c r="C1959" s="1" t="n">
        <v>45937</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38467-2021</t>
        </is>
      </c>
      <c r="B1960" s="1" t="n">
        <v>44405</v>
      </c>
      <c r="C1960" s="1" t="n">
        <v>45937</v>
      </c>
      <c r="D1960" t="inlineStr">
        <is>
          <t>VÄRMLANDS LÄN</t>
        </is>
      </c>
      <c r="E1960" t="inlineStr">
        <is>
          <t>TORSBY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11135-2024</t>
        </is>
      </c>
      <c r="B1961" s="1" t="n">
        <v>45371</v>
      </c>
      <c r="C1961" s="1" t="n">
        <v>45937</v>
      </c>
      <c r="D1961" t="inlineStr">
        <is>
          <t>VÄRMLANDS LÄN</t>
        </is>
      </c>
      <c r="E1961" t="inlineStr">
        <is>
          <t>TORSBY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23423-2024</t>
        </is>
      </c>
      <c r="B1962" s="1" t="n">
        <v>45453.60787037037</v>
      </c>
      <c r="C1962" s="1" t="n">
        <v>45937</v>
      </c>
      <c r="D1962" t="inlineStr">
        <is>
          <t>VÄRMLANDS LÄN</t>
        </is>
      </c>
      <c r="E1962" t="inlineStr">
        <is>
          <t>TORSBY</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18365-2025</t>
        </is>
      </c>
      <c r="B1963" s="1" t="n">
        <v>45762</v>
      </c>
      <c r="C1963" s="1" t="n">
        <v>45937</v>
      </c>
      <c r="D1963" t="inlineStr">
        <is>
          <t>VÄRMLANDS LÄN</t>
        </is>
      </c>
      <c r="E1963" t="inlineStr">
        <is>
          <t>TORSBY</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40997-2022</t>
        </is>
      </c>
      <c r="B1964" s="1" t="n">
        <v>44825.50576388889</v>
      </c>
      <c r="C1964" s="1" t="n">
        <v>45937</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4172-2022</t>
        </is>
      </c>
      <c r="B1965" s="1" t="n">
        <v>44588</v>
      </c>
      <c r="C1965" s="1" t="n">
        <v>45937</v>
      </c>
      <c r="D1965" t="inlineStr">
        <is>
          <t>VÄRMLANDS LÄN</t>
        </is>
      </c>
      <c r="E1965" t="inlineStr">
        <is>
          <t>TORSBY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21825-2024</t>
        </is>
      </c>
      <c r="B1966" s="1" t="n">
        <v>45442</v>
      </c>
      <c r="C1966" s="1" t="n">
        <v>45937</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15019-2025</t>
        </is>
      </c>
      <c r="B1967" s="1" t="n">
        <v>45743.63811342593</v>
      </c>
      <c r="C1967" s="1" t="n">
        <v>45937</v>
      </c>
      <c r="D1967" t="inlineStr">
        <is>
          <t>VÄRMLANDS LÄN</t>
        </is>
      </c>
      <c r="E1967" t="inlineStr">
        <is>
          <t>TORSBY</t>
        </is>
      </c>
      <c r="F1967" t="inlineStr">
        <is>
          <t>Övriga statliga verk och myndigheter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57536-2024</t>
        </is>
      </c>
      <c r="B1968" s="1" t="n">
        <v>45630.43023148148</v>
      </c>
      <c r="C1968" s="1" t="n">
        <v>45937</v>
      </c>
      <c r="D1968" t="inlineStr">
        <is>
          <t>VÄRMLANDS LÄN</t>
        </is>
      </c>
      <c r="E1968" t="inlineStr">
        <is>
          <t>TORSBY</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40858-2023</t>
        </is>
      </c>
      <c r="B1969" s="1" t="n">
        <v>45173.34709490741</v>
      </c>
      <c r="C1969" s="1" t="n">
        <v>45937</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21076-2023</t>
        </is>
      </c>
      <c r="B1970" s="1" t="n">
        <v>45061</v>
      </c>
      <c r="C1970" s="1" t="n">
        <v>45937</v>
      </c>
      <c r="D1970" t="inlineStr">
        <is>
          <t>VÄRMLANDS LÄN</t>
        </is>
      </c>
      <c r="E1970" t="inlineStr">
        <is>
          <t>TORSBY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11235-2024</t>
        </is>
      </c>
      <c r="B1971" s="1" t="n">
        <v>45371</v>
      </c>
      <c r="C1971" s="1" t="n">
        <v>45937</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11253-2024</t>
        </is>
      </c>
      <c r="B1972" s="1" t="n">
        <v>45371</v>
      </c>
      <c r="C1972" s="1" t="n">
        <v>45937</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47241-2023</t>
        </is>
      </c>
      <c r="B1973" s="1" t="n">
        <v>45202.39821759259</v>
      </c>
      <c r="C1973" s="1" t="n">
        <v>45937</v>
      </c>
      <c r="D1973" t="inlineStr">
        <is>
          <t>VÄRMLANDS LÄN</t>
        </is>
      </c>
      <c r="E1973" t="inlineStr">
        <is>
          <t>TORSBY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11211-2024</t>
        </is>
      </c>
      <c r="B1974" s="1" t="n">
        <v>45371</v>
      </c>
      <c r="C1974" s="1" t="n">
        <v>45937</v>
      </c>
      <c r="D1974" t="inlineStr">
        <is>
          <t>VÄRMLANDS LÄN</t>
        </is>
      </c>
      <c r="E1974" t="inlineStr">
        <is>
          <t>TORSBY</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5830-2023</t>
        </is>
      </c>
      <c r="B1975" s="1" t="n">
        <v>44963</v>
      </c>
      <c r="C1975" s="1" t="n">
        <v>45937</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57721-2022</t>
        </is>
      </c>
      <c r="B1976" s="1" t="n">
        <v>44897.55278935185</v>
      </c>
      <c r="C1976" s="1" t="n">
        <v>45937</v>
      </c>
      <c r="D1976" t="inlineStr">
        <is>
          <t>VÄRMLANDS LÄN</t>
        </is>
      </c>
      <c r="E1976" t="inlineStr">
        <is>
          <t>TORSBY</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19887-2024</t>
        </is>
      </c>
      <c r="B1977" s="1" t="n">
        <v>45433</v>
      </c>
      <c r="C1977" s="1" t="n">
        <v>45937</v>
      </c>
      <c r="D1977" t="inlineStr">
        <is>
          <t>VÄRMLANDS LÄN</t>
        </is>
      </c>
      <c r="E1977" t="inlineStr">
        <is>
          <t>TORSBY</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4640-2022</t>
        </is>
      </c>
      <c r="B1978" s="1" t="n">
        <v>44592</v>
      </c>
      <c r="C1978" s="1" t="n">
        <v>45937</v>
      </c>
      <c r="D1978" t="inlineStr">
        <is>
          <t>VÄRMLANDS LÄN</t>
        </is>
      </c>
      <c r="E1978" t="inlineStr">
        <is>
          <t>TORSBY</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18876-2023</t>
        </is>
      </c>
      <c r="B1979" s="1" t="n">
        <v>45044.50101851852</v>
      </c>
      <c r="C1979" s="1" t="n">
        <v>45937</v>
      </c>
      <c r="D1979" t="inlineStr">
        <is>
          <t>VÄRMLANDS LÄN</t>
        </is>
      </c>
      <c r="E1979" t="inlineStr">
        <is>
          <t>TORSBY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27347-2024</t>
        </is>
      </c>
      <c r="B1980" s="1" t="n">
        <v>45473.59798611111</v>
      </c>
      <c r="C1980" s="1" t="n">
        <v>45937</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16210-2025</t>
        </is>
      </c>
      <c r="B1981" s="1" t="n">
        <v>45750</v>
      </c>
      <c r="C1981" s="1" t="n">
        <v>45937</v>
      </c>
      <c r="D1981" t="inlineStr">
        <is>
          <t>VÄRMLANDS LÄN</t>
        </is>
      </c>
      <c r="E1981" t="inlineStr">
        <is>
          <t>TORSBY</t>
        </is>
      </c>
      <c r="F1981" t="inlineStr">
        <is>
          <t>Bergvik skog väst AB</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9056-2023</t>
        </is>
      </c>
      <c r="B1982" s="1" t="n">
        <v>44979</v>
      </c>
      <c r="C1982" s="1" t="n">
        <v>45937</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58869-2022</t>
        </is>
      </c>
      <c r="B1983" s="1" t="n">
        <v>44903</v>
      </c>
      <c r="C1983" s="1" t="n">
        <v>45937</v>
      </c>
      <c r="D1983" t="inlineStr">
        <is>
          <t>VÄRMLANDS LÄN</t>
        </is>
      </c>
      <c r="E1983" t="inlineStr">
        <is>
          <t>TORSBY</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1275-2024</t>
        </is>
      </c>
      <c r="B1984" s="1" t="n">
        <v>45302</v>
      </c>
      <c r="C1984" s="1" t="n">
        <v>45937</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44838-2024</t>
        </is>
      </c>
      <c r="B1985" s="1" t="n">
        <v>45574.7069675926</v>
      </c>
      <c r="C1985" s="1" t="n">
        <v>45937</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41156-2023</t>
        </is>
      </c>
      <c r="B1986" s="1" t="n">
        <v>45174</v>
      </c>
      <c r="C1986" s="1" t="n">
        <v>45937</v>
      </c>
      <c r="D1986" t="inlineStr">
        <is>
          <t>VÄRMLANDS LÄN</t>
        </is>
      </c>
      <c r="E1986" t="inlineStr">
        <is>
          <t>TORSBY</t>
        </is>
      </c>
      <c r="F1986" t="inlineStr">
        <is>
          <t>Kyrkan</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60796-2024</t>
        </is>
      </c>
      <c r="B1987" s="1" t="n">
        <v>45642</v>
      </c>
      <c r="C1987" s="1" t="n">
        <v>45937</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11575-2024</t>
        </is>
      </c>
      <c r="B1988" s="1" t="n">
        <v>45373</v>
      </c>
      <c r="C1988" s="1" t="n">
        <v>45937</v>
      </c>
      <c r="D1988" t="inlineStr">
        <is>
          <t>VÄRMLANDS LÄN</t>
        </is>
      </c>
      <c r="E1988" t="inlineStr">
        <is>
          <t>TORSBY</t>
        </is>
      </c>
      <c r="G1988" t="n">
        <v>14.2</v>
      </c>
      <c r="H1988" t="n">
        <v>0</v>
      </c>
      <c r="I1988" t="n">
        <v>0</v>
      </c>
      <c r="J1988" t="n">
        <v>0</v>
      </c>
      <c r="K1988" t="n">
        <v>0</v>
      </c>
      <c r="L1988" t="n">
        <v>0</v>
      </c>
      <c r="M1988" t="n">
        <v>0</v>
      </c>
      <c r="N1988" t="n">
        <v>0</v>
      </c>
      <c r="O1988" t="n">
        <v>0</v>
      </c>
      <c r="P1988" t="n">
        <v>0</v>
      </c>
      <c r="Q1988" t="n">
        <v>0</v>
      </c>
      <c r="R1988" s="2" t="inlineStr"/>
    </row>
    <row r="1989" ht="15" customHeight="1">
      <c r="A1989" t="inlineStr">
        <is>
          <t>A 57726-2022</t>
        </is>
      </c>
      <c r="B1989" s="1" t="n">
        <v>44897.56420138889</v>
      </c>
      <c r="C1989" s="1" t="n">
        <v>45937</v>
      </c>
      <c r="D1989" t="inlineStr">
        <is>
          <t>VÄRMLANDS LÄN</t>
        </is>
      </c>
      <c r="E1989" t="inlineStr">
        <is>
          <t>TORSBY</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36879-2024</t>
        </is>
      </c>
      <c r="B1990" s="1" t="n">
        <v>45538</v>
      </c>
      <c r="C1990" s="1" t="n">
        <v>45937</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51386-2023</t>
        </is>
      </c>
      <c r="B1991" s="1" t="n">
        <v>45219.65394675926</v>
      </c>
      <c r="C1991" s="1" t="n">
        <v>45937</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38914-2022</t>
        </is>
      </c>
      <c r="B1992" s="1" t="n">
        <v>44816.61194444444</v>
      </c>
      <c r="C1992" s="1" t="n">
        <v>45937</v>
      </c>
      <c r="D1992" t="inlineStr">
        <is>
          <t>VÄRMLANDS LÄN</t>
        </is>
      </c>
      <c r="E1992" t="inlineStr">
        <is>
          <t>TORSBY</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1997-2025</t>
        </is>
      </c>
      <c r="B1993" s="1" t="n">
        <v>45672.44431712963</v>
      </c>
      <c r="C1993" s="1" t="n">
        <v>45937</v>
      </c>
      <c r="D1993" t="inlineStr">
        <is>
          <t>VÄRMLANDS LÄN</t>
        </is>
      </c>
      <c r="E1993" t="inlineStr">
        <is>
          <t>TORSBY</t>
        </is>
      </c>
      <c r="G1993" t="n">
        <v>20.1</v>
      </c>
      <c r="H1993" t="n">
        <v>0</v>
      </c>
      <c r="I1993" t="n">
        <v>0</v>
      </c>
      <c r="J1993" t="n">
        <v>0</v>
      </c>
      <c r="K1993" t="n">
        <v>0</v>
      </c>
      <c r="L1993" t="n">
        <v>0</v>
      </c>
      <c r="M1993" t="n">
        <v>0</v>
      </c>
      <c r="N1993" t="n">
        <v>0</v>
      </c>
      <c r="O1993" t="n">
        <v>0</v>
      </c>
      <c r="P1993" t="n">
        <v>0</v>
      </c>
      <c r="Q1993" t="n">
        <v>0</v>
      </c>
      <c r="R1993" s="2" t="inlineStr"/>
    </row>
    <row r="1994" ht="15" customHeight="1">
      <c r="A1994" t="inlineStr">
        <is>
          <t>A 58255-2024</t>
        </is>
      </c>
      <c r="B1994" s="1" t="n">
        <v>45632.55993055556</v>
      </c>
      <c r="C1994" s="1" t="n">
        <v>45937</v>
      </c>
      <c r="D1994" t="inlineStr">
        <is>
          <t>VÄRMLANDS LÄN</t>
        </is>
      </c>
      <c r="E1994" t="inlineStr">
        <is>
          <t>TORSBY</t>
        </is>
      </c>
      <c r="F1994" t="inlineStr">
        <is>
          <t>Bergvik skog väst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1947-2023</t>
        </is>
      </c>
      <c r="B1995" s="1" t="n">
        <v>44939</v>
      </c>
      <c r="C1995" s="1" t="n">
        <v>45937</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14026-2025</t>
        </is>
      </c>
      <c r="B1996" s="1" t="n">
        <v>45740.35003472222</v>
      </c>
      <c r="C1996" s="1" t="n">
        <v>45937</v>
      </c>
      <c r="D1996" t="inlineStr">
        <is>
          <t>VÄRMLANDS LÄN</t>
        </is>
      </c>
      <c r="E1996" t="inlineStr">
        <is>
          <t>TORSBY</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42615-2021</t>
        </is>
      </c>
      <c r="B1997" s="1" t="n">
        <v>44428</v>
      </c>
      <c r="C1997" s="1" t="n">
        <v>45937</v>
      </c>
      <c r="D1997" t="inlineStr">
        <is>
          <t>VÄRMLANDS LÄN</t>
        </is>
      </c>
      <c r="E1997" t="inlineStr">
        <is>
          <t>TORSBY</t>
        </is>
      </c>
      <c r="F1997" t="inlineStr">
        <is>
          <t>Bergvik skog väst AB</t>
        </is>
      </c>
      <c r="G1997" t="n">
        <v>37.2</v>
      </c>
      <c r="H1997" t="n">
        <v>0</v>
      </c>
      <c r="I1997" t="n">
        <v>0</v>
      </c>
      <c r="J1997" t="n">
        <v>0</v>
      </c>
      <c r="K1997" t="n">
        <v>0</v>
      </c>
      <c r="L1997" t="n">
        <v>0</v>
      </c>
      <c r="M1997" t="n">
        <v>0</v>
      </c>
      <c r="N1997" t="n">
        <v>0</v>
      </c>
      <c r="O1997" t="n">
        <v>0</v>
      </c>
      <c r="P1997" t="n">
        <v>0</v>
      </c>
      <c r="Q1997" t="n">
        <v>0</v>
      </c>
      <c r="R1997" s="2" t="inlineStr"/>
    </row>
    <row r="1998" ht="15" customHeight="1">
      <c r="A1998" t="inlineStr">
        <is>
          <t>A 54489-2024</t>
        </is>
      </c>
      <c r="B1998" s="1" t="n">
        <v>45617.56674768519</v>
      </c>
      <c r="C1998" s="1" t="n">
        <v>45937</v>
      </c>
      <c r="D1998" t="inlineStr">
        <is>
          <t>VÄRMLANDS LÄN</t>
        </is>
      </c>
      <c r="E1998" t="inlineStr">
        <is>
          <t>TORSBY</t>
        </is>
      </c>
      <c r="F1998" t="inlineStr">
        <is>
          <t>Bergvik skog väst AB</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44670-2023</t>
        </is>
      </c>
      <c r="B1999" s="1" t="n">
        <v>45189</v>
      </c>
      <c r="C1999" s="1" t="n">
        <v>45937</v>
      </c>
      <c r="D1999" t="inlineStr">
        <is>
          <t>VÄRMLANDS LÄN</t>
        </is>
      </c>
      <c r="E1999" t="inlineStr">
        <is>
          <t>TORSBY</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53652-2023</t>
        </is>
      </c>
      <c r="B2000" s="1" t="n">
        <v>45224</v>
      </c>
      <c r="C2000" s="1" t="n">
        <v>45937</v>
      </c>
      <c r="D2000" t="inlineStr">
        <is>
          <t>VÄRMLANDS LÄN</t>
        </is>
      </c>
      <c r="E2000" t="inlineStr">
        <is>
          <t>TORSBY</t>
        </is>
      </c>
      <c r="F2000" t="inlineStr">
        <is>
          <t>Övriga statliga verk och myndigheter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40971-2023</t>
        </is>
      </c>
      <c r="B2001" s="1" t="n">
        <v>45173</v>
      </c>
      <c r="C2001" s="1" t="n">
        <v>45937</v>
      </c>
      <c r="D2001" t="inlineStr">
        <is>
          <t>VÄRMLANDS LÄN</t>
        </is>
      </c>
      <c r="E2001" t="inlineStr">
        <is>
          <t>TORSBY</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8728-2024</t>
        </is>
      </c>
      <c r="B2002" s="1" t="n">
        <v>45356.42799768518</v>
      </c>
      <c r="C2002" s="1" t="n">
        <v>45937</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9704-2025</t>
        </is>
      </c>
      <c r="B2003" s="1" t="n">
        <v>45716.38378472222</v>
      </c>
      <c r="C2003" s="1" t="n">
        <v>45937</v>
      </c>
      <c r="D2003" t="inlineStr">
        <is>
          <t>VÄRMLANDS LÄN</t>
        </is>
      </c>
      <c r="E2003" t="inlineStr">
        <is>
          <t>TORSBY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60477-2024</t>
        </is>
      </c>
      <c r="B2004" s="1" t="n">
        <v>45643</v>
      </c>
      <c r="C2004" s="1" t="n">
        <v>45937</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58727-2021</t>
        </is>
      </c>
      <c r="B2005" s="1" t="n">
        <v>44489.49052083334</v>
      </c>
      <c r="C2005" s="1" t="n">
        <v>45937</v>
      </c>
      <c r="D2005" t="inlineStr">
        <is>
          <t>VÄRMLANDS LÄN</t>
        </is>
      </c>
      <c r="E2005" t="inlineStr">
        <is>
          <t>TORSBY</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9286-2025</t>
        </is>
      </c>
      <c r="B2006" s="1" t="n">
        <v>45714</v>
      </c>
      <c r="C2006" s="1" t="n">
        <v>45937</v>
      </c>
      <c r="D2006" t="inlineStr">
        <is>
          <t>VÄRMLANDS LÄN</t>
        </is>
      </c>
      <c r="E2006" t="inlineStr">
        <is>
          <t>TORSBY</t>
        </is>
      </c>
      <c r="F2006" t="inlineStr">
        <is>
          <t>Kommuner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13785-2023</t>
        </is>
      </c>
      <c r="B2007" s="1" t="n">
        <v>45007</v>
      </c>
      <c r="C2007" s="1" t="n">
        <v>45937</v>
      </c>
      <c r="D2007" t="inlineStr">
        <is>
          <t>VÄRMLANDS LÄN</t>
        </is>
      </c>
      <c r="E2007" t="inlineStr">
        <is>
          <t>TORSBY</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44423-2024</t>
        </is>
      </c>
      <c r="B2008" s="1" t="n">
        <v>45573</v>
      </c>
      <c r="C2008" s="1" t="n">
        <v>45937</v>
      </c>
      <c r="D2008" t="inlineStr">
        <is>
          <t>VÄRMLANDS LÄN</t>
        </is>
      </c>
      <c r="E2008" t="inlineStr">
        <is>
          <t>TORSBY</t>
        </is>
      </c>
      <c r="G2008" t="n">
        <v>34.1</v>
      </c>
      <c r="H2008" t="n">
        <v>0</v>
      </c>
      <c r="I2008" t="n">
        <v>0</v>
      </c>
      <c r="J2008" t="n">
        <v>0</v>
      </c>
      <c r="K2008" t="n">
        <v>0</v>
      </c>
      <c r="L2008" t="n">
        <v>0</v>
      </c>
      <c r="M2008" t="n">
        <v>0</v>
      </c>
      <c r="N2008" t="n">
        <v>0</v>
      </c>
      <c r="O2008" t="n">
        <v>0</v>
      </c>
      <c r="P2008" t="n">
        <v>0</v>
      </c>
      <c r="Q2008" t="n">
        <v>0</v>
      </c>
      <c r="R2008" s="2" t="inlineStr"/>
    </row>
    <row r="2009" ht="15" customHeight="1">
      <c r="A2009" t="inlineStr">
        <is>
          <t>A 15154-2025</t>
        </is>
      </c>
      <c r="B2009" s="1" t="n">
        <v>45744.46157407408</v>
      </c>
      <c r="C2009" s="1" t="n">
        <v>45937</v>
      </c>
      <c r="D2009" t="inlineStr">
        <is>
          <t>VÄRMLANDS LÄN</t>
        </is>
      </c>
      <c r="E2009" t="inlineStr">
        <is>
          <t>TORSBY</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35777-2024</t>
        </is>
      </c>
      <c r="B2010" s="1" t="n">
        <v>45532</v>
      </c>
      <c r="C2010" s="1" t="n">
        <v>45937</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8979-2025</t>
        </is>
      </c>
      <c r="B2011" s="1" t="n">
        <v>45713</v>
      </c>
      <c r="C2011" s="1" t="n">
        <v>45937</v>
      </c>
      <c r="D2011" t="inlineStr">
        <is>
          <t>VÄRMLANDS LÄN</t>
        </is>
      </c>
      <c r="E2011" t="inlineStr">
        <is>
          <t>TORSBY</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62210-2023</t>
        </is>
      </c>
      <c r="B2012" s="1" t="n">
        <v>45267.49430555556</v>
      </c>
      <c r="C2012" s="1" t="n">
        <v>45937</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56811-2023</t>
        </is>
      </c>
      <c r="B2013" s="1" t="n">
        <v>45244</v>
      </c>
      <c r="C2013" s="1" t="n">
        <v>45937</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16949-2025</t>
        </is>
      </c>
      <c r="B2014" s="1" t="n">
        <v>45755</v>
      </c>
      <c r="C2014" s="1" t="n">
        <v>45937</v>
      </c>
      <c r="D2014" t="inlineStr">
        <is>
          <t>VÄRMLANDS LÄN</t>
        </is>
      </c>
      <c r="E2014" t="inlineStr">
        <is>
          <t>TORSBY</t>
        </is>
      </c>
      <c r="F2014" t="inlineStr">
        <is>
          <t>Bergvik skog väst AB</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27346-2024</t>
        </is>
      </c>
      <c r="B2015" s="1" t="n">
        <v>45473.58984953703</v>
      </c>
      <c r="C2015" s="1" t="n">
        <v>45937</v>
      </c>
      <c r="D2015" t="inlineStr">
        <is>
          <t>VÄRMLANDS LÄN</t>
        </is>
      </c>
      <c r="E2015" t="inlineStr">
        <is>
          <t>TORSBY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27349-2024</t>
        </is>
      </c>
      <c r="B2016" s="1" t="n">
        <v>45473.65679398148</v>
      </c>
      <c r="C2016" s="1" t="n">
        <v>45937</v>
      </c>
      <c r="D2016" t="inlineStr">
        <is>
          <t>VÄRMLANDS LÄN</t>
        </is>
      </c>
      <c r="E2016" t="inlineStr">
        <is>
          <t>TORSBY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45548-2024</t>
        </is>
      </c>
      <c r="B2017" s="1" t="n">
        <v>45579</v>
      </c>
      <c r="C2017" s="1" t="n">
        <v>45937</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17554-2023</t>
        </is>
      </c>
      <c r="B2018" s="1" t="n">
        <v>45034</v>
      </c>
      <c r="C2018" s="1" t="n">
        <v>45937</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13262-2024</t>
        </is>
      </c>
      <c r="B2019" s="1" t="n">
        <v>45386.59236111111</v>
      </c>
      <c r="C2019" s="1" t="n">
        <v>45937</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9793-2024</t>
        </is>
      </c>
      <c r="B2020" s="1" t="n">
        <v>45362.71013888889</v>
      </c>
      <c r="C2020" s="1" t="n">
        <v>45937</v>
      </c>
      <c r="D2020" t="inlineStr">
        <is>
          <t>VÄRMLANDS LÄN</t>
        </is>
      </c>
      <c r="E2020" t="inlineStr">
        <is>
          <t>TORSBY</t>
        </is>
      </c>
      <c r="G2020" t="n">
        <v>6</v>
      </c>
      <c r="H2020" t="n">
        <v>0</v>
      </c>
      <c r="I2020" t="n">
        <v>0</v>
      </c>
      <c r="J2020" t="n">
        <v>0</v>
      </c>
      <c r="K2020" t="n">
        <v>0</v>
      </c>
      <c r="L2020" t="n">
        <v>0</v>
      </c>
      <c r="M2020" t="n">
        <v>0</v>
      </c>
      <c r="N2020" t="n">
        <v>0</v>
      </c>
      <c r="O2020" t="n">
        <v>0</v>
      </c>
      <c r="P2020" t="n">
        <v>0</v>
      </c>
      <c r="Q2020" t="n">
        <v>0</v>
      </c>
      <c r="R2020" s="2" t="inlineStr"/>
    </row>
    <row r="2021">
      <c r="A2021" t="inlineStr">
        <is>
          <t>A 200-2025</t>
        </is>
      </c>
      <c r="B2021" s="1" t="n">
        <v>45659.93418981481</v>
      </c>
      <c r="C2021" s="1" t="n">
        <v>45937</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2025-10-07T12:33:26Z</dcterms:created>
  <dcterms:modified xmlns:dcterms="http://purl.org/dc/terms/" xmlns:xsi="http://www.w3.org/2001/XMLSchema-instance" xsi:type="dcterms:W3CDTF">2025-10-07T12:33:28Z</dcterms:modified>
</cp:coreProperties>
</file>