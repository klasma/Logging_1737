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45507</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45507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45507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45507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45507</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45507</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45507</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45507</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45507</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45507</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45507</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45507</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45507</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45507</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45507</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45507</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45507</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45507</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45507</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45507</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45507</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45507</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45507</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45507</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45507</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45507</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45507</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45507</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45507</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45507</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45507</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45507</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45507</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45507</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45507</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45507</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45507</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45507</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45507</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45507</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45507</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45507</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45507</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45507</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45507</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45507</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45507</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45507</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45507</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45507</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45507</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45507</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45507</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45507</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45507</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45507</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45507</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45507</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45507</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45507</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45507</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45507</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45507</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45507</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45507</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45507</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45507</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45507</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45507</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45507</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28156-2022</t>
        </is>
      </c>
      <c r="B72" s="1" t="n">
        <v>44746</v>
      </c>
      <c r="C72" s="1" t="n">
        <v>45507</v>
      </c>
      <c r="D72" t="inlineStr">
        <is>
          <t>VÄRMLANDS LÄN</t>
        </is>
      </c>
      <c r="E72" t="inlineStr">
        <is>
          <t>TORSBY</t>
        </is>
      </c>
      <c r="F72" t="inlineStr">
        <is>
          <t>Bergvik skog väst AB</t>
        </is>
      </c>
      <c r="G72" t="n">
        <v>8.300000000000001</v>
      </c>
      <c r="H72" t="n">
        <v>0</v>
      </c>
      <c r="I72" t="n">
        <v>0</v>
      </c>
      <c r="J72" t="n">
        <v>1</v>
      </c>
      <c r="K72" t="n">
        <v>1</v>
      </c>
      <c r="L72" t="n">
        <v>0</v>
      </c>
      <c r="M72" t="n">
        <v>0</v>
      </c>
      <c r="N72" t="n">
        <v>0</v>
      </c>
      <c r="O72" t="n">
        <v>2</v>
      </c>
      <c r="P72" t="n">
        <v>1</v>
      </c>
      <c r="Q72" t="n">
        <v>2</v>
      </c>
      <c r="R72" s="2" t="inlineStr">
        <is>
          <t>Raggbock
Tallticka</t>
        </is>
      </c>
      <c r="S72">
        <f>HYPERLINK("https://klasma.github.io/Logging_1737/artfynd/A 28156-2022 artfynd.xlsx", "A 28156-2022")</f>
        <v/>
      </c>
      <c r="T72">
        <f>HYPERLINK("https://klasma.github.io/Logging_1737/kartor/A 28156-2022 karta.png", "A 28156-2022")</f>
        <v/>
      </c>
      <c r="V72">
        <f>HYPERLINK("https://klasma.github.io/Logging_1737/klagomål/A 28156-2022 FSC-klagomål.docx", "A 28156-2022")</f>
        <v/>
      </c>
      <c r="W72">
        <f>HYPERLINK("https://klasma.github.io/Logging_1737/klagomålsmail/A 28156-2022 FSC-klagomål mail.docx", "A 28156-2022")</f>
        <v/>
      </c>
      <c r="X72">
        <f>HYPERLINK("https://klasma.github.io/Logging_1737/tillsyn/A 28156-2022 tillsynsbegäran.docx", "A 28156-2022")</f>
        <v/>
      </c>
      <c r="Y72">
        <f>HYPERLINK("https://klasma.github.io/Logging_1737/tillsynsmail/A 28156-2022 tillsynsbegäran mail.docx", "A 28156-2022")</f>
        <v/>
      </c>
    </row>
    <row r="73" ht="15" customHeight="1">
      <c r="A73" t="inlineStr">
        <is>
          <t>A 34930-2022</t>
        </is>
      </c>
      <c r="B73" s="1" t="n">
        <v>44796</v>
      </c>
      <c r="C73" s="1" t="n">
        <v>45507</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2000-2023</t>
        </is>
      </c>
      <c r="B74" s="1" t="n">
        <v>44939</v>
      </c>
      <c r="C74" s="1" t="n">
        <v>45507</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4718-2023</t>
        </is>
      </c>
      <c r="B75" s="1" t="n">
        <v>44957</v>
      </c>
      <c r="C75" s="1" t="n">
        <v>45507</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13364-2023</t>
        </is>
      </c>
      <c r="B76" s="1" t="n">
        <v>45005</v>
      </c>
      <c r="C76" s="1" t="n">
        <v>45507</v>
      </c>
      <c r="D76" t="inlineStr">
        <is>
          <t>VÄRMLANDS LÄN</t>
        </is>
      </c>
      <c r="E76" t="inlineStr">
        <is>
          <t>TORSBY</t>
        </is>
      </c>
      <c r="G76" t="n">
        <v>16.3</v>
      </c>
      <c r="H76" t="n">
        <v>0</v>
      </c>
      <c r="I76" t="n">
        <v>1</v>
      </c>
      <c r="J76" t="n">
        <v>1</v>
      </c>
      <c r="K76" t="n">
        <v>0</v>
      </c>
      <c r="L76" t="n">
        <v>0</v>
      </c>
      <c r="M76" t="n">
        <v>0</v>
      </c>
      <c r="N76" t="n">
        <v>0</v>
      </c>
      <c r="O76" t="n">
        <v>1</v>
      </c>
      <c r="P76" t="n">
        <v>0</v>
      </c>
      <c r="Q76" t="n">
        <v>2</v>
      </c>
      <c r="R76" s="2" t="inlineStr">
        <is>
          <t>Mörk kolflarnlav
Dropptaggsvamp</t>
        </is>
      </c>
      <c r="S76">
        <f>HYPERLINK("https://klasma.github.io/Logging_1737/artfynd/A 13364-2023 artfynd.xlsx", "A 13364-2023")</f>
        <v/>
      </c>
      <c r="T76">
        <f>HYPERLINK("https://klasma.github.io/Logging_1737/kartor/A 13364-2023 karta.png", "A 13364-2023")</f>
        <v/>
      </c>
      <c r="V76">
        <f>HYPERLINK("https://klasma.github.io/Logging_1737/klagomål/A 13364-2023 FSC-klagomål.docx", "A 13364-2023")</f>
        <v/>
      </c>
      <c r="W76">
        <f>HYPERLINK("https://klasma.github.io/Logging_1737/klagomålsmail/A 13364-2023 FSC-klagomål mail.docx", "A 13364-2023")</f>
        <v/>
      </c>
      <c r="X76">
        <f>HYPERLINK("https://klasma.github.io/Logging_1737/tillsyn/A 13364-2023 tillsynsbegäran.docx", "A 13364-2023")</f>
        <v/>
      </c>
      <c r="Y76">
        <f>HYPERLINK("https://klasma.github.io/Logging_1737/tillsynsmail/A 13364-2023 tillsynsbegäran mail.docx", "A 13364-2023")</f>
        <v/>
      </c>
    </row>
    <row r="77" ht="15" customHeight="1">
      <c r="A77" t="inlineStr">
        <is>
          <t>A 16414-2023</t>
        </is>
      </c>
      <c r="B77" s="1" t="n">
        <v>45022</v>
      </c>
      <c r="C77" s="1" t="n">
        <v>45507</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45507</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42610-2023</t>
        </is>
      </c>
      <c r="B79" s="1" t="n">
        <v>45181</v>
      </c>
      <c r="C79" s="1" t="n">
        <v>45507</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46008-2023</t>
        </is>
      </c>
      <c r="B80" s="1" t="n">
        <v>45196</v>
      </c>
      <c r="C80" s="1" t="n">
        <v>45507</v>
      </c>
      <c r="D80" t="inlineStr">
        <is>
          <t>VÄRMLANDS LÄN</t>
        </is>
      </c>
      <c r="E80" t="inlineStr">
        <is>
          <t>TORSBY</t>
        </is>
      </c>
      <c r="G80" t="n">
        <v>15.4</v>
      </c>
      <c r="H80" t="n">
        <v>0</v>
      </c>
      <c r="I80" t="n">
        <v>0</v>
      </c>
      <c r="J80" t="n">
        <v>2</v>
      </c>
      <c r="K80" t="n">
        <v>0</v>
      </c>
      <c r="L80" t="n">
        <v>0</v>
      </c>
      <c r="M80" t="n">
        <v>0</v>
      </c>
      <c r="N80" t="n">
        <v>0</v>
      </c>
      <c r="O80" t="n">
        <v>2</v>
      </c>
      <c r="P80" t="n">
        <v>0</v>
      </c>
      <c r="Q80" t="n">
        <v>2</v>
      </c>
      <c r="R80" s="2" t="inlineStr">
        <is>
          <t>Dvärgbägarlav
Garnlav</t>
        </is>
      </c>
      <c r="S80">
        <f>HYPERLINK("https://klasma.github.io/Logging_1737/artfynd/A 46008-2023 artfynd.xlsx", "A 46008-2023")</f>
        <v/>
      </c>
      <c r="T80">
        <f>HYPERLINK("https://klasma.github.io/Logging_1737/kartor/A 46008-2023 karta.png", "A 46008-2023")</f>
        <v/>
      </c>
      <c r="V80">
        <f>HYPERLINK("https://klasma.github.io/Logging_1737/klagomål/A 46008-2023 FSC-klagomål.docx", "A 46008-2023")</f>
        <v/>
      </c>
      <c r="W80">
        <f>HYPERLINK("https://klasma.github.io/Logging_1737/klagomålsmail/A 46008-2023 FSC-klagomål mail.docx", "A 46008-2023")</f>
        <v/>
      </c>
      <c r="X80">
        <f>HYPERLINK("https://klasma.github.io/Logging_1737/tillsyn/A 46008-2023 tillsynsbegäran.docx", "A 46008-2023")</f>
        <v/>
      </c>
      <c r="Y80">
        <f>HYPERLINK("https://klasma.github.io/Logging_1737/tillsynsmail/A 46008-2023 tillsynsbegäran mail.docx", "A 46008-2023")</f>
        <v/>
      </c>
    </row>
    <row r="81" ht="15" customHeight="1">
      <c r="A81" t="inlineStr">
        <is>
          <t>A 48292-2023</t>
        </is>
      </c>
      <c r="B81" s="1" t="n">
        <v>45205</v>
      </c>
      <c r="C81" s="1" t="n">
        <v>45507</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62955-2023</t>
        </is>
      </c>
      <c r="B82" s="1" t="n">
        <v>45271</v>
      </c>
      <c r="C82" s="1" t="n">
        <v>45507</v>
      </c>
      <c r="D82" t="inlineStr">
        <is>
          <t>VÄRMLANDS LÄN</t>
        </is>
      </c>
      <c r="E82" t="inlineStr">
        <is>
          <t>TORSBY</t>
        </is>
      </c>
      <c r="F82" t="inlineStr">
        <is>
          <t>Övriga statliga verk och myndigheter</t>
        </is>
      </c>
      <c r="G82" t="n">
        <v>4.2</v>
      </c>
      <c r="H82" t="n">
        <v>0</v>
      </c>
      <c r="I82" t="n">
        <v>0</v>
      </c>
      <c r="J82" t="n">
        <v>2</v>
      </c>
      <c r="K82" t="n">
        <v>0</v>
      </c>
      <c r="L82" t="n">
        <v>0</v>
      </c>
      <c r="M82" t="n">
        <v>0</v>
      </c>
      <c r="N82" t="n">
        <v>0</v>
      </c>
      <c r="O82" t="n">
        <v>2</v>
      </c>
      <c r="P82" t="n">
        <v>0</v>
      </c>
      <c r="Q82" t="n">
        <v>2</v>
      </c>
      <c r="R82" s="2" t="inlineStr">
        <is>
          <t>Garnlav
Vedtrappmossa</t>
        </is>
      </c>
      <c r="S82">
        <f>HYPERLINK("https://klasma.github.io/Logging_1737/artfynd/A 62955-2023 artfynd.xlsx", "A 62955-2023")</f>
        <v/>
      </c>
      <c r="T82">
        <f>HYPERLINK("https://klasma.github.io/Logging_1737/kartor/A 62955-2023 karta.png", "A 62955-2023")</f>
        <v/>
      </c>
      <c r="V82">
        <f>HYPERLINK("https://klasma.github.io/Logging_1737/klagomål/A 62955-2023 FSC-klagomål.docx", "A 62955-2023")</f>
        <v/>
      </c>
      <c r="W82">
        <f>HYPERLINK("https://klasma.github.io/Logging_1737/klagomålsmail/A 62955-2023 FSC-klagomål mail.docx", "A 62955-2023")</f>
        <v/>
      </c>
      <c r="X82">
        <f>HYPERLINK("https://klasma.github.io/Logging_1737/tillsyn/A 62955-2023 tillsynsbegäran.docx", "A 62955-2023")</f>
        <v/>
      </c>
      <c r="Y82">
        <f>HYPERLINK("https://klasma.github.io/Logging_1737/tillsynsmail/A 62955-2023 tillsynsbegäran mail.docx", "A 62955-2023")</f>
        <v/>
      </c>
    </row>
    <row r="83" ht="15" customHeight="1">
      <c r="A83" t="inlineStr">
        <is>
          <t>A 4068-2024</t>
        </is>
      </c>
      <c r="B83" s="1" t="n">
        <v>45323</v>
      </c>
      <c r="C83" s="1" t="n">
        <v>45507</v>
      </c>
      <c r="D83" t="inlineStr">
        <is>
          <t>VÄRMLANDS LÄN</t>
        </is>
      </c>
      <c r="E83" t="inlineStr">
        <is>
          <t>TORSBY</t>
        </is>
      </c>
      <c r="G83" t="n">
        <v>2.9</v>
      </c>
      <c r="H83" t="n">
        <v>1</v>
      </c>
      <c r="I83" t="n">
        <v>2</v>
      </c>
      <c r="J83" t="n">
        <v>0</v>
      </c>
      <c r="K83" t="n">
        <v>0</v>
      </c>
      <c r="L83" t="n">
        <v>0</v>
      </c>
      <c r="M83" t="n">
        <v>0</v>
      </c>
      <c r="N83" t="n">
        <v>0</v>
      </c>
      <c r="O83" t="n">
        <v>0</v>
      </c>
      <c r="P83" t="n">
        <v>0</v>
      </c>
      <c r="Q83" t="n">
        <v>2</v>
      </c>
      <c r="R83" s="2" t="inlineStr">
        <is>
          <t>Korallrot
Springkorn</t>
        </is>
      </c>
      <c r="S83">
        <f>HYPERLINK("https://klasma.github.io/Logging_1737/artfynd/A 4068-2024 artfynd.xlsx", "A 4068-2024")</f>
        <v/>
      </c>
      <c r="T83">
        <f>HYPERLINK("https://klasma.github.io/Logging_1737/kartor/A 4068-2024 karta.png", "A 4068-2024")</f>
        <v/>
      </c>
      <c r="V83">
        <f>HYPERLINK("https://klasma.github.io/Logging_1737/klagomål/A 4068-2024 FSC-klagomål.docx", "A 4068-2024")</f>
        <v/>
      </c>
      <c r="W83">
        <f>HYPERLINK("https://klasma.github.io/Logging_1737/klagomålsmail/A 4068-2024 FSC-klagomål mail.docx", "A 4068-2024")</f>
        <v/>
      </c>
      <c r="X83">
        <f>HYPERLINK("https://klasma.github.io/Logging_1737/tillsyn/A 4068-2024 tillsynsbegäran.docx", "A 4068-2024")</f>
        <v/>
      </c>
      <c r="Y83">
        <f>HYPERLINK("https://klasma.github.io/Logging_1737/tillsynsmail/A 4068-2024 tillsynsbegäran mail.docx", "A 4068-2024")</f>
        <v/>
      </c>
    </row>
    <row r="84" ht="15" customHeight="1">
      <c r="A84" t="inlineStr">
        <is>
          <t>A 23091-2024</t>
        </is>
      </c>
      <c r="B84" s="1" t="n">
        <v>45450</v>
      </c>
      <c r="C84" s="1" t="n">
        <v>45507</v>
      </c>
      <c r="D84" t="inlineStr">
        <is>
          <t>VÄRMLANDS LÄN</t>
        </is>
      </c>
      <c r="E84" t="inlineStr">
        <is>
          <t>TORSBY</t>
        </is>
      </c>
      <c r="F84" t="inlineStr">
        <is>
          <t>Bergvik skog väst AB</t>
        </is>
      </c>
      <c r="G84" t="n">
        <v>14.3</v>
      </c>
      <c r="H84" t="n">
        <v>0</v>
      </c>
      <c r="I84" t="n">
        <v>1</v>
      </c>
      <c r="J84" t="n">
        <v>1</v>
      </c>
      <c r="K84" t="n">
        <v>0</v>
      </c>
      <c r="L84" t="n">
        <v>0</v>
      </c>
      <c r="M84" t="n">
        <v>0</v>
      </c>
      <c r="N84" t="n">
        <v>0</v>
      </c>
      <c r="O84" t="n">
        <v>1</v>
      </c>
      <c r="P84" t="n">
        <v>0</v>
      </c>
      <c r="Q84" t="n">
        <v>2</v>
      </c>
      <c r="R84" s="2" t="inlineStr">
        <is>
          <t>Vedskivlav
Kambräken</t>
        </is>
      </c>
      <c r="S84">
        <f>HYPERLINK("https://klasma.github.io/Logging_1737/artfynd/A 23091-2024 artfynd.xlsx", "A 23091-2024")</f>
        <v/>
      </c>
      <c r="T84">
        <f>HYPERLINK("https://klasma.github.io/Logging_1737/kartor/A 23091-2024 karta.png", "A 23091-2024")</f>
        <v/>
      </c>
      <c r="V84">
        <f>HYPERLINK("https://klasma.github.io/Logging_1737/klagomål/A 23091-2024 FSC-klagomål.docx", "A 23091-2024")</f>
        <v/>
      </c>
      <c r="W84">
        <f>HYPERLINK("https://klasma.github.io/Logging_1737/klagomålsmail/A 23091-2024 FSC-klagomål mail.docx", "A 23091-2024")</f>
        <v/>
      </c>
      <c r="X84">
        <f>HYPERLINK("https://klasma.github.io/Logging_1737/tillsyn/A 23091-2024 tillsynsbegäran.docx", "A 23091-2024")</f>
        <v/>
      </c>
      <c r="Y84">
        <f>HYPERLINK("https://klasma.github.io/Logging_1737/tillsynsmail/A 23091-2024 tillsynsbegäran mail.docx", "A 23091-2024")</f>
        <v/>
      </c>
    </row>
    <row r="85" ht="15" customHeight="1">
      <c r="A85" t="inlineStr">
        <is>
          <t>A 18499-2019</t>
        </is>
      </c>
      <c r="B85" s="1" t="n">
        <v>43559</v>
      </c>
      <c r="C85" s="1" t="n">
        <v>45507</v>
      </c>
      <c r="D85" t="inlineStr">
        <is>
          <t>VÄRMLANDS LÄN</t>
        </is>
      </c>
      <c r="E85" t="inlineStr">
        <is>
          <t>TORSBY</t>
        </is>
      </c>
      <c r="G85" t="n">
        <v>4.8</v>
      </c>
      <c r="H85" t="n">
        <v>0</v>
      </c>
      <c r="I85" t="n">
        <v>0</v>
      </c>
      <c r="J85" t="n">
        <v>0</v>
      </c>
      <c r="K85" t="n">
        <v>1</v>
      </c>
      <c r="L85" t="n">
        <v>0</v>
      </c>
      <c r="M85" t="n">
        <v>0</v>
      </c>
      <c r="N85" t="n">
        <v>0</v>
      </c>
      <c r="O85" t="n">
        <v>1</v>
      </c>
      <c r="P85" t="n">
        <v>1</v>
      </c>
      <c r="Q85" t="n">
        <v>1</v>
      </c>
      <c r="R85" s="2" t="inlineStr">
        <is>
          <t>Raggbock</t>
        </is>
      </c>
      <c r="S85">
        <f>HYPERLINK("https://klasma.github.io/Logging_1737/artfynd/A 18499-2019 artfynd.xlsx", "A 18499-2019")</f>
        <v/>
      </c>
      <c r="T85">
        <f>HYPERLINK("https://klasma.github.io/Logging_1737/kartor/A 18499-2019 karta.png", "A 18499-2019")</f>
        <v/>
      </c>
      <c r="V85">
        <f>HYPERLINK("https://klasma.github.io/Logging_1737/klagomål/A 18499-2019 FSC-klagomål.docx", "A 18499-2019")</f>
        <v/>
      </c>
      <c r="W85">
        <f>HYPERLINK("https://klasma.github.io/Logging_1737/klagomålsmail/A 18499-2019 FSC-klagomål mail.docx", "A 18499-2019")</f>
        <v/>
      </c>
      <c r="X85">
        <f>HYPERLINK("https://klasma.github.io/Logging_1737/tillsyn/A 18499-2019 tillsynsbegäran.docx", "A 18499-2019")</f>
        <v/>
      </c>
      <c r="Y85">
        <f>HYPERLINK("https://klasma.github.io/Logging_1737/tillsynsmail/A 18499-2019 tillsynsbegäran mail.docx", "A 18499-2019")</f>
        <v/>
      </c>
    </row>
    <row r="86" ht="15" customHeight="1">
      <c r="A86" t="inlineStr">
        <is>
          <t>A 31848-2019</t>
        </is>
      </c>
      <c r="B86" s="1" t="n">
        <v>43642</v>
      </c>
      <c r="C86" s="1" t="n">
        <v>45507</v>
      </c>
      <c r="D86" t="inlineStr">
        <is>
          <t>VÄRMLANDS LÄN</t>
        </is>
      </c>
      <c r="E86" t="inlineStr">
        <is>
          <t>TORSBY</t>
        </is>
      </c>
      <c r="G86" t="n">
        <v>6.1</v>
      </c>
      <c r="H86" t="n">
        <v>1</v>
      </c>
      <c r="I86" t="n">
        <v>0</v>
      </c>
      <c r="J86" t="n">
        <v>0</v>
      </c>
      <c r="K86" t="n">
        <v>1</v>
      </c>
      <c r="L86" t="n">
        <v>0</v>
      </c>
      <c r="M86" t="n">
        <v>0</v>
      </c>
      <c r="N86" t="n">
        <v>0</v>
      </c>
      <c r="O86" t="n">
        <v>1</v>
      </c>
      <c r="P86" t="n">
        <v>1</v>
      </c>
      <c r="Q86" t="n">
        <v>1</v>
      </c>
      <c r="R86" s="2" t="inlineStr">
        <is>
          <t>Knärot</t>
        </is>
      </c>
      <c r="S86">
        <f>HYPERLINK("https://klasma.github.io/Logging_1737/artfynd/A 31848-2019 artfynd.xlsx", "A 31848-2019")</f>
        <v/>
      </c>
      <c r="T86">
        <f>HYPERLINK("https://klasma.github.io/Logging_1737/kartor/A 31848-2019 karta.png", "A 31848-2019")</f>
        <v/>
      </c>
      <c r="U86">
        <f>HYPERLINK("https://klasma.github.io/Logging_1737/knärot/A 31848-2019 karta knärot.png", "A 31848-2019")</f>
        <v/>
      </c>
      <c r="V86">
        <f>HYPERLINK("https://klasma.github.io/Logging_1737/klagomål/A 31848-2019 FSC-klagomål.docx", "A 31848-2019")</f>
        <v/>
      </c>
      <c r="W86">
        <f>HYPERLINK("https://klasma.github.io/Logging_1737/klagomålsmail/A 31848-2019 FSC-klagomål mail.docx", "A 31848-2019")</f>
        <v/>
      </c>
      <c r="X86">
        <f>HYPERLINK("https://klasma.github.io/Logging_1737/tillsyn/A 31848-2019 tillsynsbegäran.docx", "A 31848-2019")</f>
        <v/>
      </c>
      <c r="Y86">
        <f>HYPERLINK("https://klasma.github.io/Logging_1737/tillsynsmail/A 31848-2019 tillsynsbegäran mail.docx", "A 31848-2019")</f>
        <v/>
      </c>
    </row>
    <row r="87" ht="15" customHeight="1">
      <c r="A87" t="inlineStr">
        <is>
          <t>A 45844-2019</t>
        </is>
      </c>
      <c r="B87" s="1" t="n">
        <v>43717</v>
      </c>
      <c r="C87" s="1" t="n">
        <v>45507</v>
      </c>
      <c r="D87" t="inlineStr">
        <is>
          <t>VÄRMLANDS LÄN</t>
        </is>
      </c>
      <c r="E87" t="inlineStr">
        <is>
          <t>TORSBY</t>
        </is>
      </c>
      <c r="G87" t="n">
        <v>4.1</v>
      </c>
      <c r="H87" t="n">
        <v>1</v>
      </c>
      <c r="I87" t="n">
        <v>0</v>
      </c>
      <c r="J87" t="n">
        <v>1</v>
      </c>
      <c r="K87" t="n">
        <v>0</v>
      </c>
      <c r="L87" t="n">
        <v>0</v>
      </c>
      <c r="M87" t="n">
        <v>0</v>
      </c>
      <c r="N87" t="n">
        <v>0</v>
      </c>
      <c r="O87" t="n">
        <v>1</v>
      </c>
      <c r="P87" t="n">
        <v>0</v>
      </c>
      <c r="Q87" t="n">
        <v>1</v>
      </c>
      <c r="R87" s="2" t="inlineStr">
        <is>
          <t>Talltita</t>
        </is>
      </c>
      <c r="S87">
        <f>HYPERLINK("https://klasma.github.io/Logging_1737/artfynd/A 45844-2019 artfynd.xlsx", "A 45844-2019")</f>
        <v/>
      </c>
      <c r="T87">
        <f>HYPERLINK("https://klasma.github.io/Logging_1737/kartor/A 45844-2019 karta.png", "A 45844-2019")</f>
        <v/>
      </c>
      <c r="V87">
        <f>HYPERLINK("https://klasma.github.io/Logging_1737/klagomål/A 45844-2019 FSC-klagomål.docx", "A 45844-2019")</f>
        <v/>
      </c>
      <c r="W87">
        <f>HYPERLINK("https://klasma.github.io/Logging_1737/klagomålsmail/A 45844-2019 FSC-klagomål mail.docx", "A 45844-2019")</f>
        <v/>
      </c>
      <c r="X87">
        <f>HYPERLINK("https://klasma.github.io/Logging_1737/tillsyn/A 45844-2019 tillsynsbegäran.docx", "A 45844-2019")</f>
        <v/>
      </c>
      <c r="Y87">
        <f>HYPERLINK("https://klasma.github.io/Logging_1737/tillsynsmail/A 45844-2019 tillsynsbegäran mail.docx", "A 45844-2019")</f>
        <v/>
      </c>
      <c r="Z87">
        <f>HYPERLINK("https://klasma.github.io/Logging_1737/fåglar/A 45844-2019 prioriterade fågelarter.docx", "A 45844-2019")</f>
        <v/>
      </c>
    </row>
    <row r="88" ht="15" customHeight="1">
      <c r="A88" t="inlineStr">
        <is>
          <t>A 47731-2019</t>
        </is>
      </c>
      <c r="B88" s="1" t="n">
        <v>43724</v>
      </c>
      <c r="C88" s="1" t="n">
        <v>45507</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45507</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45507</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45507</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45507</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45507</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45507</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45507</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45507</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45507</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45507</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45507</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45507</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45507</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45507</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45507</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45507</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45507</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45507</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45507</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16572-2022</t>
        </is>
      </c>
      <c r="B108" s="1" t="n">
        <v>44672</v>
      </c>
      <c r="C108" s="1" t="n">
        <v>45507</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22174-2022</t>
        </is>
      </c>
      <c r="B109" s="1" t="n">
        <v>44712</v>
      </c>
      <c r="C109" s="1" t="n">
        <v>45507</v>
      </c>
      <c r="D109" t="inlineStr">
        <is>
          <t>VÄRMLANDS LÄN</t>
        </is>
      </c>
      <c r="E109" t="inlineStr">
        <is>
          <t>TORSBY</t>
        </is>
      </c>
      <c r="G109" t="n">
        <v>11</v>
      </c>
      <c r="H109" t="n">
        <v>1</v>
      </c>
      <c r="I109" t="n">
        <v>0</v>
      </c>
      <c r="J109" t="n">
        <v>0</v>
      </c>
      <c r="K109" t="n">
        <v>0</v>
      </c>
      <c r="L109" t="n">
        <v>0</v>
      </c>
      <c r="M109" t="n">
        <v>0</v>
      </c>
      <c r="N109" t="n">
        <v>0</v>
      </c>
      <c r="O109" t="n">
        <v>0</v>
      </c>
      <c r="P109" t="n">
        <v>0</v>
      </c>
      <c r="Q109" t="n">
        <v>1</v>
      </c>
      <c r="R109" s="2" t="inlineStr">
        <is>
          <t>Revlummer</t>
        </is>
      </c>
      <c r="S109">
        <f>HYPERLINK("https://klasma.github.io/Logging_1737/artfynd/A 22174-2022 artfynd.xlsx", "A 22174-2022")</f>
        <v/>
      </c>
      <c r="T109">
        <f>HYPERLINK("https://klasma.github.io/Logging_1737/kartor/A 22174-2022 karta.png", "A 22174-2022")</f>
        <v/>
      </c>
      <c r="V109">
        <f>HYPERLINK("https://klasma.github.io/Logging_1737/klagomål/A 22174-2022 FSC-klagomål.docx", "A 22174-2022")</f>
        <v/>
      </c>
      <c r="W109">
        <f>HYPERLINK("https://klasma.github.io/Logging_1737/klagomålsmail/A 22174-2022 FSC-klagomål mail.docx", "A 22174-2022")</f>
        <v/>
      </c>
      <c r="X109">
        <f>HYPERLINK("https://klasma.github.io/Logging_1737/tillsyn/A 22174-2022 tillsynsbegäran.docx", "A 22174-2022")</f>
        <v/>
      </c>
      <c r="Y109">
        <f>HYPERLINK("https://klasma.github.io/Logging_1737/tillsynsmail/A 22174-2022 tillsynsbegäran mail.docx", "A 22174-2022")</f>
        <v/>
      </c>
    </row>
    <row r="110" ht="15" customHeight="1">
      <c r="A110" t="inlineStr">
        <is>
          <t>A 23486-2022</t>
        </is>
      </c>
      <c r="B110" s="1" t="n">
        <v>44721</v>
      </c>
      <c r="C110" s="1" t="n">
        <v>45507</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45507</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45507</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45507</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45507</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45507</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45507</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45507</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45507</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45507</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45507</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45507</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45507</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45507</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45507</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45507</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45507</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45507</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45507</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45507</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45507</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45507</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45507</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45507</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45507</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45507</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45507</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45507</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45507</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45507</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45507</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45507</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45507</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45507</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45507</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45507</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45507</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45507</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45507</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45507</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45507</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45507</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45507</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45507</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45507</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45507</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45507</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45507</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45507</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45507</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45507</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45507</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45507</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45507</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45507</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45507</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45507</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45507</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45507</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45507</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45507</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45507</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45507</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45507</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45507</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45507</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45507</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45507</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45507</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45507</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45507</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45507</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45507</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45507</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45507</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45507</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45507</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45507</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45507</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45507</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45507</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45507</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45507</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45507</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45507</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45507</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45507</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45507</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45507</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45507</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45507</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45507</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45507</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45507</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45507</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45507</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45507</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45507</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45507</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45507</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45507</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45507</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45507</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45507</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45507</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45507</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45507</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45507</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45507</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45507</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45507</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45507</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45507</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45507</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45507</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45507</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45507</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45507</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45507</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45507</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45507</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45507</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45507</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45507</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45507</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45507</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45507</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45507</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45507</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45507</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45507</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45507</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45507</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45507</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45507</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45507</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45507</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45507</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45507</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45507</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45507</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45507</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45507</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45507</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45507</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45507</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45507</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45507</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45507</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45507</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45507</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45507</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45507</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45507</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45507</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45507</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45507</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45507</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45507</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45507</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45507</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45507</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45507</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45507</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45507</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45507</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45507</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45507</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45507</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45507</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45507</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45507</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45507</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45507</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45507</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45507</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45507</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45507</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45507</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45507</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45507</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45507</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45507</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45507</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45507</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45507</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45507</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45507</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45507</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45507</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45507</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45507</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45507</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45507</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45507</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45507</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45507</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45507</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45507</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45507</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45507</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45507</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45507</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45507</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45507</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45507</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45507</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45507</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45507</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45507</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45507</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45507</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45507</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45507</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45507</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45507</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45507</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45507</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45507</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45507</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45507</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45507</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45507</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45507</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45507</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45507</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45507</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45507</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45507</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45507</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45507</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45507</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45507</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45507</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45507</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45507</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45507</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45507</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45507</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45507</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45507</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45507</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45507</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45507</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45507</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45507</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45507</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45507</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45507</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45507</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45507</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45507</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45507</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45507</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45507</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45507</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45507</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45507</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45507</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45507</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45507</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45507</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45507</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45507</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45507</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45507</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45507</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45507</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45507</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45507</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45507</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45507</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45507</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45507</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45507</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45507</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45507</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45507</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45507</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45507</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45507</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45507</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45507</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45507</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45507</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45507</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45507</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45507</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45507</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45507</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45507</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45507</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45507</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45507</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45507</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45507</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45507</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45507</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45507</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45507</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45507</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45507</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45507</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45507</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45507</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45507</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45507</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45507</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45507</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45507</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45507</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45507</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45507</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45507</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45507</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45507</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45507</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45507</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45507</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45507</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45507</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45507</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45507</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45507</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45507</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45507</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45507</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45507</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45507</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45507</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45507</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45507</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45507</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45507</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45507</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45507</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45507</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45507</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45507</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45507</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45507</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45507</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45507</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45507</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45507</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45507</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45507</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45507</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45507</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45507</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45507</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45507</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45507</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45507</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45507</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45507</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45507</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45507</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45507</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45507</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45507</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45507</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45507</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45507</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45507</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45507</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45507</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45507</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45507</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45507</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45507</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45507</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45507</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45507</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45507</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45507</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45507</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45507</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45507</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45507</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45507</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45507</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45507</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45507</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45507</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45507</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45507</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45507</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45507</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45507</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45507</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45507</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45507</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45507</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45507</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45507</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45507</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45507</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45507</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45507</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45507</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45507</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45507</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45507</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45507</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45507</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45507</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45507</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45507</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45507</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45507</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45507</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45507</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45507</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45507</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45507</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45507</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45507</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45507</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45507</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45507</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45507</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45507</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45507</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45507</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45507</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45507</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45507</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45507</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45507</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45507</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45507</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45507</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45507</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45507</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45507</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45507</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45507</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45507</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45507</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45507</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45507</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45507</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45507</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45507</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45507</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45507</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45507</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45507</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45507</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45507</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45507</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45507</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45507</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45507</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45507</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45507</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45507</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45507</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45507</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45507</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45507</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45507</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45507</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45507</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45507</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45507</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45507</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45507</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45507</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45507</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45507</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45507</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45507</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45507</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45507</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45507</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45507</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45507</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45507</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45507</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45507</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45507</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45507</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45507</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45507</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45507</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45507</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45507</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45507</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45507</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45507</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45507</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45507</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45507</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45507</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45507</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45507</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45507</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45507</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45507</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45507</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45507</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45507</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45507</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45507</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45507</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45507</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45507</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45507</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45507</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45507</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45507</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45507</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45507</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45507</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45507</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45507</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45507</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45507</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45507</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45507</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45507</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45507</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45507</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45507</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45507</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45507</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45507</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45507</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45507</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45507</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45507</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45507</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45507</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45507</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45507</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45507</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45507</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45507</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45507</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45507</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45507</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45507</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45507</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45507</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45507</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45507</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45507</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45507</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45507</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45507</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45507</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45507</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45507</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45507</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45507</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45507</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45507</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45507</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45507</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45507</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45507</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45507</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45507</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45507</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45507</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45507</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45507</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45507</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45507</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45507</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45507</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45507</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45507</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45507</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45507</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45507</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45507</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45507</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45507</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45507</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45507</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45507</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45507</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45507</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45507</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45507</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45507</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45507</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45507</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45507</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45507</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45507</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45507</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45507</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45507</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45507</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45507</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45507</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45507</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45507</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45507</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45507</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45507</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45507</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45507</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45507</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45507</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45507</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45507</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45507</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45507</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45507</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45507</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45507</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45507</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45507</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45507</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45507</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45507</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45507</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45507</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45507</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45507</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45507</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45507</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45507</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45507</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45507</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45507</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45507</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45507</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45507</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45507</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45507</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45507</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45507</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45507</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45507</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45507</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45507</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45507</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45507</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45507</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45507</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45507</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45507</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45507</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45507</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45507</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45507</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45507</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45507</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45507</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45507</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45507</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45507</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45507</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45507</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45507</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45507</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45507</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45507</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45507</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45507</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45507</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45507</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45507</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45507</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45507</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45507</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45507</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45507</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45507</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45507</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45507</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45507</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45507</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45507</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45507</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45507</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45507</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45507</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45507</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45507</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45507</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45507</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45507</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45507</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45507</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45507</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45507</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45507</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45507</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45507</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45507</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45507</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45507</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45507</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45507</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45507</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45507</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45507</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45507</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45507</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45507</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45507</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45507</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45507</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45507</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45507</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45507</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45507</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45507</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45507</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45507</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45507</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45507</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45507</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45507</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45507</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45507</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45507</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45507</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45507</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45507</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45507</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45507</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45507</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45507</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45507</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45507</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45507</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45507</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45507</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45507</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45507</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45507</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45507</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45507</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45507</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45507</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45507</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45507</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45507</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45507</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45507</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45507</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45507</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45507</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45507</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45507</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45507</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45507</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45507</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45507</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45507</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45507</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45507</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45507</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45507</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45507</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45507</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45507</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45507</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45507</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45507</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45507</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45507</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45507</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45507</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45507</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45507</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45507</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45507</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45507</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45507</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45507</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45507</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45507</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45507</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45507</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45507</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45507</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45507</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45507</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45507</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45507</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45507</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45507</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45507</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45507</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45507</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45507</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45507</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45507</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45507</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45507</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45507</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45507</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45507</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45507</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45507</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45507</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45507</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45507</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45507</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45507</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45507</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45507</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45507</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45507</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45507</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45507</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45507</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45507</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45507</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45507</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45507</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45507</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45507</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45507</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45507</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45507</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45507</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45507</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45507</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45507</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45507</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45507</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45507</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45507</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45507</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45507</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45507</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45507</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45507</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45507</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45507</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45507</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45507</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45507</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45507</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45507</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45507</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45507</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45507</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45507</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45507</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45507</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45507</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45507</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45507</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45507</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45507</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45507</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45507</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45507</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45507</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45507</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45507</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45507</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45507</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45507</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45507</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45507</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45507</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45507</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45507</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45507</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45507</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45507</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45507</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45507</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45507</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45507</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45507</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45507</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45507</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45507</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45507</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45507</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45507</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45507</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45507</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45507</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45507</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45507</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45507</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45507</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45507</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45507</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45507</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45507</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45507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45507</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45507</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45507</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45507</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45507</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45507</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45507</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45507</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45507</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45507</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45507</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45507</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45507</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45507</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45507</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45507</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45507</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45507</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45507</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45507</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45507</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45507</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45507</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45507</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45507</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45507</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45507</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45507</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45507</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45507</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45507</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45507</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45507</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45507</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45507</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45507</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45507</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45507</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45507</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45507</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45507</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45507</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45507</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45507</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45507</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45507</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45507</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45507</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45507</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45507</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45507</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45507</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45507</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45507</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45507</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45507</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45507</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45507</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45507</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45507</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45507</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45507</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45507</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45507</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45507</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45507</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45507</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45507</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45507</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45507</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45507</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45507</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45507</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45507</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45507</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45507</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45507</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45507</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45507</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45507</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45507</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45507</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45507</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45507</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45507</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45507</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45507</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45507</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45507</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45507</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45507</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45507</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45507</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45507</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45507</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45507</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45507</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45507</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45507</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45507</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45507</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45507</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45507</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45507</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45507</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45507</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45507</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45507</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45507</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45507</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45507</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45507</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45507</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45507</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45507</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45507</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45507</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45507</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45507</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45507</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45507</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45507</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45507</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45507</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45507</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45507</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45507</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45507</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45507</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45507</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45507</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45507</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45507</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45507</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45507</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45507</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45507</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45507</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45507</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45507</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45507</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45507</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45507</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45507</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45507</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45507</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45507</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45507</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45507</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45507</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45507</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45507</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45507</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45507</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45507</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45507</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45507</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45507</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45507</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45507</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45507</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45507</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45507</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45507</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45507</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45507</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45507</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45507</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45507</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45507</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45507</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45507</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45507</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45507</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45507</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45507</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45507</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45507</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45507</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45507</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45507</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45507</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45507</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45507</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45507</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45507</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45507</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45507</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45507</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45507</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45507</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45507</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45507</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45507</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45507</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45507</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45507</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45507</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45507</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45507</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45507</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45507</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45507</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45507</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45507</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45507</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45507</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45507</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45507</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45507</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45507</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45507</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45507</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45507</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45507</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45507</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45507</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45507</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45507</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45507</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45507</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45507</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45507</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45507</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45507</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45507</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45507</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45507</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45507</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45507</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45507</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45507</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45507</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45507</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45507</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45507</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45507</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45507</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45507</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45507</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45507</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45507</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45507</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45507</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45507</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45507</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45507</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45507</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45507</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45507</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45507</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45507</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45507</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45507</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45507</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45507</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45507</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45507</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45507</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45507</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45507</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45507</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45507</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45507</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45507</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45507</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45507</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45507</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45507</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45507</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45507</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45507</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45507</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45507</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45507</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45507</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45507</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45507</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45507</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45507</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45507</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45507</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45507</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45507</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45507</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45507</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45507</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45507</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45507</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45507</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45507</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45507</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45507</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45507</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45507</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45507</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45507</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45507</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45507</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45507</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45507</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45507</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45507</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45507</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45507</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45507</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45507</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45507</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45507</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45507</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45507</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45507</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45507</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45507</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45507</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45507</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45507</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45507</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45507</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45507</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45507</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45507</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45507</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45507</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45507</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45507</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45507</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45507</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45507</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45507</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45507</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45507</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45507</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45507</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45507</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45507</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45507</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45507</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45507</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45507</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45507</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45507</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45507</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45507</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45507</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45507</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45507</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45507</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45507</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45507</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45507</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45507</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45507</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45507</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45507</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45507</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45507</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45507</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45507</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45507</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45507</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45507</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45507</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45507</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45507</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45507</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45507</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45507</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45507</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45507</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45507</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45507</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45507</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45507</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45507</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45507</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45507</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45507</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45507</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45507</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45507</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45507</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45507</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45507</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45507</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45507</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45507</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45507</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45507</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45507</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45507</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45507</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45507</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45507</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45507</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45507</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45507</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45507</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45507</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45507</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45507</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45507</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45507</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45507</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45507</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45507</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45507</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45507</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45507</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45507</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45507</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45507</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45507</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45507</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45507</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45507</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45507</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45507</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45507</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45507</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45507</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45507</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45507</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45507</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45507</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45507</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45507</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45507</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45507</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45507</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45507</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45507</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45507</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45507</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45507</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45507</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45507</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45507</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45507</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45507</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45507</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45507</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45507</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45507</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45507</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45507</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45507</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45507</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45507</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45507</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45507</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45507</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45507</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45507</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45507</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45507</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45507</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45507</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45507</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45507</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45507</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45507</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45507</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45507</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45507</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45507</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45507</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45507</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45507</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45507</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45507</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45507</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45507</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45507</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45507</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45507</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45507</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45507</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45507</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45507</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45507</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45507</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45507</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45507</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45507</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45507</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45507</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45507</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45507</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45507</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45507</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45507</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45507</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45507</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45507</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45507</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45507</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45507</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45507</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45507</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45507</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45507</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45507</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45507</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45507</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45507</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45507</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45507</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45507</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45507</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45507</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45507</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45507</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45507</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45507</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45507</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45507</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45507</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45507</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45507</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45507</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45507</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45507</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45507</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45507</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45507</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45507</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45507</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45507</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45507</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45507</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45507</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45507</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45507</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45507</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45507</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45507</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45507</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45507</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45507</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45507</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45507</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45507</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45507</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45507</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45507</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45507</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45507</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45507</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45507</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45507</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45507</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45507</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45507</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45507</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45507</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45507</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45507</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45507</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45507</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45507</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45507</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45507</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45507</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45507</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45507</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45507</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45507</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45507</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45507</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45507</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45507</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45507</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45507</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45507</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45507</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45507</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45507</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45507</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45507</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45507</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45507</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45507</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45507</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45507</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45507</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45507</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45507</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45507</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45507</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45507</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45507</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45507</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45507</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45507</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45507</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45507</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45507</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45507</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45507</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45507</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45507</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45507</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45507</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45507</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45507</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45507</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45507</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45507</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45507</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45507</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45507</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45507</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45507</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45507</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45507</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45507</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45507</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45507</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45507</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45507</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45507</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45507</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45507</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45507</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45507</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45507</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45507</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45507</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45507</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45507</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45507</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45507</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45507</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45507</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45507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45507</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45507</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45507</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45507</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45507</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45507</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45507</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45507</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45507</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45507</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45507</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45507</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45507</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45507</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45507</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45507</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45507</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45507</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45507</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45507</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45507</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45507</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45507</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45507</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45507</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45507</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45507</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45507</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45507</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45507</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45507</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45507</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45507</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45507</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45507</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45507</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45507</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45507</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45507</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45507</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45507</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45507</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45507</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45507</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45507</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45507</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45507</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45507</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45507</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45507</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45507</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45507</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45507</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45507</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45507</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45507</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45507</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45507</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45507</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45507</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45507</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45507</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45507</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45507</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45507</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45507</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45507</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45507</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45507</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45507</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45507</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45507</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45507</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45507</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45507</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45507</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45507</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45507</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45507</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45507</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45507</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45507</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45507</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45507</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45507</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45507</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45507</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45507</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45507</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45507</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45507</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45507</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45507</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45507</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45507</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45507</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45507</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45507</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45507</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45507</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45507</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45507</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45507</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45507</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45507</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45507</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45507</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45507</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45507</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45507</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45507</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45507</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45507</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45507</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45507</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45507</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45507</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45507</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45507</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45507</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45507</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45507</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45507</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45507</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45507</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45507</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45507</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45507</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45507</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45507</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45507</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45507</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45507</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45507</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45507</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45507</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45507</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45507</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45507</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45507</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45507</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45507</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45507</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45507</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45507</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45507</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45507</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45507</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45507</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45507</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45507</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45507</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45507</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45507</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45507</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45507</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45507</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45507</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45507</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45507</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45507</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45507</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45507</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45507</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45507</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45507</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45507</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45507</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45507</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45507</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45507</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45507</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45507</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45507</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45507</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45507</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45507</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45507</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45507</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45507</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45507</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45507</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45507</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45507</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45507</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45507</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45507</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45507</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45507</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45507</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45507</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45507</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45507</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45507</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45507</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45507</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45507</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45507</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45507</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45507</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45507</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45507</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45507</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45507</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45507</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45507</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45507</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45507</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45507</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45507</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45507</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45507</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45507</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45507</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45507</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45507</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45507</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45507</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45507</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45507</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45507</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45507</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45507</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45507</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45507</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45507</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45507</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45507</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45507</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45507</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45507</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45507</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45507</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45507</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45507</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45507</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45507</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45507</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45507</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45507</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45507</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45507</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45507</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45507</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45507</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45507</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45507</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45507</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45507</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45507</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45507</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45507</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45507</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45507</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45507</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45507</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45507</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45507</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45507</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45507</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45507</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45507</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45507</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45507</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45507</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45507</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45507</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45507</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45507</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45507</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45507</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45507</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45507</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45507</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45507</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45507</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45507</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45507</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45507</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45507</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45507</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45507</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45507</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45507</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45507</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45507</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45507</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45507</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45507</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45507</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45507</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45507</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45507</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45507</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45507</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45507</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45507</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45507</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45507</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45507</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45507</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45507</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45507</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45507</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45507</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45507</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45507</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45507</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45507</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45507</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45507</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45507</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45507</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45507</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45507</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45507</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45507</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45507</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45507</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45507</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45507</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45507</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45507</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45507</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45507</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45507</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45507</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45507</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45507</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45507</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45507</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45507</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45507</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45507</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45507</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45507</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45507</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45507</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45507</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45507</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45507</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45507</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45507</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45507</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45507</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45507</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45507</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45507</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45507</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45507</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45507</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45507</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45507</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45507</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45507</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45507</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45507</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45507</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45507</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45507</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45507</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45507</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45507</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45507</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45507</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45507</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45507</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45507</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45507</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45507</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45507</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45507</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45507</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45507</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45507</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45507</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45507</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45507</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45507</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45507</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45507</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45507</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45507</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45507</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45507</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45507</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45507</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45507</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45507</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45507</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45507</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45507</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45507</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45507</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45507</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45507</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45507</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45507</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45507</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45507</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45507</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45507</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45507</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45507</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45507</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45507</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45507</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45507</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45507</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45507</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45507</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45507</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45507</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45507</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45507</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45507</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45507</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45507</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45507</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45507</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45507</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45507</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45507</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45507</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45507</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45507</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45507</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45507</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45507</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45507</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45507</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45507</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45507</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45507</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45507</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45507</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45507</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45507</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45507</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45507</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45507</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45507</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45507</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45507</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45507</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45507</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45507</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45507</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45507</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45507</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45507</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45507</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45507</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45507</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45507</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45507</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45507</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45507</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45507</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45507</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45507</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45507</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45507</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45507</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45507</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45507</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45507</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45507</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45507</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45507</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45507</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45507</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45507</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45507</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45507</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45507</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45507</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45507</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45507</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45507</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45507</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45507</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45507</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45507</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45507</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45507</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45507</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45507</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45507</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45507</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45507</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45507</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45507</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45507</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45507</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45507</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45507</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45507</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45507</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45507</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45507</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45507</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45507</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45507</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45507</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45507</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45507</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45507</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45507</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45507</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45507</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45507</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45507</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45507</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45507</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45507</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45507</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45507</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45507</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45507</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45507</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45507</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45507</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45507</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45507</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45507</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45507</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45507</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45507</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45507</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45507</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45507</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45507</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45507</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45507</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45507</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45507</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45507</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45507</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45507</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45507</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45507</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45507</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45507</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45507</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45507</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45507</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45507</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45507</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45507</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45507</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45507</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45507</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45507</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45507</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45507</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45507</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45507</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45507</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45507</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45507</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45507</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45507</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45507</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45507</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45507</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45507</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45507</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45507</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45507</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45507</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45507</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45507</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45507</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45507</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45507</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45507</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45507</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45507</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45507</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45507</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45507</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45507</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45507</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45507</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45507</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45507</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45507</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45507</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45507</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45507</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45507</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45507</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45507</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45507</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45507</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45507</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45507</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45507</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45507</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45507</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45507</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45507</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45507</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45507</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45507</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45507</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45507</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45507</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45507</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45507</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45507</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45507</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45507</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45507</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45507</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45507</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45507</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45507</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45507</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45507</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45507</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45507</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45507</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45507</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45507</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45507</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45507</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45507</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45507</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45507</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45507</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45507</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45507</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45507</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45507</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45507</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45507</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45507</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45507</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45507</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45507</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45507</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45507</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45507</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45507</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45507</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45507</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45507</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45507</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45507</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45507</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45507</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45507</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45507</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45507</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45507</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45507</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45507</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45507</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45507</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45507</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45507</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45507</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45507</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45507</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45507</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45507</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45507</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45507</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45507</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45507</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45507</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45507</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45507</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45507</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45507</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45507</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45507</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45507</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45507</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45507</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45507</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45507</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45507</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45507</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45507</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45507</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45507</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45507</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45507</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45507</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45507</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45507</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45507</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45507</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45507</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45507</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45507</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45507</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45507</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45507</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45507</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45507</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45507</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45507</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45507</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45507</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45507</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45507</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45507</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45507</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45507</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45507</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45507</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45507</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45507</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45507</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45507</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45507</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45507</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45507</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45507</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45507</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45507</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45507</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45507</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45507</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45507</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45507</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45507</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45507</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45507</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45507</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45507</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45507</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45507</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45507</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45507</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45507</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45507</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45507</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45507</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45507</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45507</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45507</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45507</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45507</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45507</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45507</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45507</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45507</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45507</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45507</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45507</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45507</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45507</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45507</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45507</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45507</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45507</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45507</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45507</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45507</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45507</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45507</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45507</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45507</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45507</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45507</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45507</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45507</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45507</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45507</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45507</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45507</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28501-2024</t>
        </is>
      </c>
      <c r="B2418" s="1" t="n">
        <v>45478</v>
      </c>
      <c r="C2418" s="1" t="n">
        <v>45507</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45507</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28311-2024</t>
        </is>
      </c>
      <c r="B2420" s="1" t="n">
        <v>45477</v>
      </c>
      <c r="C2420" s="1" t="n">
        <v>45507</v>
      </c>
      <c r="D2420" t="inlineStr">
        <is>
          <t>VÄRMLANDS LÄN</t>
        </is>
      </c>
      <c r="E2420" t="inlineStr">
        <is>
          <t>TORSBY</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45507</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28310-2024</t>
        </is>
      </c>
      <c r="B2422" s="1" t="n">
        <v>45477</v>
      </c>
      <c r="C2422" s="1" t="n">
        <v>45507</v>
      </c>
      <c r="D2422" t="inlineStr">
        <is>
          <t>VÄRMLANDS LÄN</t>
        </is>
      </c>
      <c r="E2422" t="inlineStr">
        <is>
          <t>TORSBY</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28502-2024</t>
        </is>
      </c>
      <c r="B2423" s="1" t="n">
        <v>45478</v>
      </c>
      <c r="C2423" s="1" t="n">
        <v>45507</v>
      </c>
      <c r="D2423" t="inlineStr">
        <is>
          <t>VÄRMLANDS LÄN</t>
        </is>
      </c>
      <c r="E2423" t="inlineStr">
        <is>
          <t>TORSBY</t>
        </is>
      </c>
      <c r="G2423" t="n">
        <v>3.3</v>
      </c>
      <c r="H2423" t="n">
        <v>0</v>
      </c>
      <c r="I2423" t="n">
        <v>0</v>
      </c>
      <c r="J2423" t="n">
        <v>0</v>
      </c>
      <c r="K2423" t="n">
        <v>0</v>
      </c>
      <c r="L2423" t="n">
        <v>0</v>
      </c>
      <c r="M2423" t="n">
        <v>0</v>
      </c>
      <c r="N2423" t="n">
        <v>0</v>
      </c>
      <c r="O2423" t="n">
        <v>0</v>
      </c>
      <c r="P2423" t="n">
        <v>0</v>
      </c>
      <c r="Q2423" t="n">
        <v>0</v>
      </c>
      <c r="R2423" s="2" t="inlineStr"/>
    </row>
    <row r="2424" ht="15" customHeight="1">
      <c r="A2424" t="inlineStr">
        <is>
          <t>A 28249-2024</t>
        </is>
      </c>
      <c r="B2424" s="1" t="n">
        <v>45477</v>
      </c>
      <c r="C2424" s="1" t="n">
        <v>45507</v>
      </c>
      <c r="D2424" t="inlineStr">
        <is>
          <t>VÄRMLANDS LÄN</t>
        </is>
      </c>
      <c r="E2424" t="inlineStr">
        <is>
          <t>TORSBY</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45507</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28284-2024</t>
        </is>
      </c>
      <c r="B2426" s="1" t="n">
        <v>45477</v>
      </c>
      <c r="C2426" s="1" t="n">
        <v>45507</v>
      </c>
      <c r="D2426" t="inlineStr">
        <is>
          <t>VÄRMLANDS LÄN</t>
        </is>
      </c>
      <c r="E2426" t="inlineStr">
        <is>
          <t>TORSBY</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45507</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28619-2024</t>
        </is>
      </c>
      <c r="B2428" s="1" t="n">
        <v>45478</v>
      </c>
      <c r="C2428" s="1" t="n">
        <v>45507</v>
      </c>
      <c r="D2428" t="inlineStr">
        <is>
          <t>VÄRMLANDS LÄN</t>
        </is>
      </c>
      <c r="E2428" t="inlineStr">
        <is>
          <t>TORSBY</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28624-2024</t>
        </is>
      </c>
      <c r="B2429" s="1" t="n">
        <v>45478</v>
      </c>
      <c r="C2429" s="1" t="n">
        <v>45507</v>
      </c>
      <c r="D2429" t="inlineStr">
        <is>
          <t>VÄRMLANDS LÄN</t>
        </is>
      </c>
      <c r="E2429" t="inlineStr">
        <is>
          <t>TORSBY</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28545-2024</t>
        </is>
      </c>
      <c r="B2430" s="1" t="n">
        <v>45478</v>
      </c>
      <c r="C2430" s="1" t="n">
        <v>45507</v>
      </c>
      <c r="D2430" t="inlineStr">
        <is>
          <t>VÄRMLANDS LÄN</t>
        </is>
      </c>
      <c r="E2430" t="inlineStr">
        <is>
          <t>TORSBY</t>
        </is>
      </c>
      <c r="F2430" t="inlineStr">
        <is>
          <t>Bergvik skog väst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28589-2024</t>
        </is>
      </c>
      <c r="B2431" s="1" t="n">
        <v>45478</v>
      </c>
      <c r="C2431" s="1" t="n">
        <v>45507</v>
      </c>
      <c r="D2431" t="inlineStr">
        <is>
          <t>VÄRMLANDS LÄN</t>
        </is>
      </c>
      <c r="E2431" t="inlineStr">
        <is>
          <t>TORSBY</t>
        </is>
      </c>
      <c r="G2431" t="n">
        <v>12.7</v>
      </c>
      <c r="H2431" t="n">
        <v>0</v>
      </c>
      <c r="I2431" t="n">
        <v>0</v>
      </c>
      <c r="J2431" t="n">
        <v>0</v>
      </c>
      <c r="K2431" t="n">
        <v>0</v>
      </c>
      <c r="L2431" t="n">
        <v>0</v>
      </c>
      <c r="M2431" t="n">
        <v>0</v>
      </c>
      <c r="N2431" t="n">
        <v>0</v>
      </c>
      <c r="O2431" t="n">
        <v>0</v>
      </c>
      <c r="P2431" t="n">
        <v>0</v>
      </c>
      <c r="Q2431" t="n">
        <v>0</v>
      </c>
      <c r="R2431" s="2" t="inlineStr"/>
    </row>
    <row r="2432" ht="15" customHeight="1">
      <c r="A2432" t="inlineStr">
        <is>
          <t>A 28609-2024</t>
        </is>
      </c>
      <c r="B2432" s="1" t="n">
        <v>45478</v>
      </c>
      <c r="C2432" s="1" t="n">
        <v>45507</v>
      </c>
      <c r="D2432" t="inlineStr">
        <is>
          <t>VÄRMLANDS LÄN</t>
        </is>
      </c>
      <c r="E2432" t="inlineStr">
        <is>
          <t>TORSBY</t>
        </is>
      </c>
      <c r="F2432" t="inlineStr">
        <is>
          <t>Bergvik skog väst AB</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28621-2024</t>
        </is>
      </c>
      <c r="B2433" s="1" t="n">
        <v>45478</v>
      </c>
      <c r="C2433" s="1" t="n">
        <v>45507</v>
      </c>
      <c r="D2433" t="inlineStr">
        <is>
          <t>VÄRMLANDS LÄN</t>
        </is>
      </c>
      <c r="E2433" t="inlineStr">
        <is>
          <t>TORSBY</t>
        </is>
      </c>
      <c r="F2433" t="inlineStr">
        <is>
          <t>Bergvik skog väst AB</t>
        </is>
      </c>
      <c r="G2433" t="n">
        <v>7.7</v>
      </c>
      <c r="H2433" t="n">
        <v>0</v>
      </c>
      <c r="I2433" t="n">
        <v>0</v>
      </c>
      <c r="J2433" t="n">
        <v>0</v>
      </c>
      <c r="K2433" t="n">
        <v>0</v>
      </c>
      <c r="L2433" t="n">
        <v>0</v>
      </c>
      <c r="M2433" t="n">
        <v>0</v>
      </c>
      <c r="N2433" t="n">
        <v>0</v>
      </c>
      <c r="O2433" t="n">
        <v>0</v>
      </c>
      <c r="P2433" t="n">
        <v>0</v>
      </c>
      <c r="Q2433" t="n">
        <v>0</v>
      </c>
      <c r="R2433" s="2" t="inlineStr"/>
    </row>
    <row r="2434" ht="15" customHeight="1">
      <c r="A2434" t="inlineStr">
        <is>
          <t>A 28637-2024</t>
        </is>
      </c>
      <c r="B2434" s="1" t="n">
        <v>45478</v>
      </c>
      <c r="C2434" s="1" t="n">
        <v>45507</v>
      </c>
      <c r="D2434" t="inlineStr">
        <is>
          <t>VÄRMLANDS LÄN</t>
        </is>
      </c>
      <c r="E2434" t="inlineStr">
        <is>
          <t>TORSBY</t>
        </is>
      </c>
      <c r="F2434" t="inlineStr">
        <is>
          <t>Bergvik skog väst AB</t>
        </is>
      </c>
      <c r="G2434" t="n">
        <v>10.2</v>
      </c>
      <c r="H2434" t="n">
        <v>0</v>
      </c>
      <c r="I2434" t="n">
        <v>0</v>
      </c>
      <c r="J2434" t="n">
        <v>0</v>
      </c>
      <c r="K2434" t="n">
        <v>0</v>
      </c>
      <c r="L2434" t="n">
        <v>0</v>
      </c>
      <c r="M2434" t="n">
        <v>0</v>
      </c>
      <c r="N2434" t="n">
        <v>0</v>
      </c>
      <c r="O2434" t="n">
        <v>0</v>
      </c>
      <c r="P2434" t="n">
        <v>0</v>
      </c>
      <c r="Q2434" t="n">
        <v>0</v>
      </c>
      <c r="R2434" s="2" t="inlineStr"/>
    </row>
    <row r="2435" ht="15" customHeight="1">
      <c r="A2435" t="inlineStr">
        <is>
          <t>A 28673-2024</t>
        </is>
      </c>
      <c r="B2435" s="1" t="n">
        <v>45478</v>
      </c>
      <c r="C2435" s="1" t="n">
        <v>45507</v>
      </c>
      <c r="D2435" t="inlineStr">
        <is>
          <t>VÄRMLANDS LÄN</t>
        </is>
      </c>
      <c r="E2435" t="inlineStr">
        <is>
          <t>TORSBY</t>
        </is>
      </c>
      <c r="F2435" t="inlineStr">
        <is>
          <t>Bergvik skog väst AB</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28554-2024</t>
        </is>
      </c>
      <c r="B2436" s="1" t="n">
        <v>45478</v>
      </c>
      <c r="C2436" s="1" t="n">
        <v>45507</v>
      </c>
      <c r="D2436" t="inlineStr">
        <is>
          <t>VÄRMLANDS LÄN</t>
        </is>
      </c>
      <c r="E2436" t="inlineStr">
        <is>
          <t>TORSBY</t>
        </is>
      </c>
      <c r="F2436" t="inlineStr">
        <is>
          <t>Bergvik skog väst AB</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28646-2024</t>
        </is>
      </c>
      <c r="B2437" s="1" t="n">
        <v>45478</v>
      </c>
      <c r="C2437" s="1" t="n">
        <v>45507</v>
      </c>
      <c r="D2437" t="inlineStr">
        <is>
          <t>VÄRMLANDS LÄN</t>
        </is>
      </c>
      <c r="E2437" t="inlineStr">
        <is>
          <t>TORSBY</t>
        </is>
      </c>
      <c r="F2437" t="inlineStr">
        <is>
          <t>Bergvik skog väst AB</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28948-2024</t>
        </is>
      </c>
      <c r="B2438" s="1" t="n">
        <v>45481</v>
      </c>
      <c r="C2438" s="1" t="n">
        <v>45507</v>
      </c>
      <c r="D2438" t="inlineStr">
        <is>
          <t>VÄRMLANDS LÄN</t>
        </is>
      </c>
      <c r="E2438" t="inlineStr">
        <is>
          <t>TORSBY</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28987-2024</t>
        </is>
      </c>
      <c r="B2439" s="1" t="n">
        <v>45481</v>
      </c>
      <c r="C2439" s="1" t="n">
        <v>45507</v>
      </c>
      <c r="D2439" t="inlineStr">
        <is>
          <t>VÄRMLANDS LÄN</t>
        </is>
      </c>
      <c r="E2439" t="inlineStr">
        <is>
          <t>TORSBY</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29306-2024</t>
        </is>
      </c>
      <c r="B2440" s="1" t="n">
        <v>45483</v>
      </c>
      <c r="C2440" s="1" t="n">
        <v>45507</v>
      </c>
      <c r="D2440" t="inlineStr">
        <is>
          <t>VÄRMLANDS LÄN</t>
        </is>
      </c>
      <c r="E2440" t="inlineStr">
        <is>
          <t>TORSBY</t>
        </is>
      </c>
      <c r="F2440" t="inlineStr">
        <is>
          <t>Kyrkan</t>
        </is>
      </c>
      <c r="G2440" t="n">
        <v>18.3</v>
      </c>
      <c r="H2440" t="n">
        <v>0</v>
      </c>
      <c r="I2440" t="n">
        <v>0</v>
      </c>
      <c r="J2440" t="n">
        <v>0</v>
      </c>
      <c r="K2440" t="n">
        <v>0</v>
      </c>
      <c r="L2440" t="n">
        <v>0</v>
      </c>
      <c r="M2440" t="n">
        <v>0</v>
      </c>
      <c r="N2440" t="n">
        <v>0</v>
      </c>
      <c r="O2440" t="n">
        <v>0</v>
      </c>
      <c r="P2440" t="n">
        <v>0</v>
      </c>
      <c r="Q2440" t="n">
        <v>0</v>
      </c>
      <c r="R2440" s="2" t="inlineStr"/>
    </row>
    <row r="2441" ht="15" customHeight="1">
      <c r="A2441" t="inlineStr">
        <is>
          <t>A 29375-2024</t>
        </is>
      </c>
      <c r="B2441" s="1" t="n">
        <v>45483</v>
      </c>
      <c r="C2441" s="1" t="n">
        <v>45507</v>
      </c>
      <c r="D2441" t="inlineStr">
        <is>
          <t>VÄRMLANDS LÄN</t>
        </is>
      </c>
      <c r="E2441" t="inlineStr">
        <is>
          <t>TORSBY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45507</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45507</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29541-2024</t>
        </is>
      </c>
      <c r="B2444" s="1" t="n">
        <v>45484</v>
      </c>
      <c r="C2444" s="1" t="n">
        <v>45507</v>
      </c>
      <c r="D2444" t="inlineStr">
        <is>
          <t>VÄRMLANDS LÄN</t>
        </is>
      </c>
      <c r="E2444" t="inlineStr">
        <is>
          <t>TORSBY</t>
        </is>
      </c>
      <c r="F2444" t="inlineStr">
        <is>
          <t>Bergvik skog väst AB</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29559-2024</t>
        </is>
      </c>
      <c r="B2445" s="1" t="n">
        <v>45484</v>
      </c>
      <c r="C2445" s="1" t="n">
        <v>45507</v>
      </c>
      <c r="D2445" t="inlineStr">
        <is>
          <t>VÄRMLANDS LÄN</t>
        </is>
      </c>
      <c r="E2445" t="inlineStr">
        <is>
          <t>TORSBY</t>
        </is>
      </c>
      <c r="F2445" t="inlineStr">
        <is>
          <t>Bergvik skog väst AB</t>
        </is>
      </c>
      <c r="G2445" t="n">
        <v>8.5</v>
      </c>
      <c r="H2445" t="n">
        <v>0</v>
      </c>
      <c r="I2445" t="n">
        <v>0</v>
      </c>
      <c r="J2445" t="n">
        <v>0</v>
      </c>
      <c r="K2445" t="n">
        <v>0</v>
      </c>
      <c r="L2445" t="n">
        <v>0</v>
      </c>
      <c r="M2445" t="n">
        <v>0</v>
      </c>
      <c r="N2445" t="n">
        <v>0</v>
      </c>
      <c r="O2445" t="n">
        <v>0</v>
      </c>
      <c r="P2445" t="n">
        <v>0</v>
      </c>
      <c r="Q2445" t="n">
        <v>0</v>
      </c>
      <c r="R2445" s="2" t="inlineStr"/>
    </row>
    <row r="2446" ht="15" customHeight="1">
      <c r="A2446" t="inlineStr">
        <is>
          <t>A 29549-2024</t>
        </is>
      </c>
      <c r="B2446" s="1" t="n">
        <v>45484</v>
      </c>
      <c r="C2446" s="1" t="n">
        <v>45507</v>
      </c>
      <c r="D2446" t="inlineStr">
        <is>
          <t>VÄRMLANDS LÄN</t>
        </is>
      </c>
      <c r="E2446" t="inlineStr">
        <is>
          <t>TORSBY</t>
        </is>
      </c>
      <c r="F2446" t="inlineStr">
        <is>
          <t>Bergvik skog väst AB</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29593-2024</t>
        </is>
      </c>
      <c r="B2447" s="1" t="n">
        <v>45484</v>
      </c>
      <c r="C2447" s="1" t="n">
        <v>45507</v>
      </c>
      <c r="D2447" t="inlineStr">
        <is>
          <t>VÄRMLANDS LÄN</t>
        </is>
      </c>
      <c r="E2447" t="inlineStr">
        <is>
          <t>TORSBY</t>
        </is>
      </c>
      <c r="F2447" t="inlineStr">
        <is>
          <t>Bergvik skog väst AB</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29535-2024</t>
        </is>
      </c>
      <c r="B2448" s="1" t="n">
        <v>45484</v>
      </c>
      <c r="C2448" s="1" t="n">
        <v>45507</v>
      </c>
      <c r="D2448" t="inlineStr">
        <is>
          <t>VÄRMLANDS LÄN</t>
        </is>
      </c>
      <c r="E2448" t="inlineStr">
        <is>
          <t>TORSBY</t>
        </is>
      </c>
      <c r="F2448" t="inlineStr">
        <is>
          <t>Bergvik skog väst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29852-2024</t>
        </is>
      </c>
      <c r="B2449" s="1" t="n">
        <v>45485</v>
      </c>
      <c r="C2449" s="1" t="n">
        <v>45507</v>
      </c>
      <c r="D2449" t="inlineStr">
        <is>
          <t>VÄRMLANDS LÄN</t>
        </is>
      </c>
      <c r="E2449" t="inlineStr">
        <is>
          <t>TORSBY</t>
        </is>
      </c>
      <c r="F2449" t="inlineStr">
        <is>
          <t>Bergvik skog väst AB</t>
        </is>
      </c>
      <c r="G2449" t="n">
        <v>9.1</v>
      </c>
      <c r="H2449" t="n">
        <v>0</v>
      </c>
      <c r="I2449" t="n">
        <v>0</v>
      </c>
      <c r="J2449" t="n">
        <v>0</v>
      </c>
      <c r="K2449" t="n">
        <v>0</v>
      </c>
      <c r="L2449" t="n">
        <v>0</v>
      </c>
      <c r="M2449" t="n">
        <v>0</v>
      </c>
      <c r="N2449" t="n">
        <v>0</v>
      </c>
      <c r="O2449" t="n">
        <v>0</v>
      </c>
      <c r="P2449" t="n">
        <v>0</v>
      </c>
      <c r="Q2449" t="n">
        <v>0</v>
      </c>
      <c r="R2449" s="2" t="inlineStr"/>
    </row>
    <row r="2450" ht="15" customHeight="1">
      <c r="A2450" t="inlineStr">
        <is>
          <t>A 29759-2024</t>
        </is>
      </c>
      <c r="B2450" s="1" t="n">
        <v>45485</v>
      </c>
      <c r="C2450" s="1" t="n">
        <v>45507</v>
      </c>
      <c r="D2450" t="inlineStr">
        <is>
          <t>VÄRMLANDS LÄN</t>
        </is>
      </c>
      <c r="E2450" t="inlineStr">
        <is>
          <t>TORSBY</t>
        </is>
      </c>
      <c r="F2450" t="inlineStr">
        <is>
          <t>Bergvik skog väst AB</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29895-2024</t>
        </is>
      </c>
      <c r="B2451" s="1" t="n">
        <v>45487</v>
      </c>
      <c r="C2451" s="1" t="n">
        <v>45507</v>
      </c>
      <c r="D2451" t="inlineStr">
        <is>
          <t>VÄRMLANDS LÄN</t>
        </is>
      </c>
      <c r="E2451" t="inlineStr">
        <is>
          <t>TORSBY</t>
        </is>
      </c>
      <c r="G2451" t="n">
        <v>7.2</v>
      </c>
      <c r="H2451" t="n">
        <v>0</v>
      </c>
      <c r="I2451" t="n">
        <v>0</v>
      </c>
      <c r="J2451" t="n">
        <v>0</v>
      </c>
      <c r="K2451" t="n">
        <v>0</v>
      </c>
      <c r="L2451" t="n">
        <v>0</v>
      </c>
      <c r="M2451" t="n">
        <v>0</v>
      </c>
      <c r="N2451" t="n">
        <v>0</v>
      </c>
      <c r="O2451" t="n">
        <v>0</v>
      </c>
      <c r="P2451" t="n">
        <v>0</v>
      </c>
      <c r="Q2451" t="n">
        <v>0</v>
      </c>
      <c r="R2451" s="2" t="inlineStr"/>
    </row>
    <row r="2452" ht="15" customHeight="1">
      <c r="A2452" t="inlineStr">
        <is>
          <t>A 29897-2024</t>
        </is>
      </c>
      <c r="B2452" s="1" t="n">
        <v>45487</v>
      </c>
      <c r="C2452" s="1" t="n">
        <v>45507</v>
      </c>
      <c r="D2452" t="inlineStr">
        <is>
          <t>VÄRMLANDS LÄN</t>
        </is>
      </c>
      <c r="E2452" t="inlineStr">
        <is>
          <t>TORSBY</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29898-2024</t>
        </is>
      </c>
      <c r="B2453" s="1" t="n">
        <v>45487</v>
      </c>
      <c r="C2453" s="1" t="n">
        <v>45507</v>
      </c>
      <c r="D2453" t="inlineStr">
        <is>
          <t>VÄRMLANDS LÄN</t>
        </is>
      </c>
      <c r="E2453" t="inlineStr">
        <is>
          <t>TORSBY</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29926-2024</t>
        </is>
      </c>
      <c r="B2454" s="1" t="n">
        <v>45488</v>
      </c>
      <c r="C2454" s="1" t="n">
        <v>45507</v>
      </c>
      <c r="D2454" t="inlineStr">
        <is>
          <t>VÄRMLANDS LÄN</t>
        </is>
      </c>
      <c r="E2454" t="inlineStr">
        <is>
          <t>TORSBY</t>
        </is>
      </c>
      <c r="F2454" t="inlineStr">
        <is>
          <t>Kommuner</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30002-2024</t>
        </is>
      </c>
      <c r="B2455" s="1" t="n">
        <v>45488</v>
      </c>
      <c r="C2455" s="1" t="n">
        <v>45507</v>
      </c>
      <c r="D2455" t="inlineStr">
        <is>
          <t>VÄRMLANDS LÄN</t>
        </is>
      </c>
      <c r="E2455" t="inlineStr">
        <is>
          <t>TORSBY</t>
        </is>
      </c>
      <c r="F2455" t="inlineStr">
        <is>
          <t>Kommuner</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29925-2024</t>
        </is>
      </c>
      <c r="B2456" s="1" t="n">
        <v>45488</v>
      </c>
      <c r="C2456" s="1" t="n">
        <v>45507</v>
      </c>
      <c r="D2456" t="inlineStr">
        <is>
          <t>VÄRMLANDS LÄN</t>
        </is>
      </c>
      <c r="E2456" t="inlineStr">
        <is>
          <t>TORSBY</t>
        </is>
      </c>
      <c r="F2456" t="inlineStr">
        <is>
          <t>Kyrkan</t>
        </is>
      </c>
      <c r="G2456" t="n">
        <v>7.9</v>
      </c>
      <c r="H2456" t="n">
        <v>0</v>
      </c>
      <c r="I2456" t="n">
        <v>0</v>
      </c>
      <c r="J2456" t="n">
        <v>0</v>
      </c>
      <c r="K2456" t="n">
        <v>0</v>
      </c>
      <c r="L2456" t="n">
        <v>0</v>
      </c>
      <c r="M2456" t="n">
        <v>0</v>
      </c>
      <c r="N2456" t="n">
        <v>0</v>
      </c>
      <c r="O2456" t="n">
        <v>0</v>
      </c>
      <c r="P2456" t="n">
        <v>0</v>
      </c>
      <c r="Q2456" t="n">
        <v>0</v>
      </c>
      <c r="R2456" s="2" t="inlineStr"/>
    </row>
    <row r="2457" ht="15" customHeight="1">
      <c r="A2457" t="inlineStr">
        <is>
          <t>A 30011-2024</t>
        </is>
      </c>
      <c r="B2457" s="1" t="n">
        <v>45488</v>
      </c>
      <c r="C2457" s="1" t="n">
        <v>45507</v>
      </c>
      <c r="D2457" t="inlineStr">
        <is>
          <t>VÄRMLANDS LÄN</t>
        </is>
      </c>
      <c r="E2457" t="inlineStr">
        <is>
          <t>TORSBY</t>
        </is>
      </c>
      <c r="F2457" t="inlineStr">
        <is>
          <t>Kommuner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29936-2024</t>
        </is>
      </c>
      <c r="B2458" s="1" t="n">
        <v>45488</v>
      </c>
      <c r="C2458" s="1" t="n">
        <v>45507</v>
      </c>
      <c r="D2458" t="inlineStr">
        <is>
          <t>VÄRMLANDS LÄN</t>
        </is>
      </c>
      <c r="E2458" t="inlineStr">
        <is>
          <t>TORSBY</t>
        </is>
      </c>
      <c r="F2458" t="inlineStr">
        <is>
          <t>Kommuner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45507</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45507</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45507</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45507</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30699-2024</t>
        </is>
      </c>
      <c r="B2463" s="1" t="n">
        <v>45496</v>
      </c>
      <c r="C2463" s="1" t="n">
        <v>45507</v>
      </c>
      <c r="D2463" t="inlineStr">
        <is>
          <t>VÄRMLANDS LÄN</t>
        </is>
      </c>
      <c r="E2463" t="inlineStr">
        <is>
          <t>TORSBY</t>
        </is>
      </c>
      <c r="F2463" t="inlineStr">
        <is>
          <t>Kyrkan</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30706-2024</t>
        </is>
      </c>
      <c r="B2464" s="1" t="n">
        <v>45496</v>
      </c>
      <c r="C2464" s="1" t="n">
        <v>45507</v>
      </c>
      <c r="D2464" t="inlineStr">
        <is>
          <t>VÄRMLANDS LÄN</t>
        </is>
      </c>
      <c r="E2464" t="inlineStr">
        <is>
          <t>TORSBY</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30718-2024</t>
        </is>
      </c>
      <c r="B2465" s="1" t="n">
        <v>45496</v>
      </c>
      <c r="C2465" s="1" t="n">
        <v>45507</v>
      </c>
      <c r="D2465" t="inlineStr">
        <is>
          <t>VÄRMLANDS LÄN</t>
        </is>
      </c>
      <c r="E2465" t="inlineStr">
        <is>
          <t>TORSBY</t>
        </is>
      </c>
      <c r="F2465" t="inlineStr">
        <is>
          <t>Bergvik skog väst AB</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30705-2024</t>
        </is>
      </c>
      <c r="B2466" s="1" t="n">
        <v>45496</v>
      </c>
      <c r="C2466" s="1" t="n">
        <v>45507</v>
      </c>
      <c r="D2466" t="inlineStr">
        <is>
          <t>VÄRMLANDS LÄN</t>
        </is>
      </c>
      <c r="E2466" t="inlineStr">
        <is>
          <t>TORSBY</t>
        </is>
      </c>
      <c r="F2466" t="inlineStr">
        <is>
          <t>Bergvik skog väst AB</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30696-2024</t>
        </is>
      </c>
      <c r="B2467" s="1" t="n">
        <v>45496</v>
      </c>
      <c r="C2467" s="1" t="n">
        <v>45507</v>
      </c>
      <c r="D2467" t="inlineStr">
        <is>
          <t>VÄRMLANDS LÄN</t>
        </is>
      </c>
      <c r="E2467" t="inlineStr">
        <is>
          <t>TORSBY</t>
        </is>
      </c>
      <c r="F2467" t="inlineStr">
        <is>
          <t>Bergvik skog väst AB</t>
        </is>
      </c>
      <c r="G2467" t="n">
        <v>9.9</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45507</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30720-2024</t>
        </is>
      </c>
      <c r="B2469" s="1" t="n">
        <v>45496</v>
      </c>
      <c r="C2469" s="1" t="n">
        <v>45507</v>
      </c>
      <c r="D2469" t="inlineStr">
        <is>
          <t>VÄRMLANDS LÄN</t>
        </is>
      </c>
      <c r="E2469" t="inlineStr">
        <is>
          <t>TORSBY</t>
        </is>
      </c>
      <c r="F2469" t="inlineStr">
        <is>
          <t>Bergvik skog väst AB</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30789-2024</t>
        </is>
      </c>
      <c r="B2470" s="1" t="n">
        <v>45497</v>
      </c>
      <c r="C2470" s="1" t="n">
        <v>45507</v>
      </c>
      <c r="D2470" t="inlineStr">
        <is>
          <t>VÄRMLANDS LÄN</t>
        </is>
      </c>
      <c r="E2470" t="inlineStr">
        <is>
          <t>TORSBY</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30791-2024</t>
        </is>
      </c>
      <c r="B2471" s="1" t="n">
        <v>45497</v>
      </c>
      <c r="C2471" s="1" t="n">
        <v>45507</v>
      </c>
      <c r="D2471" t="inlineStr">
        <is>
          <t>VÄRMLANDS LÄN</t>
        </is>
      </c>
      <c r="E2471" t="inlineStr">
        <is>
          <t>TORSBY</t>
        </is>
      </c>
      <c r="G2471" t="n">
        <v>44.2</v>
      </c>
      <c r="H2471" t="n">
        <v>0</v>
      </c>
      <c r="I2471" t="n">
        <v>0</v>
      </c>
      <c r="J2471" t="n">
        <v>0</v>
      </c>
      <c r="K2471" t="n">
        <v>0</v>
      </c>
      <c r="L2471" t="n">
        <v>0</v>
      </c>
      <c r="M2471" t="n">
        <v>0</v>
      </c>
      <c r="N2471" t="n">
        <v>0</v>
      </c>
      <c r="O2471" t="n">
        <v>0</v>
      </c>
      <c r="P2471" t="n">
        <v>0</v>
      </c>
      <c r="Q2471" t="n">
        <v>0</v>
      </c>
      <c r="R2471" s="2" t="inlineStr"/>
    </row>
    <row r="2472" ht="15" customHeight="1">
      <c r="A2472" t="inlineStr">
        <is>
          <t>A 30803-2024</t>
        </is>
      </c>
      <c r="B2472" s="1" t="n">
        <v>45497</v>
      </c>
      <c r="C2472" s="1" t="n">
        <v>45507</v>
      </c>
      <c r="D2472" t="inlineStr">
        <is>
          <t>VÄRMLANDS LÄN</t>
        </is>
      </c>
      <c r="E2472" t="inlineStr">
        <is>
          <t>TORSBY</t>
        </is>
      </c>
      <c r="F2472" t="inlineStr">
        <is>
          <t>Kyrkan</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30790-2024</t>
        </is>
      </c>
      <c r="B2473" s="1" t="n">
        <v>45497</v>
      </c>
      <c r="C2473" s="1" t="n">
        <v>45507</v>
      </c>
      <c r="D2473" t="inlineStr">
        <is>
          <t>VÄRMLANDS LÄN</t>
        </is>
      </c>
      <c r="E2473" t="inlineStr">
        <is>
          <t>TORSBY</t>
        </is>
      </c>
      <c r="G2473" t="n">
        <v>49.9</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45507</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30942-2024</t>
        </is>
      </c>
      <c r="B2475" s="1" t="n">
        <v>45499</v>
      </c>
      <c r="C2475" s="1" t="n">
        <v>45507</v>
      </c>
      <c r="D2475" t="inlineStr">
        <is>
          <t>VÄRMLANDS LÄN</t>
        </is>
      </c>
      <c r="E2475" t="inlineStr">
        <is>
          <t>TORSBY</t>
        </is>
      </c>
      <c r="F2475" t="inlineStr">
        <is>
          <t>Bergvik skog väst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30947-2024</t>
        </is>
      </c>
      <c r="B2476" s="1" t="n">
        <v>45499</v>
      </c>
      <c r="C2476" s="1" t="n">
        <v>45507</v>
      </c>
      <c r="D2476" t="inlineStr">
        <is>
          <t>VÄRMLANDS LÄN</t>
        </is>
      </c>
      <c r="E2476" t="inlineStr">
        <is>
          <t>TORSBY</t>
        </is>
      </c>
      <c r="F2476" t="inlineStr">
        <is>
          <t>Bergvik skog väst AB</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31004-2024</t>
        </is>
      </c>
      <c r="B2477" s="1" t="n">
        <v>45499</v>
      </c>
      <c r="C2477" s="1" t="n">
        <v>45507</v>
      </c>
      <c r="D2477" t="inlineStr">
        <is>
          <t>VÄRMLANDS LÄN</t>
        </is>
      </c>
      <c r="E2477" t="inlineStr">
        <is>
          <t>TORSBY</t>
        </is>
      </c>
      <c r="F2477" t="inlineStr">
        <is>
          <t>Bergvik skog väst AB</t>
        </is>
      </c>
      <c r="G2477" t="n">
        <v>14.2</v>
      </c>
      <c r="H2477" t="n">
        <v>0</v>
      </c>
      <c r="I2477" t="n">
        <v>0</v>
      </c>
      <c r="J2477" t="n">
        <v>0</v>
      </c>
      <c r="K2477" t="n">
        <v>0</v>
      </c>
      <c r="L2477" t="n">
        <v>0</v>
      </c>
      <c r="M2477" t="n">
        <v>0</v>
      </c>
      <c r="N2477" t="n">
        <v>0</v>
      </c>
      <c r="O2477" t="n">
        <v>0</v>
      </c>
      <c r="P2477" t="n">
        <v>0</v>
      </c>
      <c r="Q2477" t="n">
        <v>0</v>
      </c>
      <c r="R2477" s="2" t="inlineStr"/>
    </row>
    <row r="2478" ht="15" customHeight="1">
      <c r="A2478" t="inlineStr">
        <is>
          <t>A 30952-2024</t>
        </is>
      </c>
      <c r="B2478" s="1" t="n">
        <v>45499</v>
      </c>
      <c r="C2478" s="1" t="n">
        <v>45507</v>
      </c>
      <c r="D2478" t="inlineStr">
        <is>
          <t>VÄRMLANDS LÄN</t>
        </is>
      </c>
      <c r="E2478" t="inlineStr">
        <is>
          <t>TORSBY</t>
        </is>
      </c>
      <c r="F2478" t="inlineStr">
        <is>
          <t>Bergvik skog väst AB</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45507</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31164-2024</t>
        </is>
      </c>
      <c r="B2480" s="1" t="n">
        <v>45503</v>
      </c>
      <c r="C2480" s="1" t="n">
        <v>45507</v>
      </c>
      <c r="D2480" t="inlineStr">
        <is>
          <t>VÄRMLANDS LÄN</t>
        </is>
      </c>
      <c r="E2480" t="inlineStr">
        <is>
          <t>TORSBY</t>
        </is>
      </c>
      <c r="F2480" t="inlineStr">
        <is>
          <t>Kyrkan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31158-2024</t>
        </is>
      </c>
      <c r="B2481" s="1" t="n">
        <v>45503</v>
      </c>
      <c r="C2481" s="1" t="n">
        <v>45507</v>
      </c>
      <c r="D2481" t="inlineStr">
        <is>
          <t>VÄRMLANDS LÄN</t>
        </is>
      </c>
      <c r="E2481" t="inlineStr">
        <is>
          <t>TORSBY</t>
        </is>
      </c>
      <c r="F2481" t="inlineStr">
        <is>
          <t>Kyrkan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45507</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45507</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31351-2024</t>
        </is>
      </c>
      <c r="B2484" s="1" t="n">
        <v>45505</v>
      </c>
      <c r="C2484" s="1" t="n">
        <v>45507</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31377-2024</t>
        </is>
      </c>
      <c r="B2485" s="1" t="n">
        <v>45505</v>
      </c>
      <c r="C2485" s="1" t="n">
        <v>45507</v>
      </c>
      <c r="D2485" t="inlineStr">
        <is>
          <t>VÄRMLANDS LÄN</t>
        </is>
      </c>
      <c r="E2485" t="inlineStr">
        <is>
          <t>TORSBY</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31385-2024</t>
        </is>
      </c>
      <c r="B2486" s="1" t="n">
        <v>45505</v>
      </c>
      <c r="C2486" s="1" t="n">
        <v>45507</v>
      </c>
      <c r="D2486" t="inlineStr">
        <is>
          <t>VÄRMLANDS LÄN</t>
        </is>
      </c>
      <c r="E2486" t="inlineStr">
        <is>
          <t>TORSBY</t>
        </is>
      </c>
      <c r="G2486" t="n">
        <v>0.7</v>
      </c>
      <c r="H2486" t="n">
        <v>0</v>
      </c>
      <c r="I2486" t="n">
        <v>0</v>
      </c>
      <c r="J2486" t="n">
        <v>0</v>
      </c>
      <c r="K2486" t="n">
        <v>0</v>
      </c>
      <c r="L2486" t="n">
        <v>0</v>
      </c>
      <c r="M2486" t="n">
        <v>0</v>
      </c>
      <c r="N2486" t="n">
        <v>0</v>
      </c>
      <c r="O2486" t="n">
        <v>0</v>
      </c>
      <c r="P2486" t="n">
        <v>0</v>
      </c>
      <c r="Q2486" t="n">
        <v>0</v>
      </c>
      <c r="R2486" s="2" t="inlineStr"/>
    </row>
    <row r="2487">
      <c r="A2487" t="inlineStr">
        <is>
          <t>A 31380-2024</t>
        </is>
      </c>
      <c r="B2487" s="1" t="n">
        <v>45505</v>
      </c>
      <c r="C2487" s="1" t="n">
        <v>45507</v>
      </c>
      <c r="D2487" t="inlineStr">
        <is>
          <t>VÄRMLANDS LÄN</t>
        </is>
      </c>
      <c r="E2487" t="inlineStr">
        <is>
          <t>TORSBY</t>
        </is>
      </c>
      <c r="G2487" t="n">
        <v>2</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2024-08-03T10:31:11Z</dcterms:created>
  <dcterms:modified xmlns:dcterms="http://purl.org/dc/terms/" xmlns:xsi="http://www.w3.org/2001/XMLSchema-instance" xsi:type="dcterms:W3CDTF">2024-08-03T10:31:13Z</dcterms:modified>
</cp:coreProperties>
</file>