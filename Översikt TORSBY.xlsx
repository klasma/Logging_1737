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45828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45828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45828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45828</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45828</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45828</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45828</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45828</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45828</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45828</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45828</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45828</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45828</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45828</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45828</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45828</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45828</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45828</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45828</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45828</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45828</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45828</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45828</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45828</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45828</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45828</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45828</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45828</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45828</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45828</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45828</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45828</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45828</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45828</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45828</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45828</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45828</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45828</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45828</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45828</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45828</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45828</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45828</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45828</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45828</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45828</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45828</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45828</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45828</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45828</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45828</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45828</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45828</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45828</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45828</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45828</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45828</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45828</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45828</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45828</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45828</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45828</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45828</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45828</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45828</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45828</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45828</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45828</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45828</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45828</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45828</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45828</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45828</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45828</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45828</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45828</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45828</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45828</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45828</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45828</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45828</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45828</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45828</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45828</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45828</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45828</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45828</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45828</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45828</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45828</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45828</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45828</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45828</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45828</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45828</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45828</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45828</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45828</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45828</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45828</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45828</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45828</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45828</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45828</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45828</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45828</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45828</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45828</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45828</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45828</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45828</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45828</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45828</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45828</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45828</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45828</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45828</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45828</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45828</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45828</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45828</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45828</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45828</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45828</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45828</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45828</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45828</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45828</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45828</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45828</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45828</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45828</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45828</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45828</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45828</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45828</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45828</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45828</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45828</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45828</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45828</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45828</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45828</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45828</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45828</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45828</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45828</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45828</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45828</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45828</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45828</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45828</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45828</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45828</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45828</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45828</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45828</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45828</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45828</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45828</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45828</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45828</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45828</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45828</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45828</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45828</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45828</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45828</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45828</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45828</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45828</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45828</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45828</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45828</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45828</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45828</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45828</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45828</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45828</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45828</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45828</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45828</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45828</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45828</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45828</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45828</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45828</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45828</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45828</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45828</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45828</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45828</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45828</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45828</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45828</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45828</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25276-2025</t>
        </is>
      </c>
      <c r="B199" s="1" t="n">
        <v>45800</v>
      </c>
      <c r="C199" s="1" t="n">
        <v>45828</v>
      </c>
      <c r="D199" t="inlineStr">
        <is>
          <t>VÄRMLANDS LÄN</t>
        </is>
      </c>
      <c r="E199" t="inlineStr">
        <is>
          <t>TORSBY</t>
        </is>
      </c>
      <c r="G199" t="n">
        <v>27.6</v>
      </c>
      <c r="H199" t="n">
        <v>0</v>
      </c>
      <c r="I199" t="n">
        <v>0</v>
      </c>
      <c r="J199" t="n">
        <v>1</v>
      </c>
      <c r="K199" t="n">
        <v>0</v>
      </c>
      <c r="L199" t="n">
        <v>0</v>
      </c>
      <c r="M199" t="n">
        <v>0</v>
      </c>
      <c r="N199" t="n">
        <v>0</v>
      </c>
      <c r="O199" t="n">
        <v>1</v>
      </c>
      <c r="P199" t="n">
        <v>0</v>
      </c>
      <c r="Q199" t="n">
        <v>1</v>
      </c>
      <c r="R199" s="2" t="inlineStr">
        <is>
          <t>Lunglav</t>
        </is>
      </c>
      <c r="S199">
        <f>HYPERLINK("https://klasma.github.io/Logging_171737/artfynd/A 25276-2025 artfynd.xlsx", "A 25276-2025")</f>
        <v/>
      </c>
      <c r="T199">
        <f>HYPERLINK("https://klasma.github.io/Logging_171737/kartor/A 25276-2025 karta.png", "A 25276-2025")</f>
        <v/>
      </c>
      <c r="V199">
        <f>HYPERLINK("https://klasma.github.io/Logging_171737/klagomål/A 25276-2025 FSC-klagomål.docx", "A 25276-2025")</f>
        <v/>
      </c>
      <c r="W199">
        <f>HYPERLINK("https://klasma.github.io/Logging_171737/klagomålsmail/A 25276-2025 FSC-klagomål mail.docx", "A 25276-2025")</f>
        <v/>
      </c>
      <c r="X199">
        <f>HYPERLINK("https://klasma.github.io/Logging_171737/tillsyn/A 25276-2025 tillsynsbegäran.docx", "A 25276-2025")</f>
        <v/>
      </c>
      <c r="Y199">
        <f>HYPERLINK("https://klasma.github.io/Logging_171737/tillsynsmail/A 25276-2025 tillsynsbegäran mail.docx", "A 25276-2025")</f>
        <v/>
      </c>
    </row>
    <row r="200" ht="15" customHeight="1">
      <c r="A200" t="inlineStr">
        <is>
          <t>A 25217-2025</t>
        </is>
      </c>
      <c r="B200" s="1" t="n">
        <v>45800</v>
      </c>
      <c r="C200" s="1" t="n">
        <v>45828</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25802-2025</t>
        </is>
      </c>
      <c r="B201" s="1" t="n">
        <v>45804</v>
      </c>
      <c r="C201" s="1" t="n">
        <v>45828</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45828</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45828</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29756-2025</t>
        </is>
      </c>
      <c r="B204" s="1" t="n">
        <v>45825</v>
      </c>
      <c r="C204" s="1" t="n">
        <v>45828</v>
      </c>
      <c r="D204" t="inlineStr">
        <is>
          <t>VÄRMLANDS LÄN</t>
        </is>
      </c>
      <c r="E204" t="inlineStr">
        <is>
          <t>TORSBY</t>
        </is>
      </c>
      <c r="G204" t="n">
        <v>6.9</v>
      </c>
      <c r="H204" t="n">
        <v>0</v>
      </c>
      <c r="I204" t="n">
        <v>0</v>
      </c>
      <c r="J204" t="n">
        <v>1</v>
      </c>
      <c r="K204" t="n">
        <v>0</v>
      </c>
      <c r="L204" t="n">
        <v>0</v>
      </c>
      <c r="M204" t="n">
        <v>0</v>
      </c>
      <c r="N204" t="n">
        <v>0</v>
      </c>
      <c r="O204" t="n">
        <v>1</v>
      </c>
      <c r="P204" t="n">
        <v>0</v>
      </c>
      <c r="Q204" t="n">
        <v>1</v>
      </c>
      <c r="R204" s="2" t="inlineStr">
        <is>
          <t>Garnlav</t>
        </is>
      </c>
      <c r="S204">
        <f>HYPERLINK("https://klasma.github.io/Logging_171737/artfynd/A 29756-2025 artfynd.xlsx", "A 29756-2025")</f>
        <v/>
      </c>
      <c r="T204">
        <f>HYPERLINK("https://klasma.github.io/Logging_171737/kartor/A 29756-2025 karta.png", "A 29756-2025")</f>
        <v/>
      </c>
      <c r="V204">
        <f>HYPERLINK("https://klasma.github.io/Logging_171737/klagomål/A 29756-2025 FSC-klagomål.docx", "A 29756-2025")</f>
        <v/>
      </c>
      <c r="W204">
        <f>HYPERLINK("https://klasma.github.io/Logging_171737/klagomålsmail/A 29756-2025 FSC-klagomål mail.docx", "A 29756-2025")</f>
        <v/>
      </c>
      <c r="X204">
        <f>HYPERLINK("https://klasma.github.io/Logging_171737/tillsyn/A 29756-2025 tillsynsbegäran.docx", "A 29756-2025")</f>
        <v/>
      </c>
      <c r="Y204">
        <f>HYPERLINK("https://klasma.github.io/Logging_171737/tillsynsmail/A 29756-2025 tillsynsbegäran mail.docx", "A 29756-2025")</f>
        <v/>
      </c>
    </row>
    <row r="205" ht="15" customHeight="1">
      <c r="A205" t="inlineStr">
        <is>
          <t>A 17808-2019</t>
        </is>
      </c>
      <c r="B205" s="1" t="n">
        <v>43556</v>
      </c>
      <c r="C205" s="1" t="n">
        <v>45828</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17788-2019</t>
        </is>
      </c>
      <c r="B206" s="1" t="n">
        <v>43556</v>
      </c>
      <c r="C206" s="1" t="n">
        <v>45828</v>
      </c>
      <c r="D206" t="inlineStr">
        <is>
          <t>VÄRMLANDS LÄN</t>
        </is>
      </c>
      <c r="E206" t="inlineStr">
        <is>
          <t>TORSBY</t>
        </is>
      </c>
      <c r="G206" t="n">
        <v>2.3</v>
      </c>
      <c r="H206" t="n">
        <v>0</v>
      </c>
      <c r="I206" t="n">
        <v>0</v>
      </c>
      <c r="J206" t="n">
        <v>0</v>
      </c>
      <c r="K206" t="n">
        <v>0</v>
      </c>
      <c r="L206" t="n">
        <v>0</v>
      </c>
      <c r="M206" t="n">
        <v>0</v>
      </c>
      <c r="N206" t="n">
        <v>0</v>
      </c>
      <c r="O206" t="n">
        <v>0</v>
      </c>
      <c r="P206" t="n">
        <v>0</v>
      </c>
      <c r="Q206" t="n">
        <v>0</v>
      </c>
      <c r="R206" s="2" t="inlineStr"/>
    </row>
    <row r="207" ht="15" customHeight="1">
      <c r="A207" t="inlineStr">
        <is>
          <t>A 17957-2019</t>
        </is>
      </c>
      <c r="B207" s="1" t="n">
        <v>43557</v>
      </c>
      <c r="C207" s="1" t="n">
        <v>45828</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17864-2019</t>
        </is>
      </c>
      <c r="B208" s="1" t="n">
        <v>43557</v>
      </c>
      <c r="C208" s="1" t="n">
        <v>45828</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18551-2019</t>
        </is>
      </c>
      <c r="B209" s="1" t="n">
        <v>43559</v>
      </c>
      <c r="C209" s="1" t="n">
        <v>45828</v>
      </c>
      <c r="D209" t="inlineStr">
        <is>
          <t>VÄRMLANDS LÄN</t>
        </is>
      </c>
      <c r="E209" t="inlineStr">
        <is>
          <t>TORSBY</t>
        </is>
      </c>
      <c r="G209" t="n">
        <v>1.5</v>
      </c>
      <c r="H209" t="n">
        <v>0</v>
      </c>
      <c r="I209" t="n">
        <v>0</v>
      </c>
      <c r="J209" t="n">
        <v>0</v>
      </c>
      <c r="K209" t="n">
        <v>0</v>
      </c>
      <c r="L209" t="n">
        <v>0</v>
      </c>
      <c r="M209" t="n">
        <v>0</v>
      </c>
      <c r="N209" t="n">
        <v>0</v>
      </c>
      <c r="O209" t="n">
        <v>0</v>
      </c>
      <c r="P209" t="n">
        <v>0</v>
      </c>
      <c r="Q209" t="n">
        <v>0</v>
      </c>
      <c r="R209" s="2" t="inlineStr"/>
    </row>
    <row r="210" ht="15" customHeight="1">
      <c r="A210" t="inlineStr">
        <is>
          <t>A 18947-2019</t>
        </is>
      </c>
      <c r="B210" s="1" t="n">
        <v>43563</v>
      </c>
      <c r="C210" s="1" t="n">
        <v>45828</v>
      </c>
      <c r="D210" t="inlineStr">
        <is>
          <t>VÄRMLANDS LÄN</t>
        </is>
      </c>
      <c r="E210" t="inlineStr">
        <is>
          <t>TORSBY</t>
        </is>
      </c>
      <c r="G210" t="n">
        <v>7.6</v>
      </c>
      <c r="H210" t="n">
        <v>0</v>
      </c>
      <c r="I210" t="n">
        <v>0</v>
      </c>
      <c r="J210" t="n">
        <v>0</v>
      </c>
      <c r="K210" t="n">
        <v>0</v>
      </c>
      <c r="L210" t="n">
        <v>0</v>
      </c>
      <c r="M210" t="n">
        <v>0</v>
      </c>
      <c r="N210" t="n">
        <v>0</v>
      </c>
      <c r="O210" t="n">
        <v>0</v>
      </c>
      <c r="P210" t="n">
        <v>0</v>
      </c>
      <c r="Q210" t="n">
        <v>0</v>
      </c>
      <c r="R210" s="2" t="inlineStr"/>
    </row>
    <row r="211" ht="15" customHeight="1">
      <c r="A211" t="inlineStr">
        <is>
          <t>A 19974-2019</t>
        </is>
      </c>
      <c r="B211" s="1" t="n">
        <v>43564</v>
      </c>
      <c r="C211" s="1" t="n">
        <v>45828</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19125-2019</t>
        </is>
      </c>
      <c r="B212" s="1" t="n">
        <v>43564</v>
      </c>
      <c r="C212" s="1" t="n">
        <v>45828</v>
      </c>
      <c r="D212" t="inlineStr">
        <is>
          <t>VÄRMLANDS LÄN</t>
        </is>
      </c>
      <c r="E212" t="inlineStr">
        <is>
          <t>TORSBY</t>
        </is>
      </c>
      <c r="G212" t="n">
        <v>18.3</v>
      </c>
      <c r="H212" t="n">
        <v>0</v>
      </c>
      <c r="I212" t="n">
        <v>0</v>
      </c>
      <c r="J212" t="n">
        <v>0</v>
      </c>
      <c r="K212" t="n">
        <v>0</v>
      </c>
      <c r="L212" t="n">
        <v>0</v>
      </c>
      <c r="M212" t="n">
        <v>0</v>
      </c>
      <c r="N212" t="n">
        <v>0</v>
      </c>
      <c r="O212" t="n">
        <v>0</v>
      </c>
      <c r="P212" t="n">
        <v>0</v>
      </c>
      <c r="Q212" t="n">
        <v>0</v>
      </c>
      <c r="R212" s="2" t="inlineStr"/>
    </row>
    <row r="213" ht="15" customHeight="1">
      <c r="A213" t="inlineStr">
        <is>
          <t>A 19591-2019</t>
        </is>
      </c>
      <c r="B213" s="1" t="n">
        <v>43566</v>
      </c>
      <c r="C213" s="1" t="n">
        <v>45828</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20167-2019</t>
        </is>
      </c>
      <c r="B214" s="1" t="n">
        <v>43570</v>
      </c>
      <c r="C214" s="1" t="n">
        <v>45828</v>
      </c>
      <c r="D214" t="inlineStr">
        <is>
          <t>VÄRMLANDS LÄN</t>
        </is>
      </c>
      <c r="E214" t="inlineStr">
        <is>
          <t>TORSBY</t>
        </is>
      </c>
      <c r="G214" t="n">
        <v>5</v>
      </c>
      <c r="H214" t="n">
        <v>0</v>
      </c>
      <c r="I214" t="n">
        <v>0</v>
      </c>
      <c r="J214" t="n">
        <v>0</v>
      </c>
      <c r="K214" t="n">
        <v>0</v>
      </c>
      <c r="L214" t="n">
        <v>0</v>
      </c>
      <c r="M214" t="n">
        <v>0</v>
      </c>
      <c r="N214" t="n">
        <v>0</v>
      </c>
      <c r="O214" t="n">
        <v>0</v>
      </c>
      <c r="P214" t="n">
        <v>0</v>
      </c>
      <c r="Q214" t="n">
        <v>0</v>
      </c>
      <c r="R214" s="2" t="inlineStr"/>
    </row>
    <row r="215" ht="15" customHeight="1">
      <c r="A215" t="inlineStr">
        <is>
          <t>A 20190-2019</t>
        </is>
      </c>
      <c r="B215" s="1" t="n">
        <v>43570</v>
      </c>
      <c r="C215" s="1" t="n">
        <v>45828</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20244-2019</t>
        </is>
      </c>
      <c r="B216" s="1" t="n">
        <v>43571</v>
      </c>
      <c r="C216" s="1" t="n">
        <v>45828</v>
      </c>
      <c r="D216" t="inlineStr">
        <is>
          <t>VÄRMLANDS LÄN</t>
        </is>
      </c>
      <c r="E216" t="inlineStr">
        <is>
          <t>TORSBY</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20616-2019</t>
        </is>
      </c>
      <c r="B217" s="1" t="n">
        <v>43572</v>
      </c>
      <c r="C217" s="1" t="n">
        <v>45828</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20468-2019</t>
        </is>
      </c>
      <c r="B218" s="1" t="n">
        <v>43572</v>
      </c>
      <c r="C218" s="1" t="n">
        <v>45828</v>
      </c>
      <c r="D218" t="inlineStr">
        <is>
          <t>VÄRMLANDS LÄN</t>
        </is>
      </c>
      <c r="E218" t="inlineStr">
        <is>
          <t>TORSBY</t>
        </is>
      </c>
      <c r="G218" t="n">
        <v>2.9</v>
      </c>
      <c r="H218" t="n">
        <v>0</v>
      </c>
      <c r="I218" t="n">
        <v>0</v>
      </c>
      <c r="J218" t="n">
        <v>0</v>
      </c>
      <c r="K218" t="n">
        <v>0</v>
      </c>
      <c r="L218" t="n">
        <v>0</v>
      </c>
      <c r="M218" t="n">
        <v>0</v>
      </c>
      <c r="N218" t="n">
        <v>0</v>
      </c>
      <c r="O218" t="n">
        <v>0</v>
      </c>
      <c r="P218" t="n">
        <v>0</v>
      </c>
      <c r="Q218" t="n">
        <v>0</v>
      </c>
      <c r="R218" s="2" t="inlineStr"/>
    </row>
    <row r="219" ht="15" customHeight="1">
      <c r="A219" t="inlineStr">
        <is>
          <t>A 21166-2019</t>
        </is>
      </c>
      <c r="B219" s="1" t="n">
        <v>43578</v>
      </c>
      <c r="C219" s="1" t="n">
        <v>45828</v>
      </c>
      <c r="D219" t="inlineStr">
        <is>
          <t>VÄRMLANDS LÄN</t>
        </is>
      </c>
      <c r="E219" t="inlineStr">
        <is>
          <t>TORSBY</t>
        </is>
      </c>
      <c r="G219" t="n">
        <v>3.4</v>
      </c>
      <c r="H219" t="n">
        <v>0</v>
      </c>
      <c r="I219" t="n">
        <v>0</v>
      </c>
      <c r="J219" t="n">
        <v>0</v>
      </c>
      <c r="K219" t="n">
        <v>0</v>
      </c>
      <c r="L219" t="n">
        <v>0</v>
      </c>
      <c r="M219" t="n">
        <v>0</v>
      </c>
      <c r="N219" t="n">
        <v>0</v>
      </c>
      <c r="O219" t="n">
        <v>0</v>
      </c>
      <c r="P219" t="n">
        <v>0</v>
      </c>
      <c r="Q219" t="n">
        <v>0</v>
      </c>
      <c r="R219" s="2" t="inlineStr"/>
    </row>
    <row r="220" ht="15" customHeight="1">
      <c r="A220" t="inlineStr">
        <is>
          <t>A 21387-2019</t>
        </is>
      </c>
      <c r="B220" s="1" t="n">
        <v>43580</v>
      </c>
      <c r="C220" s="1" t="n">
        <v>45828</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21958-2019</t>
        </is>
      </c>
      <c r="B221" s="1" t="n">
        <v>43584</v>
      </c>
      <c r="C221" s="1" t="n">
        <v>45828</v>
      </c>
      <c r="D221" t="inlineStr">
        <is>
          <t>VÄRMLANDS LÄN</t>
        </is>
      </c>
      <c r="E221" t="inlineStr">
        <is>
          <t>TORSBY</t>
        </is>
      </c>
      <c r="G221" t="n">
        <v>3.5</v>
      </c>
      <c r="H221" t="n">
        <v>0</v>
      </c>
      <c r="I221" t="n">
        <v>0</v>
      </c>
      <c r="J221" t="n">
        <v>0</v>
      </c>
      <c r="K221" t="n">
        <v>0</v>
      </c>
      <c r="L221" t="n">
        <v>0</v>
      </c>
      <c r="M221" t="n">
        <v>0</v>
      </c>
      <c r="N221" t="n">
        <v>0</v>
      </c>
      <c r="O221" t="n">
        <v>0</v>
      </c>
      <c r="P221" t="n">
        <v>0</v>
      </c>
      <c r="Q221" t="n">
        <v>0</v>
      </c>
      <c r="R221" s="2" t="inlineStr"/>
    </row>
    <row r="222" ht="15" customHeight="1">
      <c r="A222" t="inlineStr">
        <is>
          <t>A 22252-2019</t>
        </is>
      </c>
      <c r="B222" s="1" t="n">
        <v>43585</v>
      </c>
      <c r="C222" s="1" t="n">
        <v>45828</v>
      </c>
      <c r="D222" t="inlineStr">
        <is>
          <t>VÄRMLANDS LÄN</t>
        </is>
      </c>
      <c r="E222" t="inlineStr">
        <is>
          <t>TORSBY</t>
        </is>
      </c>
      <c r="G222" t="n">
        <v>3.7</v>
      </c>
      <c r="H222" t="n">
        <v>0</v>
      </c>
      <c r="I222" t="n">
        <v>0</v>
      </c>
      <c r="J222" t="n">
        <v>0</v>
      </c>
      <c r="K222" t="n">
        <v>0</v>
      </c>
      <c r="L222" t="n">
        <v>0</v>
      </c>
      <c r="M222" t="n">
        <v>0</v>
      </c>
      <c r="N222" t="n">
        <v>0</v>
      </c>
      <c r="O222" t="n">
        <v>0</v>
      </c>
      <c r="P222" t="n">
        <v>0</v>
      </c>
      <c r="Q222" t="n">
        <v>0</v>
      </c>
      <c r="R222" s="2" t="inlineStr"/>
    </row>
    <row r="223" ht="15" customHeight="1">
      <c r="A223" t="inlineStr">
        <is>
          <t>A 22158-2019</t>
        </is>
      </c>
      <c r="B223" s="1" t="n">
        <v>43585</v>
      </c>
      <c r="C223" s="1" t="n">
        <v>45828</v>
      </c>
      <c r="D223" t="inlineStr">
        <is>
          <t>VÄRMLANDS LÄN</t>
        </is>
      </c>
      <c r="E223" t="inlineStr">
        <is>
          <t>TORSBY</t>
        </is>
      </c>
      <c r="G223" t="n">
        <v>4.5</v>
      </c>
      <c r="H223" t="n">
        <v>0</v>
      </c>
      <c r="I223" t="n">
        <v>0</v>
      </c>
      <c r="J223" t="n">
        <v>0</v>
      </c>
      <c r="K223" t="n">
        <v>0</v>
      </c>
      <c r="L223" t="n">
        <v>0</v>
      </c>
      <c r="M223" t="n">
        <v>0</v>
      </c>
      <c r="N223" t="n">
        <v>0</v>
      </c>
      <c r="O223" t="n">
        <v>0</v>
      </c>
      <c r="P223" t="n">
        <v>0</v>
      </c>
      <c r="Q223" t="n">
        <v>0</v>
      </c>
      <c r="R223" s="2" t="inlineStr"/>
    </row>
    <row r="224" ht="15" customHeight="1">
      <c r="A224" t="inlineStr">
        <is>
          <t>A 22416-2019</t>
        </is>
      </c>
      <c r="B224" s="1" t="n">
        <v>43587</v>
      </c>
      <c r="C224" s="1" t="n">
        <v>45828</v>
      </c>
      <c r="D224" t="inlineStr">
        <is>
          <t>VÄRMLANDS LÄN</t>
        </is>
      </c>
      <c r="E224" t="inlineStr">
        <is>
          <t>TORSBY</t>
        </is>
      </c>
      <c r="G224" t="n">
        <v>1.9</v>
      </c>
      <c r="H224" t="n">
        <v>0</v>
      </c>
      <c r="I224" t="n">
        <v>0</v>
      </c>
      <c r="J224" t="n">
        <v>0</v>
      </c>
      <c r="K224" t="n">
        <v>0</v>
      </c>
      <c r="L224" t="n">
        <v>0</v>
      </c>
      <c r="M224" t="n">
        <v>0</v>
      </c>
      <c r="N224" t="n">
        <v>0</v>
      </c>
      <c r="O224" t="n">
        <v>0</v>
      </c>
      <c r="P224" t="n">
        <v>0</v>
      </c>
      <c r="Q224" t="n">
        <v>0</v>
      </c>
      <c r="R224" s="2" t="inlineStr"/>
    </row>
    <row r="225" ht="15" customHeight="1">
      <c r="A225" t="inlineStr">
        <is>
          <t>A 22351-2019</t>
        </is>
      </c>
      <c r="B225" s="1" t="n">
        <v>43587</v>
      </c>
      <c r="C225" s="1" t="n">
        <v>45828</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22692-2019</t>
        </is>
      </c>
      <c r="B226" s="1" t="n">
        <v>43588</v>
      </c>
      <c r="C226" s="1" t="n">
        <v>45828</v>
      </c>
      <c r="D226" t="inlineStr">
        <is>
          <t>VÄRMLANDS LÄN</t>
        </is>
      </c>
      <c r="E226" t="inlineStr">
        <is>
          <t>TORSBY</t>
        </is>
      </c>
      <c r="F226" t="inlineStr">
        <is>
          <t>Bergvik skog väst AB</t>
        </is>
      </c>
      <c r="G226" t="n">
        <v>5.4</v>
      </c>
      <c r="H226" t="n">
        <v>0</v>
      </c>
      <c r="I226" t="n">
        <v>0</v>
      </c>
      <c r="J226" t="n">
        <v>0</v>
      </c>
      <c r="K226" t="n">
        <v>0</v>
      </c>
      <c r="L226" t="n">
        <v>0</v>
      </c>
      <c r="M226" t="n">
        <v>0</v>
      </c>
      <c r="N226" t="n">
        <v>0</v>
      </c>
      <c r="O226" t="n">
        <v>0</v>
      </c>
      <c r="P226" t="n">
        <v>0</v>
      </c>
      <c r="Q226" t="n">
        <v>0</v>
      </c>
      <c r="R226" s="2" t="inlineStr"/>
    </row>
    <row r="227" ht="15" customHeight="1">
      <c r="A227" t="inlineStr">
        <is>
          <t>A 22717-2019</t>
        </is>
      </c>
      <c r="B227" s="1" t="n">
        <v>43588</v>
      </c>
      <c r="C227" s="1" t="n">
        <v>45828</v>
      </c>
      <c r="D227" t="inlineStr">
        <is>
          <t>VÄRMLANDS LÄN</t>
        </is>
      </c>
      <c r="E227" t="inlineStr">
        <is>
          <t>TORSBY</t>
        </is>
      </c>
      <c r="G227" t="n">
        <v>8</v>
      </c>
      <c r="H227" t="n">
        <v>0</v>
      </c>
      <c r="I227" t="n">
        <v>0</v>
      </c>
      <c r="J227" t="n">
        <v>0</v>
      </c>
      <c r="K227" t="n">
        <v>0</v>
      </c>
      <c r="L227" t="n">
        <v>0</v>
      </c>
      <c r="M227" t="n">
        <v>0</v>
      </c>
      <c r="N227" t="n">
        <v>0</v>
      </c>
      <c r="O227" t="n">
        <v>0</v>
      </c>
      <c r="P227" t="n">
        <v>0</v>
      </c>
      <c r="Q227" t="n">
        <v>0</v>
      </c>
      <c r="R227" s="2" t="inlineStr"/>
    </row>
    <row r="228" ht="15" customHeight="1">
      <c r="A228" t="inlineStr">
        <is>
          <t>A 23412-2019</t>
        </is>
      </c>
      <c r="B228" s="1" t="n">
        <v>43593</v>
      </c>
      <c r="C228" s="1" t="n">
        <v>45828</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23892-2019</t>
        </is>
      </c>
      <c r="B229" s="1" t="n">
        <v>43595</v>
      </c>
      <c r="C229" s="1" t="n">
        <v>45828</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23771-2019</t>
        </is>
      </c>
      <c r="B230" s="1" t="n">
        <v>43595</v>
      </c>
      <c r="C230" s="1" t="n">
        <v>45828</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24667-2019</t>
        </is>
      </c>
      <c r="B231" s="1" t="n">
        <v>43599</v>
      </c>
      <c r="C231" s="1" t="n">
        <v>45828</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24703-2019</t>
        </is>
      </c>
      <c r="B232" s="1" t="n">
        <v>43601</v>
      </c>
      <c r="C232" s="1" t="n">
        <v>45828</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26493-2019</t>
        </is>
      </c>
      <c r="B233" s="1" t="n">
        <v>43612</v>
      </c>
      <c r="C233" s="1" t="n">
        <v>45828</v>
      </c>
      <c r="D233" t="inlineStr">
        <is>
          <t>VÄRMLANDS LÄN</t>
        </is>
      </c>
      <c r="E233" t="inlineStr">
        <is>
          <t>TORSBY</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27907-2019</t>
        </is>
      </c>
      <c r="B234" s="1" t="n">
        <v>43612</v>
      </c>
      <c r="C234" s="1" t="n">
        <v>45828</v>
      </c>
      <c r="D234" t="inlineStr">
        <is>
          <t>VÄRMLANDS LÄN</t>
        </is>
      </c>
      <c r="E234" t="inlineStr">
        <is>
          <t>TORSBY</t>
        </is>
      </c>
      <c r="G234" t="n">
        <v>7.5</v>
      </c>
      <c r="H234" t="n">
        <v>0</v>
      </c>
      <c r="I234" t="n">
        <v>0</v>
      </c>
      <c r="J234" t="n">
        <v>0</v>
      </c>
      <c r="K234" t="n">
        <v>0</v>
      </c>
      <c r="L234" t="n">
        <v>0</v>
      </c>
      <c r="M234" t="n">
        <v>0</v>
      </c>
      <c r="N234" t="n">
        <v>0</v>
      </c>
      <c r="O234" t="n">
        <v>0</v>
      </c>
      <c r="P234" t="n">
        <v>0</v>
      </c>
      <c r="Q234" t="n">
        <v>0</v>
      </c>
      <c r="R234" s="2" t="inlineStr"/>
    </row>
    <row r="235" ht="15" customHeight="1">
      <c r="A235" t="inlineStr">
        <is>
          <t>A 26783-2019</t>
        </is>
      </c>
      <c r="B235" s="1" t="n">
        <v>43613</v>
      </c>
      <c r="C235" s="1" t="n">
        <v>45828</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27711-2019</t>
        </is>
      </c>
      <c r="B236" s="1" t="n">
        <v>43619</v>
      </c>
      <c r="C236" s="1" t="n">
        <v>45828</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27682-2019</t>
        </is>
      </c>
      <c r="B237" s="1" t="n">
        <v>43619</v>
      </c>
      <c r="C237" s="1" t="n">
        <v>45828</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28975-2019</t>
        </is>
      </c>
      <c r="B238" s="1" t="n">
        <v>43619</v>
      </c>
      <c r="C238" s="1" t="n">
        <v>45828</v>
      </c>
      <c r="D238" t="inlineStr">
        <is>
          <t>VÄRMLANDS LÄN</t>
        </is>
      </c>
      <c r="E238" t="inlineStr">
        <is>
          <t>TORSBY</t>
        </is>
      </c>
      <c r="G238" t="n">
        <v>6.5</v>
      </c>
      <c r="H238" t="n">
        <v>0</v>
      </c>
      <c r="I238" t="n">
        <v>0</v>
      </c>
      <c r="J238" t="n">
        <v>0</v>
      </c>
      <c r="K238" t="n">
        <v>0</v>
      </c>
      <c r="L238" t="n">
        <v>0</v>
      </c>
      <c r="M238" t="n">
        <v>0</v>
      </c>
      <c r="N238" t="n">
        <v>0</v>
      </c>
      <c r="O238" t="n">
        <v>0</v>
      </c>
      <c r="P238" t="n">
        <v>0</v>
      </c>
      <c r="Q238" t="n">
        <v>0</v>
      </c>
      <c r="R238" s="2" t="inlineStr"/>
    </row>
    <row r="239" ht="15" customHeight="1">
      <c r="A239" t="inlineStr">
        <is>
          <t>A 28487-2019</t>
        </is>
      </c>
      <c r="B239" s="1" t="n">
        <v>43621</v>
      </c>
      <c r="C239" s="1" t="n">
        <v>45828</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28653-2019</t>
        </is>
      </c>
      <c r="B240" s="1" t="n">
        <v>43627</v>
      </c>
      <c r="C240" s="1" t="n">
        <v>45828</v>
      </c>
      <c r="D240" t="inlineStr">
        <is>
          <t>VÄRMLANDS LÄN</t>
        </is>
      </c>
      <c r="E240" t="inlineStr">
        <is>
          <t>TORSBY</t>
        </is>
      </c>
      <c r="G240" t="n">
        <v>5.2</v>
      </c>
      <c r="H240" t="n">
        <v>0</v>
      </c>
      <c r="I240" t="n">
        <v>0</v>
      </c>
      <c r="J240" t="n">
        <v>0</v>
      </c>
      <c r="K240" t="n">
        <v>0</v>
      </c>
      <c r="L240" t="n">
        <v>0</v>
      </c>
      <c r="M240" t="n">
        <v>0</v>
      </c>
      <c r="N240" t="n">
        <v>0</v>
      </c>
      <c r="O240" t="n">
        <v>0</v>
      </c>
      <c r="P240" t="n">
        <v>0</v>
      </c>
      <c r="Q240" t="n">
        <v>0</v>
      </c>
      <c r="R240" s="2" t="inlineStr"/>
    </row>
    <row r="241" ht="15" customHeight="1">
      <c r="A241" t="inlineStr">
        <is>
          <t>A 28818-2019</t>
        </is>
      </c>
      <c r="B241" s="1" t="n">
        <v>43627</v>
      </c>
      <c r="C241" s="1" t="n">
        <v>45828</v>
      </c>
      <c r="D241" t="inlineStr">
        <is>
          <t>VÄRMLANDS LÄN</t>
        </is>
      </c>
      <c r="E241" t="inlineStr">
        <is>
          <t>TORSBY</t>
        </is>
      </c>
      <c r="F241" t="inlineStr">
        <is>
          <t>Bergvik skog väst AB</t>
        </is>
      </c>
      <c r="G241" t="n">
        <v>58.6</v>
      </c>
      <c r="H241" t="n">
        <v>0</v>
      </c>
      <c r="I241" t="n">
        <v>0</v>
      </c>
      <c r="J241" t="n">
        <v>0</v>
      </c>
      <c r="K241" t="n">
        <v>0</v>
      </c>
      <c r="L241" t="n">
        <v>0</v>
      </c>
      <c r="M241" t="n">
        <v>0</v>
      </c>
      <c r="N241" t="n">
        <v>0</v>
      </c>
      <c r="O241" t="n">
        <v>0</v>
      </c>
      <c r="P241" t="n">
        <v>0</v>
      </c>
      <c r="Q241" t="n">
        <v>0</v>
      </c>
      <c r="R241" s="2" t="inlineStr"/>
    </row>
    <row r="242" ht="15" customHeight="1">
      <c r="A242" t="inlineStr">
        <is>
          <t>A 28889-2019</t>
        </is>
      </c>
      <c r="B242" s="1" t="n">
        <v>43628</v>
      </c>
      <c r="C242" s="1" t="n">
        <v>45828</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29436-2019</t>
        </is>
      </c>
      <c r="B243" s="1" t="n">
        <v>43629</v>
      </c>
      <c r="C243" s="1" t="n">
        <v>45828</v>
      </c>
      <c r="D243" t="inlineStr">
        <is>
          <t>VÄRMLANDS LÄN</t>
        </is>
      </c>
      <c r="E243" t="inlineStr">
        <is>
          <t>TORSBY</t>
        </is>
      </c>
      <c r="F243" t="inlineStr">
        <is>
          <t>Bergvik skog väst AB</t>
        </is>
      </c>
      <c r="G243" t="n">
        <v>33.7</v>
      </c>
      <c r="H243" t="n">
        <v>0</v>
      </c>
      <c r="I243" t="n">
        <v>0</v>
      </c>
      <c r="J243" t="n">
        <v>0</v>
      </c>
      <c r="K243" t="n">
        <v>0</v>
      </c>
      <c r="L243" t="n">
        <v>0</v>
      </c>
      <c r="M243" t="n">
        <v>0</v>
      </c>
      <c r="N243" t="n">
        <v>0</v>
      </c>
      <c r="O243" t="n">
        <v>0</v>
      </c>
      <c r="P243" t="n">
        <v>0</v>
      </c>
      <c r="Q243" t="n">
        <v>0</v>
      </c>
      <c r="R243" s="2" t="inlineStr"/>
    </row>
    <row r="244" ht="15" customHeight="1">
      <c r="A244" t="inlineStr">
        <is>
          <t>A 30031-2019</t>
        </is>
      </c>
      <c r="B244" s="1" t="n">
        <v>43633</v>
      </c>
      <c r="C244" s="1" t="n">
        <v>45828</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30049-2019</t>
        </is>
      </c>
      <c r="B245" s="1" t="n">
        <v>43633</v>
      </c>
      <c r="C245" s="1" t="n">
        <v>45828</v>
      </c>
      <c r="D245" t="inlineStr">
        <is>
          <t>VÄRMLANDS LÄN</t>
        </is>
      </c>
      <c r="E245" t="inlineStr">
        <is>
          <t>TORSBY</t>
        </is>
      </c>
      <c r="G245" t="n">
        <v>7.1</v>
      </c>
      <c r="H245" t="n">
        <v>0</v>
      </c>
      <c r="I245" t="n">
        <v>0</v>
      </c>
      <c r="J245" t="n">
        <v>0</v>
      </c>
      <c r="K245" t="n">
        <v>0</v>
      </c>
      <c r="L245" t="n">
        <v>0</v>
      </c>
      <c r="M245" t="n">
        <v>0</v>
      </c>
      <c r="N245" t="n">
        <v>0</v>
      </c>
      <c r="O245" t="n">
        <v>0</v>
      </c>
      <c r="P245" t="n">
        <v>0</v>
      </c>
      <c r="Q245" t="n">
        <v>0</v>
      </c>
      <c r="R245" s="2" t="inlineStr"/>
    </row>
    <row r="246" ht="15" customHeight="1">
      <c r="A246" t="inlineStr">
        <is>
          <t>A 29984-2019</t>
        </is>
      </c>
      <c r="B246" s="1" t="n">
        <v>43633</v>
      </c>
      <c r="C246" s="1" t="n">
        <v>45828</v>
      </c>
      <c r="D246" t="inlineStr">
        <is>
          <t>VÄRMLANDS LÄN</t>
        </is>
      </c>
      <c r="E246" t="inlineStr">
        <is>
          <t>TORSBY</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30158-2019</t>
        </is>
      </c>
      <c r="B247" s="1" t="n">
        <v>43634</v>
      </c>
      <c r="C247" s="1" t="n">
        <v>45828</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30596-2019</t>
        </is>
      </c>
      <c r="B248" s="1" t="n">
        <v>43635</v>
      </c>
      <c r="C248" s="1" t="n">
        <v>45828</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30860-2019</t>
        </is>
      </c>
      <c r="B249" s="1" t="n">
        <v>43636</v>
      </c>
      <c r="C249" s="1" t="n">
        <v>45828</v>
      </c>
      <c r="D249" t="inlineStr">
        <is>
          <t>VÄRMLANDS LÄN</t>
        </is>
      </c>
      <c r="E249" t="inlineStr">
        <is>
          <t>TORSBY</t>
        </is>
      </c>
      <c r="G249" t="n">
        <v>11.7</v>
      </c>
      <c r="H249" t="n">
        <v>0</v>
      </c>
      <c r="I249" t="n">
        <v>0</v>
      </c>
      <c r="J249" t="n">
        <v>0</v>
      </c>
      <c r="K249" t="n">
        <v>0</v>
      </c>
      <c r="L249" t="n">
        <v>0</v>
      </c>
      <c r="M249" t="n">
        <v>0</v>
      </c>
      <c r="N249" t="n">
        <v>0</v>
      </c>
      <c r="O249" t="n">
        <v>0</v>
      </c>
      <c r="P249" t="n">
        <v>0</v>
      </c>
      <c r="Q249" t="n">
        <v>0</v>
      </c>
      <c r="R249" s="2" t="inlineStr"/>
    </row>
    <row r="250" ht="15" customHeight="1">
      <c r="A250" t="inlineStr">
        <is>
          <t>A 31109-2019</t>
        </is>
      </c>
      <c r="B250" s="1" t="n">
        <v>43640</v>
      </c>
      <c r="C250" s="1" t="n">
        <v>45828</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31010-2019</t>
        </is>
      </c>
      <c r="B251" s="1" t="n">
        <v>43640</v>
      </c>
      <c r="C251" s="1" t="n">
        <v>45828</v>
      </c>
      <c r="D251" t="inlineStr">
        <is>
          <t>VÄRMLANDS LÄN</t>
        </is>
      </c>
      <c r="E251" t="inlineStr">
        <is>
          <t>TORSBY</t>
        </is>
      </c>
      <c r="G251" t="n">
        <v>4</v>
      </c>
      <c r="H251" t="n">
        <v>0</v>
      </c>
      <c r="I251" t="n">
        <v>0</v>
      </c>
      <c r="J251" t="n">
        <v>0</v>
      </c>
      <c r="K251" t="n">
        <v>0</v>
      </c>
      <c r="L251" t="n">
        <v>0</v>
      </c>
      <c r="M251" t="n">
        <v>0</v>
      </c>
      <c r="N251" t="n">
        <v>0</v>
      </c>
      <c r="O251" t="n">
        <v>0</v>
      </c>
      <c r="P251" t="n">
        <v>0</v>
      </c>
      <c r="Q251" t="n">
        <v>0</v>
      </c>
      <c r="R251" s="2" t="inlineStr"/>
    </row>
    <row r="252" ht="15" customHeight="1">
      <c r="A252" t="inlineStr">
        <is>
          <t>A 31138-2019</t>
        </is>
      </c>
      <c r="B252" s="1" t="n">
        <v>43640</v>
      </c>
      <c r="C252" s="1" t="n">
        <v>45828</v>
      </c>
      <c r="D252" t="inlineStr">
        <is>
          <t>VÄRMLANDS LÄN</t>
        </is>
      </c>
      <c r="E252" t="inlineStr">
        <is>
          <t>TORSBY</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31543-2019</t>
        </is>
      </c>
      <c r="B253" s="1" t="n">
        <v>43641</v>
      </c>
      <c r="C253" s="1" t="n">
        <v>45828</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31930-2019</t>
        </is>
      </c>
      <c r="B254" s="1" t="n">
        <v>43642</v>
      </c>
      <c r="C254" s="1" t="n">
        <v>45828</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32170-2019</t>
        </is>
      </c>
      <c r="B255" s="1" t="n">
        <v>43643</v>
      </c>
      <c r="C255" s="1" t="n">
        <v>45828</v>
      </c>
      <c r="D255" t="inlineStr">
        <is>
          <t>VÄRMLANDS LÄN</t>
        </is>
      </c>
      <c r="E255" t="inlineStr">
        <is>
          <t>TORSBY</t>
        </is>
      </c>
      <c r="G255" t="n">
        <v>4.6</v>
      </c>
      <c r="H255" t="n">
        <v>0</v>
      </c>
      <c r="I255" t="n">
        <v>0</v>
      </c>
      <c r="J255" t="n">
        <v>0</v>
      </c>
      <c r="K255" t="n">
        <v>0</v>
      </c>
      <c r="L255" t="n">
        <v>0</v>
      </c>
      <c r="M255" t="n">
        <v>0</v>
      </c>
      <c r="N255" t="n">
        <v>0</v>
      </c>
      <c r="O255" t="n">
        <v>0</v>
      </c>
      <c r="P255" t="n">
        <v>0</v>
      </c>
      <c r="Q255" t="n">
        <v>0</v>
      </c>
      <c r="R255" s="2" t="inlineStr"/>
    </row>
    <row r="256" ht="15" customHeight="1">
      <c r="A256" t="inlineStr">
        <is>
          <t>A 32443-2019</t>
        </is>
      </c>
      <c r="B256" s="1" t="n">
        <v>43644</v>
      </c>
      <c r="C256" s="1" t="n">
        <v>45828</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32298-2019</t>
        </is>
      </c>
      <c r="B257" s="1" t="n">
        <v>43644</v>
      </c>
      <c r="C257" s="1" t="n">
        <v>45828</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32468-2019</t>
        </is>
      </c>
      <c r="B258" s="1" t="n">
        <v>43644</v>
      </c>
      <c r="C258" s="1" t="n">
        <v>45828</v>
      </c>
      <c r="D258" t="inlineStr">
        <is>
          <t>VÄRMLANDS LÄN</t>
        </is>
      </c>
      <c r="E258" t="inlineStr">
        <is>
          <t>TORSBY</t>
        </is>
      </c>
      <c r="G258" t="n">
        <v>4.7</v>
      </c>
      <c r="H258" t="n">
        <v>0</v>
      </c>
      <c r="I258" t="n">
        <v>0</v>
      </c>
      <c r="J258" t="n">
        <v>0</v>
      </c>
      <c r="K258" t="n">
        <v>0</v>
      </c>
      <c r="L258" t="n">
        <v>0</v>
      </c>
      <c r="M258" t="n">
        <v>0</v>
      </c>
      <c r="N258" t="n">
        <v>0</v>
      </c>
      <c r="O258" t="n">
        <v>0</v>
      </c>
      <c r="P258" t="n">
        <v>0</v>
      </c>
      <c r="Q258" t="n">
        <v>0</v>
      </c>
      <c r="R258" s="2" t="inlineStr"/>
    </row>
    <row r="259" ht="15" customHeight="1">
      <c r="A259" t="inlineStr">
        <is>
          <t>A 32444-2019</t>
        </is>
      </c>
      <c r="B259" s="1" t="n">
        <v>43644</v>
      </c>
      <c r="C259" s="1" t="n">
        <v>45828</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33918-2019</t>
        </is>
      </c>
      <c r="B260" s="1" t="n">
        <v>43654</v>
      </c>
      <c r="C260" s="1" t="n">
        <v>45828</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35505-2019</t>
        </is>
      </c>
      <c r="B261" s="1" t="n">
        <v>43654</v>
      </c>
      <c r="C261" s="1" t="n">
        <v>45828</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35788-2019</t>
        </is>
      </c>
      <c r="B262" s="1" t="n">
        <v>43656</v>
      </c>
      <c r="C262" s="1" t="n">
        <v>45828</v>
      </c>
      <c r="D262" t="inlineStr">
        <is>
          <t>VÄRMLANDS LÄN</t>
        </is>
      </c>
      <c r="E262" t="inlineStr">
        <is>
          <t>TORSBY</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34541-2019</t>
        </is>
      </c>
      <c r="B263" s="1" t="n">
        <v>43657</v>
      </c>
      <c r="C263" s="1" t="n">
        <v>45828</v>
      </c>
      <c r="D263" t="inlineStr">
        <is>
          <t>VÄRMLANDS LÄN</t>
        </is>
      </c>
      <c r="E263" t="inlineStr">
        <is>
          <t>TORSBY</t>
        </is>
      </c>
      <c r="G263" t="n">
        <v>5.7</v>
      </c>
      <c r="H263" t="n">
        <v>0</v>
      </c>
      <c r="I263" t="n">
        <v>0</v>
      </c>
      <c r="J263" t="n">
        <v>0</v>
      </c>
      <c r="K263" t="n">
        <v>0</v>
      </c>
      <c r="L263" t="n">
        <v>0</v>
      </c>
      <c r="M263" t="n">
        <v>0</v>
      </c>
      <c r="N263" t="n">
        <v>0</v>
      </c>
      <c r="O263" t="n">
        <v>0</v>
      </c>
      <c r="P263" t="n">
        <v>0</v>
      </c>
      <c r="Q263" t="n">
        <v>0</v>
      </c>
      <c r="R263" s="2" t="inlineStr"/>
    </row>
    <row r="264" ht="15" customHeight="1">
      <c r="A264" t="inlineStr">
        <is>
          <t>A 36480-2019</t>
        </is>
      </c>
      <c r="B264" s="1" t="n">
        <v>43668</v>
      </c>
      <c r="C264" s="1" t="n">
        <v>45828</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38010-2019</t>
        </is>
      </c>
      <c r="B265" s="1" t="n">
        <v>43669</v>
      </c>
      <c r="C265" s="1" t="n">
        <v>45828</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38003-2019</t>
        </is>
      </c>
      <c r="B266" s="1" t="n">
        <v>43669</v>
      </c>
      <c r="C266" s="1" t="n">
        <v>45828</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36712-2019</t>
        </is>
      </c>
      <c r="B267" s="1" t="n">
        <v>43669</v>
      </c>
      <c r="C267" s="1" t="n">
        <v>45828</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36682-2019</t>
        </is>
      </c>
      <c r="B268" s="1" t="n">
        <v>43670</v>
      </c>
      <c r="C268" s="1" t="n">
        <v>45828</v>
      </c>
      <c r="D268" t="inlineStr">
        <is>
          <t>VÄRMLANDS LÄN</t>
        </is>
      </c>
      <c r="E268" t="inlineStr">
        <is>
          <t>TORSBY</t>
        </is>
      </c>
      <c r="G268" t="n">
        <v>8.1</v>
      </c>
      <c r="H268" t="n">
        <v>0</v>
      </c>
      <c r="I268" t="n">
        <v>0</v>
      </c>
      <c r="J268" t="n">
        <v>0</v>
      </c>
      <c r="K268" t="n">
        <v>0</v>
      </c>
      <c r="L268" t="n">
        <v>0</v>
      </c>
      <c r="M268" t="n">
        <v>0</v>
      </c>
      <c r="N268" t="n">
        <v>0</v>
      </c>
      <c r="O268" t="n">
        <v>0</v>
      </c>
      <c r="P268" t="n">
        <v>0</v>
      </c>
      <c r="Q268" t="n">
        <v>0</v>
      </c>
      <c r="R268" s="2" t="inlineStr"/>
    </row>
    <row r="269" ht="15" customHeight="1">
      <c r="A269" t="inlineStr">
        <is>
          <t>A 36734-2019</t>
        </is>
      </c>
      <c r="B269" s="1" t="n">
        <v>43672</v>
      </c>
      <c r="C269" s="1" t="n">
        <v>45828</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36820-2019</t>
        </is>
      </c>
      <c r="B270" s="1" t="n">
        <v>43673</v>
      </c>
      <c r="C270" s="1" t="n">
        <v>45828</v>
      </c>
      <c r="D270" t="inlineStr">
        <is>
          <t>VÄRMLANDS LÄN</t>
        </is>
      </c>
      <c r="E270" t="inlineStr">
        <is>
          <t>TORSBY</t>
        </is>
      </c>
      <c r="G270" t="n">
        <v>0.2</v>
      </c>
      <c r="H270" t="n">
        <v>0</v>
      </c>
      <c r="I270" t="n">
        <v>0</v>
      </c>
      <c r="J270" t="n">
        <v>0</v>
      </c>
      <c r="K270" t="n">
        <v>0</v>
      </c>
      <c r="L270" t="n">
        <v>0</v>
      </c>
      <c r="M270" t="n">
        <v>0</v>
      </c>
      <c r="N270" t="n">
        <v>0</v>
      </c>
      <c r="O270" t="n">
        <v>0</v>
      </c>
      <c r="P270" t="n">
        <v>0</v>
      </c>
      <c r="Q270" t="n">
        <v>0</v>
      </c>
      <c r="R270" s="2" t="inlineStr"/>
    </row>
    <row r="271" ht="15" customHeight="1">
      <c r="A271" t="inlineStr">
        <is>
          <t>A 37005-2019</t>
        </is>
      </c>
      <c r="B271" s="1" t="n">
        <v>43676</v>
      </c>
      <c r="C271" s="1" t="n">
        <v>45828</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37719-2019</t>
        </is>
      </c>
      <c r="B272" s="1" t="n">
        <v>43682</v>
      </c>
      <c r="C272" s="1" t="n">
        <v>45828</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38068-2019</t>
        </is>
      </c>
      <c r="B273" s="1" t="n">
        <v>43683</v>
      </c>
      <c r="C273" s="1" t="n">
        <v>45828</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38265-2019</t>
        </is>
      </c>
      <c r="B274" s="1" t="n">
        <v>43684</v>
      </c>
      <c r="C274" s="1" t="n">
        <v>45828</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39213-2019</t>
        </is>
      </c>
      <c r="B275" s="1" t="n">
        <v>43690</v>
      </c>
      <c r="C275" s="1" t="n">
        <v>45828</v>
      </c>
      <c r="D275" t="inlineStr">
        <is>
          <t>VÄRMLANDS LÄN</t>
        </is>
      </c>
      <c r="E275" t="inlineStr">
        <is>
          <t>TORSBY</t>
        </is>
      </c>
      <c r="G275" t="n">
        <v>1.8</v>
      </c>
      <c r="H275" t="n">
        <v>0</v>
      </c>
      <c r="I275" t="n">
        <v>0</v>
      </c>
      <c r="J275" t="n">
        <v>0</v>
      </c>
      <c r="K275" t="n">
        <v>0</v>
      </c>
      <c r="L275" t="n">
        <v>0</v>
      </c>
      <c r="M275" t="n">
        <v>0</v>
      </c>
      <c r="N275" t="n">
        <v>0</v>
      </c>
      <c r="O275" t="n">
        <v>0</v>
      </c>
      <c r="P275" t="n">
        <v>0</v>
      </c>
      <c r="Q275" t="n">
        <v>0</v>
      </c>
      <c r="R275" s="2" t="inlineStr"/>
    </row>
    <row r="276" ht="15" customHeight="1">
      <c r="A276" t="inlineStr">
        <is>
          <t>A 40632-2019</t>
        </is>
      </c>
      <c r="B276" s="1" t="n">
        <v>43696</v>
      </c>
      <c r="C276" s="1" t="n">
        <v>45828</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40589-2019</t>
        </is>
      </c>
      <c r="B277" s="1" t="n">
        <v>43696</v>
      </c>
      <c r="C277" s="1" t="n">
        <v>45828</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40810-2019</t>
        </is>
      </c>
      <c r="B278" s="1" t="n">
        <v>43697</v>
      </c>
      <c r="C278" s="1" t="n">
        <v>45828</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41698-2019</t>
        </is>
      </c>
      <c r="B279" s="1" t="n">
        <v>43697</v>
      </c>
      <c r="C279" s="1" t="n">
        <v>45828</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42441-2019</t>
        </is>
      </c>
      <c r="B280" s="1" t="n">
        <v>43697</v>
      </c>
      <c r="C280" s="1" t="n">
        <v>45828</v>
      </c>
      <c r="D280" t="inlineStr">
        <is>
          <t>VÄRMLANDS LÄN</t>
        </is>
      </c>
      <c r="E280" t="inlineStr">
        <is>
          <t>TORSBY</t>
        </is>
      </c>
      <c r="G280" t="n">
        <v>2.4</v>
      </c>
      <c r="H280" t="n">
        <v>0</v>
      </c>
      <c r="I280" t="n">
        <v>0</v>
      </c>
      <c r="J280" t="n">
        <v>0</v>
      </c>
      <c r="K280" t="n">
        <v>0</v>
      </c>
      <c r="L280" t="n">
        <v>0</v>
      </c>
      <c r="M280" t="n">
        <v>0</v>
      </c>
      <c r="N280" t="n">
        <v>0</v>
      </c>
      <c r="O280" t="n">
        <v>0</v>
      </c>
      <c r="P280" t="n">
        <v>0</v>
      </c>
      <c r="Q280" t="n">
        <v>0</v>
      </c>
      <c r="R280" s="2" t="inlineStr"/>
    </row>
    <row r="281" ht="15" customHeight="1">
      <c r="A281" t="inlineStr">
        <is>
          <t>A 41436-2019</t>
        </is>
      </c>
      <c r="B281" s="1" t="n">
        <v>43698</v>
      </c>
      <c r="C281" s="1" t="n">
        <v>45828</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41435-2019</t>
        </is>
      </c>
      <c r="B282" s="1" t="n">
        <v>43698</v>
      </c>
      <c r="C282" s="1" t="n">
        <v>45828</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41438-2019</t>
        </is>
      </c>
      <c r="B283" s="1" t="n">
        <v>43698</v>
      </c>
      <c r="C283" s="1" t="n">
        <v>45828</v>
      </c>
      <c r="D283" t="inlineStr">
        <is>
          <t>VÄRMLANDS LÄN</t>
        </is>
      </c>
      <c r="E283" t="inlineStr">
        <is>
          <t>TORSBY</t>
        </is>
      </c>
      <c r="G283" t="n">
        <v>0.5</v>
      </c>
      <c r="H283" t="n">
        <v>0</v>
      </c>
      <c r="I283" t="n">
        <v>0</v>
      </c>
      <c r="J283" t="n">
        <v>0</v>
      </c>
      <c r="K283" t="n">
        <v>0</v>
      </c>
      <c r="L283" t="n">
        <v>0</v>
      </c>
      <c r="M283" t="n">
        <v>0</v>
      </c>
      <c r="N283" t="n">
        <v>0</v>
      </c>
      <c r="O283" t="n">
        <v>0</v>
      </c>
      <c r="P283" t="n">
        <v>0</v>
      </c>
      <c r="Q283" t="n">
        <v>0</v>
      </c>
      <c r="R283" s="2" t="inlineStr"/>
    </row>
    <row r="284" ht="15" customHeight="1">
      <c r="A284" t="inlineStr">
        <is>
          <t>A 41621-2019</t>
        </is>
      </c>
      <c r="B284" s="1" t="n">
        <v>43699</v>
      </c>
      <c r="C284" s="1" t="n">
        <v>45828</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42230-2019</t>
        </is>
      </c>
      <c r="B285" s="1" t="n">
        <v>43703</v>
      </c>
      <c r="C285" s="1" t="n">
        <v>45828</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43273-2019</t>
        </is>
      </c>
      <c r="B286" s="1" t="n">
        <v>43704</v>
      </c>
      <c r="C286" s="1" t="n">
        <v>45828</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43897-2019</t>
        </is>
      </c>
      <c r="B287" s="1" t="n">
        <v>43707</v>
      </c>
      <c r="C287" s="1" t="n">
        <v>45828</v>
      </c>
      <c r="D287" t="inlineStr">
        <is>
          <t>VÄRMLANDS LÄN</t>
        </is>
      </c>
      <c r="E287" t="inlineStr">
        <is>
          <t>TORSBY</t>
        </is>
      </c>
      <c r="G287" t="n">
        <v>3.2</v>
      </c>
      <c r="H287" t="n">
        <v>0</v>
      </c>
      <c r="I287" t="n">
        <v>0</v>
      </c>
      <c r="J287" t="n">
        <v>0</v>
      </c>
      <c r="K287" t="n">
        <v>0</v>
      </c>
      <c r="L287" t="n">
        <v>0</v>
      </c>
      <c r="M287" t="n">
        <v>0</v>
      </c>
      <c r="N287" t="n">
        <v>0</v>
      </c>
      <c r="O287" t="n">
        <v>0</v>
      </c>
      <c r="P287" t="n">
        <v>0</v>
      </c>
      <c r="Q287" t="n">
        <v>0</v>
      </c>
      <c r="R287" s="2" t="inlineStr"/>
    </row>
    <row r="288" ht="15" customHeight="1">
      <c r="A288" t="inlineStr">
        <is>
          <t>A 44832-2019</t>
        </is>
      </c>
      <c r="B288" s="1" t="n">
        <v>43707</v>
      </c>
      <c r="C288" s="1" t="n">
        <v>45828</v>
      </c>
      <c r="D288" t="inlineStr">
        <is>
          <t>VÄRMLANDS LÄN</t>
        </is>
      </c>
      <c r="E288" t="inlineStr">
        <is>
          <t>TORSBY</t>
        </is>
      </c>
      <c r="G288" t="n">
        <v>27.1</v>
      </c>
      <c r="H288" t="n">
        <v>0</v>
      </c>
      <c r="I288" t="n">
        <v>0</v>
      </c>
      <c r="J288" t="n">
        <v>0</v>
      </c>
      <c r="K288" t="n">
        <v>0</v>
      </c>
      <c r="L288" t="n">
        <v>0</v>
      </c>
      <c r="M288" t="n">
        <v>0</v>
      </c>
      <c r="N288" t="n">
        <v>0</v>
      </c>
      <c r="O288" t="n">
        <v>0</v>
      </c>
      <c r="P288" t="n">
        <v>0</v>
      </c>
      <c r="Q288" t="n">
        <v>0</v>
      </c>
      <c r="R288" s="2" t="inlineStr"/>
    </row>
    <row r="289" ht="15" customHeight="1">
      <c r="A289" t="inlineStr">
        <is>
          <t>A 44708-2019</t>
        </is>
      </c>
      <c r="B289" s="1" t="n">
        <v>43712</v>
      </c>
      <c r="C289" s="1" t="n">
        <v>45828</v>
      </c>
      <c r="D289" t="inlineStr">
        <is>
          <t>VÄRMLANDS LÄN</t>
        </is>
      </c>
      <c r="E289" t="inlineStr">
        <is>
          <t>TORSBY</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44706-2019</t>
        </is>
      </c>
      <c r="B290" s="1" t="n">
        <v>43712</v>
      </c>
      <c r="C290" s="1" t="n">
        <v>45828</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45053-2019</t>
        </is>
      </c>
      <c r="B291" s="1" t="n">
        <v>43713</v>
      </c>
      <c r="C291" s="1" t="n">
        <v>45828</v>
      </c>
      <c r="D291" t="inlineStr">
        <is>
          <t>VÄRMLANDS LÄN</t>
        </is>
      </c>
      <c r="E291" t="inlineStr">
        <is>
          <t>TORSBY</t>
        </is>
      </c>
      <c r="G291" t="n">
        <v>1.3</v>
      </c>
      <c r="H291" t="n">
        <v>0</v>
      </c>
      <c r="I291" t="n">
        <v>0</v>
      </c>
      <c r="J291" t="n">
        <v>0</v>
      </c>
      <c r="K291" t="n">
        <v>0</v>
      </c>
      <c r="L291" t="n">
        <v>0</v>
      </c>
      <c r="M291" t="n">
        <v>0</v>
      </c>
      <c r="N291" t="n">
        <v>0</v>
      </c>
      <c r="O291" t="n">
        <v>0</v>
      </c>
      <c r="P291" t="n">
        <v>0</v>
      </c>
      <c r="Q291" t="n">
        <v>0</v>
      </c>
      <c r="R291" s="2" t="inlineStr"/>
    </row>
    <row r="292" ht="15" customHeight="1">
      <c r="A292" t="inlineStr">
        <is>
          <t>A 45083-2019</t>
        </is>
      </c>
      <c r="B292" s="1" t="n">
        <v>43713</v>
      </c>
      <c r="C292" s="1" t="n">
        <v>45828</v>
      </c>
      <c r="D292" t="inlineStr">
        <is>
          <t>VÄRMLANDS LÄN</t>
        </is>
      </c>
      <c r="E292" t="inlineStr">
        <is>
          <t>TORSBY</t>
        </is>
      </c>
      <c r="F292" t="inlineStr">
        <is>
          <t>Bergvik skog väst AB</t>
        </is>
      </c>
      <c r="G292" t="n">
        <v>37.8</v>
      </c>
      <c r="H292" t="n">
        <v>0</v>
      </c>
      <c r="I292" t="n">
        <v>0</v>
      </c>
      <c r="J292" t="n">
        <v>0</v>
      </c>
      <c r="K292" t="n">
        <v>0</v>
      </c>
      <c r="L292" t="n">
        <v>0</v>
      </c>
      <c r="M292" t="n">
        <v>0</v>
      </c>
      <c r="N292" t="n">
        <v>0</v>
      </c>
      <c r="O292" t="n">
        <v>0</v>
      </c>
      <c r="P292" t="n">
        <v>0</v>
      </c>
      <c r="Q292" t="n">
        <v>0</v>
      </c>
      <c r="R292" s="2" t="inlineStr"/>
    </row>
    <row r="293" ht="15" customHeight="1">
      <c r="A293" t="inlineStr">
        <is>
          <t>A 45189-2019</t>
        </is>
      </c>
      <c r="B293" s="1" t="n">
        <v>43713</v>
      </c>
      <c r="C293" s="1" t="n">
        <v>45828</v>
      </c>
      <c r="D293" t="inlineStr">
        <is>
          <t>VÄRMLANDS LÄN</t>
        </is>
      </c>
      <c r="E293" t="inlineStr">
        <is>
          <t>TORSBY</t>
        </is>
      </c>
      <c r="G293" t="n">
        <v>0.5</v>
      </c>
      <c r="H293" t="n">
        <v>0</v>
      </c>
      <c r="I293" t="n">
        <v>0</v>
      </c>
      <c r="J293" t="n">
        <v>0</v>
      </c>
      <c r="K293" t="n">
        <v>0</v>
      </c>
      <c r="L293" t="n">
        <v>0</v>
      </c>
      <c r="M293" t="n">
        <v>0</v>
      </c>
      <c r="N293" t="n">
        <v>0</v>
      </c>
      <c r="O293" t="n">
        <v>0</v>
      </c>
      <c r="P293" t="n">
        <v>0</v>
      </c>
      <c r="Q293" t="n">
        <v>0</v>
      </c>
      <c r="R293" s="2" t="inlineStr"/>
    </row>
    <row r="294" ht="15" customHeight="1">
      <c r="A294" t="inlineStr">
        <is>
          <t>A 45068-2019</t>
        </is>
      </c>
      <c r="B294" s="1" t="n">
        <v>43713</v>
      </c>
      <c r="C294" s="1" t="n">
        <v>45828</v>
      </c>
      <c r="D294" t="inlineStr">
        <is>
          <t>VÄRMLANDS LÄN</t>
        </is>
      </c>
      <c r="E294" t="inlineStr">
        <is>
          <t>TORSBY</t>
        </is>
      </c>
      <c r="G294" t="n">
        <v>2.4</v>
      </c>
      <c r="H294" t="n">
        <v>0</v>
      </c>
      <c r="I294" t="n">
        <v>0</v>
      </c>
      <c r="J294" t="n">
        <v>0</v>
      </c>
      <c r="K294" t="n">
        <v>0</v>
      </c>
      <c r="L294" t="n">
        <v>0</v>
      </c>
      <c r="M294" t="n">
        <v>0</v>
      </c>
      <c r="N294" t="n">
        <v>0</v>
      </c>
      <c r="O294" t="n">
        <v>0</v>
      </c>
      <c r="P294" t="n">
        <v>0</v>
      </c>
      <c r="Q294" t="n">
        <v>0</v>
      </c>
      <c r="R294" s="2" t="inlineStr"/>
    </row>
    <row r="295" ht="15" customHeight="1">
      <c r="A295" t="inlineStr">
        <is>
          <t>A 45891-2019</t>
        </is>
      </c>
      <c r="B295" s="1" t="n">
        <v>43717</v>
      </c>
      <c r="C295" s="1" t="n">
        <v>45828</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46738-2019</t>
        </is>
      </c>
      <c r="B296" s="1" t="n">
        <v>43719</v>
      </c>
      <c r="C296" s="1" t="n">
        <v>45828</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46743-2019</t>
        </is>
      </c>
      <c r="B297" s="1" t="n">
        <v>43719</v>
      </c>
      <c r="C297" s="1" t="n">
        <v>45828</v>
      </c>
      <c r="D297" t="inlineStr">
        <is>
          <t>VÄRMLANDS LÄN</t>
        </is>
      </c>
      <c r="E297" t="inlineStr">
        <is>
          <t>TORSBY</t>
        </is>
      </c>
      <c r="G297" t="n">
        <v>7</v>
      </c>
      <c r="H297" t="n">
        <v>0</v>
      </c>
      <c r="I297" t="n">
        <v>0</v>
      </c>
      <c r="J297" t="n">
        <v>0</v>
      </c>
      <c r="K297" t="n">
        <v>0</v>
      </c>
      <c r="L297" t="n">
        <v>0</v>
      </c>
      <c r="M297" t="n">
        <v>0</v>
      </c>
      <c r="N297" t="n">
        <v>0</v>
      </c>
      <c r="O297" t="n">
        <v>0</v>
      </c>
      <c r="P297" t="n">
        <v>0</v>
      </c>
      <c r="Q297" t="n">
        <v>0</v>
      </c>
      <c r="R297" s="2" t="inlineStr"/>
    </row>
    <row r="298" ht="15" customHeight="1">
      <c r="A298" t="inlineStr">
        <is>
          <t>A 47114-2019</t>
        </is>
      </c>
      <c r="B298" s="1" t="n">
        <v>43720</v>
      </c>
      <c r="C298" s="1" t="n">
        <v>45828</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47214-2019</t>
        </is>
      </c>
      <c r="B299" s="1" t="n">
        <v>43721</v>
      </c>
      <c r="C299" s="1" t="n">
        <v>45828</v>
      </c>
      <c r="D299" t="inlineStr">
        <is>
          <t>VÄRMLANDS LÄN</t>
        </is>
      </c>
      <c r="E299" t="inlineStr">
        <is>
          <t>TORSBY</t>
        </is>
      </c>
      <c r="G299" t="n">
        <v>3</v>
      </c>
      <c r="H299" t="n">
        <v>0</v>
      </c>
      <c r="I299" t="n">
        <v>0</v>
      </c>
      <c r="J299" t="n">
        <v>0</v>
      </c>
      <c r="K299" t="n">
        <v>0</v>
      </c>
      <c r="L299" t="n">
        <v>0</v>
      </c>
      <c r="M299" t="n">
        <v>0</v>
      </c>
      <c r="N299" t="n">
        <v>0</v>
      </c>
      <c r="O299" t="n">
        <v>0</v>
      </c>
      <c r="P299" t="n">
        <v>0</v>
      </c>
      <c r="Q299" t="n">
        <v>0</v>
      </c>
      <c r="R299" s="2" t="inlineStr"/>
    </row>
    <row r="300" ht="15" customHeight="1">
      <c r="A300" t="inlineStr">
        <is>
          <t>A 47137-2019</t>
        </is>
      </c>
      <c r="B300" s="1" t="n">
        <v>43721</v>
      </c>
      <c r="C300" s="1" t="n">
        <v>45828</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47316-2019</t>
        </is>
      </c>
      <c r="B301" s="1" t="n">
        <v>43721</v>
      </c>
      <c r="C301" s="1" t="n">
        <v>45828</v>
      </c>
      <c r="D301" t="inlineStr">
        <is>
          <t>VÄRMLANDS LÄN</t>
        </is>
      </c>
      <c r="E301" t="inlineStr">
        <is>
          <t>TORSBY</t>
        </is>
      </c>
      <c r="F301" t="inlineStr">
        <is>
          <t>Bergvik skog väst AB</t>
        </is>
      </c>
      <c r="G301" t="n">
        <v>6.6</v>
      </c>
      <c r="H301" t="n">
        <v>0</v>
      </c>
      <c r="I301" t="n">
        <v>0</v>
      </c>
      <c r="J301" t="n">
        <v>0</v>
      </c>
      <c r="K301" t="n">
        <v>0</v>
      </c>
      <c r="L301" t="n">
        <v>0</v>
      </c>
      <c r="M301" t="n">
        <v>0</v>
      </c>
      <c r="N301" t="n">
        <v>0</v>
      </c>
      <c r="O301" t="n">
        <v>0</v>
      </c>
      <c r="P301" t="n">
        <v>0</v>
      </c>
      <c r="Q301" t="n">
        <v>0</v>
      </c>
      <c r="R301" s="2" t="inlineStr"/>
    </row>
    <row r="302" ht="15" customHeight="1">
      <c r="A302" t="inlineStr">
        <is>
          <t>A 47608-2019</t>
        </is>
      </c>
      <c r="B302" s="1" t="n">
        <v>43724</v>
      </c>
      <c r="C302" s="1" t="n">
        <v>45828</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47772-2019</t>
        </is>
      </c>
      <c r="B303" s="1" t="n">
        <v>43724</v>
      </c>
      <c r="C303" s="1" t="n">
        <v>45828</v>
      </c>
      <c r="D303" t="inlineStr">
        <is>
          <t>VÄRMLANDS LÄN</t>
        </is>
      </c>
      <c r="E303" t="inlineStr">
        <is>
          <t>TORSBY</t>
        </is>
      </c>
      <c r="G303" t="n">
        <v>3.9</v>
      </c>
      <c r="H303" t="n">
        <v>0</v>
      </c>
      <c r="I303" t="n">
        <v>0</v>
      </c>
      <c r="J303" t="n">
        <v>0</v>
      </c>
      <c r="K303" t="n">
        <v>0</v>
      </c>
      <c r="L303" t="n">
        <v>0</v>
      </c>
      <c r="M303" t="n">
        <v>0</v>
      </c>
      <c r="N303" t="n">
        <v>0</v>
      </c>
      <c r="O303" t="n">
        <v>0</v>
      </c>
      <c r="P303" t="n">
        <v>0</v>
      </c>
      <c r="Q303" t="n">
        <v>0</v>
      </c>
      <c r="R303" s="2" t="inlineStr"/>
    </row>
    <row r="304" ht="15" customHeight="1">
      <c r="A304" t="inlineStr">
        <is>
          <t>A 47648-2019</t>
        </is>
      </c>
      <c r="B304" s="1" t="n">
        <v>43724</v>
      </c>
      <c r="C304" s="1" t="n">
        <v>45828</v>
      </c>
      <c r="D304" t="inlineStr">
        <is>
          <t>VÄRMLANDS LÄN</t>
        </is>
      </c>
      <c r="E304" t="inlineStr">
        <is>
          <t>TORSBY</t>
        </is>
      </c>
      <c r="G304" t="n">
        <v>2</v>
      </c>
      <c r="H304" t="n">
        <v>0</v>
      </c>
      <c r="I304" t="n">
        <v>0</v>
      </c>
      <c r="J304" t="n">
        <v>0</v>
      </c>
      <c r="K304" t="n">
        <v>0</v>
      </c>
      <c r="L304" t="n">
        <v>0</v>
      </c>
      <c r="M304" t="n">
        <v>0</v>
      </c>
      <c r="N304" t="n">
        <v>0</v>
      </c>
      <c r="O304" t="n">
        <v>0</v>
      </c>
      <c r="P304" t="n">
        <v>0</v>
      </c>
      <c r="Q304" t="n">
        <v>0</v>
      </c>
      <c r="R304" s="2" t="inlineStr"/>
    </row>
    <row r="305" ht="15" customHeight="1">
      <c r="A305" t="inlineStr">
        <is>
          <t>A 47502-2019</t>
        </is>
      </c>
      <c r="B305" s="1" t="n">
        <v>43724</v>
      </c>
      <c r="C305" s="1" t="n">
        <v>45828</v>
      </c>
      <c r="D305" t="inlineStr">
        <is>
          <t>VÄRMLANDS LÄN</t>
        </is>
      </c>
      <c r="E305" t="inlineStr">
        <is>
          <t>TORSBY</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47869-2019</t>
        </is>
      </c>
      <c r="B306" s="1" t="n">
        <v>43725</v>
      </c>
      <c r="C306" s="1" t="n">
        <v>45828</v>
      </c>
      <c r="D306" t="inlineStr">
        <is>
          <t>VÄRMLANDS LÄN</t>
        </is>
      </c>
      <c r="E306" t="inlineStr">
        <is>
          <t>TORSBY</t>
        </is>
      </c>
      <c r="G306" t="n">
        <v>4.7</v>
      </c>
      <c r="H306" t="n">
        <v>0</v>
      </c>
      <c r="I306" t="n">
        <v>0</v>
      </c>
      <c r="J306" t="n">
        <v>0</v>
      </c>
      <c r="K306" t="n">
        <v>0</v>
      </c>
      <c r="L306" t="n">
        <v>0</v>
      </c>
      <c r="M306" t="n">
        <v>0</v>
      </c>
      <c r="N306" t="n">
        <v>0</v>
      </c>
      <c r="O306" t="n">
        <v>0</v>
      </c>
      <c r="P306" t="n">
        <v>0</v>
      </c>
      <c r="Q306" t="n">
        <v>0</v>
      </c>
      <c r="R306" s="2" t="inlineStr"/>
    </row>
    <row r="307" ht="15" customHeight="1">
      <c r="A307" t="inlineStr">
        <is>
          <t>A 47979-2019</t>
        </is>
      </c>
      <c r="B307" s="1" t="n">
        <v>43725</v>
      </c>
      <c r="C307" s="1" t="n">
        <v>45828</v>
      </c>
      <c r="D307" t="inlineStr">
        <is>
          <t>VÄRMLANDS LÄN</t>
        </is>
      </c>
      <c r="E307" t="inlineStr">
        <is>
          <t>TORSBY</t>
        </is>
      </c>
      <c r="G307" t="n">
        <v>1.3</v>
      </c>
      <c r="H307" t="n">
        <v>0</v>
      </c>
      <c r="I307" t="n">
        <v>0</v>
      </c>
      <c r="J307" t="n">
        <v>0</v>
      </c>
      <c r="K307" t="n">
        <v>0</v>
      </c>
      <c r="L307" t="n">
        <v>0</v>
      </c>
      <c r="M307" t="n">
        <v>0</v>
      </c>
      <c r="N307" t="n">
        <v>0</v>
      </c>
      <c r="O307" t="n">
        <v>0</v>
      </c>
      <c r="P307" t="n">
        <v>0</v>
      </c>
      <c r="Q307" t="n">
        <v>0</v>
      </c>
      <c r="R307" s="2" t="inlineStr"/>
    </row>
    <row r="308" ht="15" customHeight="1">
      <c r="A308" t="inlineStr">
        <is>
          <t>A 48040-2019</t>
        </is>
      </c>
      <c r="B308" s="1" t="n">
        <v>43725</v>
      </c>
      <c r="C308" s="1" t="n">
        <v>45828</v>
      </c>
      <c r="D308" t="inlineStr">
        <is>
          <t>VÄRMLANDS LÄN</t>
        </is>
      </c>
      <c r="E308" t="inlineStr">
        <is>
          <t>TORSBY</t>
        </is>
      </c>
      <c r="G308" t="n">
        <v>2.7</v>
      </c>
      <c r="H308" t="n">
        <v>0</v>
      </c>
      <c r="I308" t="n">
        <v>0</v>
      </c>
      <c r="J308" t="n">
        <v>0</v>
      </c>
      <c r="K308" t="n">
        <v>0</v>
      </c>
      <c r="L308" t="n">
        <v>0</v>
      </c>
      <c r="M308" t="n">
        <v>0</v>
      </c>
      <c r="N308" t="n">
        <v>0</v>
      </c>
      <c r="O308" t="n">
        <v>0</v>
      </c>
      <c r="P308" t="n">
        <v>0</v>
      </c>
      <c r="Q308" t="n">
        <v>0</v>
      </c>
      <c r="R308" s="2" t="inlineStr"/>
    </row>
    <row r="309" ht="15" customHeight="1">
      <c r="A309" t="inlineStr">
        <is>
          <t>A 48346-2019</t>
        </is>
      </c>
      <c r="B309" s="1" t="n">
        <v>43726</v>
      </c>
      <c r="C309" s="1" t="n">
        <v>45828</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48366-2019</t>
        </is>
      </c>
      <c r="B310" s="1" t="n">
        <v>43726</v>
      </c>
      <c r="C310" s="1" t="n">
        <v>45828</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49550-2019</t>
        </is>
      </c>
      <c r="B311" s="1" t="n">
        <v>43727</v>
      </c>
      <c r="C311" s="1" t="n">
        <v>45828</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51497-2019</t>
        </is>
      </c>
      <c r="B312" s="1" t="n">
        <v>43734</v>
      </c>
      <c r="C312" s="1" t="n">
        <v>45828</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50428-2019</t>
        </is>
      </c>
      <c r="B313" s="1" t="n">
        <v>43735</v>
      </c>
      <c r="C313" s="1" t="n">
        <v>45828</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52319-2019</t>
        </is>
      </c>
      <c r="B314" s="1" t="n">
        <v>43735</v>
      </c>
      <c r="C314" s="1" t="n">
        <v>45828</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52326-2019</t>
        </is>
      </c>
      <c r="B315" s="1" t="n">
        <v>43735</v>
      </c>
      <c r="C315" s="1" t="n">
        <v>45828</v>
      </c>
      <c r="D315" t="inlineStr">
        <is>
          <t>VÄRMLANDS LÄN</t>
        </is>
      </c>
      <c r="E315" t="inlineStr">
        <is>
          <t>TORSBY</t>
        </is>
      </c>
      <c r="G315" t="n">
        <v>6.2</v>
      </c>
      <c r="H315" t="n">
        <v>0</v>
      </c>
      <c r="I315" t="n">
        <v>0</v>
      </c>
      <c r="J315" t="n">
        <v>0</v>
      </c>
      <c r="K315" t="n">
        <v>0</v>
      </c>
      <c r="L315" t="n">
        <v>0</v>
      </c>
      <c r="M315" t="n">
        <v>0</v>
      </c>
      <c r="N315" t="n">
        <v>0</v>
      </c>
      <c r="O315" t="n">
        <v>0</v>
      </c>
      <c r="P315" t="n">
        <v>0</v>
      </c>
      <c r="Q315" t="n">
        <v>0</v>
      </c>
      <c r="R315" s="2" t="inlineStr"/>
    </row>
    <row r="316" ht="15" customHeight="1">
      <c r="A316" t="inlineStr">
        <is>
          <t>A 52317-2019</t>
        </is>
      </c>
      <c r="B316" s="1" t="n">
        <v>43735</v>
      </c>
      <c r="C316" s="1" t="n">
        <v>45828</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51254-2019</t>
        </is>
      </c>
      <c r="B317" s="1" t="n">
        <v>43739</v>
      </c>
      <c r="C317" s="1" t="n">
        <v>45828</v>
      </c>
      <c r="D317" t="inlineStr">
        <is>
          <t>VÄRMLANDS LÄN</t>
        </is>
      </c>
      <c r="E317" t="inlineStr">
        <is>
          <t>TORSBY</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52186-2019</t>
        </is>
      </c>
      <c r="B318" s="1" t="n">
        <v>43742</v>
      </c>
      <c r="C318" s="1" t="n">
        <v>45828</v>
      </c>
      <c r="D318" t="inlineStr">
        <is>
          <t>VÄRMLANDS LÄN</t>
        </is>
      </c>
      <c r="E318" t="inlineStr">
        <is>
          <t>TORSBY</t>
        </is>
      </c>
      <c r="G318" t="n">
        <v>3.6</v>
      </c>
      <c r="H318" t="n">
        <v>0</v>
      </c>
      <c r="I318" t="n">
        <v>0</v>
      </c>
      <c r="J318" t="n">
        <v>0</v>
      </c>
      <c r="K318" t="n">
        <v>0</v>
      </c>
      <c r="L318" t="n">
        <v>0</v>
      </c>
      <c r="M318" t="n">
        <v>0</v>
      </c>
      <c r="N318" t="n">
        <v>0</v>
      </c>
      <c r="O318" t="n">
        <v>0</v>
      </c>
      <c r="P318" t="n">
        <v>0</v>
      </c>
      <c r="Q318" t="n">
        <v>0</v>
      </c>
      <c r="R318" s="2" t="inlineStr"/>
    </row>
    <row r="319" ht="15" customHeight="1">
      <c r="A319" t="inlineStr">
        <is>
          <t>A 52311-2019</t>
        </is>
      </c>
      <c r="B319" s="1" t="n">
        <v>43745</v>
      </c>
      <c r="C319" s="1" t="n">
        <v>45828</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52674-2019</t>
        </is>
      </c>
      <c r="B320" s="1" t="n">
        <v>43746</v>
      </c>
      <c r="C320" s="1" t="n">
        <v>45828</v>
      </c>
      <c r="D320" t="inlineStr">
        <is>
          <t>VÄRMLANDS LÄN</t>
        </is>
      </c>
      <c r="E320" t="inlineStr">
        <is>
          <t>TORSBY</t>
        </is>
      </c>
      <c r="F320" t="inlineStr">
        <is>
          <t>Bergvik skog väst AB</t>
        </is>
      </c>
      <c r="G320" t="n">
        <v>26.4</v>
      </c>
      <c r="H320" t="n">
        <v>0</v>
      </c>
      <c r="I320" t="n">
        <v>0</v>
      </c>
      <c r="J320" t="n">
        <v>0</v>
      </c>
      <c r="K320" t="n">
        <v>0</v>
      </c>
      <c r="L320" t="n">
        <v>0</v>
      </c>
      <c r="M320" t="n">
        <v>0</v>
      </c>
      <c r="N320" t="n">
        <v>0</v>
      </c>
      <c r="O320" t="n">
        <v>0</v>
      </c>
      <c r="P320" t="n">
        <v>0</v>
      </c>
      <c r="Q320" t="n">
        <v>0</v>
      </c>
      <c r="R320" s="2" t="inlineStr"/>
    </row>
    <row r="321" ht="15" customHeight="1">
      <c r="A321" t="inlineStr">
        <is>
          <t>A 52885-2019</t>
        </is>
      </c>
      <c r="B321" s="1" t="n">
        <v>43746</v>
      </c>
      <c r="C321" s="1" t="n">
        <v>45828</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53271-2019</t>
        </is>
      </c>
      <c r="B322" s="1" t="n">
        <v>43748</v>
      </c>
      <c r="C322" s="1" t="n">
        <v>45828</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54764-2019</t>
        </is>
      </c>
      <c r="B323" s="1" t="n">
        <v>43748</v>
      </c>
      <c r="C323" s="1" t="n">
        <v>45828</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53635-2019</t>
        </is>
      </c>
      <c r="B324" s="1" t="n">
        <v>43749</v>
      </c>
      <c r="C324" s="1" t="n">
        <v>45828</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53746-2019</t>
        </is>
      </c>
      <c r="B325" s="1" t="n">
        <v>43749</v>
      </c>
      <c r="C325" s="1" t="n">
        <v>45828</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53744-2019</t>
        </is>
      </c>
      <c r="B326" s="1" t="n">
        <v>43749</v>
      </c>
      <c r="C326" s="1" t="n">
        <v>45828</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54437-2019</t>
        </is>
      </c>
      <c r="B327" s="1" t="n">
        <v>43754</v>
      </c>
      <c r="C327" s="1" t="n">
        <v>45828</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56256-2019</t>
        </is>
      </c>
      <c r="B328" s="1" t="n">
        <v>43756</v>
      </c>
      <c r="C328" s="1" t="n">
        <v>45828</v>
      </c>
      <c r="D328" t="inlineStr">
        <is>
          <t>VÄRMLANDS LÄN</t>
        </is>
      </c>
      <c r="E328" t="inlineStr">
        <is>
          <t>TORSBY</t>
        </is>
      </c>
      <c r="G328" t="n">
        <v>2.2</v>
      </c>
      <c r="H328" t="n">
        <v>0</v>
      </c>
      <c r="I328" t="n">
        <v>0</v>
      </c>
      <c r="J328" t="n">
        <v>0</v>
      </c>
      <c r="K328" t="n">
        <v>0</v>
      </c>
      <c r="L328" t="n">
        <v>0</v>
      </c>
      <c r="M328" t="n">
        <v>0</v>
      </c>
      <c r="N328" t="n">
        <v>0</v>
      </c>
      <c r="O328" t="n">
        <v>0</v>
      </c>
      <c r="P328" t="n">
        <v>0</v>
      </c>
      <c r="Q328" t="n">
        <v>0</v>
      </c>
      <c r="R328" s="2" t="inlineStr"/>
    </row>
    <row r="329" ht="15" customHeight="1">
      <c r="A329" t="inlineStr">
        <is>
          <t>A 55988-2019</t>
        </is>
      </c>
      <c r="B329" s="1" t="n">
        <v>43759</v>
      </c>
      <c r="C329" s="1" t="n">
        <v>45828</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56704-2019</t>
        </is>
      </c>
      <c r="B330" s="1" t="n">
        <v>43759</v>
      </c>
      <c r="C330" s="1" t="n">
        <v>45828</v>
      </c>
      <c r="D330" t="inlineStr">
        <is>
          <t>VÄRMLANDS LÄN</t>
        </is>
      </c>
      <c r="E330" t="inlineStr">
        <is>
          <t>TORSBY</t>
        </is>
      </c>
      <c r="G330" t="n">
        <v>2.6</v>
      </c>
      <c r="H330" t="n">
        <v>0</v>
      </c>
      <c r="I330" t="n">
        <v>0</v>
      </c>
      <c r="J330" t="n">
        <v>0</v>
      </c>
      <c r="K330" t="n">
        <v>0</v>
      </c>
      <c r="L330" t="n">
        <v>0</v>
      </c>
      <c r="M330" t="n">
        <v>0</v>
      </c>
      <c r="N330" t="n">
        <v>0</v>
      </c>
      <c r="O330" t="n">
        <v>0</v>
      </c>
      <c r="P330" t="n">
        <v>0</v>
      </c>
      <c r="Q330" t="n">
        <v>0</v>
      </c>
      <c r="R330" s="2" t="inlineStr"/>
    </row>
    <row r="331" ht="15" customHeight="1">
      <c r="A331" t="inlineStr">
        <is>
          <t>A 55927-2019</t>
        </is>
      </c>
      <c r="B331" s="1" t="n">
        <v>43761</v>
      </c>
      <c r="C331" s="1" t="n">
        <v>45828</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56021-2019</t>
        </is>
      </c>
      <c r="B332" s="1" t="n">
        <v>43761</v>
      </c>
      <c r="C332" s="1" t="n">
        <v>45828</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56305-2019</t>
        </is>
      </c>
      <c r="B333" s="1" t="n">
        <v>43762</v>
      </c>
      <c r="C333" s="1" t="n">
        <v>45828</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56594-2019</t>
        </is>
      </c>
      <c r="B334" s="1" t="n">
        <v>43763</v>
      </c>
      <c r="C334" s="1" t="n">
        <v>45828</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56633-2019</t>
        </is>
      </c>
      <c r="B335" s="1" t="n">
        <v>43763</v>
      </c>
      <c r="C335" s="1" t="n">
        <v>45828</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56824-2019</t>
        </is>
      </c>
      <c r="B336" s="1" t="n">
        <v>43764</v>
      </c>
      <c r="C336" s="1" t="n">
        <v>45828</v>
      </c>
      <c r="D336" t="inlineStr">
        <is>
          <t>VÄRMLANDS LÄN</t>
        </is>
      </c>
      <c r="E336" t="inlineStr">
        <is>
          <t>TORSBY</t>
        </is>
      </c>
      <c r="G336" t="n">
        <v>3.6</v>
      </c>
      <c r="H336" t="n">
        <v>0</v>
      </c>
      <c r="I336" t="n">
        <v>0</v>
      </c>
      <c r="J336" t="n">
        <v>0</v>
      </c>
      <c r="K336" t="n">
        <v>0</v>
      </c>
      <c r="L336" t="n">
        <v>0</v>
      </c>
      <c r="M336" t="n">
        <v>0</v>
      </c>
      <c r="N336" t="n">
        <v>0</v>
      </c>
      <c r="O336" t="n">
        <v>0</v>
      </c>
      <c r="P336" t="n">
        <v>0</v>
      </c>
      <c r="Q336" t="n">
        <v>0</v>
      </c>
      <c r="R336" s="2" t="inlineStr"/>
    </row>
    <row r="337" ht="15" customHeight="1">
      <c r="A337" t="inlineStr">
        <is>
          <t>A 56935-2019</t>
        </is>
      </c>
      <c r="B337" s="1" t="n">
        <v>43766</v>
      </c>
      <c r="C337" s="1" t="n">
        <v>45828</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57399-2019</t>
        </is>
      </c>
      <c r="B338" s="1" t="n">
        <v>43767</v>
      </c>
      <c r="C338" s="1" t="n">
        <v>45828</v>
      </c>
      <c r="D338" t="inlineStr">
        <is>
          <t>VÄRMLANDS LÄN</t>
        </is>
      </c>
      <c r="E338" t="inlineStr">
        <is>
          <t>TORSBY</t>
        </is>
      </c>
      <c r="F338" t="inlineStr">
        <is>
          <t>Bergvik skog väst AB</t>
        </is>
      </c>
      <c r="G338" t="n">
        <v>18.9</v>
      </c>
      <c r="H338" t="n">
        <v>0</v>
      </c>
      <c r="I338" t="n">
        <v>0</v>
      </c>
      <c r="J338" t="n">
        <v>0</v>
      </c>
      <c r="K338" t="n">
        <v>0</v>
      </c>
      <c r="L338" t="n">
        <v>0</v>
      </c>
      <c r="M338" t="n">
        <v>0</v>
      </c>
      <c r="N338" t="n">
        <v>0</v>
      </c>
      <c r="O338" t="n">
        <v>0</v>
      </c>
      <c r="P338" t="n">
        <v>0</v>
      </c>
      <c r="Q338" t="n">
        <v>0</v>
      </c>
      <c r="R338" s="2" t="inlineStr"/>
    </row>
    <row r="339" ht="15" customHeight="1">
      <c r="A339" t="inlineStr">
        <is>
          <t>A 57251-2019</t>
        </is>
      </c>
      <c r="B339" s="1" t="n">
        <v>43767</v>
      </c>
      <c r="C339" s="1" t="n">
        <v>45828</v>
      </c>
      <c r="D339" t="inlineStr">
        <is>
          <t>VÄRMLANDS LÄN</t>
        </is>
      </c>
      <c r="E339" t="inlineStr">
        <is>
          <t>TORSBY</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57301-2019</t>
        </is>
      </c>
      <c r="B340" s="1" t="n">
        <v>43767</v>
      </c>
      <c r="C340" s="1" t="n">
        <v>45828</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57268-2019</t>
        </is>
      </c>
      <c r="B341" s="1" t="n">
        <v>43767</v>
      </c>
      <c r="C341" s="1" t="n">
        <v>45828</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58530-2019</t>
        </is>
      </c>
      <c r="B342" s="1" t="n">
        <v>43767</v>
      </c>
      <c r="C342" s="1" t="n">
        <v>45828</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57223-2019</t>
        </is>
      </c>
      <c r="B343" s="1" t="n">
        <v>43767</v>
      </c>
      <c r="C343" s="1" t="n">
        <v>45828</v>
      </c>
      <c r="D343" t="inlineStr">
        <is>
          <t>VÄRMLANDS LÄN</t>
        </is>
      </c>
      <c r="E343" t="inlineStr">
        <is>
          <t>TORSBY</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57566-2019</t>
        </is>
      </c>
      <c r="B344" s="1" t="n">
        <v>43768</v>
      </c>
      <c r="C344" s="1" t="n">
        <v>45828</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57704-2019</t>
        </is>
      </c>
      <c r="B345" s="1" t="n">
        <v>43768</v>
      </c>
      <c r="C345" s="1" t="n">
        <v>45828</v>
      </c>
      <c r="D345" t="inlineStr">
        <is>
          <t>VÄRMLANDS LÄN</t>
        </is>
      </c>
      <c r="E345" t="inlineStr">
        <is>
          <t>TORSBY</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57565-2019</t>
        </is>
      </c>
      <c r="B346" s="1" t="n">
        <v>43768</v>
      </c>
      <c r="C346" s="1" t="n">
        <v>45828</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58004-2019</t>
        </is>
      </c>
      <c r="B347" s="1" t="n">
        <v>43769</v>
      </c>
      <c r="C347" s="1" t="n">
        <v>45828</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58678-2019</t>
        </is>
      </c>
      <c r="B348" s="1" t="n">
        <v>43773</v>
      </c>
      <c r="C348" s="1" t="n">
        <v>45828</v>
      </c>
      <c r="D348" t="inlineStr">
        <is>
          <t>VÄRMLANDS LÄN</t>
        </is>
      </c>
      <c r="E348" t="inlineStr">
        <is>
          <t>TORSBY</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59127-2019</t>
        </is>
      </c>
      <c r="B349" s="1" t="n">
        <v>43775</v>
      </c>
      <c r="C349" s="1" t="n">
        <v>45828</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59593-2019</t>
        </is>
      </c>
      <c r="B350" s="1" t="n">
        <v>43776</v>
      </c>
      <c r="C350" s="1" t="n">
        <v>45828</v>
      </c>
      <c r="D350" t="inlineStr">
        <is>
          <t>VÄRMLANDS LÄN</t>
        </is>
      </c>
      <c r="E350" t="inlineStr">
        <is>
          <t>TORSBY</t>
        </is>
      </c>
      <c r="F350" t="inlineStr">
        <is>
          <t>Bergvik skog väst AB</t>
        </is>
      </c>
      <c r="G350" t="n">
        <v>6.8</v>
      </c>
      <c r="H350" t="n">
        <v>0</v>
      </c>
      <c r="I350" t="n">
        <v>0</v>
      </c>
      <c r="J350" t="n">
        <v>0</v>
      </c>
      <c r="K350" t="n">
        <v>0</v>
      </c>
      <c r="L350" t="n">
        <v>0</v>
      </c>
      <c r="M350" t="n">
        <v>0</v>
      </c>
      <c r="N350" t="n">
        <v>0</v>
      </c>
      <c r="O350" t="n">
        <v>0</v>
      </c>
      <c r="P350" t="n">
        <v>0</v>
      </c>
      <c r="Q350" t="n">
        <v>0</v>
      </c>
      <c r="R350" s="2" t="inlineStr"/>
    </row>
    <row r="351" ht="15" customHeight="1">
      <c r="A351" t="inlineStr">
        <is>
          <t>A 60545-2019</t>
        </is>
      </c>
      <c r="B351" s="1" t="n">
        <v>43781</v>
      </c>
      <c r="C351" s="1" t="n">
        <v>45828</v>
      </c>
      <c r="D351" t="inlineStr">
        <is>
          <t>VÄRMLANDS LÄN</t>
        </is>
      </c>
      <c r="E351" t="inlineStr">
        <is>
          <t>TORSBY</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61074-2019</t>
        </is>
      </c>
      <c r="B352" s="1" t="n">
        <v>43782</v>
      </c>
      <c r="C352" s="1" t="n">
        <v>45828</v>
      </c>
      <c r="D352" t="inlineStr">
        <is>
          <t>VÄRMLANDS LÄN</t>
        </is>
      </c>
      <c r="E352" t="inlineStr">
        <is>
          <t>TORSBY</t>
        </is>
      </c>
      <c r="G352" t="n">
        <v>6.4</v>
      </c>
      <c r="H352" t="n">
        <v>0</v>
      </c>
      <c r="I352" t="n">
        <v>0</v>
      </c>
      <c r="J352" t="n">
        <v>0</v>
      </c>
      <c r="K352" t="n">
        <v>0</v>
      </c>
      <c r="L352" t="n">
        <v>0</v>
      </c>
      <c r="M352" t="n">
        <v>0</v>
      </c>
      <c r="N352" t="n">
        <v>0</v>
      </c>
      <c r="O352" t="n">
        <v>0</v>
      </c>
      <c r="P352" t="n">
        <v>0</v>
      </c>
      <c r="Q352" t="n">
        <v>0</v>
      </c>
      <c r="R352" s="2" t="inlineStr"/>
    </row>
    <row r="353" ht="15" customHeight="1">
      <c r="A353" t="inlineStr">
        <is>
          <t>A 62050-2019</t>
        </is>
      </c>
      <c r="B353" s="1" t="n">
        <v>43787</v>
      </c>
      <c r="C353" s="1" t="n">
        <v>45828</v>
      </c>
      <c r="D353" t="inlineStr">
        <is>
          <t>VÄRMLANDS LÄN</t>
        </is>
      </c>
      <c r="E353" t="inlineStr">
        <is>
          <t>TORSBY</t>
        </is>
      </c>
      <c r="F353" t="inlineStr">
        <is>
          <t>Bergvik skog väst AB</t>
        </is>
      </c>
      <c r="G353" t="n">
        <v>4.3</v>
      </c>
      <c r="H353" t="n">
        <v>0</v>
      </c>
      <c r="I353" t="n">
        <v>0</v>
      </c>
      <c r="J353" t="n">
        <v>0</v>
      </c>
      <c r="K353" t="n">
        <v>0</v>
      </c>
      <c r="L353" t="n">
        <v>0</v>
      </c>
      <c r="M353" t="n">
        <v>0</v>
      </c>
      <c r="N353" t="n">
        <v>0</v>
      </c>
      <c r="O353" t="n">
        <v>0</v>
      </c>
      <c r="P353" t="n">
        <v>0</v>
      </c>
      <c r="Q353" t="n">
        <v>0</v>
      </c>
      <c r="R353" s="2" t="inlineStr"/>
    </row>
    <row r="354" ht="15" customHeight="1">
      <c r="A354" t="inlineStr">
        <is>
          <t>A 61958-2019</t>
        </is>
      </c>
      <c r="B354" s="1" t="n">
        <v>43787</v>
      </c>
      <c r="C354" s="1" t="n">
        <v>45828</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62255-2019</t>
        </is>
      </c>
      <c r="B355" s="1" t="n">
        <v>43788</v>
      </c>
      <c r="C355" s="1" t="n">
        <v>45828</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62286-2019</t>
        </is>
      </c>
      <c r="B356" s="1" t="n">
        <v>43788</v>
      </c>
      <c r="C356" s="1" t="n">
        <v>45828</v>
      </c>
      <c r="D356" t="inlineStr">
        <is>
          <t>VÄRMLANDS LÄN</t>
        </is>
      </c>
      <c r="E356" t="inlineStr">
        <is>
          <t>TORSBY</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63743-2019</t>
        </is>
      </c>
      <c r="B357" s="1" t="n">
        <v>43795</v>
      </c>
      <c r="C357" s="1" t="n">
        <v>45828</v>
      </c>
      <c r="D357" t="inlineStr">
        <is>
          <t>VÄRMLANDS LÄN</t>
        </is>
      </c>
      <c r="E357" t="inlineStr">
        <is>
          <t>TORSBY</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64114-2019</t>
        </is>
      </c>
      <c r="B358" s="1" t="n">
        <v>43796</v>
      </c>
      <c r="C358" s="1" t="n">
        <v>45828</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64444-2019</t>
        </is>
      </c>
      <c r="B359" s="1" t="n">
        <v>43797</v>
      </c>
      <c r="C359" s="1" t="n">
        <v>45828</v>
      </c>
      <c r="D359" t="inlineStr">
        <is>
          <t>VÄRMLANDS LÄN</t>
        </is>
      </c>
      <c r="E359" t="inlineStr">
        <is>
          <t>TORSBY</t>
        </is>
      </c>
      <c r="G359" t="n">
        <v>3.5</v>
      </c>
      <c r="H359" t="n">
        <v>0</v>
      </c>
      <c r="I359" t="n">
        <v>0</v>
      </c>
      <c r="J359" t="n">
        <v>0</v>
      </c>
      <c r="K359" t="n">
        <v>0</v>
      </c>
      <c r="L359" t="n">
        <v>0</v>
      </c>
      <c r="M359" t="n">
        <v>0</v>
      </c>
      <c r="N359" t="n">
        <v>0</v>
      </c>
      <c r="O359" t="n">
        <v>0</v>
      </c>
      <c r="P359" t="n">
        <v>0</v>
      </c>
      <c r="Q359" t="n">
        <v>0</v>
      </c>
      <c r="R359" s="2" t="inlineStr"/>
    </row>
    <row r="360" ht="15" customHeight="1">
      <c r="A360" t="inlineStr">
        <is>
          <t>A 65187-2019</t>
        </is>
      </c>
      <c r="B360" s="1" t="n">
        <v>43797</v>
      </c>
      <c r="C360" s="1" t="n">
        <v>45828</v>
      </c>
      <c r="D360" t="inlineStr">
        <is>
          <t>VÄRMLANDS LÄN</t>
        </is>
      </c>
      <c r="E360" t="inlineStr">
        <is>
          <t>TORSBY</t>
        </is>
      </c>
      <c r="G360" t="n">
        <v>2</v>
      </c>
      <c r="H360" t="n">
        <v>0</v>
      </c>
      <c r="I360" t="n">
        <v>0</v>
      </c>
      <c r="J360" t="n">
        <v>0</v>
      </c>
      <c r="K360" t="n">
        <v>0</v>
      </c>
      <c r="L360" t="n">
        <v>0</v>
      </c>
      <c r="M360" t="n">
        <v>0</v>
      </c>
      <c r="N360" t="n">
        <v>0</v>
      </c>
      <c r="O360" t="n">
        <v>0</v>
      </c>
      <c r="P360" t="n">
        <v>0</v>
      </c>
      <c r="Q360" t="n">
        <v>0</v>
      </c>
      <c r="R360" s="2" t="inlineStr"/>
    </row>
    <row r="361" ht="15" customHeight="1">
      <c r="A361" t="inlineStr">
        <is>
          <t>A 65243-2019</t>
        </is>
      </c>
      <c r="B361" s="1" t="n">
        <v>43797</v>
      </c>
      <c r="C361" s="1" t="n">
        <v>45828</v>
      </c>
      <c r="D361" t="inlineStr">
        <is>
          <t>VÄRMLANDS LÄN</t>
        </is>
      </c>
      <c r="E361" t="inlineStr">
        <is>
          <t>TORSBY</t>
        </is>
      </c>
      <c r="F361" t="inlineStr">
        <is>
          <t>Övriga statliga verk och myndigheter</t>
        </is>
      </c>
      <c r="G361" t="n">
        <v>20.3</v>
      </c>
      <c r="H361" t="n">
        <v>0</v>
      </c>
      <c r="I361" t="n">
        <v>0</v>
      </c>
      <c r="J361" t="n">
        <v>0</v>
      </c>
      <c r="K361" t="n">
        <v>0</v>
      </c>
      <c r="L361" t="n">
        <v>0</v>
      </c>
      <c r="M361" t="n">
        <v>0</v>
      </c>
      <c r="N361" t="n">
        <v>0</v>
      </c>
      <c r="O361" t="n">
        <v>0</v>
      </c>
      <c r="P361" t="n">
        <v>0</v>
      </c>
      <c r="Q361" t="n">
        <v>0</v>
      </c>
      <c r="R361" s="2" t="inlineStr"/>
    </row>
    <row r="362" ht="15" customHeight="1">
      <c r="A362" t="inlineStr">
        <is>
          <t>A 64803-2019</t>
        </is>
      </c>
      <c r="B362" s="1" t="n">
        <v>43801</v>
      </c>
      <c r="C362" s="1" t="n">
        <v>45828</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65132-2019</t>
        </is>
      </c>
      <c r="B363" s="1" t="n">
        <v>43802</v>
      </c>
      <c r="C363" s="1" t="n">
        <v>45828</v>
      </c>
      <c r="D363" t="inlineStr">
        <is>
          <t>VÄRMLANDS LÄN</t>
        </is>
      </c>
      <c r="E363" t="inlineStr">
        <is>
          <t>TORSBY</t>
        </is>
      </c>
      <c r="G363" t="n">
        <v>2.4</v>
      </c>
      <c r="H363" t="n">
        <v>0</v>
      </c>
      <c r="I363" t="n">
        <v>0</v>
      </c>
      <c r="J363" t="n">
        <v>0</v>
      </c>
      <c r="K363" t="n">
        <v>0</v>
      </c>
      <c r="L363" t="n">
        <v>0</v>
      </c>
      <c r="M363" t="n">
        <v>0</v>
      </c>
      <c r="N363" t="n">
        <v>0</v>
      </c>
      <c r="O363" t="n">
        <v>0</v>
      </c>
      <c r="P363" t="n">
        <v>0</v>
      </c>
      <c r="Q363" t="n">
        <v>0</v>
      </c>
      <c r="R363" s="2" t="inlineStr"/>
    </row>
    <row r="364" ht="15" customHeight="1">
      <c r="A364" t="inlineStr">
        <is>
          <t>A 65076-2019</t>
        </is>
      </c>
      <c r="B364" s="1" t="n">
        <v>43802</v>
      </c>
      <c r="C364" s="1" t="n">
        <v>45828</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65465-2019</t>
        </is>
      </c>
      <c r="B365" s="1" t="n">
        <v>43803</v>
      </c>
      <c r="C365" s="1" t="n">
        <v>45828</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65914-2019</t>
        </is>
      </c>
      <c r="B366" s="1" t="n">
        <v>43805</v>
      </c>
      <c r="C366" s="1" t="n">
        <v>45828</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67527-2019</t>
        </is>
      </c>
      <c r="B367" s="1" t="n">
        <v>43808</v>
      </c>
      <c r="C367" s="1" t="n">
        <v>45828</v>
      </c>
      <c r="D367" t="inlineStr">
        <is>
          <t>VÄRMLANDS LÄN</t>
        </is>
      </c>
      <c r="E367" t="inlineStr">
        <is>
          <t>TORSBY</t>
        </is>
      </c>
      <c r="G367" t="n">
        <v>1.2</v>
      </c>
      <c r="H367" t="n">
        <v>0</v>
      </c>
      <c r="I367" t="n">
        <v>0</v>
      </c>
      <c r="J367" t="n">
        <v>0</v>
      </c>
      <c r="K367" t="n">
        <v>0</v>
      </c>
      <c r="L367" t="n">
        <v>0</v>
      </c>
      <c r="M367" t="n">
        <v>0</v>
      </c>
      <c r="N367" t="n">
        <v>0</v>
      </c>
      <c r="O367" t="n">
        <v>0</v>
      </c>
      <c r="P367" t="n">
        <v>0</v>
      </c>
      <c r="Q367" t="n">
        <v>0</v>
      </c>
      <c r="R367" s="2" t="inlineStr"/>
    </row>
    <row r="368" ht="15" customHeight="1">
      <c r="A368" t="inlineStr">
        <is>
          <t>A 66690-2019</t>
        </is>
      </c>
      <c r="B368" s="1" t="n">
        <v>43809</v>
      </c>
      <c r="C368" s="1" t="n">
        <v>45828</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66689-2019</t>
        </is>
      </c>
      <c r="B369" s="1" t="n">
        <v>43809</v>
      </c>
      <c r="C369" s="1" t="n">
        <v>45828</v>
      </c>
      <c r="D369" t="inlineStr">
        <is>
          <t>VÄRMLANDS LÄN</t>
        </is>
      </c>
      <c r="E369" t="inlineStr">
        <is>
          <t>TORSBY</t>
        </is>
      </c>
      <c r="G369" t="n">
        <v>1.7</v>
      </c>
      <c r="H369" t="n">
        <v>0</v>
      </c>
      <c r="I369" t="n">
        <v>0</v>
      </c>
      <c r="J369" t="n">
        <v>0</v>
      </c>
      <c r="K369" t="n">
        <v>0</v>
      </c>
      <c r="L369" t="n">
        <v>0</v>
      </c>
      <c r="M369" t="n">
        <v>0</v>
      </c>
      <c r="N369" t="n">
        <v>0</v>
      </c>
      <c r="O369" t="n">
        <v>0</v>
      </c>
      <c r="P369" t="n">
        <v>0</v>
      </c>
      <c r="Q369" t="n">
        <v>0</v>
      </c>
      <c r="R369" s="2" t="inlineStr"/>
    </row>
    <row r="370" ht="15" customHeight="1">
      <c r="A370" t="inlineStr">
        <is>
          <t>A 67686-2019</t>
        </is>
      </c>
      <c r="B370" s="1" t="n">
        <v>43809</v>
      </c>
      <c r="C370" s="1" t="n">
        <v>45828</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66688-2019</t>
        </is>
      </c>
      <c r="B371" s="1" t="n">
        <v>43809</v>
      </c>
      <c r="C371" s="1" t="n">
        <v>45828</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67690-2019</t>
        </is>
      </c>
      <c r="B372" s="1" t="n">
        <v>43809</v>
      </c>
      <c r="C372" s="1" t="n">
        <v>45828</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67671-2019</t>
        </is>
      </c>
      <c r="B373" s="1" t="n">
        <v>43810</v>
      </c>
      <c r="C373" s="1" t="n">
        <v>45828</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67728-2019</t>
        </is>
      </c>
      <c r="B374" s="1" t="n">
        <v>43815</v>
      </c>
      <c r="C374" s="1" t="n">
        <v>45828</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68354-2019</t>
        </is>
      </c>
      <c r="B375" s="1" t="n">
        <v>43818</v>
      </c>
      <c r="C375" s="1" t="n">
        <v>45828</v>
      </c>
      <c r="D375" t="inlineStr">
        <is>
          <t>VÄRMLANDS LÄN</t>
        </is>
      </c>
      <c r="E375" t="inlineStr">
        <is>
          <t>TORSBY</t>
        </is>
      </c>
      <c r="G375" t="n">
        <v>61.1</v>
      </c>
      <c r="H375" t="n">
        <v>0</v>
      </c>
      <c r="I375" t="n">
        <v>0</v>
      </c>
      <c r="J375" t="n">
        <v>0</v>
      </c>
      <c r="K375" t="n">
        <v>0</v>
      </c>
      <c r="L375" t="n">
        <v>0</v>
      </c>
      <c r="M375" t="n">
        <v>0</v>
      </c>
      <c r="N375" t="n">
        <v>0</v>
      </c>
      <c r="O375" t="n">
        <v>0</v>
      </c>
      <c r="P375" t="n">
        <v>0</v>
      </c>
      <c r="Q375" t="n">
        <v>0</v>
      </c>
      <c r="R375" s="2" t="inlineStr"/>
    </row>
    <row r="376" ht="15" customHeight="1">
      <c r="A376" t="inlineStr">
        <is>
          <t>A 68360-2019</t>
        </is>
      </c>
      <c r="B376" s="1" t="n">
        <v>43818</v>
      </c>
      <c r="C376" s="1" t="n">
        <v>45828</v>
      </c>
      <c r="D376" t="inlineStr">
        <is>
          <t>VÄRMLANDS LÄN</t>
        </is>
      </c>
      <c r="E376" t="inlineStr">
        <is>
          <t>TORSBY</t>
        </is>
      </c>
      <c r="G376" t="n">
        <v>9</v>
      </c>
      <c r="H376" t="n">
        <v>0</v>
      </c>
      <c r="I376" t="n">
        <v>0</v>
      </c>
      <c r="J376" t="n">
        <v>0</v>
      </c>
      <c r="K376" t="n">
        <v>0</v>
      </c>
      <c r="L376" t="n">
        <v>0</v>
      </c>
      <c r="M376" t="n">
        <v>0</v>
      </c>
      <c r="N376" t="n">
        <v>0</v>
      </c>
      <c r="O376" t="n">
        <v>0</v>
      </c>
      <c r="P376" t="n">
        <v>0</v>
      </c>
      <c r="Q376" t="n">
        <v>0</v>
      </c>
      <c r="R376" s="2" t="inlineStr"/>
    </row>
    <row r="377" ht="15" customHeight="1">
      <c r="A377" t="inlineStr">
        <is>
          <t>A 68553-2019</t>
        </is>
      </c>
      <c r="B377" s="1" t="n">
        <v>43818</v>
      </c>
      <c r="C377" s="1" t="n">
        <v>45828</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140-2020</t>
        </is>
      </c>
      <c r="B378" s="1" t="n">
        <v>43833</v>
      </c>
      <c r="C378" s="1" t="n">
        <v>45828</v>
      </c>
      <c r="D378" t="inlineStr">
        <is>
          <t>VÄRMLANDS LÄN</t>
        </is>
      </c>
      <c r="E378" t="inlineStr">
        <is>
          <t>TORSBY</t>
        </is>
      </c>
      <c r="G378" t="n">
        <v>2.8</v>
      </c>
      <c r="H378" t="n">
        <v>0</v>
      </c>
      <c r="I378" t="n">
        <v>0</v>
      </c>
      <c r="J378" t="n">
        <v>0</v>
      </c>
      <c r="K378" t="n">
        <v>0</v>
      </c>
      <c r="L378" t="n">
        <v>0</v>
      </c>
      <c r="M378" t="n">
        <v>0</v>
      </c>
      <c r="N378" t="n">
        <v>0</v>
      </c>
      <c r="O378" t="n">
        <v>0</v>
      </c>
      <c r="P378" t="n">
        <v>0</v>
      </c>
      <c r="Q378" t="n">
        <v>0</v>
      </c>
      <c r="R378" s="2" t="inlineStr"/>
    </row>
    <row r="379" ht="15" customHeight="1">
      <c r="A379" t="inlineStr">
        <is>
          <t>A 338-2020</t>
        </is>
      </c>
      <c r="B379" s="1" t="n">
        <v>43837</v>
      </c>
      <c r="C379" s="1" t="n">
        <v>45828</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388-2020</t>
        </is>
      </c>
      <c r="B380" s="1" t="n">
        <v>43837</v>
      </c>
      <c r="C380" s="1" t="n">
        <v>45828</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3263-2020</t>
        </is>
      </c>
      <c r="B381" s="1" t="n">
        <v>43844</v>
      </c>
      <c r="C381" s="1" t="n">
        <v>45828</v>
      </c>
      <c r="D381" t="inlineStr">
        <is>
          <t>VÄRMLANDS LÄN</t>
        </is>
      </c>
      <c r="E381" t="inlineStr">
        <is>
          <t>TORSBY</t>
        </is>
      </c>
      <c r="G381" t="n">
        <v>14.7</v>
      </c>
      <c r="H381" t="n">
        <v>0</v>
      </c>
      <c r="I381" t="n">
        <v>0</v>
      </c>
      <c r="J381" t="n">
        <v>0</v>
      </c>
      <c r="K381" t="n">
        <v>0</v>
      </c>
      <c r="L381" t="n">
        <v>0</v>
      </c>
      <c r="M381" t="n">
        <v>0</v>
      </c>
      <c r="N381" t="n">
        <v>0</v>
      </c>
      <c r="O381" t="n">
        <v>0</v>
      </c>
      <c r="P381" t="n">
        <v>0</v>
      </c>
      <c r="Q381" t="n">
        <v>0</v>
      </c>
      <c r="R381" s="2" t="inlineStr"/>
    </row>
    <row r="382" ht="15" customHeight="1">
      <c r="A382" t="inlineStr">
        <is>
          <t>A 3172-2020</t>
        </is>
      </c>
      <c r="B382" s="1" t="n">
        <v>43844</v>
      </c>
      <c r="C382" s="1" t="n">
        <v>45828</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2082-2020</t>
        </is>
      </c>
      <c r="B383" s="1" t="n">
        <v>43845</v>
      </c>
      <c r="C383" s="1" t="n">
        <v>45828</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1875-2020</t>
        </is>
      </c>
      <c r="B384" s="1" t="n">
        <v>43845</v>
      </c>
      <c r="C384" s="1" t="n">
        <v>45828</v>
      </c>
      <c r="D384" t="inlineStr">
        <is>
          <t>VÄRMLANDS LÄN</t>
        </is>
      </c>
      <c r="E384" t="inlineStr">
        <is>
          <t>TORSBY</t>
        </is>
      </c>
      <c r="G384" t="n">
        <v>3</v>
      </c>
      <c r="H384" t="n">
        <v>0</v>
      </c>
      <c r="I384" t="n">
        <v>0</v>
      </c>
      <c r="J384" t="n">
        <v>0</v>
      </c>
      <c r="K384" t="n">
        <v>0</v>
      </c>
      <c r="L384" t="n">
        <v>0</v>
      </c>
      <c r="M384" t="n">
        <v>0</v>
      </c>
      <c r="N384" t="n">
        <v>0</v>
      </c>
      <c r="O384" t="n">
        <v>0</v>
      </c>
      <c r="P384" t="n">
        <v>0</v>
      </c>
      <c r="Q384" t="n">
        <v>0</v>
      </c>
      <c r="R384" s="2" t="inlineStr"/>
    </row>
    <row r="385" ht="15" customHeight="1">
      <c r="A385" t="inlineStr">
        <is>
          <t>A 2068-2020</t>
        </is>
      </c>
      <c r="B385" s="1" t="n">
        <v>43845</v>
      </c>
      <c r="C385" s="1" t="n">
        <v>45828</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4017-2020</t>
        </is>
      </c>
      <c r="B386" s="1" t="n">
        <v>43846</v>
      </c>
      <c r="C386" s="1" t="n">
        <v>45828</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4753-2020</t>
        </is>
      </c>
      <c r="B387" s="1" t="n">
        <v>43859</v>
      </c>
      <c r="C387" s="1" t="n">
        <v>45828</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5180-2020</t>
        </is>
      </c>
      <c r="B388" s="1" t="n">
        <v>43860</v>
      </c>
      <c r="C388" s="1" t="n">
        <v>45828</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5426-2020</t>
        </is>
      </c>
      <c r="B389" s="1" t="n">
        <v>43861</v>
      </c>
      <c r="C389" s="1" t="n">
        <v>45828</v>
      </c>
      <c r="D389" t="inlineStr">
        <is>
          <t>VÄRMLANDS LÄN</t>
        </is>
      </c>
      <c r="E389" t="inlineStr">
        <is>
          <t>TORSBY</t>
        </is>
      </c>
      <c r="G389" t="n">
        <v>7.2</v>
      </c>
      <c r="H389" t="n">
        <v>0</v>
      </c>
      <c r="I389" t="n">
        <v>0</v>
      </c>
      <c r="J389" t="n">
        <v>0</v>
      </c>
      <c r="K389" t="n">
        <v>0</v>
      </c>
      <c r="L389" t="n">
        <v>0</v>
      </c>
      <c r="M389" t="n">
        <v>0</v>
      </c>
      <c r="N389" t="n">
        <v>0</v>
      </c>
      <c r="O389" t="n">
        <v>0</v>
      </c>
      <c r="P389" t="n">
        <v>0</v>
      </c>
      <c r="Q389" t="n">
        <v>0</v>
      </c>
      <c r="R389" s="2" t="inlineStr"/>
    </row>
    <row r="390" ht="15" customHeight="1">
      <c r="A390" t="inlineStr">
        <is>
          <t>A 5425-2020</t>
        </is>
      </c>
      <c r="B390" s="1" t="n">
        <v>43861</v>
      </c>
      <c r="C390" s="1" t="n">
        <v>45828</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5427-2020</t>
        </is>
      </c>
      <c r="B391" s="1" t="n">
        <v>43861</v>
      </c>
      <c r="C391" s="1" t="n">
        <v>45828</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7000-2020</t>
        </is>
      </c>
      <c r="B392" s="1" t="n">
        <v>43868</v>
      </c>
      <c r="C392" s="1" t="n">
        <v>45828</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6862-2020</t>
        </is>
      </c>
      <c r="B393" s="1" t="n">
        <v>43868</v>
      </c>
      <c r="C393" s="1" t="n">
        <v>45828</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7153-2020</t>
        </is>
      </c>
      <c r="B394" s="1" t="n">
        <v>43870</v>
      </c>
      <c r="C394" s="1" t="n">
        <v>45828</v>
      </c>
      <c r="D394" t="inlineStr">
        <is>
          <t>VÄRMLANDS LÄN</t>
        </is>
      </c>
      <c r="E394" t="inlineStr">
        <is>
          <t>TORSBY</t>
        </is>
      </c>
      <c r="G394" t="n">
        <v>2.5</v>
      </c>
      <c r="H394" t="n">
        <v>0</v>
      </c>
      <c r="I394" t="n">
        <v>0</v>
      </c>
      <c r="J394" t="n">
        <v>0</v>
      </c>
      <c r="K394" t="n">
        <v>0</v>
      </c>
      <c r="L394" t="n">
        <v>0</v>
      </c>
      <c r="M394" t="n">
        <v>0</v>
      </c>
      <c r="N394" t="n">
        <v>0</v>
      </c>
      <c r="O394" t="n">
        <v>0</v>
      </c>
      <c r="P394" t="n">
        <v>0</v>
      </c>
      <c r="Q394" t="n">
        <v>0</v>
      </c>
      <c r="R394" s="2" t="inlineStr"/>
    </row>
    <row r="395" ht="15" customHeight="1">
      <c r="A395" t="inlineStr">
        <is>
          <t>A 7279-2020</t>
        </is>
      </c>
      <c r="B395" s="1" t="n">
        <v>43871</v>
      </c>
      <c r="C395" s="1" t="n">
        <v>45828</v>
      </c>
      <c r="D395" t="inlineStr">
        <is>
          <t>VÄRMLANDS LÄN</t>
        </is>
      </c>
      <c r="E395" t="inlineStr">
        <is>
          <t>TORSBY</t>
        </is>
      </c>
      <c r="G395" t="n">
        <v>6.7</v>
      </c>
      <c r="H395" t="n">
        <v>0</v>
      </c>
      <c r="I395" t="n">
        <v>0</v>
      </c>
      <c r="J395" t="n">
        <v>0</v>
      </c>
      <c r="K395" t="n">
        <v>0</v>
      </c>
      <c r="L395" t="n">
        <v>0</v>
      </c>
      <c r="M395" t="n">
        <v>0</v>
      </c>
      <c r="N395" t="n">
        <v>0</v>
      </c>
      <c r="O395" t="n">
        <v>0</v>
      </c>
      <c r="P395" t="n">
        <v>0</v>
      </c>
      <c r="Q395" t="n">
        <v>0</v>
      </c>
      <c r="R395" s="2" t="inlineStr"/>
    </row>
    <row r="396" ht="15" customHeight="1">
      <c r="A396" t="inlineStr">
        <is>
          <t>A 7526-2020</t>
        </is>
      </c>
      <c r="B396" s="1" t="n">
        <v>43871</v>
      </c>
      <c r="C396" s="1" t="n">
        <v>45828</v>
      </c>
      <c r="D396" t="inlineStr">
        <is>
          <t>VÄRMLANDS LÄN</t>
        </is>
      </c>
      <c r="E396" t="inlineStr">
        <is>
          <t>TORSBY</t>
        </is>
      </c>
      <c r="G396" t="n">
        <v>11.8</v>
      </c>
      <c r="H396" t="n">
        <v>0</v>
      </c>
      <c r="I396" t="n">
        <v>0</v>
      </c>
      <c r="J396" t="n">
        <v>0</v>
      </c>
      <c r="K396" t="n">
        <v>0</v>
      </c>
      <c r="L396" t="n">
        <v>0</v>
      </c>
      <c r="M396" t="n">
        <v>0</v>
      </c>
      <c r="N396" t="n">
        <v>0</v>
      </c>
      <c r="O396" t="n">
        <v>0</v>
      </c>
      <c r="P396" t="n">
        <v>0</v>
      </c>
      <c r="Q396" t="n">
        <v>0</v>
      </c>
      <c r="R396" s="2" t="inlineStr"/>
    </row>
    <row r="397" ht="15" customHeight="1">
      <c r="A397" t="inlineStr">
        <is>
          <t>A 7582-2020</t>
        </is>
      </c>
      <c r="B397" s="1" t="n">
        <v>43871</v>
      </c>
      <c r="C397" s="1" t="n">
        <v>45828</v>
      </c>
      <c r="D397" t="inlineStr">
        <is>
          <t>VÄRMLANDS LÄN</t>
        </is>
      </c>
      <c r="E397" t="inlineStr">
        <is>
          <t>TORSBY</t>
        </is>
      </c>
      <c r="G397" t="n">
        <v>7.4</v>
      </c>
      <c r="H397" t="n">
        <v>0</v>
      </c>
      <c r="I397" t="n">
        <v>0</v>
      </c>
      <c r="J397" t="n">
        <v>0</v>
      </c>
      <c r="K397" t="n">
        <v>0</v>
      </c>
      <c r="L397" t="n">
        <v>0</v>
      </c>
      <c r="M397" t="n">
        <v>0</v>
      </c>
      <c r="N397" t="n">
        <v>0</v>
      </c>
      <c r="O397" t="n">
        <v>0</v>
      </c>
      <c r="P397" t="n">
        <v>0</v>
      </c>
      <c r="Q397" t="n">
        <v>0</v>
      </c>
      <c r="R397" s="2" t="inlineStr"/>
    </row>
    <row r="398" ht="15" customHeight="1">
      <c r="A398" t="inlineStr">
        <is>
          <t>A 7749-2020</t>
        </is>
      </c>
      <c r="B398" s="1" t="n">
        <v>43872</v>
      </c>
      <c r="C398" s="1" t="n">
        <v>45828</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7856-2020</t>
        </is>
      </c>
      <c r="B399" s="1" t="n">
        <v>43873</v>
      </c>
      <c r="C399" s="1" t="n">
        <v>45828</v>
      </c>
      <c r="D399" t="inlineStr">
        <is>
          <t>VÄRMLANDS LÄN</t>
        </is>
      </c>
      <c r="E399" t="inlineStr">
        <is>
          <t>TORSBY</t>
        </is>
      </c>
      <c r="G399" t="n">
        <v>4.5</v>
      </c>
      <c r="H399" t="n">
        <v>0</v>
      </c>
      <c r="I399" t="n">
        <v>0</v>
      </c>
      <c r="J399" t="n">
        <v>0</v>
      </c>
      <c r="K399" t="n">
        <v>0</v>
      </c>
      <c r="L399" t="n">
        <v>0</v>
      </c>
      <c r="M399" t="n">
        <v>0</v>
      </c>
      <c r="N399" t="n">
        <v>0</v>
      </c>
      <c r="O399" t="n">
        <v>0</v>
      </c>
      <c r="P399" t="n">
        <v>0</v>
      </c>
      <c r="Q399" t="n">
        <v>0</v>
      </c>
      <c r="R399" s="2" t="inlineStr"/>
    </row>
    <row r="400" ht="15" customHeight="1">
      <c r="A400" t="inlineStr">
        <is>
          <t>A 8631-2020</t>
        </is>
      </c>
      <c r="B400" s="1" t="n">
        <v>43874</v>
      </c>
      <c r="C400" s="1" t="n">
        <v>45828</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8899-2020</t>
        </is>
      </c>
      <c r="B401" s="1" t="n">
        <v>43878</v>
      </c>
      <c r="C401" s="1" t="n">
        <v>45828</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9192-2020</t>
        </is>
      </c>
      <c r="B402" s="1" t="n">
        <v>43879</v>
      </c>
      <c r="C402" s="1" t="n">
        <v>45828</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9766-2020</t>
        </is>
      </c>
      <c r="B403" s="1" t="n">
        <v>43879</v>
      </c>
      <c r="C403" s="1" t="n">
        <v>45828</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9760-2020</t>
        </is>
      </c>
      <c r="B404" s="1" t="n">
        <v>43879</v>
      </c>
      <c r="C404" s="1" t="n">
        <v>45828</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9600-2020</t>
        </is>
      </c>
      <c r="B405" s="1" t="n">
        <v>43881</v>
      </c>
      <c r="C405" s="1" t="n">
        <v>45828</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10899-2020</t>
        </is>
      </c>
      <c r="B406" s="1" t="n">
        <v>43885</v>
      </c>
      <c r="C406" s="1" t="n">
        <v>45828</v>
      </c>
      <c r="D406" t="inlineStr">
        <is>
          <t>VÄRMLANDS LÄN</t>
        </is>
      </c>
      <c r="E406" t="inlineStr">
        <is>
          <t>TORSBY</t>
        </is>
      </c>
      <c r="G406" t="n">
        <v>7.4</v>
      </c>
      <c r="H406" t="n">
        <v>0</v>
      </c>
      <c r="I406" t="n">
        <v>0</v>
      </c>
      <c r="J406" t="n">
        <v>0</v>
      </c>
      <c r="K406" t="n">
        <v>0</v>
      </c>
      <c r="L406" t="n">
        <v>0</v>
      </c>
      <c r="M406" t="n">
        <v>0</v>
      </c>
      <c r="N406" t="n">
        <v>0</v>
      </c>
      <c r="O406" t="n">
        <v>0</v>
      </c>
      <c r="P406" t="n">
        <v>0</v>
      </c>
      <c r="Q406" t="n">
        <v>0</v>
      </c>
      <c r="R406" s="2" t="inlineStr"/>
    </row>
    <row r="407" ht="15" customHeight="1">
      <c r="A407" t="inlineStr">
        <is>
          <t>A 10422-2020</t>
        </is>
      </c>
      <c r="B407" s="1" t="n">
        <v>43886</v>
      </c>
      <c r="C407" s="1" t="n">
        <v>45828</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10449-2020</t>
        </is>
      </c>
      <c r="B408" s="1" t="n">
        <v>43886</v>
      </c>
      <c r="C408" s="1" t="n">
        <v>45828</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11213-2020</t>
        </is>
      </c>
      <c r="B409" s="1" t="n">
        <v>43892</v>
      </c>
      <c r="C409" s="1" t="n">
        <v>45828</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12428-2020</t>
        </is>
      </c>
      <c r="B410" s="1" t="n">
        <v>43896</v>
      </c>
      <c r="C410" s="1" t="n">
        <v>45828</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12855-2020</t>
        </is>
      </c>
      <c r="B411" s="1" t="n">
        <v>43899</v>
      </c>
      <c r="C411" s="1" t="n">
        <v>45828</v>
      </c>
      <c r="D411" t="inlineStr">
        <is>
          <t>VÄRMLANDS LÄN</t>
        </is>
      </c>
      <c r="E411" t="inlineStr">
        <is>
          <t>TORSBY</t>
        </is>
      </c>
      <c r="G411" t="n">
        <v>5.9</v>
      </c>
      <c r="H411" t="n">
        <v>0</v>
      </c>
      <c r="I411" t="n">
        <v>0</v>
      </c>
      <c r="J411" t="n">
        <v>0</v>
      </c>
      <c r="K411" t="n">
        <v>0</v>
      </c>
      <c r="L411" t="n">
        <v>0</v>
      </c>
      <c r="M411" t="n">
        <v>0</v>
      </c>
      <c r="N411" t="n">
        <v>0</v>
      </c>
      <c r="O411" t="n">
        <v>0</v>
      </c>
      <c r="P411" t="n">
        <v>0</v>
      </c>
      <c r="Q411" t="n">
        <v>0</v>
      </c>
      <c r="R411" s="2" t="inlineStr"/>
    </row>
    <row r="412" ht="15" customHeight="1">
      <c r="A412" t="inlineStr">
        <is>
          <t>A 12881-2020</t>
        </is>
      </c>
      <c r="B412" s="1" t="n">
        <v>43900</v>
      </c>
      <c r="C412" s="1" t="n">
        <v>45828</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14246-2020</t>
        </is>
      </c>
      <c r="B413" s="1" t="n">
        <v>43900</v>
      </c>
      <c r="C413" s="1" t="n">
        <v>45828</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13153-2020</t>
        </is>
      </c>
      <c r="B414" s="1" t="n">
        <v>43901</v>
      </c>
      <c r="C414" s="1" t="n">
        <v>45828</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13250-2020</t>
        </is>
      </c>
      <c r="B415" s="1" t="n">
        <v>43901</v>
      </c>
      <c r="C415" s="1" t="n">
        <v>45828</v>
      </c>
      <c r="D415" t="inlineStr">
        <is>
          <t>VÄRMLANDS LÄN</t>
        </is>
      </c>
      <c r="E415" t="inlineStr">
        <is>
          <t>TORSBY</t>
        </is>
      </c>
      <c r="G415" t="n">
        <v>0.8</v>
      </c>
      <c r="H415" t="n">
        <v>0</v>
      </c>
      <c r="I415" t="n">
        <v>0</v>
      </c>
      <c r="J415" t="n">
        <v>0</v>
      </c>
      <c r="K415" t="n">
        <v>0</v>
      </c>
      <c r="L415" t="n">
        <v>0</v>
      </c>
      <c r="M415" t="n">
        <v>0</v>
      </c>
      <c r="N415" t="n">
        <v>0</v>
      </c>
      <c r="O415" t="n">
        <v>0</v>
      </c>
      <c r="P415" t="n">
        <v>0</v>
      </c>
      <c r="Q415" t="n">
        <v>0</v>
      </c>
      <c r="R415" s="2" t="inlineStr"/>
    </row>
    <row r="416" ht="15" customHeight="1">
      <c r="A416" t="inlineStr">
        <is>
          <t>A 14695-2020</t>
        </is>
      </c>
      <c r="B416" s="1" t="n">
        <v>43903</v>
      </c>
      <c r="C416" s="1" t="n">
        <v>45828</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14693-2020</t>
        </is>
      </c>
      <c r="B417" s="1" t="n">
        <v>43903</v>
      </c>
      <c r="C417" s="1" t="n">
        <v>45828</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14962-2020</t>
        </is>
      </c>
      <c r="B418" s="1" t="n">
        <v>43907</v>
      </c>
      <c r="C418" s="1" t="n">
        <v>45828</v>
      </c>
      <c r="D418" t="inlineStr">
        <is>
          <t>VÄRMLANDS LÄN</t>
        </is>
      </c>
      <c r="E418" t="inlineStr">
        <is>
          <t>TORSBY</t>
        </is>
      </c>
      <c r="G418" t="n">
        <v>2.1</v>
      </c>
      <c r="H418" t="n">
        <v>0</v>
      </c>
      <c r="I418" t="n">
        <v>0</v>
      </c>
      <c r="J418" t="n">
        <v>0</v>
      </c>
      <c r="K418" t="n">
        <v>0</v>
      </c>
      <c r="L418" t="n">
        <v>0</v>
      </c>
      <c r="M418" t="n">
        <v>0</v>
      </c>
      <c r="N418" t="n">
        <v>0</v>
      </c>
      <c r="O418" t="n">
        <v>0</v>
      </c>
      <c r="P418" t="n">
        <v>0</v>
      </c>
      <c r="Q418" t="n">
        <v>0</v>
      </c>
      <c r="R418" s="2" t="inlineStr"/>
    </row>
    <row r="419" ht="15" customHeight="1">
      <c r="A419" t="inlineStr">
        <is>
          <t>A 14968-2020</t>
        </is>
      </c>
      <c r="B419" s="1" t="n">
        <v>43907</v>
      </c>
      <c r="C419" s="1" t="n">
        <v>45828</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14702-2020</t>
        </is>
      </c>
      <c r="B420" s="1" t="n">
        <v>43909</v>
      </c>
      <c r="C420" s="1" t="n">
        <v>45828</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14694-2020</t>
        </is>
      </c>
      <c r="B421" s="1" t="n">
        <v>43909</v>
      </c>
      <c r="C421" s="1" t="n">
        <v>45828</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14851-2020</t>
        </is>
      </c>
      <c r="B422" s="1" t="n">
        <v>43909</v>
      </c>
      <c r="C422" s="1" t="n">
        <v>45828</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15161-2020</t>
        </is>
      </c>
      <c r="B423" s="1" t="n">
        <v>43912</v>
      </c>
      <c r="C423" s="1" t="n">
        <v>45828</v>
      </c>
      <c r="D423" t="inlineStr">
        <is>
          <t>VÄRMLANDS LÄN</t>
        </is>
      </c>
      <c r="E423" t="inlineStr">
        <is>
          <t>TORSBY</t>
        </is>
      </c>
      <c r="G423" t="n">
        <v>2.7</v>
      </c>
      <c r="H423" t="n">
        <v>0</v>
      </c>
      <c r="I423" t="n">
        <v>0</v>
      </c>
      <c r="J423" t="n">
        <v>0</v>
      </c>
      <c r="K423" t="n">
        <v>0</v>
      </c>
      <c r="L423" t="n">
        <v>0</v>
      </c>
      <c r="M423" t="n">
        <v>0</v>
      </c>
      <c r="N423" t="n">
        <v>0</v>
      </c>
      <c r="O423" t="n">
        <v>0</v>
      </c>
      <c r="P423" t="n">
        <v>0</v>
      </c>
      <c r="Q423" t="n">
        <v>0</v>
      </c>
      <c r="R423" s="2" t="inlineStr"/>
    </row>
    <row r="424" ht="15" customHeight="1">
      <c r="A424" t="inlineStr">
        <is>
          <t>A 15280-2020</t>
        </is>
      </c>
      <c r="B424" s="1" t="n">
        <v>43913</v>
      </c>
      <c r="C424" s="1" t="n">
        <v>45828</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15589-2020</t>
        </is>
      </c>
      <c r="B425" s="1" t="n">
        <v>43914</v>
      </c>
      <c r="C425" s="1" t="n">
        <v>45828</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15701-2020</t>
        </is>
      </c>
      <c r="B426" s="1" t="n">
        <v>43915</v>
      </c>
      <c r="C426" s="1" t="n">
        <v>45828</v>
      </c>
      <c r="D426" t="inlineStr">
        <is>
          <t>VÄRMLANDS LÄN</t>
        </is>
      </c>
      <c r="E426" t="inlineStr">
        <is>
          <t>TORSBY</t>
        </is>
      </c>
      <c r="G426" t="n">
        <v>2.9</v>
      </c>
      <c r="H426" t="n">
        <v>0</v>
      </c>
      <c r="I426" t="n">
        <v>0</v>
      </c>
      <c r="J426" t="n">
        <v>0</v>
      </c>
      <c r="K426" t="n">
        <v>0</v>
      </c>
      <c r="L426" t="n">
        <v>0</v>
      </c>
      <c r="M426" t="n">
        <v>0</v>
      </c>
      <c r="N426" t="n">
        <v>0</v>
      </c>
      <c r="O426" t="n">
        <v>0</v>
      </c>
      <c r="P426" t="n">
        <v>0</v>
      </c>
      <c r="Q426" t="n">
        <v>0</v>
      </c>
      <c r="R426" s="2" t="inlineStr"/>
    </row>
    <row r="427" ht="15" customHeight="1">
      <c r="A427" t="inlineStr">
        <is>
          <t>A 15768-2020</t>
        </is>
      </c>
      <c r="B427" s="1" t="n">
        <v>43915</v>
      </c>
      <c r="C427" s="1" t="n">
        <v>45828</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16364-2020</t>
        </is>
      </c>
      <c r="B428" s="1" t="n">
        <v>43917</v>
      </c>
      <c r="C428" s="1" t="n">
        <v>45828</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16437-2020</t>
        </is>
      </c>
      <c r="B429" s="1" t="n">
        <v>43919</v>
      </c>
      <c r="C429" s="1" t="n">
        <v>45828</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17021-2020</t>
        </is>
      </c>
      <c r="B430" s="1" t="n">
        <v>43921</v>
      </c>
      <c r="C430" s="1" t="n">
        <v>45828</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16999-2020</t>
        </is>
      </c>
      <c r="B431" s="1" t="n">
        <v>43921</v>
      </c>
      <c r="C431" s="1" t="n">
        <v>45828</v>
      </c>
      <c r="D431" t="inlineStr">
        <is>
          <t>VÄRMLANDS LÄN</t>
        </is>
      </c>
      <c r="E431" t="inlineStr">
        <is>
          <t>TORSBY</t>
        </is>
      </c>
      <c r="G431" t="n">
        <v>6.6</v>
      </c>
      <c r="H431" t="n">
        <v>0</v>
      </c>
      <c r="I431" t="n">
        <v>0</v>
      </c>
      <c r="J431" t="n">
        <v>0</v>
      </c>
      <c r="K431" t="n">
        <v>0</v>
      </c>
      <c r="L431" t="n">
        <v>0</v>
      </c>
      <c r="M431" t="n">
        <v>0</v>
      </c>
      <c r="N431" t="n">
        <v>0</v>
      </c>
      <c r="O431" t="n">
        <v>0</v>
      </c>
      <c r="P431" t="n">
        <v>0</v>
      </c>
      <c r="Q431" t="n">
        <v>0</v>
      </c>
      <c r="R431" s="2" t="inlineStr"/>
    </row>
    <row r="432" ht="15" customHeight="1">
      <c r="A432" t="inlineStr">
        <is>
          <t>A 17009-2020</t>
        </is>
      </c>
      <c r="B432" s="1" t="n">
        <v>43921</v>
      </c>
      <c r="C432" s="1" t="n">
        <v>45828</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18155-2020</t>
        </is>
      </c>
      <c r="B433" s="1" t="n">
        <v>43927</v>
      </c>
      <c r="C433" s="1" t="n">
        <v>45828</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18641-2020</t>
        </is>
      </c>
      <c r="B434" s="1" t="n">
        <v>43928</v>
      </c>
      <c r="C434" s="1" t="n">
        <v>45828</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18769-2020</t>
        </is>
      </c>
      <c r="B435" s="1" t="n">
        <v>43930</v>
      </c>
      <c r="C435" s="1" t="n">
        <v>45828</v>
      </c>
      <c r="D435" t="inlineStr">
        <is>
          <t>VÄRMLANDS LÄN</t>
        </is>
      </c>
      <c r="E435" t="inlineStr">
        <is>
          <t>TORSBY</t>
        </is>
      </c>
      <c r="G435" t="n">
        <v>5.2</v>
      </c>
      <c r="H435" t="n">
        <v>0</v>
      </c>
      <c r="I435" t="n">
        <v>0</v>
      </c>
      <c r="J435" t="n">
        <v>0</v>
      </c>
      <c r="K435" t="n">
        <v>0</v>
      </c>
      <c r="L435" t="n">
        <v>0</v>
      </c>
      <c r="M435" t="n">
        <v>0</v>
      </c>
      <c r="N435" t="n">
        <v>0</v>
      </c>
      <c r="O435" t="n">
        <v>0</v>
      </c>
      <c r="P435" t="n">
        <v>0</v>
      </c>
      <c r="Q435" t="n">
        <v>0</v>
      </c>
      <c r="R435" s="2" t="inlineStr"/>
    </row>
    <row r="436" ht="15" customHeight="1">
      <c r="A436" t="inlineStr">
        <is>
          <t>A 18770-2020</t>
        </is>
      </c>
      <c r="B436" s="1" t="n">
        <v>43930</v>
      </c>
      <c r="C436" s="1" t="n">
        <v>45828</v>
      </c>
      <c r="D436" t="inlineStr">
        <is>
          <t>VÄRMLANDS LÄN</t>
        </is>
      </c>
      <c r="E436" t="inlineStr">
        <is>
          <t>TORSBY</t>
        </is>
      </c>
      <c r="G436" t="n">
        <v>4.2</v>
      </c>
      <c r="H436" t="n">
        <v>0</v>
      </c>
      <c r="I436" t="n">
        <v>0</v>
      </c>
      <c r="J436" t="n">
        <v>0</v>
      </c>
      <c r="K436" t="n">
        <v>0</v>
      </c>
      <c r="L436" t="n">
        <v>0</v>
      </c>
      <c r="M436" t="n">
        <v>0</v>
      </c>
      <c r="N436" t="n">
        <v>0</v>
      </c>
      <c r="O436" t="n">
        <v>0</v>
      </c>
      <c r="P436" t="n">
        <v>0</v>
      </c>
      <c r="Q436" t="n">
        <v>0</v>
      </c>
      <c r="R436" s="2" t="inlineStr"/>
    </row>
    <row r="437" ht="15" customHeight="1">
      <c r="A437" t="inlineStr">
        <is>
          <t>A 18972-2020</t>
        </is>
      </c>
      <c r="B437" s="1" t="n">
        <v>43935</v>
      </c>
      <c r="C437" s="1" t="n">
        <v>45828</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19032-2020</t>
        </is>
      </c>
      <c r="B438" s="1" t="n">
        <v>43936</v>
      </c>
      <c r="C438" s="1" t="n">
        <v>45828</v>
      </c>
      <c r="D438" t="inlineStr">
        <is>
          <t>VÄRMLANDS LÄN</t>
        </is>
      </c>
      <c r="E438" t="inlineStr">
        <is>
          <t>TORSBY</t>
        </is>
      </c>
      <c r="G438" t="n">
        <v>1</v>
      </c>
      <c r="H438" t="n">
        <v>0</v>
      </c>
      <c r="I438" t="n">
        <v>0</v>
      </c>
      <c r="J438" t="n">
        <v>0</v>
      </c>
      <c r="K438" t="n">
        <v>0</v>
      </c>
      <c r="L438" t="n">
        <v>0</v>
      </c>
      <c r="M438" t="n">
        <v>0</v>
      </c>
      <c r="N438" t="n">
        <v>0</v>
      </c>
      <c r="O438" t="n">
        <v>0</v>
      </c>
      <c r="P438" t="n">
        <v>0</v>
      </c>
      <c r="Q438" t="n">
        <v>0</v>
      </c>
      <c r="R438" s="2" t="inlineStr"/>
    </row>
    <row r="439" ht="15" customHeight="1">
      <c r="A439" t="inlineStr">
        <is>
          <t>A 19181-2020</t>
        </is>
      </c>
      <c r="B439" s="1" t="n">
        <v>43937</v>
      </c>
      <c r="C439" s="1" t="n">
        <v>45828</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19384-2020</t>
        </is>
      </c>
      <c r="B440" s="1" t="n">
        <v>43938</v>
      </c>
      <c r="C440" s="1" t="n">
        <v>45828</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19963-2020</t>
        </is>
      </c>
      <c r="B441" s="1" t="n">
        <v>43941</v>
      </c>
      <c r="C441" s="1" t="n">
        <v>45828</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20025-2020</t>
        </is>
      </c>
      <c r="B442" s="1" t="n">
        <v>43943</v>
      </c>
      <c r="C442" s="1" t="n">
        <v>45828</v>
      </c>
      <c r="D442" t="inlineStr">
        <is>
          <t>VÄRMLANDS LÄN</t>
        </is>
      </c>
      <c r="E442" t="inlineStr">
        <is>
          <t>TORSBY</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20280-2020</t>
        </is>
      </c>
      <c r="B443" s="1" t="n">
        <v>43945</v>
      </c>
      <c r="C443" s="1" t="n">
        <v>45828</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20464-2020</t>
        </is>
      </c>
      <c r="B444" s="1" t="n">
        <v>43948</v>
      </c>
      <c r="C444" s="1" t="n">
        <v>45828</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21099-2020</t>
        </is>
      </c>
      <c r="B445" s="1" t="n">
        <v>43951</v>
      </c>
      <c r="C445" s="1" t="n">
        <v>45828</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21335-2020</t>
        </is>
      </c>
      <c r="B446" s="1" t="n">
        <v>43951</v>
      </c>
      <c r="C446" s="1" t="n">
        <v>45828</v>
      </c>
      <c r="D446" t="inlineStr">
        <is>
          <t>VÄRMLANDS LÄN</t>
        </is>
      </c>
      <c r="E446" t="inlineStr">
        <is>
          <t>TORSBY</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21369-2020</t>
        </is>
      </c>
      <c r="B447" s="1" t="n">
        <v>43951</v>
      </c>
      <c r="C447" s="1" t="n">
        <v>45828</v>
      </c>
      <c r="D447" t="inlineStr">
        <is>
          <t>VÄRMLANDS LÄN</t>
        </is>
      </c>
      <c r="E447" t="inlineStr">
        <is>
          <t>TORSBY</t>
        </is>
      </c>
      <c r="F447" t="inlineStr">
        <is>
          <t>Övriga Aktiebolag</t>
        </is>
      </c>
      <c r="G447" t="n">
        <v>3.5</v>
      </c>
      <c r="H447" t="n">
        <v>0</v>
      </c>
      <c r="I447" t="n">
        <v>0</v>
      </c>
      <c r="J447" t="n">
        <v>0</v>
      </c>
      <c r="K447" t="n">
        <v>0</v>
      </c>
      <c r="L447" t="n">
        <v>0</v>
      </c>
      <c r="M447" t="n">
        <v>0</v>
      </c>
      <c r="N447" t="n">
        <v>0</v>
      </c>
      <c r="O447" t="n">
        <v>0</v>
      </c>
      <c r="P447" t="n">
        <v>0</v>
      </c>
      <c r="Q447" t="n">
        <v>0</v>
      </c>
      <c r="R447" s="2" t="inlineStr"/>
    </row>
    <row r="448" ht="15" customHeight="1">
      <c r="A448" t="inlineStr">
        <is>
          <t>A 21045-2020</t>
        </is>
      </c>
      <c r="B448" s="1" t="n">
        <v>43951</v>
      </c>
      <c r="C448" s="1" t="n">
        <v>45828</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21347-2020</t>
        </is>
      </c>
      <c r="B449" s="1" t="n">
        <v>43951</v>
      </c>
      <c r="C449" s="1" t="n">
        <v>45828</v>
      </c>
      <c r="D449" t="inlineStr">
        <is>
          <t>VÄRMLANDS LÄN</t>
        </is>
      </c>
      <c r="E449" t="inlineStr">
        <is>
          <t>TORSBY</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21900-2020</t>
        </is>
      </c>
      <c r="B450" s="1" t="n">
        <v>43955</v>
      </c>
      <c r="C450" s="1" t="n">
        <v>45828</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21672-2020</t>
        </is>
      </c>
      <c r="B451" s="1" t="n">
        <v>43957</v>
      </c>
      <c r="C451" s="1" t="n">
        <v>45828</v>
      </c>
      <c r="D451" t="inlineStr">
        <is>
          <t>VÄRMLANDS LÄN</t>
        </is>
      </c>
      <c r="E451" t="inlineStr">
        <is>
          <t>TORSBY</t>
        </is>
      </c>
      <c r="F451" t="inlineStr">
        <is>
          <t>Bergvik skog väst AB</t>
        </is>
      </c>
      <c r="G451" t="n">
        <v>44.1</v>
      </c>
      <c r="H451" t="n">
        <v>0</v>
      </c>
      <c r="I451" t="n">
        <v>0</v>
      </c>
      <c r="J451" t="n">
        <v>0</v>
      </c>
      <c r="K451" t="n">
        <v>0</v>
      </c>
      <c r="L451" t="n">
        <v>0</v>
      </c>
      <c r="M451" t="n">
        <v>0</v>
      </c>
      <c r="N451" t="n">
        <v>0</v>
      </c>
      <c r="O451" t="n">
        <v>0</v>
      </c>
      <c r="P451" t="n">
        <v>0</v>
      </c>
      <c r="Q451" t="n">
        <v>0</v>
      </c>
      <c r="R451" s="2" t="inlineStr"/>
    </row>
    <row r="452" ht="15" customHeight="1">
      <c r="A452" t="inlineStr">
        <is>
          <t>A 22194-2020</t>
        </is>
      </c>
      <c r="B452" s="1" t="n">
        <v>43962</v>
      </c>
      <c r="C452" s="1" t="n">
        <v>45828</v>
      </c>
      <c r="D452" t="inlineStr">
        <is>
          <t>VÄRMLANDS LÄN</t>
        </is>
      </c>
      <c r="E452" t="inlineStr">
        <is>
          <t>TORSBY</t>
        </is>
      </c>
      <c r="G452" t="n">
        <v>3.2</v>
      </c>
      <c r="H452" t="n">
        <v>0</v>
      </c>
      <c r="I452" t="n">
        <v>0</v>
      </c>
      <c r="J452" t="n">
        <v>0</v>
      </c>
      <c r="K452" t="n">
        <v>0</v>
      </c>
      <c r="L452" t="n">
        <v>0</v>
      </c>
      <c r="M452" t="n">
        <v>0</v>
      </c>
      <c r="N452" t="n">
        <v>0</v>
      </c>
      <c r="O452" t="n">
        <v>0</v>
      </c>
      <c r="P452" t="n">
        <v>0</v>
      </c>
      <c r="Q452" t="n">
        <v>0</v>
      </c>
      <c r="R452" s="2" t="inlineStr"/>
    </row>
    <row r="453" ht="15" customHeight="1">
      <c r="A453" t="inlineStr">
        <is>
          <t>A 22209-2020</t>
        </is>
      </c>
      <c r="B453" s="1" t="n">
        <v>43962</v>
      </c>
      <c r="C453" s="1" t="n">
        <v>45828</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25518-2020</t>
        </is>
      </c>
      <c r="B454" s="1" t="n">
        <v>43983</v>
      </c>
      <c r="C454" s="1" t="n">
        <v>45828</v>
      </c>
      <c r="D454" t="inlineStr">
        <is>
          <t>VÄRMLANDS LÄN</t>
        </is>
      </c>
      <c r="E454" t="inlineStr">
        <is>
          <t>TORSBY</t>
        </is>
      </c>
      <c r="G454" t="n">
        <v>0.2</v>
      </c>
      <c r="H454" t="n">
        <v>0</v>
      </c>
      <c r="I454" t="n">
        <v>0</v>
      </c>
      <c r="J454" t="n">
        <v>0</v>
      </c>
      <c r="K454" t="n">
        <v>0</v>
      </c>
      <c r="L454" t="n">
        <v>0</v>
      </c>
      <c r="M454" t="n">
        <v>0</v>
      </c>
      <c r="N454" t="n">
        <v>0</v>
      </c>
      <c r="O454" t="n">
        <v>0</v>
      </c>
      <c r="P454" t="n">
        <v>0</v>
      </c>
      <c r="Q454" t="n">
        <v>0</v>
      </c>
      <c r="R454" s="2" t="inlineStr"/>
    </row>
    <row r="455" ht="15" customHeight="1">
      <c r="A455" t="inlineStr">
        <is>
          <t>A 26915-2020</t>
        </is>
      </c>
      <c r="B455" s="1" t="n">
        <v>43986</v>
      </c>
      <c r="C455" s="1" t="n">
        <v>45828</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26926-2020</t>
        </is>
      </c>
      <c r="B456" s="1" t="n">
        <v>43986</v>
      </c>
      <c r="C456" s="1" t="n">
        <v>45828</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26919-2020</t>
        </is>
      </c>
      <c r="B457" s="1" t="n">
        <v>43986</v>
      </c>
      <c r="C457" s="1" t="n">
        <v>45828</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26666-2020</t>
        </is>
      </c>
      <c r="B458" s="1" t="n">
        <v>43989</v>
      </c>
      <c r="C458" s="1" t="n">
        <v>45828</v>
      </c>
      <c r="D458" t="inlineStr">
        <is>
          <t>VÄRMLANDS LÄN</t>
        </is>
      </c>
      <c r="E458" t="inlineStr">
        <is>
          <t>TORSBY</t>
        </is>
      </c>
      <c r="G458" t="n">
        <v>8.4</v>
      </c>
      <c r="H458" t="n">
        <v>0</v>
      </c>
      <c r="I458" t="n">
        <v>0</v>
      </c>
      <c r="J458" t="n">
        <v>0</v>
      </c>
      <c r="K458" t="n">
        <v>0</v>
      </c>
      <c r="L458" t="n">
        <v>0</v>
      </c>
      <c r="M458" t="n">
        <v>0</v>
      </c>
      <c r="N458" t="n">
        <v>0</v>
      </c>
      <c r="O458" t="n">
        <v>0</v>
      </c>
      <c r="P458" t="n">
        <v>0</v>
      </c>
      <c r="Q458" t="n">
        <v>0</v>
      </c>
      <c r="R458" s="2" t="inlineStr"/>
    </row>
    <row r="459" ht="15" customHeight="1">
      <c r="A459" t="inlineStr">
        <is>
          <t>A 27339-2020</t>
        </is>
      </c>
      <c r="B459" s="1" t="n">
        <v>43990</v>
      </c>
      <c r="C459" s="1" t="n">
        <v>45828</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27009-2020</t>
        </is>
      </c>
      <c r="B460" s="1" t="n">
        <v>43991</v>
      </c>
      <c r="C460" s="1" t="n">
        <v>45828</v>
      </c>
      <c r="D460" t="inlineStr">
        <is>
          <t>VÄRMLANDS LÄN</t>
        </is>
      </c>
      <c r="E460" t="inlineStr">
        <is>
          <t>TORSBY</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28397-2020</t>
        </is>
      </c>
      <c r="B461" s="1" t="n">
        <v>43998</v>
      </c>
      <c r="C461" s="1" t="n">
        <v>45828</v>
      </c>
      <c r="D461" t="inlineStr">
        <is>
          <t>VÄRMLANDS LÄN</t>
        </is>
      </c>
      <c r="E461" t="inlineStr">
        <is>
          <t>TORSBY</t>
        </is>
      </c>
      <c r="G461" t="n">
        <v>7.3</v>
      </c>
      <c r="H461" t="n">
        <v>0</v>
      </c>
      <c r="I461" t="n">
        <v>0</v>
      </c>
      <c r="J461" t="n">
        <v>0</v>
      </c>
      <c r="K461" t="n">
        <v>0</v>
      </c>
      <c r="L461" t="n">
        <v>0</v>
      </c>
      <c r="M461" t="n">
        <v>0</v>
      </c>
      <c r="N461" t="n">
        <v>0</v>
      </c>
      <c r="O461" t="n">
        <v>0</v>
      </c>
      <c r="P461" t="n">
        <v>0</v>
      </c>
      <c r="Q461" t="n">
        <v>0</v>
      </c>
      <c r="R461" s="2" t="inlineStr"/>
    </row>
    <row r="462" ht="15" customHeight="1">
      <c r="A462" t="inlineStr">
        <is>
          <t>A 28416-2020</t>
        </is>
      </c>
      <c r="B462" s="1" t="n">
        <v>43998</v>
      </c>
      <c r="C462" s="1" t="n">
        <v>45828</v>
      </c>
      <c r="D462" t="inlineStr">
        <is>
          <t>VÄRMLANDS LÄN</t>
        </is>
      </c>
      <c r="E462" t="inlineStr">
        <is>
          <t>TORSBY</t>
        </is>
      </c>
      <c r="G462" t="n">
        <v>2.1</v>
      </c>
      <c r="H462" t="n">
        <v>0</v>
      </c>
      <c r="I462" t="n">
        <v>0</v>
      </c>
      <c r="J462" t="n">
        <v>0</v>
      </c>
      <c r="K462" t="n">
        <v>0</v>
      </c>
      <c r="L462" t="n">
        <v>0</v>
      </c>
      <c r="M462" t="n">
        <v>0</v>
      </c>
      <c r="N462" t="n">
        <v>0</v>
      </c>
      <c r="O462" t="n">
        <v>0</v>
      </c>
      <c r="P462" t="n">
        <v>0</v>
      </c>
      <c r="Q462" t="n">
        <v>0</v>
      </c>
      <c r="R462" s="2" t="inlineStr"/>
    </row>
    <row r="463" ht="15" customHeight="1">
      <c r="A463" t="inlineStr">
        <is>
          <t>A 28703-2020</t>
        </is>
      </c>
      <c r="B463" s="1" t="n">
        <v>43999</v>
      </c>
      <c r="C463" s="1" t="n">
        <v>45828</v>
      </c>
      <c r="D463" t="inlineStr">
        <is>
          <t>VÄRMLANDS LÄN</t>
        </is>
      </c>
      <c r="E463" t="inlineStr">
        <is>
          <t>TORSBY</t>
        </is>
      </c>
      <c r="G463" t="n">
        <v>4.3</v>
      </c>
      <c r="H463" t="n">
        <v>0</v>
      </c>
      <c r="I463" t="n">
        <v>0</v>
      </c>
      <c r="J463" t="n">
        <v>0</v>
      </c>
      <c r="K463" t="n">
        <v>0</v>
      </c>
      <c r="L463" t="n">
        <v>0</v>
      </c>
      <c r="M463" t="n">
        <v>0</v>
      </c>
      <c r="N463" t="n">
        <v>0</v>
      </c>
      <c r="O463" t="n">
        <v>0</v>
      </c>
      <c r="P463" t="n">
        <v>0</v>
      </c>
      <c r="Q463" t="n">
        <v>0</v>
      </c>
      <c r="R463" s="2" t="inlineStr"/>
    </row>
    <row r="464" ht="15" customHeight="1">
      <c r="A464" t="inlineStr">
        <is>
          <t>A 28849-2020</t>
        </is>
      </c>
      <c r="B464" s="1" t="n">
        <v>44000</v>
      </c>
      <c r="C464" s="1" t="n">
        <v>45828</v>
      </c>
      <c r="D464" t="inlineStr">
        <is>
          <t>VÄRMLANDS LÄN</t>
        </is>
      </c>
      <c r="E464" t="inlineStr">
        <is>
          <t>TORSBY</t>
        </is>
      </c>
      <c r="G464" t="n">
        <v>10.9</v>
      </c>
      <c r="H464" t="n">
        <v>0</v>
      </c>
      <c r="I464" t="n">
        <v>0</v>
      </c>
      <c r="J464" t="n">
        <v>0</v>
      </c>
      <c r="K464" t="n">
        <v>0</v>
      </c>
      <c r="L464" t="n">
        <v>0</v>
      </c>
      <c r="M464" t="n">
        <v>0</v>
      </c>
      <c r="N464" t="n">
        <v>0</v>
      </c>
      <c r="O464" t="n">
        <v>0</v>
      </c>
      <c r="P464" t="n">
        <v>0</v>
      </c>
      <c r="Q464" t="n">
        <v>0</v>
      </c>
      <c r="R464" s="2" t="inlineStr"/>
    </row>
    <row r="465" ht="15" customHeight="1">
      <c r="A465" t="inlineStr">
        <is>
          <t>A 28897-2020</t>
        </is>
      </c>
      <c r="B465" s="1" t="n">
        <v>44000</v>
      </c>
      <c r="C465" s="1" t="n">
        <v>45828</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28911-2020</t>
        </is>
      </c>
      <c r="B466" s="1" t="n">
        <v>44000</v>
      </c>
      <c r="C466" s="1" t="n">
        <v>45828</v>
      </c>
      <c r="D466" t="inlineStr">
        <is>
          <t>VÄRMLANDS LÄN</t>
        </is>
      </c>
      <c r="E466" t="inlineStr">
        <is>
          <t>TORSBY</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28976-2020</t>
        </is>
      </c>
      <c r="B467" s="1" t="n">
        <v>44000</v>
      </c>
      <c r="C467" s="1" t="n">
        <v>45828</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28987-2020</t>
        </is>
      </c>
      <c r="B468" s="1" t="n">
        <v>44000</v>
      </c>
      <c r="C468" s="1" t="n">
        <v>45828</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29970-2020</t>
        </is>
      </c>
      <c r="B469" s="1" t="n">
        <v>44006</v>
      </c>
      <c r="C469" s="1" t="n">
        <v>45828</v>
      </c>
      <c r="D469" t="inlineStr">
        <is>
          <t>VÄRMLANDS LÄN</t>
        </is>
      </c>
      <c r="E469" t="inlineStr">
        <is>
          <t>TORSBY</t>
        </is>
      </c>
      <c r="F469" t="inlineStr">
        <is>
          <t>Bergvik skog väst AB</t>
        </is>
      </c>
      <c r="G469" t="n">
        <v>7.4</v>
      </c>
      <c r="H469" t="n">
        <v>0</v>
      </c>
      <c r="I469" t="n">
        <v>0</v>
      </c>
      <c r="J469" t="n">
        <v>0</v>
      </c>
      <c r="K469" t="n">
        <v>0</v>
      </c>
      <c r="L469" t="n">
        <v>0</v>
      </c>
      <c r="M469" t="n">
        <v>0</v>
      </c>
      <c r="N469" t="n">
        <v>0</v>
      </c>
      <c r="O469" t="n">
        <v>0</v>
      </c>
      <c r="P469" t="n">
        <v>0</v>
      </c>
      <c r="Q469" t="n">
        <v>0</v>
      </c>
      <c r="R469" s="2" t="inlineStr"/>
    </row>
    <row r="470" ht="15" customHeight="1">
      <c r="A470" t="inlineStr">
        <is>
          <t>A 30572-2020</t>
        </is>
      </c>
      <c r="B470" s="1" t="n">
        <v>44008</v>
      </c>
      <c r="C470" s="1" t="n">
        <v>45828</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30996-2020</t>
        </is>
      </c>
      <c r="B471" s="1" t="n">
        <v>44011</v>
      </c>
      <c r="C471" s="1" t="n">
        <v>45828</v>
      </c>
      <c r="D471" t="inlineStr">
        <is>
          <t>VÄRMLANDS LÄN</t>
        </is>
      </c>
      <c r="E471" t="inlineStr">
        <is>
          <t>TORSBY</t>
        </is>
      </c>
      <c r="G471" t="n">
        <v>0.4</v>
      </c>
      <c r="H471" t="n">
        <v>0</v>
      </c>
      <c r="I471" t="n">
        <v>0</v>
      </c>
      <c r="J471" t="n">
        <v>0</v>
      </c>
      <c r="K471" t="n">
        <v>0</v>
      </c>
      <c r="L471" t="n">
        <v>0</v>
      </c>
      <c r="M471" t="n">
        <v>0</v>
      </c>
      <c r="N471" t="n">
        <v>0</v>
      </c>
      <c r="O471" t="n">
        <v>0</v>
      </c>
      <c r="P471" t="n">
        <v>0</v>
      </c>
      <c r="Q471" t="n">
        <v>0</v>
      </c>
      <c r="R471" s="2" t="inlineStr"/>
    </row>
    <row r="472" ht="15" customHeight="1">
      <c r="A472" t="inlineStr">
        <is>
          <t>A 30930-2020</t>
        </is>
      </c>
      <c r="B472" s="1" t="n">
        <v>44011</v>
      </c>
      <c r="C472" s="1" t="n">
        <v>45828</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31298-2020</t>
        </is>
      </c>
      <c r="B473" s="1" t="n">
        <v>44012</v>
      </c>
      <c r="C473" s="1" t="n">
        <v>45828</v>
      </c>
      <c r="D473" t="inlineStr">
        <is>
          <t>VÄRMLANDS LÄN</t>
        </is>
      </c>
      <c r="E473" t="inlineStr">
        <is>
          <t>TORSBY</t>
        </is>
      </c>
      <c r="G473" t="n">
        <v>4.3</v>
      </c>
      <c r="H473" t="n">
        <v>0</v>
      </c>
      <c r="I473" t="n">
        <v>0</v>
      </c>
      <c r="J473" t="n">
        <v>0</v>
      </c>
      <c r="K473" t="n">
        <v>0</v>
      </c>
      <c r="L473" t="n">
        <v>0</v>
      </c>
      <c r="M473" t="n">
        <v>0</v>
      </c>
      <c r="N473" t="n">
        <v>0</v>
      </c>
      <c r="O473" t="n">
        <v>0</v>
      </c>
      <c r="P473" t="n">
        <v>0</v>
      </c>
      <c r="Q473" t="n">
        <v>0</v>
      </c>
      <c r="R473" s="2" t="inlineStr"/>
    </row>
    <row r="474" ht="15" customHeight="1">
      <c r="A474" t="inlineStr">
        <is>
          <t>A 31436-2020</t>
        </is>
      </c>
      <c r="B474" s="1" t="n">
        <v>44013</v>
      </c>
      <c r="C474" s="1" t="n">
        <v>45828</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31577-2020</t>
        </is>
      </c>
      <c r="B475" s="1" t="n">
        <v>44013</v>
      </c>
      <c r="C475" s="1" t="n">
        <v>45828</v>
      </c>
      <c r="D475" t="inlineStr">
        <is>
          <t>VÄRMLANDS LÄN</t>
        </is>
      </c>
      <c r="E475" t="inlineStr">
        <is>
          <t>TORSBY</t>
        </is>
      </c>
      <c r="F475" t="inlineStr">
        <is>
          <t>Kommuner</t>
        </is>
      </c>
      <c r="G475" t="n">
        <v>1</v>
      </c>
      <c r="H475" t="n">
        <v>0</v>
      </c>
      <c r="I475" t="n">
        <v>0</v>
      </c>
      <c r="J475" t="n">
        <v>0</v>
      </c>
      <c r="K475" t="n">
        <v>0</v>
      </c>
      <c r="L475" t="n">
        <v>0</v>
      </c>
      <c r="M475" t="n">
        <v>0</v>
      </c>
      <c r="N475" t="n">
        <v>0</v>
      </c>
      <c r="O475" t="n">
        <v>0</v>
      </c>
      <c r="P475" t="n">
        <v>0</v>
      </c>
      <c r="Q475" t="n">
        <v>0</v>
      </c>
      <c r="R475" s="2" t="inlineStr"/>
    </row>
    <row r="476" ht="15" customHeight="1">
      <c r="A476" t="inlineStr">
        <is>
          <t>A 31759-2020</t>
        </is>
      </c>
      <c r="B476" s="1" t="n">
        <v>44014</v>
      </c>
      <c r="C476" s="1" t="n">
        <v>45828</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32122-2020</t>
        </is>
      </c>
      <c r="B477" s="1" t="n">
        <v>44015</v>
      </c>
      <c r="C477" s="1" t="n">
        <v>45828</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32623-2020</t>
        </is>
      </c>
      <c r="B478" s="1" t="n">
        <v>44019</v>
      </c>
      <c r="C478" s="1" t="n">
        <v>45828</v>
      </c>
      <c r="D478" t="inlineStr">
        <is>
          <t>VÄRMLANDS LÄN</t>
        </is>
      </c>
      <c r="E478" t="inlineStr">
        <is>
          <t>TORSBY</t>
        </is>
      </c>
      <c r="F478" t="inlineStr">
        <is>
          <t>Kommuner</t>
        </is>
      </c>
      <c r="G478" t="n">
        <v>13.9</v>
      </c>
      <c r="H478" t="n">
        <v>0</v>
      </c>
      <c r="I478" t="n">
        <v>0</v>
      </c>
      <c r="J478" t="n">
        <v>0</v>
      </c>
      <c r="K478" t="n">
        <v>0</v>
      </c>
      <c r="L478" t="n">
        <v>0</v>
      </c>
      <c r="M478" t="n">
        <v>0</v>
      </c>
      <c r="N478" t="n">
        <v>0</v>
      </c>
      <c r="O478" t="n">
        <v>0</v>
      </c>
      <c r="P478" t="n">
        <v>0</v>
      </c>
      <c r="Q478" t="n">
        <v>0</v>
      </c>
      <c r="R478" s="2" t="inlineStr"/>
    </row>
    <row r="479" ht="15" customHeight="1">
      <c r="A479" t="inlineStr">
        <is>
          <t>A 32651-2020</t>
        </is>
      </c>
      <c r="B479" s="1" t="n">
        <v>44019</v>
      </c>
      <c r="C479" s="1" t="n">
        <v>45828</v>
      </c>
      <c r="D479" t="inlineStr">
        <is>
          <t>VÄRMLANDS LÄN</t>
        </is>
      </c>
      <c r="E479" t="inlineStr">
        <is>
          <t>TORSBY</t>
        </is>
      </c>
      <c r="F479" t="inlineStr">
        <is>
          <t>Kommuner</t>
        </is>
      </c>
      <c r="G479" t="n">
        <v>8.6</v>
      </c>
      <c r="H479" t="n">
        <v>0</v>
      </c>
      <c r="I479" t="n">
        <v>0</v>
      </c>
      <c r="J479" t="n">
        <v>0</v>
      </c>
      <c r="K479" t="n">
        <v>0</v>
      </c>
      <c r="L479" t="n">
        <v>0</v>
      </c>
      <c r="M479" t="n">
        <v>0</v>
      </c>
      <c r="N479" t="n">
        <v>0</v>
      </c>
      <c r="O479" t="n">
        <v>0</v>
      </c>
      <c r="P479" t="n">
        <v>0</v>
      </c>
      <c r="Q479" t="n">
        <v>0</v>
      </c>
      <c r="R479" s="2" t="inlineStr"/>
    </row>
    <row r="480" ht="15" customHeight="1">
      <c r="A480" t="inlineStr">
        <is>
          <t>A 33124-2020</t>
        </is>
      </c>
      <c r="B480" s="1" t="n">
        <v>44021</v>
      </c>
      <c r="C480" s="1" t="n">
        <v>45828</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33095-2020</t>
        </is>
      </c>
      <c r="B481" s="1" t="n">
        <v>44021</v>
      </c>
      <c r="C481" s="1" t="n">
        <v>45828</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33126-2020</t>
        </is>
      </c>
      <c r="B482" s="1" t="n">
        <v>44021</v>
      </c>
      <c r="C482" s="1" t="n">
        <v>45828</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33691-2020</t>
        </is>
      </c>
      <c r="B483" s="1" t="n">
        <v>44022</v>
      </c>
      <c r="C483" s="1" t="n">
        <v>45828</v>
      </c>
      <c r="D483" t="inlineStr">
        <is>
          <t>VÄRMLANDS LÄN</t>
        </is>
      </c>
      <c r="E483" t="inlineStr">
        <is>
          <t>TORSBY</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34901-2020</t>
        </is>
      </c>
      <c r="B484" s="1" t="n">
        <v>44022</v>
      </c>
      <c r="C484" s="1" t="n">
        <v>45828</v>
      </c>
      <c r="D484" t="inlineStr">
        <is>
          <t>VÄRMLANDS LÄN</t>
        </is>
      </c>
      <c r="E484" t="inlineStr">
        <is>
          <t>TORSBY</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33908-2020</t>
        </is>
      </c>
      <c r="B485" s="1" t="n">
        <v>44027</v>
      </c>
      <c r="C485" s="1" t="n">
        <v>45828</v>
      </c>
      <c r="D485" t="inlineStr">
        <is>
          <t>VÄRMLANDS LÄN</t>
        </is>
      </c>
      <c r="E485" t="inlineStr">
        <is>
          <t>TORSBY</t>
        </is>
      </c>
      <c r="G485" t="n">
        <v>3.6</v>
      </c>
      <c r="H485" t="n">
        <v>0</v>
      </c>
      <c r="I485" t="n">
        <v>0</v>
      </c>
      <c r="J485" t="n">
        <v>0</v>
      </c>
      <c r="K485" t="n">
        <v>0</v>
      </c>
      <c r="L485" t="n">
        <v>0</v>
      </c>
      <c r="M485" t="n">
        <v>0</v>
      </c>
      <c r="N485" t="n">
        <v>0</v>
      </c>
      <c r="O485" t="n">
        <v>0</v>
      </c>
      <c r="P485" t="n">
        <v>0</v>
      </c>
      <c r="Q485" t="n">
        <v>0</v>
      </c>
      <c r="R485" s="2" t="inlineStr"/>
    </row>
    <row r="486" ht="15" customHeight="1">
      <c r="A486" t="inlineStr">
        <is>
          <t>A 33864-2020</t>
        </is>
      </c>
      <c r="B486" s="1" t="n">
        <v>44027</v>
      </c>
      <c r="C486" s="1" t="n">
        <v>45828</v>
      </c>
      <c r="D486" t="inlineStr">
        <is>
          <t>VÄRMLANDS LÄN</t>
        </is>
      </c>
      <c r="E486" t="inlineStr">
        <is>
          <t>TORSBY</t>
        </is>
      </c>
      <c r="G486" t="n">
        <v>0.6</v>
      </c>
      <c r="H486" t="n">
        <v>0</v>
      </c>
      <c r="I486" t="n">
        <v>0</v>
      </c>
      <c r="J486" t="n">
        <v>0</v>
      </c>
      <c r="K486" t="n">
        <v>0</v>
      </c>
      <c r="L486" t="n">
        <v>0</v>
      </c>
      <c r="M486" t="n">
        <v>0</v>
      </c>
      <c r="N486" t="n">
        <v>0</v>
      </c>
      <c r="O486" t="n">
        <v>0</v>
      </c>
      <c r="P486" t="n">
        <v>0</v>
      </c>
      <c r="Q486" t="n">
        <v>0</v>
      </c>
      <c r="R486" s="2" t="inlineStr"/>
    </row>
    <row r="487" ht="15" customHeight="1">
      <c r="A487" t="inlineStr">
        <is>
          <t>A 34118-2020</t>
        </is>
      </c>
      <c r="B487" s="1" t="n">
        <v>44028</v>
      </c>
      <c r="C487" s="1" t="n">
        <v>45828</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34247-2020</t>
        </is>
      </c>
      <c r="B488" s="1" t="n">
        <v>44029</v>
      </c>
      <c r="C488" s="1" t="n">
        <v>45828</v>
      </c>
      <c r="D488" t="inlineStr">
        <is>
          <t>VÄRMLANDS LÄN</t>
        </is>
      </c>
      <c r="E488" t="inlineStr">
        <is>
          <t>TORSBY</t>
        </is>
      </c>
      <c r="F488" t="inlineStr">
        <is>
          <t>Kommuner</t>
        </is>
      </c>
      <c r="G488" t="n">
        <v>3.3</v>
      </c>
      <c r="H488" t="n">
        <v>0</v>
      </c>
      <c r="I488" t="n">
        <v>0</v>
      </c>
      <c r="J488" t="n">
        <v>0</v>
      </c>
      <c r="K488" t="n">
        <v>0</v>
      </c>
      <c r="L488" t="n">
        <v>0</v>
      </c>
      <c r="M488" t="n">
        <v>0</v>
      </c>
      <c r="N488" t="n">
        <v>0</v>
      </c>
      <c r="O488" t="n">
        <v>0</v>
      </c>
      <c r="P488" t="n">
        <v>0</v>
      </c>
      <c r="Q488" t="n">
        <v>0</v>
      </c>
      <c r="R488" s="2" t="inlineStr"/>
    </row>
    <row r="489" ht="15" customHeight="1">
      <c r="A489" t="inlineStr">
        <is>
          <t>A 35132-2020</t>
        </is>
      </c>
      <c r="B489" s="1" t="n">
        <v>44040</v>
      </c>
      <c r="C489" s="1" t="n">
        <v>45828</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35174-2020</t>
        </is>
      </c>
      <c r="B490" s="1" t="n">
        <v>44040</v>
      </c>
      <c r="C490" s="1" t="n">
        <v>45828</v>
      </c>
      <c r="D490" t="inlineStr">
        <is>
          <t>VÄRMLANDS LÄN</t>
        </is>
      </c>
      <c r="E490" t="inlineStr">
        <is>
          <t>TORSBY</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35500-2020</t>
        </is>
      </c>
      <c r="B491" s="1" t="n">
        <v>44043</v>
      </c>
      <c r="C491" s="1" t="n">
        <v>45828</v>
      </c>
      <c r="D491" t="inlineStr">
        <is>
          <t>VÄRMLANDS LÄN</t>
        </is>
      </c>
      <c r="E491" t="inlineStr">
        <is>
          <t>TORSBY</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35778-2020</t>
        </is>
      </c>
      <c r="B492" s="1" t="n">
        <v>44046</v>
      </c>
      <c r="C492" s="1" t="n">
        <v>45828</v>
      </c>
      <c r="D492" t="inlineStr">
        <is>
          <t>VÄRMLANDS LÄN</t>
        </is>
      </c>
      <c r="E492" t="inlineStr">
        <is>
          <t>TORSBY</t>
        </is>
      </c>
      <c r="G492" t="n">
        <v>10.2</v>
      </c>
      <c r="H492" t="n">
        <v>0</v>
      </c>
      <c r="I492" t="n">
        <v>0</v>
      </c>
      <c r="J492" t="n">
        <v>0</v>
      </c>
      <c r="K492" t="n">
        <v>0</v>
      </c>
      <c r="L492" t="n">
        <v>0</v>
      </c>
      <c r="M492" t="n">
        <v>0</v>
      </c>
      <c r="N492" t="n">
        <v>0</v>
      </c>
      <c r="O492" t="n">
        <v>0</v>
      </c>
      <c r="P492" t="n">
        <v>0</v>
      </c>
      <c r="Q492" t="n">
        <v>0</v>
      </c>
      <c r="R492" s="2" t="inlineStr"/>
    </row>
    <row r="493" ht="15" customHeight="1">
      <c r="A493" t="inlineStr">
        <is>
          <t>A 35900-2020</t>
        </is>
      </c>
      <c r="B493" s="1" t="n">
        <v>44047</v>
      </c>
      <c r="C493" s="1" t="n">
        <v>45828</v>
      </c>
      <c r="D493" t="inlineStr">
        <is>
          <t>VÄRMLANDS LÄN</t>
        </is>
      </c>
      <c r="E493" t="inlineStr">
        <is>
          <t>TORSBY</t>
        </is>
      </c>
      <c r="G493" t="n">
        <v>7.2</v>
      </c>
      <c r="H493" t="n">
        <v>0</v>
      </c>
      <c r="I493" t="n">
        <v>0</v>
      </c>
      <c r="J493" t="n">
        <v>0</v>
      </c>
      <c r="K493" t="n">
        <v>0</v>
      </c>
      <c r="L493" t="n">
        <v>0</v>
      </c>
      <c r="M493" t="n">
        <v>0</v>
      </c>
      <c r="N493" t="n">
        <v>0</v>
      </c>
      <c r="O493" t="n">
        <v>0</v>
      </c>
      <c r="P493" t="n">
        <v>0</v>
      </c>
      <c r="Q493" t="n">
        <v>0</v>
      </c>
      <c r="R493" s="2" t="inlineStr"/>
    </row>
    <row r="494" ht="15" customHeight="1">
      <c r="A494" t="inlineStr">
        <is>
          <t>A 35955-2020</t>
        </is>
      </c>
      <c r="B494" s="1" t="n">
        <v>44047</v>
      </c>
      <c r="C494" s="1" t="n">
        <v>45828</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35826-2020</t>
        </is>
      </c>
      <c r="B495" s="1" t="n">
        <v>44047</v>
      </c>
      <c r="C495" s="1" t="n">
        <v>45828</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35905-2020</t>
        </is>
      </c>
      <c r="B496" s="1" t="n">
        <v>44047</v>
      </c>
      <c r="C496" s="1" t="n">
        <v>45828</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36482-2020</t>
        </is>
      </c>
      <c r="B497" s="1" t="n">
        <v>44048</v>
      </c>
      <c r="C497" s="1" t="n">
        <v>45828</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36104-2020</t>
        </is>
      </c>
      <c r="B498" s="1" t="n">
        <v>44048</v>
      </c>
      <c r="C498" s="1" t="n">
        <v>45828</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36265-2020</t>
        </is>
      </c>
      <c r="B499" s="1" t="n">
        <v>44049</v>
      </c>
      <c r="C499" s="1" t="n">
        <v>45828</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36396-2020</t>
        </is>
      </c>
      <c r="B500" s="1" t="n">
        <v>44049</v>
      </c>
      <c r="C500" s="1" t="n">
        <v>45828</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36394-2020</t>
        </is>
      </c>
      <c r="B501" s="1" t="n">
        <v>44049</v>
      </c>
      <c r="C501" s="1" t="n">
        <v>45828</v>
      </c>
      <c r="D501" t="inlineStr">
        <is>
          <t>VÄRMLANDS LÄN</t>
        </is>
      </c>
      <c r="E501" t="inlineStr">
        <is>
          <t>TORSBY</t>
        </is>
      </c>
      <c r="G501" t="n">
        <v>7</v>
      </c>
      <c r="H501" t="n">
        <v>0</v>
      </c>
      <c r="I501" t="n">
        <v>0</v>
      </c>
      <c r="J501" t="n">
        <v>0</v>
      </c>
      <c r="K501" t="n">
        <v>0</v>
      </c>
      <c r="L501" t="n">
        <v>0</v>
      </c>
      <c r="M501" t="n">
        <v>0</v>
      </c>
      <c r="N501" t="n">
        <v>0</v>
      </c>
      <c r="O501" t="n">
        <v>0</v>
      </c>
      <c r="P501" t="n">
        <v>0</v>
      </c>
      <c r="Q501" t="n">
        <v>0</v>
      </c>
      <c r="R501" s="2" t="inlineStr"/>
    </row>
    <row r="502" ht="15" customHeight="1">
      <c r="A502" t="inlineStr">
        <is>
          <t>A 36847-2020</t>
        </is>
      </c>
      <c r="B502" s="1" t="n">
        <v>44053</v>
      </c>
      <c r="C502" s="1" t="n">
        <v>45828</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36901-2020</t>
        </is>
      </c>
      <c r="B503" s="1" t="n">
        <v>44053</v>
      </c>
      <c r="C503" s="1" t="n">
        <v>45828</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37305-2020</t>
        </is>
      </c>
      <c r="B504" s="1" t="n">
        <v>44055</v>
      </c>
      <c r="C504" s="1" t="n">
        <v>45828</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37302-2020</t>
        </is>
      </c>
      <c r="B505" s="1" t="n">
        <v>44055</v>
      </c>
      <c r="C505" s="1" t="n">
        <v>45828</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37307-2020</t>
        </is>
      </c>
      <c r="B506" s="1" t="n">
        <v>44055</v>
      </c>
      <c r="C506" s="1" t="n">
        <v>45828</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37303-2020</t>
        </is>
      </c>
      <c r="B507" s="1" t="n">
        <v>44055</v>
      </c>
      <c r="C507" s="1" t="n">
        <v>45828</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38506-2020</t>
        </is>
      </c>
      <c r="B508" s="1" t="n">
        <v>44061</v>
      </c>
      <c r="C508" s="1" t="n">
        <v>45828</v>
      </c>
      <c r="D508" t="inlineStr">
        <is>
          <t>VÄRMLANDS LÄN</t>
        </is>
      </c>
      <c r="E508" t="inlineStr">
        <is>
          <t>TORSBY</t>
        </is>
      </c>
      <c r="G508" t="n">
        <v>5</v>
      </c>
      <c r="H508" t="n">
        <v>0</v>
      </c>
      <c r="I508" t="n">
        <v>0</v>
      </c>
      <c r="J508" t="n">
        <v>0</v>
      </c>
      <c r="K508" t="n">
        <v>0</v>
      </c>
      <c r="L508" t="n">
        <v>0</v>
      </c>
      <c r="M508" t="n">
        <v>0</v>
      </c>
      <c r="N508" t="n">
        <v>0</v>
      </c>
      <c r="O508" t="n">
        <v>0</v>
      </c>
      <c r="P508" t="n">
        <v>0</v>
      </c>
      <c r="Q508" t="n">
        <v>0</v>
      </c>
      <c r="R508" s="2" t="inlineStr"/>
    </row>
    <row r="509" ht="15" customHeight="1">
      <c r="A509" t="inlineStr">
        <is>
          <t>A 38978-2020</t>
        </is>
      </c>
      <c r="B509" s="1" t="n">
        <v>44062</v>
      </c>
      <c r="C509" s="1" t="n">
        <v>45828</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40218-2020</t>
        </is>
      </c>
      <c r="B510" s="1" t="n">
        <v>44064</v>
      </c>
      <c r="C510" s="1" t="n">
        <v>45828</v>
      </c>
      <c r="D510" t="inlineStr">
        <is>
          <t>VÄRMLANDS LÄN</t>
        </is>
      </c>
      <c r="E510" t="inlineStr">
        <is>
          <t>TORSBY</t>
        </is>
      </c>
      <c r="G510" t="n">
        <v>3.7</v>
      </c>
      <c r="H510" t="n">
        <v>0</v>
      </c>
      <c r="I510" t="n">
        <v>0</v>
      </c>
      <c r="J510" t="n">
        <v>0</v>
      </c>
      <c r="K510" t="n">
        <v>0</v>
      </c>
      <c r="L510" t="n">
        <v>0</v>
      </c>
      <c r="M510" t="n">
        <v>0</v>
      </c>
      <c r="N510" t="n">
        <v>0</v>
      </c>
      <c r="O510" t="n">
        <v>0</v>
      </c>
      <c r="P510" t="n">
        <v>0</v>
      </c>
      <c r="Q510" t="n">
        <v>0</v>
      </c>
      <c r="R510" s="2" t="inlineStr"/>
    </row>
    <row r="511" ht="15" customHeight="1">
      <c r="A511" t="inlineStr">
        <is>
          <t>A 40015-2020</t>
        </is>
      </c>
      <c r="B511" s="1" t="n">
        <v>44067</v>
      </c>
      <c r="C511" s="1" t="n">
        <v>45828</v>
      </c>
      <c r="D511" t="inlineStr">
        <is>
          <t>VÄRMLANDS LÄN</t>
        </is>
      </c>
      <c r="E511" t="inlineStr">
        <is>
          <t>TORSBY</t>
        </is>
      </c>
      <c r="G511" t="n">
        <v>5.7</v>
      </c>
      <c r="H511" t="n">
        <v>0</v>
      </c>
      <c r="I511" t="n">
        <v>0</v>
      </c>
      <c r="J511" t="n">
        <v>0</v>
      </c>
      <c r="K511" t="n">
        <v>0</v>
      </c>
      <c r="L511" t="n">
        <v>0</v>
      </c>
      <c r="M511" t="n">
        <v>0</v>
      </c>
      <c r="N511" t="n">
        <v>0</v>
      </c>
      <c r="O511" t="n">
        <v>0</v>
      </c>
      <c r="P511" t="n">
        <v>0</v>
      </c>
      <c r="Q511" t="n">
        <v>0</v>
      </c>
      <c r="R511" s="2" t="inlineStr"/>
    </row>
    <row r="512" ht="15" customHeight="1">
      <c r="A512" t="inlineStr">
        <is>
          <t>A 40550-2020</t>
        </is>
      </c>
      <c r="B512" s="1" t="n">
        <v>44069</v>
      </c>
      <c r="C512" s="1" t="n">
        <v>45828</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40594-2020</t>
        </is>
      </c>
      <c r="B513" s="1" t="n">
        <v>44069</v>
      </c>
      <c r="C513" s="1" t="n">
        <v>45828</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40509-2020</t>
        </is>
      </c>
      <c r="B514" s="1" t="n">
        <v>44069</v>
      </c>
      <c r="C514" s="1" t="n">
        <v>45828</v>
      </c>
      <c r="D514" t="inlineStr">
        <is>
          <t>VÄRMLANDS LÄN</t>
        </is>
      </c>
      <c r="E514" t="inlineStr">
        <is>
          <t>TORSBY</t>
        </is>
      </c>
      <c r="F514" t="inlineStr">
        <is>
          <t>Naturvårdsverket</t>
        </is>
      </c>
      <c r="G514" t="n">
        <v>57</v>
      </c>
      <c r="H514" t="n">
        <v>0</v>
      </c>
      <c r="I514" t="n">
        <v>0</v>
      </c>
      <c r="J514" t="n">
        <v>0</v>
      </c>
      <c r="K514" t="n">
        <v>0</v>
      </c>
      <c r="L514" t="n">
        <v>0</v>
      </c>
      <c r="M514" t="n">
        <v>0</v>
      </c>
      <c r="N514" t="n">
        <v>0</v>
      </c>
      <c r="O514" t="n">
        <v>0</v>
      </c>
      <c r="P514" t="n">
        <v>0</v>
      </c>
      <c r="Q514" t="n">
        <v>0</v>
      </c>
      <c r="R514" s="2" t="inlineStr"/>
    </row>
    <row r="515" ht="15" customHeight="1">
      <c r="A515" t="inlineStr">
        <is>
          <t>A 40601-2020</t>
        </is>
      </c>
      <c r="B515" s="1" t="n">
        <v>44069</v>
      </c>
      <c r="C515" s="1" t="n">
        <v>45828</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40994-2020</t>
        </is>
      </c>
      <c r="B516" s="1" t="n">
        <v>44070</v>
      </c>
      <c r="C516" s="1" t="n">
        <v>45828</v>
      </c>
      <c r="D516" t="inlineStr">
        <is>
          <t>VÄRMLANDS LÄN</t>
        </is>
      </c>
      <c r="E516" t="inlineStr">
        <is>
          <t>TORSBY</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40987-2020</t>
        </is>
      </c>
      <c r="B517" s="1" t="n">
        <v>44070</v>
      </c>
      <c r="C517" s="1" t="n">
        <v>45828</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40993-2020</t>
        </is>
      </c>
      <c r="B518" s="1" t="n">
        <v>44070</v>
      </c>
      <c r="C518" s="1" t="n">
        <v>45828</v>
      </c>
      <c r="D518" t="inlineStr">
        <is>
          <t>VÄRMLANDS LÄN</t>
        </is>
      </c>
      <c r="E518" t="inlineStr">
        <is>
          <t>TORSBY</t>
        </is>
      </c>
      <c r="G518" t="n">
        <v>1.5</v>
      </c>
      <c r="H518" t="n">
        <v>0</v>
      </c>
      <c r="I518" t="n">
        <v>0</v>
      </c>
      <c r="J518" t="n">
        <v>0</v>
      </c>
      <c r="K518" t="n">
        <v>0</v>
      </c>
      <c r="L518" t="n">
        <v>0</v>
      </c>
      <c r="M518" t="n">
        <v>0</v>
      </c>
      <c r="N518" t="n">
        <v>0</v>
      </c>
      <c r="O518" t="n">
        <v>0</v>
      </c>
      <c r="P518" t="n">
        <v>0</v>
      </c>
      <c r="Q518" t="n">
        <v>0</v>
      </c>
      <c r="R518" s="2" t="inlineStr"/>
    </row>
    <row r="519" ht="15" customHeight="1">
      <c r="A519" t="inlineStr">
        <is>
          <t>A 41469-2020</t>
        </is>
      </c>
      <c r="B519" s="1" t="n">
        <v>44074</v>
      </c>
      <c r="C519" s="1" t="n">
        <v>45828</v>
      </c>
      <c r="D519" t="inlineStr">
        <is>
          <t>VÄRMLANDS LÄN</t>
        </is>
      </c>
      <c r="E519" t="inlineStr">
        <is>
          <t>TORSBY</t>
        </is>
      </c>
      <c r="F519" t="inlineStr">
        <is>
          <t>Bergvik skog väst AB</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42391-2020</t>
        </is>
      </c>
      <c r="B520" s="1" t="n">
        <v>44076</v>
      </c>
      <c r="C520" s="1" t="n">
        <v>45828</v>
      </c>
      <c r="D520" t="inlineStr">
        <is>
          <t>VÄRMLANDS LÄN</t>
        </is>
      </c>
      <c r="E520" t="inlineStr">
        <is>
          <t>TORSBY</t>
        </is>
      </c>
      <c r="G520" t="n">
        <v>3.9</v>
      </c>
      <c r="H520" t="n">
        <v>0</v>
      </c>
      <c r="I520" t="n">
        <v>0</v>
      </c>
      <c r="J520" t="n">
        <v>0</v>
      </c>
      <c r="K520" t="n">
        <v>0</v>
      </c>
      <c r="L520" t="n">
        <v>0</v>
      </c>
      <c r="M520" t="n">
        <v>0</v>
      </c>
      <c r="N520" t="n">
        <v>0</v>
      </c>
      <c r="O520" t="n">
        <v>0</v>
      </c>
      <c r="P520" t="n">
        <v>0</v>
      </c>
      <c r="Q520" t="n">
        <v>0</v>
      </c>
      <c r="R520" s="2" t="inlineStr"/>
    </row>
    <row r="521" ht="15" customHeight="1">
      <c r="A521" t="inlineStr">
        <is>
          <t>A 42566-2020</t>
        </is>
      </c>
      <c r="B521" s="1" t="n">
        <v>44077</v>
      </c>
      <c r="C521" s="1" t="n">
        <v>45828</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42982-2020</t>
        </is>
      </c>
      <c r="B522" s="1" t="n">
        <v>44078</v>
      </c>
      <c r="C522" s="1" t="n">
        <v>45828</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44722-2020</t>
        </is>
      </c>
      <c r="B523" s="1" t="n">
        <v>44078</v>
      </c>
      <c r="C523" s="1" t="n">
        <v>45828</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43547-2020</t>
        </is>
      </c>
      <c r="B524" s="1" t="n">
        <v>44078</v>
      </c>
      <c r="C524" s="1" t="n">
        <v>45828</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44715-2020</t>
        </is>
      </c>
      <c r="B525" s="1" t="n">
        <v>44078</v>
      </c>
      <c r="C525" s="1" t="n">
        <v>45828</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44720-2020</t>
        </is>
      </c>
      <c r="B526" s="1" t="n">
        <v>44078</v>
      </c>
      <c r="C526" s="1" t="n">
        <v>45828</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43725-2020</t>
        </is>
      </c>
      <c r="B527" s="1" t="n">
        <v>44082</v>
      </c>
      <c r="C527" s="1" t="n">
        <v>45828</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44666-2020</t>
        </is>
      </c>
      <c r="B528" s="1" t="n">
        <v>44085</v>
      </c>
      <c r="C528" s="1" t="n">
        <v>45828</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46482-2020</t>
        </is>
      </c>
      <c r="B529" s="1" t="n">
        <v>44089</v>
      </c>
      <c r="C529" s="1" t="n">
        <v>45828</v>
      </c>
      <c r="D529" t="inlineStr">
        <is>
          <t>VÄRMLANDS LÄN</t>
        </is>
      </c>
      <c r="E529" t="inlineStr">
        <is>
          <t>TORSBY</t>
        </is>
      </c>
      <c r="G529" t="n">
        <v>2.2</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45828</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45872-2020</t>
        </is>
      </c>
      <c r="B531" s="1" t="n">
        <v>44091</v>
      </c>
      <c r="C531" s="1" t="n">
        <v>45828</v>
      </c>
      <c r="D531" t="inlineStr">
        <is>
          <t>VÄRMLANDS LÄN</t>
        </is>
      </c>
      <c r="E531" t="inlineStr">
        <is>
          <t>TORSBY</t>
        </is>
      </c>
      <c r="G531" t="n">
        <v>1.8</v>
      </c>
      <c r="H531" t="n">
        <v>0</v>
      </c>
      <c r="I531" t="n">
        <v>0</v>
      </c>
      <c r="J531" t="n">
        <v>0</v>
      </c>
      <c r="K531" t="n">
        <v>0</v>
      </c>
      <c r="L531" t="n">
        <v>0</v>
      </c>
      <c r="M531" t="n">
        <v>0</v>
      </c>
      <c r="N531" t="n">
        <v>0</v>
      </c>
      <c r="O531" t="n">
        <v>0</v>
      </c>
      <c r="P531" t="n">
        <v>0</v>
      </c>
      <c r="Q531" t="n">
        <v>0</v>
      </c>
      <c r="R531" s="2" t="inlineStr"/>
    </row>
    <row r="532" ht="15" customHeight="1">
      <c r="A532" t="inlineStr">
        <is>
          <t>A 45898-2020</t>
        </is>
      </c>
      <c r="B532" s="1" t="n">
        <v>44091</v>
      </c>
      <c r="C532" s="1" t="n">
        <v>45828</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46271-2020</t>
        </is>
      </c>
      <c r="B533" s="1" t="n">
        <v>44092</v>
      </c>
      <c r="C533" s="1" t="n">
        <v>45828</v>
      </c>
      <c r="D533" t="inlineStr">
        <is>
          <t>VÄRMLANDS LÄN</t>
        </is>
      </c>
      <c r="E533" t="inlineStr">
        <is>
          <t>TORSBY</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47707-2020</t>
        </is>
      </c>
      <c r="B534" s="1" t="n">
        <v>44096</v>
      </c>
      <c r="C534" s="1" t="n">
        <v>45828</v>
      </c>
      <c r="D534" t="inlineStr">
        <is>
          <t>VÄRMLANDS LÄN</t>
        </is>
      </c>
      <c r="E534" t="inlineStr">
        <is>
          <t>TORSBY</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47709-2020</t>
        </is>
      </c>
      <c r="B535" s="1" t="n">
        <v>44096</v>
      </c>
      <c r="C535" s="1" t="n">
        <v>45828</v>
      </c>
      <c r="D535" t="inlineStr">
        <is>
          <t>VÄRMLANDS LÄN</t>
        </is>
      </c>
      <c r="E535" t="inlineStr">
        <is>
          <t>TORSBY</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47490-2020</t>
        </is>
      </c>
      <c r="B536" s="1" t="n">
        <v>44098</v>
      </c>
      <c r="C536" s="1" t="n">
        <v>45828</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48231-2020</t>
        </is>
      </c>
      <c r="B537" s="1" t="n">
        <v>44102</v>
      </c>
      <c r="C537" s="1" t="n">
        <v>45828</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48383-2020</t>
        </is>
      </c>
      <c r="B538" s="1" t="n">
        <v>44102</v>
      </c>
      <c r="C538" s="1" t="n">
        <v>45828</v>
      </c>
      <c r="D538" t="inlineStr">
        <is>
          <t>VÄRMLANDS LÄN</t>
        </is>
      </c>
      <c r="E538" t="inlineStr">
        <is>
          <t>TORSBY</t>
        </is>
      </c>
      <c r="G538" t="n">
        <v>2.9</v>
      </c>
      <c r="H538" t="n">
        <v>0</v>
      </c>
      <c r="I538" t="n">
        <v>0</v>
      </c>
      <c r="J538" t="n">
        <v>0</v>
      </c>
      <c r="K538" t="n">
        <v>0</v>
      </c>
      <c r="L538" t="n">
        <v>0</v>
      </c>
      <c r="M538" t="n">
        <v>0</v>
      </c>
      <c r="N538" t="n">
        <v>0</v>
      </c>
      <c r="O538" t="n">
        <v>0</v>
      </c>
      <c r="P538" t="n">
        <v>0</v>
      </c>
      <c r="Q538" t="n">
        <v>0</v>
      </c>
      <c r="R538" s="2" t="inlineStr"/>
    </row>
    <row r="539" ht="15" customHeight="1">
      <c r="A539" t="inlineStr">
        <is>
          <t>A 48488-2020</t>
        </is>
      </c>
      <c r="B539" s="1" t="n">
        <v>44103</v>
      </c>
      <c r="C539" s="1" t="n">
        <v>45828</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53557-2020</t>
        </is>
      </c>
      <c r="B540" s="1" t="n">
        <v>44104</v>
      </c>
      <c r="C540" s="1" t="n">
        <v>45828</v>
      </c>
      <c r="D540" t="inlineStr">
        <is>
          <t>VÄRMLANDS LÄN</t>
        </is>
      </c>
      <c r="E540" t="inlineStr">
        <is>
          <t>TORSBY</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50084-2020</t>
        </is>
      </c>
      <c r="B541" s="1" t="n">
        <v>44109</v>
      </c>
      <c r="C541" s="1" t="n">
        <v>45828</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50092-2020</t>
        </is>
      </c>
      <c r="B542" s="1" t="n">
        <v>44109</v>
      </c>
      <c r="C542" s="1" t="n">
        <v>45828</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50103-2020</t>
        </is>
      </c>
      <c r="B543" s="1" t="n">
        <v>44109</v>
      </c>
      <c r="C543" s="1" t="n">
        <v>45828</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50096-2020</t>
        </is>
      </c>
      <c r="B544" s="1" t="n">
        <v>44109</v>
      </c>
      <c r="C544" s="1" t="n">
        <v>45828</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50486-2020</t>
        </is>
      </c>
      <c r="B545" s="1" t="n">
        <v>44110</v>
      </c>
      <c r="C545" s="1" t="n">
        <v>45828</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50943-2020</t>
        </is>
      </c>
      <c r="B546" s="1" t="n">
        <v>44111</v>
      </c>
      <c r="C546" s="1" t="n">
        <v>45828</v>
      </c>
      <c r="D546" t="inlineStr">
        <is>
          <t>VÄRMLANDS LÄN</t>
        </is>
      </c>
      <c r="E546" t="inlineStr">
        <is>
          <t>TORSBY</t>
        </is>
      </c>
      <c r="F546" t="inlineStr">
        <is>
          <t>Bergvik skog väst AB</t>
        </is>
      </c>
      <c r="G546" t="n">
        <v>18.4</v>
      </c>
      <c r="H546" t="n">
        <v>0</v>
      </c>
      <c r="I546" t="n">
        <v>0</v>
      </c>
      <c r="J546" t="n">
        <v>0</v>
      </c>
      <c r="K546" t="n">
        <v>0</v>
      </c>
      <c r="L546" t="n">
        <v>0</v>
      </c>
      <c r="M546" t="n">
        <v>0</v>
      </c>
      <c r="N546" t="n">
        <v>0</v>
      </c>
      <c r="O546" t="n">
        <v>0</v>
      </c>
      <c r="P546" t="n">
        <v>0</v>
      </c>
      <c r="Q546" t="n">
        <v>0</v>
      </c>
      <c r="R546" s="2" t="inlineStr"/>
    </row>
    <row r="547" ht="15" customHeight="1">
      <c r="A547" t="inlineStr">
        <is>
          <t>A 51380-2020</t>
        </is>
      </c>
      <c r="B547" s="1" t="n">
        <v>44113</v>
      </c>
      <c r="C547" s="1" t="n">
        <v>45828</v>
      </c>
      <c r="D547" t="inlineStr">
        <is>
          <t>VÄRMLANDS LÄN</t>
        </is>
      </c>
      <c r="E547" t="inlineStr">
        <is>
          <t>TORSBY</t>
        </is>
      </c>
      <c r="G547" t="n">
        <v>1.4</v>
      </c>
      <c r="H547" t="n">
        <v>0</v>
      </c>
      <c r="I547" t="n">
        <v>0</v>
      </c>
      <c r="J547" t="n">
        <v>0</v>
      </c>
      <c r="K547" t="n">
        <v>0</v>
      </c>
      <c r="L547" t="n">
        <v>0</v>
      </c>
      <c r="M547" t="n">
        <v>0</v>
      </c>
      <c r="N547" t="n">
        <v>0</v>
      </c>
      <c r="O547" t="n">
        <v>0</v>
      </c>
      <c r="P547" t="n">
        <v>0</v>
      </c>
      <c r="Q547" t="n">
        <v>0</v>
      </c>
      <c r="R547" s="2" t="inlineStr"/>
    </row>
    <row r="548" ht="15" customHeight="1">
      <c r="A548" t="inlineStr">
        <is>
          <t>A 51385-2020</t>
        </is>
      </c>
      <c r="B548" s="1" t="n">
        <v>44113</v>
      </c>
      <c r="C548" s="1" t="n">
        <v>45828</v>
      </c>
      <c r="D548" t="inlineStr">
        <is>
          <t>VÄRMLANDS LÄN</t>
        </is>
      </c>
      <c r="E548" t="inlineStr">
        <is>
          <t>TORSBY</t>
        </is>
      </c>
      <c r="G548" t="n">
        <v>6.8</v>
      </c>
      <c r="H548" t="n">
        <v>0</v>
      </c>
      <c r="I548" t="n">
        <v>0</v>
      </c>
      <c r="J548" t="n">
        <v>0</v>
      </c>
      <c r="K548" t="n">
        <v>0</v>
      </c>
      <c r="L548" t="n">
        <v>0</v>
      </c>
      <c r="M548" t="n">
        <v>0</v>
      </c>
      <c r="N548" t="n">
        <v>0</v>
      </c>
      <c r="O548" t="n">
        <v>0</v>
      </c>
      <c r="P548" t="n">
        <v>0</v>
      </c>
      <c r="Q548" t="n">
        <v>0</v>
      </c>
      <c r="R548" s="2" t="inlineStr"/>
    </row>
    <row r="549" ht="15" customHeight="1">
      <c r="A549" t="inlineStr">
        <is>
          <t>A 51389-2020</t>
        </is>
      </c>
      <c r="B549" s="1" t="n">
        <v>44113</v>
      </c>
      <c r="C549" s="1" t="n">
        <v>45828</v>
      </c>
      <c r="D549" t="inlineStr">
        <is>
          <t>VÄRMLANDS LÄN</t>
        </is>
      </c>
      <c r="E549" t="inlineStr">
        <is>
          <t>TORSBY</t>
        </is>
      </c>
      <c r="G549" t="n">
        <v>15.4</v>
      </c>
      <c r="H549" t="n">
        <v>0</v>
      </c>
      <c r="I549" t="n">
        <v>0</v>
      </c>
      <c r="J549" t="n">
        <v>0</v>
      </c>
      <c r="K549" t="n">
        <v>0</v>
      </c>
      <c r="L549" t="n">
        <v>0</v>
      </c>
      <c r="M549" t="n">
        <v>0</v>
      </c>
      <c r="N549" t="n">
        <v>0</v>
      </c>
      <c r="O549" t="n">
        <v>0</v>
      </c>
      <c r="P549" t="n">
        <v>0</v>
      </c>
      <c r="Q549" t="n">
        <v>0</v>
      </c>
      <c r="R549" s="2" t="inlineStr"/>
    </row>
    <row r="550" ht="15" customHeight="1">
      <c r="A550" t="inlineStr">
        <is>
          <t>A 51382-2020</t>
        </is>
      </c>
      <c r="B550" s="1" t="n">
        <v>44113</v>
      </c>
      <c r="C550" s="1" t="n">
        <v>45828</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51381-2020</t>
        </is>
      </c>
      <c r="B551" s="1" t="n">
        <v>44113</v>
      </c>
      <c r="C551" s="1" t="n">
        <v>45828</v>
      </c>
      <c r="D551" t="inlineStr">
        <is>
          <t>VÄRMLANDS LÄN</t>
        </is>
      </c>
      <c r="E551" t="inlineStr">
        <is>
          <t>TORSBY</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51386-2020</t>
        </is>
      </c>
      <c r="B552" s="1" t="n">
        <v>44113</v>
      </c>
      <c r="C552" s="1" t="n">
        <v>45828</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51635-2020</t>
        </is>
      </c>
      <c r="B553" s="1" t="n">
        <v>44113</v>
      </c>
      <c r="C553" s="1" t="n">
        <v>45828</v>
      </c>
      <c r="D553" t="inlineStr">
        <is>
          <t>VÄRMLANDS LÄN</t>
        </is>
      </c>
      <c r="E553" t="inlineStr">
        <is>
          <t>TORSBY</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51383-2020</t>
        </is>
      </c>
      <c r="B554" s="1" t="n">
        <v>44113</v>
      </c>
      <c r="C554" s="1" t="n">
        <v>45828</v>
      </c>
      <c r="D554" t="inlineStr">
        <is>
          <t>VÄRMLANDS LÄN</t>
        </is>
      </c>
      <c r="E554" t="inlineStr">
        <is>
          <t>TORSBY</t>
        </is>
      </c>
      <c r="G554" t="n">
        <v>3.8</v>
      </c>
      <c r="H554" t="n">
        <v>0</v>
      </c>
      <c r="I554" t="n">
        <v>0</v>
      </c>
      <c r="J554" t="n">
        <v>0</v>
      </c>
      <c r="K554" t="n">
        <v>0</v>
      </c>
      <c r="L554" t="n">
        <v>0</v>
      </c>
      <c r="M554" t="n">
        <v>0</v>
      </c>
      <c r="N554" t="n">
        <v>0</v>
      </c>
      <c r="O554" t="n">
        <v>0</v>
      </c>
      <c r="P554" t="n">
        <v>0</v>
      </c>
      <c r="Q554" t="n">
        <v>0</v>
      </c>
      <c r="R554" s="2" t="inlineStr"/>
    </row>
    <row r="555" ht="15" customHeight="1">
      <c r="A555" t="inlineStr">
        <is>
          <t>A 51838-2020</t>
        </is>
      </c>
      <c r="B555" s="1" t="n">
        <v>44116</v>
      </c>
      <c r="C555" s="1" t="n">
        <v>45828</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52460-2020</t>
        </is>
      </c>
      <c r="B556" s="1" t="n">
        <v>44116</v>
      </c>
      <c r="C556" s="1" t="n">
        <v>45828</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51837-2020</t>
        </is>
      </c>
      <c r="B557" s="1" t="n">
        <v>44116</v>
      </c>
      <c r="C557" s="1" t="n">
        <v>45828</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52141-2020</t>
        </is>
      </c>
      <c r="B558" s="1" t="n">
        <v>44117</v>
      </c>
      <c r="C558" s="1" t="n">
        <v>45828</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52799-2020</t>
        </is>
      </c>
      <c r="B559" s="1" t="n">
        <v>44119</v>
      </c>
      <c r="C559" s="1" t="n">
        <v>45828</v>
      </c>
      <c r="D559" t="inlineStr">
        <is>
          <t>VÄRMLANDS LÄN</t>
        </is>
      </c>
      <c r="E559" t="inlineStr">
        <is>
          <t>TORSBY</t>
        </is>
      </c>
      <c r="G559" t="n">
        <v>6.2</v>
      </c>
      <c r="H559" t="n">
        <v>0</v>
      </c>
      <c r="I559" t="n">
        <v>0</v>
      </c>
      <c r="J559" t="n">
        <v>0</v>
      </c>
      <c r="K559" t="n">
        <v>0</v>
      </c>
      <c r="L559" t="n">
        <v>0</v>
      </c>
      <c r="M559" t="n">
        <v>0</v>
      </c>
      <c r="N559" t="n">
        <v>0</v>
      </c>
      <c r="O559" t="n">
        <v>0</v>
      </c>
      <c r="P559" t="n">
        <v>0</v>
      </c>
      <c r="Q559" t="n">
        <v>0</v>
      </c>
      <c r="R559" s="2" t="inlineStr"/>
    </row>
    <row r="560" ht="15" customHeight="1">
      <c r="A560" t="inlineStr">
        <is>
          <t>A 52979-2020</t>
        </is>
      </c>
      <c r="B560" s="1" t="n">
        <v>44120</v>
      </c>
      <c r="C560" s="1" t="n">
        <v>45828</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53111-2020</t>
        </is>
      </c>
      <c r="B561" s="1" t="n">
        <v>44120</v>
      </c>
      <c r="C561" s="1" t="n">
        <v>45828</v>
      </c>
      <c r="D561" t="inlineStr">
        <is>
          <t>VÄRMLANDS LÄN</t>
        </is>
      </c>
      <c r="E561" t="inlineStr">
        <is>
          <t>TORSBY</t>
        </is>
      </c>
      <c r="F561" t="inlineStr">
        <is>
          <t>Bergvik skog väst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53771-2020</t>
        </is>
      </c>
      <c r="B562" s="1" t="n">
        <v>44124</v>
      </c>
      <c r="C562" s="1" t="n">
        <v>45828</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53733-2020</t>
        </is>
      </c>
      <c r="B563" s="1" t="n">
        <v>44124</v>
      </c>
      <c r="C563" s="1" t="n">
        <v>45828</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54331-2020</t>
        </is>
      </c>
      <c r="B564" s="1" t="n">
        <v>44124</v>
      </c>
      <c r="C564" s="1" t="n">
        <v>45828</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54060-2020</t>
        </is>
      </c>
      <c r="B565" s="1" t="n">
        <v>44125</v>
      </c>
      <c r="C565" s="1" t="n">
        <v>45828</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54072-2020</t>
        </is>
      </c>
      <c r="B566" s="1" t="n">
        <v>44125</v>
      </c>
      <c r="C566" s="1" t="n">
        <v>45828</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54916-2020</t>
        </is>
      </c>
      <c r="B567" s="1" t="n">
        <v>44127</v>
      </c>
      <c r="C567" s="1" t="n">
        <v>45828</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54924-2020</t>
        </is>
      </c>
      <c r="B568" s="1" t="n">
        <v>44127</v>
      </c>
      <c r="C568" s="1" t="n">
        <v>45828</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55058-2020</t>
        </is>
      </c>
      <c r="B569" s="1" t="n">
        <v>44130</v>
      </c>
      <c r="C569" s="1" t="n">
        <v>45828</v>
      </c>
      <c r="D569" t="inlineStr">
        <is>
          <t>VÄRMLANDS LÄN</t>
        </is>
      </c>
      <c r="E569" t="inlineStr">
        <is>
          <t>TORSBY</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55217-2020</t>
        </is>
      </c>
      <c r="B570" s="1" t="n">
        <v>44130</v>
      </c>
      <c r="C570" s="1" t="n">
        <v>45828</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55401-2020</t>
        </is>
      </c>
      <c r="B571" s="1" t="n">
        <v>44131</v>
      </c>
      <c r="C571" s="1" t="n">
        <v>45828</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56979-2020</t>
        </is>
      </c>
      <c r="B572" s="1" t="n">
        <v>44138</v>
      </c>
      <c r="C572" s="1" t="n">
        <v>45828</v>
      </c>
      <c r="D572" t="inlineStr">
        <is>
          <t>VÄRMLANDS LÄN</t>
        </is>
      </c>
      <c r="E572" t="inlineStr">
        <is>
          <t>TORSBY</t>
        </is>
      </c>
      <c r="G572" t="n">
        <v>3.2</v>
      </c>
      <c r="H572" t="n">
        <v>0</v>
      </c>
      <c r="I572" t="n">
        <v>0</v>
      </c>
      <c r="J572" t="n">
        <v>0</v>
      </c>
      <c r="K572" t="n">
        <v>0</v>
      </c>
      <c r="L572" t="n">
        <v>0</v>
      </c>
      <c r="M572" t="n">
        <v>0</v>
      </c>
      <c r="N572" t="n">
        <v>0</v>
      </c>
      <c r="O572" t="n">
        <v>0</v>
      </c>
      <c r="P572" t="n">
        <v>0</v>
      </c>
      <c r="Q572" t="n">
        <v>0</v>
      </c>
      <c r="R572" s="2" t="inlineStr"/>
    </row>
    <row r="573" ht="15" customHeight="1">
      <c r="A573" t="inlineStr">
        <is>
          <t>A 57119-2020</t>
        </is>
      </c>
      <c r="B573" s="1" t="n">
        <v>44139</v>
      </c>
      <c r="C573" s="1" t="n">
        <v>45828</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57896-2020</t>
        </is>
      </c>
      <c r="B574" s="1" t="n">
        <v>44141</v>
      </c>
      <c r="C574" s="1" t="n">
        <v>45828</v>
      </c>
      <c r="D574" t="inlineStr">
        <is>
          <t>VÄRMLANDS LÄN</t>
        </is>
      </c>
      <c r="E574" t="inlineStr">
        <is>
          <t>TORSBY</t>
        </is>
      </c>
      <c r="F574" t="inlineStr">
        <is>
          <t>Bergvik skog väst AB</t>
        </is>
      </c>
      <c r="G574" t="n">
        <v>5.2</v>
      </c>
      <c r="H574" t="n">
        <v>0</v>
      </c>
      <c r="I574" t="n">
        <v>0</v>
      </c>
      <c r="J574" t="n">
        <v>0</v>
      </c>
      <c r="K574" t="n">
        <v>0</v>
      </c>
      <c r="L574" t="n">
        <v>0</v>
      </c>
      <c r="M574" t="n">
        <v>0</v>
      </c>
      <c r="N574" t="n">
        <v>0</v>
      </c>
      <c r="O574" t="n">
        <v>0</v>
      </c>
      <c r="P574" t="n">
        <v>0</v>
      </c>
      <c r="Q574" t="n">
        <v>0</v>
      </c>
      <c r="R574" s="2" t="inlineStr"/>
    </row>
    <row r="575" ht="15" customHeight="1">
      <c r="A575" t="inlineStr">
        <is>
          <t>A 57980-2020</t>
        </is>
      </c>
      <c r="B575" s="1" t="n">
        <v>44143</v>
      </c>
      <c r="C575" s="1" t="n">
        <v>45828</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58078-2020</t>
        </is>
      </c>
      <c r="B576" s="1" t="n">
        <v>44144</v>
      </c>
      <c r="C576" s="1" t="n">
        <v>45828</v>
      </c>
      <c r="D576" t="inlineStr">
        <is>
          <t>VÄRMLANDS LÄN</t>
        </is>
      </c>
      <c r="E576" t="inlineStr">
        <is>
          <t>TORSBY</t>
        </is>
      </c>
      <c r="G576" t="n">
        <v>1.6</v>
      </c>
      <c r="H576" t="n">
        <v>0</v>
      </c>
      <c r="I576" t="n">
        <v>0</v>
      </c>
      <c r="J576" t="n">
        <v>0</v>
      </c>
      <c r="K576" t="n">
        <v>0</v>
      </c>
      <c r="L576" t="n">
        <v>0</v>
      </c>
      <c r="M576" t="n">
        <v>0</v>
      </c>
      <c r="N576" t="n">
        <v>0</v>
      </c>
      <c r="O576" t="n">
        <v>0</v>
      </c>
      <c r="P576" t="n">
        <v>0</v>
      </c>
      <c r="Q576" t="n">
        <v>0</v>
      </c>
      <c r="R576" s="2" t="inlineStr"/>
    </row>
    <row r="577" ht="15" customHeight="1">
      <c r="A577" t="inlineStr">
        <is>
          <t>A 58599-2020</t>
        </is>
      </c>
      <c r="B577" s="1" t="n">
        <v>44145</v>
      </c>
      <c r="C577" s="1" t="n">
        <v>45828</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58574-2020</t>
        </is>
      </c>
      <c r="B578" s="1" t="n">
        <v>44145</v>
      </c>
      <c r="C578" s="1" t="n">
        <v>45828</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58643-2020</t>
        </is>
      </c>
      <c r="B579" s="1" t="n">
        <v>44145</v>
      </c>
      <c r="C579" s="1" t="n">
        <v>45828</v>
      </c>
      <c r="D579" t="inlineStr">
        <is>
          <t>VÄRMLANDS LÄN</t>
        </is>
      </c>
      <c r="E579" t="inlineStr">
        <is>
          <t>TORSBY</t>
        </is>
      </c>
      <c r="G579" t="n">
        <v>2.4</v>
      </c>
      <c r="H579" t="n">
        <v>0</v>
      </c>
      <c r="I579" t="n">
        <v>0</v>
      </c>
      <c r="J579" t="n">
        <v>0</v>
      </c>
      <c r="K579" t="n">
        <v>0</v>
      </c>
      <c r="L579" t="n">
        <v>0</v>
      </c>
      <c r="M579" t="n">
        <v>0</v>
      </c>
      <c r="N579" t="n">
        <v>0</v>
      </c>
      <c r="O579" t="n">
        <v>0</v>
      </c>
      <c r="P579" t="n">
        <v>0</v>
      </c>
      <c r="Q579" t="n">
        <v>0</v>
      </c>
      <c r="R579" s="2" t="inlineStr"/>
    </row>
    <row r="580" ht="15" customHeight="1">
      <c r="A580" t="inlineStr">
        <is>
          <t>A 58680-2020</t>
        </is>
      </c>
      <c r="B580" s="1" t="n">
        <v>44146</v>
      </c>
      <c r="C580" s="1" t="n">
        <v>45828</v>
      </c>
      <c r="D580" t="inlineStr">
        <is>
          <t>VÄRMLANDS LÄN</t>
        </is>
      </c>
      <c r="E580" t="inlineStr">
        <is>
          <t>TORSBY</t>
        </is>
      </c>
      <c r="G580" t="n">
        <v>4.7</v>
      </c>
      <c r="H580" t="n">
        <v>0</v>
      </c>
      <c r="I580" t="n">
        <v>0</v>
      </c>
      <c r="J580" t="n">
        <v>0</v>
      </c>
      <c r="K580" t="n">
        <v>0</v>
      </c>
      <c r="L580" t="n">
        <v>0</v>
      </c>
      <c r="M580" t="n">
        <v>0</v>
      </c>
      <c r="N580" t="n">
        <v>0</v>
      </c>
      <c r="O580" t="n">
        <v>0</v>
      </c>
      <c r="P580" t="n">
        <v>0</v>
      </c>
      <c r="Q580" t="n">
        <v>0</v>
      </c>
      <c r="R580" s="2" t="inlineStr"/>
    </row>
    <row r="581" ht="15" customHeight="1">
      <c r="A581" t="inlineStr">
        <is>
          <t>A 58877-2020</t>
        </is>
      </c>
      <c r="B581" s="1" t="n">
        <v>44146</v>
      </c>
      <c r="C581" s="1" t="n">
        <v>45828</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58930-2020</t>
        </is>
      </c>
      <c r="B582" s="1" t="n">
        <v>44146</v>
      </c>
      <c r="C582" s="1" t="n">
        <v>45828</v>
      </c>
      <c r="D582" t="inlineStr">
        <is>
          <t>VÄRMLANDS LÄN</t>
        </is>
      </c>
      <c r="E582" t="inlineStr">
        <is>
          <t>TORSBY</t>
        </is>
      </c>
      <c r="G582" t="n">
        <v>0.6</v>
      </c>
      <c r="H582" t="n">
        <v>0</v>
      </c>
      <c r="I582" t="n">
        <v>0</v>
      </c>
      <c r="J582" t="n">
        <v>0</v>
      </c>
      <c r="K582" t="n">
        <v>0</v>
      </c>
      <c r="L582" t="n">
        <v>0</v>
      </c>
      <c r="M582" t="n">
        <v>0</v>
      </c>
      <c r="N582" t="n">
        <v>0</v>
      </c>
      <c r="O582" t="n">
        <v>0</v>
      </c>
      <c r="P582" t="n">
        <v>0</v>
      </c>
      <c r="Q582" t="n">
        <v>0</v>
      </c>
      <c r="R582" s="2" t="inlineStr"/>
    </row>
    <row r="583" ht="15" customHeight="1">
      <c r="A583" t="inlineStr">
        <is>
          <t>A 59800-2020</t>
        </is>
      </c>
      <c r="B583" s="1" t="n">
        <v>44151</v>
      </c>
      <c r="C583" s="1" t="n">
        <v>45828</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60167-2020</t>
        </is>
      </c>
      <c r="B584" s="1" t="n">
        <v>44152</v>
      </c>
      <c r="C584" s="1" t="n">
        <v>45828</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60533-2020</t>
        </is>
      </c>
      <c r="B585" s="1" t="n">
        <v>44153</v>
      </c>
      <c r="C585" s="1" t="n">
        <v>45828</v>
      </c>
      <c r="D585" t="inlineStr">
        <is>
          <t>VÄRMLANDS LÄN</t>
        </is>
      </c>
      <c r="E585" t="inlineStr">
        <is>
          <t>TORSBY</t>
        </is>
      </c>
      <c r="G585" t="n">
        <v>1.6</v>
      </c>
      <c r="H585" t="n">
        <v>0</v>
      </c>
      <c r="I585" t="n">
        <v>0</v>
      </c>
      <c r="J585" t="n">
        <v>0</v>
      </c>
      <c r="K585" t="n">
        <v>0</v>
      </c>
      <c r="L585" t="n">
        <v>0</v>
      </c>
      <c r="M585" t="n">
        <v>0</v>
      </c>
      <c r="N585" t="n">
        <v>0</v>
      </c>
      <c r="O585" t="n">
        <v>0</v>
      </c>
      <c r="P585" t="n">
        <v>0</v>
      </c>
      <c r="Q585" t="n">
        <v>0</v>
      </c>
      <c r="R585" s="2" t="inlineStr"/>
    </row>
    <row r="586" ht="15" customHeight="1">
      <c r="A586" t="inlineStr">
        <is>
          <t>A 60719-2020</t>
        </is>
      </c>
      <c r="B586" s="1" t="n">
        <v>44153</v>
      </c>
      <c r="C586" s="1" t="n">
        <v>45828</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60823-2020</t>
        </is>
      </c>
      <c r="B587" s="1" t="n">
        <v>44153</v>
      </c>
      <c r="C587" s="1" t="n">
        <v>45828</v>
      </c>
      <c r="D587" t="inlineStr">
        <is>
          <t>VÄRMLANDS LÄN</t>
        </is>
      </c>
      <c r="E587" t="inlineStr">
        <is>
          <t>TORSBY</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60941-2020</t>
        </is>
      </c>
      <c r="B588" s="1" t="n">
        <v>44154</v>
      </c>
      <c r="C588" s="1" t="n">
        <v>45828</v>
      </c>
      <c r="D588" t="inlineStr">
        <is>
          <t>VÄRMLANDS LÄN</t>
        </is>
      </c>
      <c r="E588" t="inlineStr">
        <is>
          <t>TORSBY</t>
        </is>
      </c>
      <c r="G588" t="n">
        <v>4.1</v>
      </c>
      <c r="H588" t="n">
        <v>0</v>
      </c>
      <c r="I588" t="n">
        <v>0</v>
      </c>
      <c r="J588" t="n">
        <v>0</v>
      </c>
      <c r="K588" t="n">
        <v>0</v>
      </c>
      <c r="L588" t="n">
        <v>0</v>
      </c>
      <c r="M588" t="n">
        <v>0</v>
      </c>
      <c r="N588" t="n">
        <v>0</v>
      </c>
      <c r="O588" t="n">
        <v>0</v>
      </c>
      <c r="P588" t="n">
        <v>0</v>
      </c>
      <c r="Q588" t="n">
        <v>0</v>
      </c>
      <c r="R588" s="2" t="inlineStr"/>
    </row>
    <row r="589" ht="15" customHeight="1">
      <c r="A589" t="inlineStr">
        <is>
          <t>A 61009-2020</t>
        </is>
      </c>
      <c r="B589" s="1" t="n">
        <v>44154</v>
      </c>
      <c r="C589" s="1" t="n">
        <v>45828</v>
      </c>
      <c r="D589" t="inlineStr">
        <is>
          <t>VÄRMLANDS LÄN</t>
        </is>
      </c>
      <c r="E589" t="inlineStr">
        <is>
          <t>TORSBY</t>
        </is>
      </c>
      <c r="G589" t="n">
        <v>2</v>
      </c>
      <c r="H589" t="n">
        <v>0</v>
      </c>
      <c r="I589" t="n">
        <v>0</v>
      </c>
      <c r="J589" t="n">
        <v>0</v>
      </c>
      <c r="K589" t="n">
        <v>0</v>
      </c>
      <c r="L589" t="n">
        <v>0</v>
      </c>
      <c r="M589" t="n">
        <v>0</v>
      </c>
      <c r="N589" t="n">
        <v>0</v>
      </c>
      <c r="O589" t="n">
        <v>0</v>
      </c>
      <c r="P589" t="n">
        <v>0</v>
      </c>
      <c r="Q589" t="n">
        <v>0</v>
      </c>
      <c r="R589" s="2" t="inlineStr"/>
    </row>
    <row r="590" ht="15" customHeight="1">
      <c r="A590" t="inlineStr">
        <is>
          <t>A 61594-2020</t>
        </is>
      </c>
      <c r="B590" s="1" t="n">
        <v>44154</v>
      </c>
      <c r="C590" s="1" t="n">
        <v>45828</v>
      </c>
      <c r="D590" t="inlineStr">
        <is>
          <t>VÄRMLANDS LÄN</t>
        </is>
      </c>
      <c r="E590" t="inlineStr">
        <is>
          <t>TORSBY</t>
        </is>
      </c>
      <c r="G590" t="n">
        <v>6</v>
      </c>
      <c r="H590" t="n">
        <v>0</v>
      </c>
      <c r="I590" t="n">
        <v>0</v>
      </c>
      <c r="J590" t="n">
        <v>0</v>
      </c>
      <c r="K590" t="n">
        <v>0</v>
      </c>
      <c r="L590" t="n">
        <v>0</v>
      </c>
      <c r="M590" t="n">
        <v>0</v>
      </c>
      <c r="N590" t="n">
        <v>0</v>
      </c>
      <c r="O590" t="n">
        <v>0</v>
      </c>
      <c r="P590" t="n">
        <v>0</v>
      </c>
      <c r="Q590" t="n">
        <v>0</v>
      </c>
      <c r="R590" s="2" t="inlineStr"/>
    </row>
    <row r="591" ht="15" customHeight="1">
      <c r="A591" t="inlineStr">
        <is>
          <t>A 61970-2020</t>
        </is>
      </c>
      <c r="B591" s="1" t="n">
        <v>44155</v>
      </c>
      <c r="C591" s="1" t="n">
        <v>45828</v>
      </c>
      <c r="D591" t="inlineStr">
        <is>
          <t>VÄRMLANDS LÄN</t>
        </is>
      </c>
      <c r="E591" t="inlineStr">
        <is>
          <t>TORSBY</t>
        </is>
      </c>
      <c r="G591" t="n">
        <v>2</v>
      </c>
      <c r="H591" t="n">
        <v>0</v>
      </c>
      <c r="I591" t="n">
        <v>0</v>
      </c>
      <c r="J591" t="n">
        <v>0</v>
      </c>
      <c r="K591" t="n">
        <v>0</v>
      </c>
      <c r="L591" t="n">
        <v>0</v>
      </c>
      <c r="M591" t="n">
        <v>0</v>
      </c>
      <c r="N591" t="n">
        <v>0</v>
      </c>
      <c r="O591" t="n">
        <v>0</v>
      </c>
      <c r="P591" t="n">
        <v>0</v>
      </c>
      <c r="Q591" t="n">
        <v>0</v>
      </c>
      <c r="R591" s="2" t="inlineStr"/>
    </row>
    <row r="592" ht="15" customHeight="1">
      <c r="A592" t="inlineStr">
        <is>
          <t>A 61738-2020</t>
        </is>
      </c>
      <c r="B592" s="1" t="n">
        <v>44158</v>
      </c>
      <c r="C592" s="1" t="n">
        <v>45828</v>
      </c>
      <c r="D592" t="inlineStr">
        <is>
          <t>VÄRMLANDS LÄN</t>
        </is>
      </c>
      <c r="E592" t="inlineStr">
        <is>
          <t>TORSBY</t>
        </is>
      </c>
      <c r="F592" t="inlineStr">
        <is>
          <t>Kommuner</t>
        </is>
      </c>
      <c r="G592" t="n">
        <v>5.8</v>
      </c>
      <c r="H592" t="n">
        <v>0</v>
      </c>
      <c r="I592" t="n">
        <v>0</v>
      </c>
      <c r="J592" t="n">
        <v>0</v>
      </c>
      <c r="K592" t="n">
        <v>0</v>
      </c>
      <c r="L592" t="n">
        <v>0</v>
      </c>
      <c r="M592" t="n">
        <v>0</v>
      </c>
      <c r="N592" t="n">
        <v>0</v>
      </c>
      <c r="O592" t="n">
        <v>0</v>
      </c>
      <c r="P592" t="n">
        <v>0</v>
      </c>
      <c r="Q592" t="n">
        <v>0</v>
      </c>
      <c r="R592" s="2" t="inlineStr"/>
    </row>
    <row r="593" ht="15" customHeight="1">
      <c r="A593" t="inlineStr">
        <is>
          <t>A 61753-2020</t>
        </is>
      </c>
      <c r="B593" s="1" t="n">
        <v>44158</v>
      </c>
      <c r="C593" s="1" t="n">
        <v>45828</v>
      </c>
      <c r="D593" t="inlineStr">
        <is>
          <t>VÄRMLANDS LÄN</t>
        </is>
      </c>
      <c r="E593" t="inlineStr">
        <is>
          <t>TORSBY</t>
        </is>
      </c>
      <c r="G593" t="n">
        <v>2.2</v>
      </c>
      <c r="H593" t="n">
        <v>0</v>
      </c>
      <c r="I593" t="n">
        <v>0</v>
      </c>
      <c r="J593" t="n">
        <v>0</v>
      </c>
      <c r="K593" t="n">
        <v>0</v>
      </c>
      <c r="L593" t="n">
        <v>0</v>
      </c>
      <c r="M593" t="n">
        <v>0</v>
      </c>
      <c r="N593" t="n">
        <v>0</v>
      </c>
      <c r="O593" t="n">
        <v>0</v>
      </c>
      <c r="P593" t="n">
        <v>0</v>
      </c>
      <c r="Q593" t="n">
        <v>0</v>
      </c>
      <c r="R593" s="2" t="inlineStr"/>
    </row>
    <row r="594" ht="15" customHeight="1">
      <c r="A594" t="inlineStr">
        <is>
          <t>A 61998-2020</t>
        </is>
      </c>
      <c r="B594" s="1" t="n">
        <v>44158</v>
      </c>
      <c r="C594" s="1" t="n">
        <v>45828</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61910-2020</t>
        </is>
      </c>
      <c r="B595" s="1" t="n">
        <v>44159</v>
      </c>
      <c r="C595" s="1" t="n">
        <v>45828</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61956-2020</t>
        </is>
      </c>
      <c r="B596" s="1" t="n">
        <v>44159</v>
      </c>
      <c r="C596" s="1" t="n">
        <v>45828</v>
      </c>
      <c r="D596" t="inlineStr">
        <is>
          <t>VÄRMLANDS LÄN</t>
        </is>
      </c>
      <c r="E596" t="inlineStr">
        <is>
          <t>TORSBY</t>
        </is>
      </c>
      <c r="F596" t="inlineStr">
        <is>
          <t>Kommuner</t>
        </is>
      </c>
      <c r="G596" t="n">
        <v>7.5</v>
      </c>
      <c r="H596" t="n">
        <v>0</v>
      </c>
      <c r="I596" t="n">
        <v>0</v>
      </c>
      <c r="J596" t="n">
        <v>0</v>
      </c>
      <c r="K596" t="n">
        <v>0</v>
      </c>
      <c r="L596" t="n">
        <v>0</v>
      </c>
      <c r="M596" t="n">
        <v>0</v>
      </c>
      <c r="N596" t="n">
        <v>0</v>
      </c>
      <c r="O596" t="n">
        <v>0</v>
      </c>
      <c r="P596" t="n">
        <v>0</v>
      </c>
      <c r="Q596" t="n">
        <v>0</v>
      </c>
      <c r="R596" s="2" t="inlineStr"/>
    </row>
    <row r="597" ht="15" customHeight="1">
      <c r="A597" t="inlineStr">
        <is>
          <t>A 62209-2020</t>
        </is>
      </c>
      <c r="B597" s="1" t="n">
        <v>44159</v>
      </c>
      <c r="C597" s="1" t="n">
        <v>45828</v>
      </c>
      <c r="D597" t="inlineStr">
        <is>
          <t>VÄRMLANDS LÄN</t>
        </is>
      </c>
      <c r="E597" t="inlineStr">
        <is>
          <t>TORSBY</t>
        </is>
      </c>
      <c r="F597" t="inlineStr">
        <is>
          <t>Kommuner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62211-2020</t>
        </is>
      </c>
      <c r="B598" s="1" t="n">
        <v>44159</v>
      </c>
      <c r="C598" s="1" t="n">
        <v>45828</v>
      </c>
      <c r="D598" t="inlineStr">
        <is>
          <t>VÄRMLANDS LÄN</t>
        </is>
      </c>
      <c r="E598" t="inlineStr">
        <is>
          <t>TORSBY</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62915-2020</t>
        </is>
      </c>
      <c r="B599" s="1" t="n">
        <v>44162</v>
      </c>
      <c r="C599" s="1" t="n">
        <v>45828</v>
      </c>
      <c r="D599" t="inlineStr">
        <is>
          <t>VÄRMLANDS LÄN</t>
        </is>
      </c>
      <c r="E599" t="inlineStr">
        <is>
          <t>TORSBY</t>
        </is>
      </c>
      <c r="G599" t="n">
        <v>4.6</v>
      </c>
      <c r="H599" t="n">
        <v>0</v>
      </c>
      <c r="I599" t="n">
        <v>0</v>
      </c>
      <c r="J599" t="n">
        <v>0</v>
      </c>
      <c r="K599" t="n">
        <v>0</v>
      </c>
      <c r="L599" t="n">
        <v>0</v>
      </c>
      <c r="M599" t="n">
        <v>0</v>
      </c>
      <c r="N599" t="n">
        <v>0</v>
      </c>
      <c r="O599" t="n">
        <v>0</v>
      </c>
      <c r="P599" t="n">
        <v>0</v>
      </c>
      <c r="Q599" t="n">
        <v>0</v>
      </c>
      <c r="R599" s="2" t="inlineStr"/>
    </row>
    <row r="600" ht="15" customHeight="1">
      <c r="A600" t="inlineStr">
        <is>
          <t>A 63565-2020</t>
        </is>
      </c>
      <c r="B600" s="1" t="n">
        <v>44165</v>
      </c>
      <c r="C600" s="1" t="n">
        <v>45828</v>
      </c>
      <c r="D600" t="inlineStr">
        <is>
          <t>VÄRMLANDS LÄN</t>
        </is>
      </c>
      <c r="E600" t="inlineStr">
        <is>
          <t>TORSBY</t>
        </is>
      </c>
      <c r="G600" t="n">
        <v>10.3</v>
      </c>
      <c r="H600" t="n">
        <v>0</v>
      </c>
      <c r="I600" t="n">
        <v>0</v>
      </c>
      <c r="J600" t="n">
        <v>0</v>
      </c>
      <c r="K600" t="n">
        <v>0</v>
      </c>
      <c r="L600" t="n">
        <v>0</v>
      </c>
      <c r="M600" t="n">
        <v>0</v>
      </c>
      <c r="N600" t="n">
        <v>0</v>
      </c>
      <c r="O600" t="n">
        <v>0</v>
      </c>
      <c r="P600" t="n">
        <v>0</v>
      </c>
      <c r="Q600" t="n">
        <v>0</v>
      </c>
      <c r="R600" s="2" t="inlineStr"/>
    </row>
    <row r="601" ht="15" customHeight="1">
      <c r="A601" t="inlineStr">
        <is>
          <t>A 64396-2020</t>
        </is>
      </c>
      <c r="B601" s="1" t="n">
        <v>44168</v>
      </c>
      <c r="C601" s="1" t="n">
        <v>45828</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64434-2020</t>
        </is>
      </c>
      <c r="B602" s="1" t="n">
        <v>44168</v>
      </c>
      <c r="C602" s="1" t="n">
        <v>45828</v>
      </c>
      <c r="D602" t="inlineStr">
        <is>
          <t>VÄRMLANDS LÄN</t>
        </is>
      </c>
      <c r="E602" t="inlineStr">
        <is>
          <t>TORSBY</t>
        </is>
      </c>
      <c r="G602" t="n">
        <v>7.7</v>
      </c>
      <c r="H602" t="n">
        <v>0</v>
      </c>
      <c r="I602" t="n">
        <v>0</v>
      </c>
      <c r="J602" t="n">
        <v>0</v>
      </c>
      <c r="K602" t="n">
        <v>0</v>
      </c>
      <c r="L602" t="n">
        <v>0</v>
      </c>
      <c r="M602" t="n">
        <v>0</v>
      </c>
      <c r="N602" t="n">
        <v>0</v>
      </c>
      <c r="O602" t="n">
        <v>0</v>
      </c>
      <c r="P602" t="n">
        <v>0</v>
      </c>
      <c r="Q602" t="n">
        <v>0</v>
      </c>
      <c r="R602" s="2" t="inlineStr"/>
    </row>
    <row r="603" ht="15" customHeight="1">
      <c r="A603" t="inlineStr">
        <is>
          <t>A 65369-2020</t>
        </is>
      </c>
      <c r="B603" s="1" t="n">
        <v>44169</v>
      </c>
      <c r="C603" s="1" t="n">
        <v>45828</v>
      </c>
      <c r="D603" t="inlineStr">
        <is>
          <t>VÄRMLANDS LÄN</t>
        </is>
      </c>
      <c r="E603" t="inlineStr">
        <is>
          <t>TORSBY</t>
        </is>
      </c>
      <c r="G603" t="n">
        <v>32.5</v>
      </c>
      <c r="H603" t="n">
        <v>0</v>
      </c>
      <c r="I603" t="n">
        <v>0</v>
      </c>
      <c r="J603" t="n">
        <v>0</v>
      </c>
      <c r="K603" t="n">
        <v>0</v>
      </c>
      <c r="L603" t="n">
        <v>0</v>
      </c>
      <c r="M603" t="n">
        <v>0</v>
      </c>
      <c r="N603" t="n">
        <v>0</v>
      </c>
      <c r="O603" t="n">
        <v>0</v>
      </c>
      <c r="P603" t="n">
        <v>0</v>
      </c>
      <c r="Q603" t="n">
        <v>0</v>
      </c>
      <c r="R603" s="2" t="inlineStr"/>
    </row>
    <row r="604" ht="15" customHeight="1">
      <c r="A604" t="inlineStr">
        <is>
          <t>A 65482-2020</t>
        </is>
      </c>
      <c r="B604" s="1" t="n">
        <v>44169</v>
      </c>
      <c r="C604" s="1" t="n">
        <v>45828</v>
      </c>
      <c r="D604" t="inlineStr">
        <is>
          <t>VÄRMLANDS LÄN</t>
        </is>
      </c>
      <c r="E604" t="inlineStr">
        <is>
          <t>TORSBY</t>
        </is>
      </c>
      <c r="F604" t="inlineStr">
        <is>
          <t>Kyrkan</t>
        </is>
      </c>
      <c r="G604" t="n">
        <v>21.6</v>
      </c>
      <c r="H604" t="n">
        <v>0</v>
      </c>
      <c r="I604" t="n">
        <v>0</v>
      </c>
      <c r="J604" t="n">
        <v>0</v>
      </c>
      <c r="K604" t="n">
        <v>0</v>
      </c>
      <c r="L604" t="n">
        <v>0</v>
      </c>
      <c r="M604" t="n">
        <v>0</v>
      </c>
      <c r="N604" t="n">
        <v>0</v>
      </c>
      <c r="O604" t="n">
        <v>0</v>
      </c>
      <c r="P604" t="n">
        <v>0</v>
      </c>
      <c r="Q604" t="n">
        <v>0</v>
      </c>
      <c r="R604" s="2" t="inlineStr"/>
    </row>
    <row r="605" ht="15" customHeight="1">
      <c r="A605" t="inlineStr">
        <is>
          <t>A 65398-2020</t>
        </is>
      </c>
      <c r="B605" s="1" t="n">
        <v>44169</v>
      </c>
      <c r="C605" s="1" t="n">
        <v>45828</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65678-2020</t>
        </is>
      </c>
      <c r="B606" s="1" t="n">
        <v>44172</v>
      </c>
      <c r="C606" s="1" t="n">
        <v>45828</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65827-2020</t>
        </is>
      </c>
      <c r="B607" s="1" t="n">
        <v>44173</v>
      </c>
      <c r="C607" s="1" t="n">
        <v>45828</v>
      </c>
      <c r="D607" t="inlineStr">
        <is>
          <t>VÄRMLANDS LÄN</t>
        </is>
      </c>
      <c r="E607" t="inlineStr">
        <is>
          <t>TORSBY</t>
        </is>
      </c>
      <c r="G607" t="n">
        <v>6.7</v>
      </c>
      <c r="H607" t="n">
        <v>0</v>
      </c>
      <c r="I607" t="n">
        <v>0</v>
      </c>
      <c r="J607" t="n">
        <v>0</v>
      </c>
      <c r="K607" t="n">
        <v>0</v>
      </c>
      <c r="L607" t="n">
        <v>0</v>
      </c>
      <c r="M607" t="n">
        <v>0</v>
      </c>
      <c r="N607" t="n">
        <v>0</v>
      </c>
      <c r="O607" t="n">
        <v>0</v>
      </c>
      <c r="P607" t="n">
        <v>0</v>
      </c>
      <c r="Q607" t="n">
        <v>0</v>
      </c>
      <c r="R607" s="2" t="inlineStr"/>
    </row>
    <row r="608" ht="15" customHeight="1">
      <c r="A608" t="inlineStr">
        <is>
          <t>A 66703-2020</t>
        </is>
      </c>
      <c r="B608" s="1" t="n">
        <v>44174</v>
      </c>
      <c r="C608" s="1" t="n">
        <v>45828</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66194-2020</t>
        </is>
      </c>
      <c r="B609" s="1" t="n">
        <v>44175</v>
      </c>
      <c r="C609" s="1" t="n">
        <v>45828</v>
      </c>
      <c r="D609" t="inlineStr">
        <is>
          <t>VÄRMLANDS LÄN</t>
        </is>
      </c>
      <c r="E609" t="inlineStr">
        <is>
          <t>TORSBY</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66326-2020</t>
        </is>
      </c>
      <c r="B610" s="1" t="n">
        <v>44176</v>
      </c>
      <c r="C610" s="1" t="n">
        <v>45828</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67084-2020</t>
        </is>
      </c>
      <c r="B611" s="1" t="n">
        <v>44179</v>
      </c>
      <c r="C611" s="1" t="n">
        <v>45828</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67547-2020</t>
        </is>
      </c>
      <c r="B612" s="1" t="n">
        <v>44181</v>
      </c>
      <c r="C612" s="1" t="n">
        <v>45828</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67464-2020</t>
        </is>
      </c>
      <c r="B613" s="1" t="n">
        <v>44181</v>
      </c>
      <c r="C613" s="1" t="n">
        <v>45828</v>
      </c>
      <c r="D613" t="inlineStr">
        <is>
          <t>VÄRMLANDS LÄN</t>
        </is>
      </c>
      <c r="E613" t="inlineStr">
        <is>
          <t>TORSBY</t>
        </is>
      </c>
      <c r="G613" t="n">
        <v>1.5</v>
      </c>
      <c r="H613" t="n">
        <v>0</v>
      </c>
      <c r="I613" t="n">
        <v>0</v>
      </c>
      <c r="J613" t="n">
        <v>0</v>
      </c>
      <c r="K613" t="n">
        <v>0</v>
      </c>
      <c r="L613" t="n">
        <v>0</v>
      </c>
      <c r="M613" t="n">
        <v>0</v>
      </c>
      <c r="N613" t="n">
        <v>0</v>
      </c>
      <c r="O613" t="n">
        <v>0</v>
      </c>
      <c r="P613" t="n">
        <v>0</v>
      </c>
      <c r="Q613" t="n">
        <v>0</v>
      </c>
      <c r="R613" s="2" t="inlineStr"/>
    </row>
    <row r="614" ht="15" customHeight="1">
      <c r="A614" t="inlineStr">
        <is>
          <t>A 67734-2020</t>
        </is>
      </c>
      <c r="B614" s="1" t="n">
        <v>44182</v>
      </c>
      <c r="C614" s="1" t="n">
        <v>45828</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68220-2020</t>
        </is>
      </c>
      <c r="B615" s="1" t="n">
        <v>44183</v>
      </c>
      <c r="C615" s="1" t="n">
        <v>45828</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68238-2020</t>
        </is>
      </c>
      <c r="B616" s="1" t="n">
        <v>44183</v>
      </c>
      <c r="C616" s="1" t="n">
        <v>45828</v>
      </c>
      <c r="D616" t="inlineStr">
        <is>
          <t>VÄRMLANDS LÄN</t>
        </is>
      </c>
      <c r="E616" t="inlineStr">
        <is>
          <t>TORSBY</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68246-2020</t>
        </is>
      </c>
      <c r="B617" s="1" t="n">
        <v>44183</v>
      </c>
      <c r="C617" s="1" t="n">
        <v>45828</v>
      </c>
      <c r="D617" t="inlineStr">
        <is>
          <t>VÄRMLANDS LÄN</t>
        </is>
      </c>
      <c r="E617" t="inlineStr">
        <is>
          <t>TORSBY</t>
        </is>
      </c>
      <c r="G617" t="n">
        <v>2.5</v>
      </c>
      <c r="H617" t="n">
        <v>0</v>
      </c>
      <c r="I617" t="n">
        <v>0</v>
      </c>
      <c r="J617" t="n">
        <v>0</v>
      </c>
      <c r="K617" t="n">
        <v>0</v>
      </c>
      <c r="L617" t="n">
        <v>0</v>
      </c>
      <c r="M617" t="n">
        <v>0</v>
      </c>
      <c r="N617" t="n">
        <v>0</v>
      </c>
      <c r="O617" t="n">
        <v>0</v>
      </c>
      <c r="P617" t="n">
        <v>0</v>
      </c>
      <c r="Q617" t="n">
        <v>0</v>
      </c>
      <c r="R617" s="2" t="inlineStr"/>
    </row>
    <row r="618" ht="15" customHeight="1">
      <c r="A618" t="inlineStr">
        <is>
          <t>A 68603-2020</t>
        </is>
      </c>
      <c r="B618" s="1" t="n">
        <v>44186</v>
      </c>
      <c r="C618" s="1" t="n">
        <v>45828</v>
      </c>
      <c r="D618" t="inlineStr">
        <is>
          <t>VÄRMLANDS LÄN</t>
        </is>
      </c>
      <c r="E618" t="inlineStr">
        <is>
          <t>TORSBY</t>
        </is>
      </c>
      <c r="G618" t="n">
        <v>11.2</v>
      </c>
      <c r="H618" t="n">
        <v>0</v>
      </c>
      <c r="I618" t="n">
        <v>0</v>
      </c>
      <c r="J618" t="n">
        <v>0</v>
      </c>
      <c r="K618" t="n">
        <v>0</v>
      </c>
      <c r="L618" t="n">
        <v>0</v>
      </c>
      <c r="M618" t="n">
        <v>0</v>
      </c>
      <c r="N618" t="n">
        <v>0</v>
      </c>
      <c r="O618" t="n">
        <v>0</v>
      </c>
      <c r="P618" t="n">
        <v>0</v>
      </c>
      <c r="Q618" t="n">
        <v>0</v>
      </c>
      <c r="R618" s="2" t="inlineStr"/>
    </row>
    <row r="619" ht="15" customHeight="1">
      <c r="A619" t="inlineStr">
        <is>
          <t>A 69245-2020</t>
        </is>
      </c>
      <c r="B619" s="1" t="n">
        <v>44192</v>
      </c>
      <c r="C619" s="1" t="n">
        <v>45828</v>
      </c>
      <c r="D619" t="inlineStr">
        <is>
          <t>VÄRMLANDS LÄN</t>
        </is>
      </c>
      <c r="E619" t="inlineStr">
        <is>
          <t>TORSBY</t>
        </is>
      </c>
      <c r="G619" t="n">
        <v>0.2</v>
      </c>
      <c r="H619" t="n">
        <v>0</v>
      </c>
      <c r="I619" t="n">
        <v>0</v>
      </c>
      <c r="J619" t="n">
        <v>0</v>
      </c>
      <c r="K619" t="n">
        <v>0</v>
      </c>
      <c r="L619" t="n">
        <v>0</v>
      </c>
      <c r="M619" t="n">
        <v>0</v>
      </c>
      <c r="N619" t="n">
        <v>0</v>
      </c>
      <c r="O619" t="n">
        <v>0</v>
      </c>
      <c r="P619" t="n">
        <v>0</v>
      </c>
      <c r="Q619" t="n">
        <v>0</v>
      </c>
      <c r="R619" s="2" t="inlineStr"/>
    </row>
    <row r="620" ht="15" customHeight="1">
      <c r="A620" t="inlineStr">
        <is>
          <t>A 69250-2020</t>
        </is>
      </c>
      <c r="B620" s="1" t="n">
        <v>44192</v>
      </c>
      <c r="C620" s="1" t="n">
        <v>45828</v>
      </c>
      <c r="D620" t="inlineStr">
        <is>
          <t>VÄRMLANDS LÄN</t>
        </is>
      </c>
      <c r="E620" t="inlineStr">
        <is>
          <t>TORSBY</t>
        </is>
      </c>
      <c r="G620" t="n">
        <v>2.7</v>
      </c>
      <c r="H620" t="n">
        <v>0</v>
      </c>
      <c r="I620" t="n">
        <v>0</v>
      </c>
      <c r="J620" t="n">
        <v>0</v>
      </c>
      <c r="K620" t="n">
        <v>0</v>
      </c>
      <c r="L620" t="n">
        <v>0</v>
      </c>
      <c r="M620" t="n">
        <v>0</v>
      </c>
      <c r="N620" t="n">
        <v>0</v>
      </c>
      <c r="O620" t="n">
        <v>0</v>
      </c>
      <c r="P620" t="n">
        <v>0</v>
      </c>
      <c r="Q620" t="n">
        <v>0</v>
      </c>
      <c r="R620" s="2" t="inlineStr"/>
    </row>
    <row r="621" ht="15" customHeight="1">
      <c r="A621" t="inlineStr">
        <is>
          <t>A 69242-2020</t>
        </is>
      </c>
      <c r="B621" s="1" t="n">
        <v>44192</v>
      </c>
      <c r="C621" s="1" t="n">
        <v>45828</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69247-2020</t>
        </is>
      </c>
      <c r="B622" s="1" t="n">
        <v>44192</v>
      </c>
      <c r="C622" s="1" t="n">
        <v>45828</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69244-2020</t>
        </is>
      </c>
      <c r="B623" s="1" t="n">
        <v>44192</v>
      </c>
      <c r="C623" s="1" t="n">
        <v>45828</v>
      </c>
      <c r="D623" t="inlineStr">
        <is>
          <t>VÄRMLANDS LÄN</t>
        </is>
      </c>
      <c r="E623" t="inlineStr">
        <is>
          <t>TORSBY</t>
        </is>
      </c>
      <c r="G623" t="n">
        <v>2.6</v>
      </c>
      <c r="H623" t="n">
        <v>0</v>
      </c>
      <c r="I623" t="n">
        <v>0</v>
      </c>
      <c r="J623" t="n">
        <v>0</v>
      </c>
      <c r="K623" t="n">
        <v>0</v>
      </c>
      <c r="L623" t="n">
        <v>0</v>
      </c>
      <c r="M623" t="n">
        <v>0</v>
      </c>
      <c r="N623" t="n">
        <v>0</v>
      </c>
      <c r="O623" t="n">
        <v>0</v>
      </c>
      <c r="P623" t="n">
        <v>0</v>
      </c>
      <c r="Q623" t="n">
        <v>0</v>
      </c>
      <c r="R623" s="2" t="inlineStr"/>
    </row>
    <row r="624" ht="15" customHeight="1">
      <c r="A624" t="inlineStr">
        <is>
          <t>A 69248-2020</t>
        </is>
      </c>
      <c r="B624" s="1" t="n">
        <v>44192</v>
      </c>
      <c r="C624" s="1" t="n">
        <v>45828</v>
      </c>
      <c r="D624" t="inlineStr">
        <is>
          <t>VÄRMLANDS LÄN</t>
        </is>
      </c>
      <c r="E624" t="inlineStr">
        <is>
          <t>TORSBY</t>
        </is>
      </c>
      <c r="G624" t="n">
        <v>0.4</v>
      </c>
      <c r="H624" t="n">
        <v>0</v>
      </c>
      <c r="I624" t="n">
        <v>0</v>
      </c>
      <c r="J624" t="n">
        <v>0</v>
      </c>
      <c r="K624" t="n">
        <v>0</v>
      </c>
      <c r="L624" t="n">
        <v>0</v>
      </c>
      <c r="M624" t="n">
        <v>0</v>
      </c>
      <c r="N624" t="n">
        <v>0</v>
      </c>
      <c r="O624" t="n">
        <v>0</v>
      </c>
      <c r="P624" t="n">
        <v>0</v>
      </c>
      <c r="Q624" t="n">
        <v>0</v>
      </c>
      <c r="R624" s="2" t="inlineStr"/>
    </row>
    <row r="625" ht="15" customHeight="1">
      <c r="A625" t="inlineStr">
        <is>
          <t>A 69241-2020</t>
        </is>
      </c>
      <c r="B625" s="1" t="n">
        <v>44192</v>
      </c>
      <c r="C625" s="1" t="n">
        <v>45828</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69246-2020</t>
        </is>
      </c>
      <c r="B626" s="1" t="n">
        <v>44192</v>
      </c>
      <c r="C626" s="1" t="n">
        <v>45828</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69434-2020</t>
        </is>
      </c>
      <c r="B627" s="1" t="n">
        <v>44194</v>
      </c>
      <c r="C627" s="1" t="n">
        <v>45828</v>
      </c>
      <c r="D627" t="inlineStr">
        <is>
          <t>VÄRMLANDS LÄN</t>
        </is>
      </c>
      <c r="E627" t="inlineStr">
        <is>
          <t>TORSBY</t>
        </is>
      </c>
      <c r="G627" t="n">
        <v>6.3</v>
      </c>
      <c r="H627" t="n">
        <v>0</v>
      </c>
      <c r="I627" t="n">
        <v>0</v>
      </c>
      <c r="J627" t="n">
        <v>0</v>
      </c>
      <c r="K627" t="n">
        <v>0</v>
      </c>
      <c r="L627" t="n">
        <v>0</v>
      </c>
      <c r="M627" t="n">
        <v>0</v>
      </c>
      <c r="N627" t="n">
        <v>0</v>
      </c>
      <c r="O627" t="n">
        <v>0</v>
      </c>
      <c r="P627" t="n">
        <v>0</v>
      </c>
      <c r="Q627" t="n">
        <v>0</v>
      </c>
      <c r="R627" s="2" t="inlineStr"/>
    </row>
    <row r="628" ht="15" customHeight="1">
      <c r="A628" t="inlineStr">
        <is>
          <t>A 69448-2020</t>
        </is>
      </c>
      <c r="B628" s="1" t="n">
        <v>44194</v>
      </c>
      <c r="C628" s="1" t="n">
        <v>45828</v>
      </c>
      <c r="D628" t="inlineStr">
        <is>
          <t>VÄRMLANDS LÄN</t>
        </is>
      </c>
      <c r="E628" t="inlineStr">
        <is>
          <t>TORSBY</t>
        </is>
      </c>
      <c r="G628" t="n">
        <v>4.8</v>
      </c>
      <c r="H628" t="n">
        <v>0</v>
      </c>
      <c r="I628" t="n">
        <v>0</v>
      </c>
      <c r="J628" t="n">
        <v>0</v>
      </c>
      <c r="K628" t="n">
        <v>0</v>
      </c>
      <c r="L628" t="n">
        <v>0</v>
      </c>
      <c r="M628" t="n">
        <v>0</v>
      </c>
      <c r="N628" t="n">
        <v>0</v>
      </c>
      <c r="O628" t="n">
        <v>0</v>
      </c>
      <c r="P628" t="n">
        <v>0</v>
      </c>
      <c r="Q628" t="n">
        <v>0</v>
      </c>
      <c r="R628" s="2" t="inlineStr"/>
    </row>
    <row r="629" ht="15" customHeight="1">
      <c r="A629" t="inlineStr">
        <is>
          <t>A 69628-2020</t>
        </is>
      </c>
      <c r="B629" s="1" t="n">
        <v>44195</v>
      </c>
      <c r="C629" s="1" t="n">
        <v>45828</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339-2021</t>
        </is>
      </c>
      <c r="B630" s="1" t="n">
        <v>44201</v>
      </c>
      <c r="C630" s="1" t="n">
        <v>45828</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1516-2021</t>
        </is>
      </c>
      <c r="B631" s="1" t="n">
        <v>44209</v>
      </c>
      <c r="C631" s="1" t="n">
        <v>45828</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1526-2021</t>
        </is>
      </c>
      <c r="B632" s="1" t="n">
        <v>44209</v>
      </c>
      <c r="C632" s="1" t="n">
        <v>45828</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1535-2021</t>
        </is>
      </c>
      <c r="B633" s="1" t="n">
        <v>44209</v>
      </c>
      <c r="C633" s="1" t="n">
        <v>45828</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45828</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2321-2021</t>
        </is>
      </c>
      <c r="B635" s="1" t="n">
        <v>44214</v>
      </c>
      <c r="C635" s="1" t="n">
        <v>45828</v>
      </c>
      <c r="D635" t="inlineStr">
        <is>
          <t>VÄRMLANDS LÄN</t>
        </is>
      </c>
      <c r="E635" t="inlineStr">
        <is>
          <t>TORSBY</t>
        </is>
      </c>
      <c r="G635" t="n">
        <v>4.8</v>
      </c>
      <c r="H635" t="n">
        <v>0</v>
      </c>
      <c r="I635" t="n">
        <v>0</v>
      </c>
      <c r="J635" t="n">
        <v>0</v>
      </c>
      <c r="K635" t="n">
        <v>0</v>
      </c>
      <c r="L635" t="n">
        <v>0</v>
      </c>
      <c r="M635" t="n">
        <v>0</v>
      </c>
      <c r="N635" t="n">
        <v>0</v>
      </c>
      <c r="O635" t="n">
        <v>0</v>
      </c>
      <c r="P635" t="n">
        <v>0</v>
      </c>
      <c r="Q635" t="n">
        <v>0</v>
      </c>
      <c r="R635" s="2" t="inlineStr"/>
    </row>
    <row r="636" ht="15" customHeight="1">
      <c r="A636" t="inlineStr">
        <is>
          <t>A 2576-2021</t>
        </is>
      </c>
      <c r="B636" s="1" t="n">
        <v>44214</v>
      </c>
      <c r="C636" s="1" t="n">
        <v>45828</v>
      </c>
      <c r="D636" t="inlineStr">
        <is>
          <t>VÄRMLANDS LÄN</t>
        </is>
      </c>
      <c r="E636" t="inlineStr">
        <is>
          <t>TORSBY</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2758-2021</t>
        </is>
      </c>
      <c r="B637" s="1" t="n">
        <v>44215</v>
      </c>
      <c r="C637" s="1" t="n">
        <v>45828</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3160-2021</t>
        </is>
      </c>
      <c r="B638" s="1" t="n">
        <v>44217</v>
      </c>
      <c r="C638" s="1" t="n">
        <v>45828</v>
      </c>
      <c r="D638" t="inlineStr">
        <is>
          <t>VÄRMLANDS LÄN</t>
        </is>
      </c>
      <c r="E638" t="inlineStr">
        <is>
          <t>TORSBY</t>
        </is>
      </c>
      <c r="G638" t="n">
        <v>4.4</v>
      </c>
      <c r="H638" t="n">
        <v>0</v>
      </c>
      <c r="I638" t="n">
        <v>0</v>
      </c>
      <c r="J638" t="n">
        <v>0</v>
      </c>
      <c r="K638" t="n">
        <v>0</v>
      </c>
      <c r="L638" t="n">
        <v>0</v>
      </c>
      <c r="M638" t="n">
        <v>0</v>
      </c>
      <c r="N638" t="n">
        <v>0</v>
      </c>
      <c r="O638" t="n">
        <v>0</v>
      </c>
      <c r="P638" t="n">
        <v>0</v>
      </c>
      <c r="Q638" t="n">
        <v>0</v>
      </c>
      <c r="R638" s="2" t="inlineStr"/>
    </row>
    <row r="639" ht="15" customHeight="1">
      <c r="A639" t="inlineStr">
        <is>
          <t>A 3336-2021</t>
        </is>
      </c>
      <c r="B639" s="1" t="n">
        <v>44217</v>
      </c>
      <c r="C639" s="1" t="n">
        <v>45828</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4392-2021</t>
        </is>
      </c>
      <c r="B640" s="1" t="n">
        <v>44223</v>
      </c>
      <c r="C640" s="1" t="n">
        <v>45828</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4558-2021</t>
        </is>
      </c>
      <c r="B641" s="1" t="n">
        <v>44223</v>
      </c>
      <c r="C641" s="1" t="n">
        <v>45828</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4393-2021</t>
        </is>
      </c>
      <c r="B642" s="1" t="n">
        <v>44223</v>
      </c>
      <c r="C642" s="1" t="n">
        <v>45828</v>
      </c>
      <c r="D642" t="inlineStr">
        <is>
          <t>VÄRMLANDS LÄN</t>
        </is>
      </c>
      <c r="E642" t="inlineStr">
        <is>
          <t>TORSBY</t>
        </is>
      </c>
      <c r="G642" t="n">
        <v>2.8</v>
      </c>
      <c r="H642" t="n">
        <v>0</v>
      </c>
      <c r="I642" t="n">
        <v>0</v>
      </c>
      <c r="J642" t="n">
        <v>0</v>
      </c>
      <c r="K642" t="n">
        <v>0</v>
      </c>
      <c r="L642" t="n">
        <v>0</v>
      </c>
      <c r="M642" t="n">
        <v>0</v>
      </c>
      <c r="N642" t="n">
        <v>0</v>
      </c>
      <c r="O642" t="n">
        <v>0</v>
      </c>
      <c r="P642" t="n">
        <v>0</v>
      </c>
      <c r="Q642" t="n">
        <v>0</v>
      </c>
      <c r="R642" s="2" t="inlineStr"/>
    </row>
    <row r="643" ht="15" customHeight="1">
      <c r="A643" t="inlineStr">
        <is>
          <t>A 4564-2021</t>
        </is>
      </c>
      <c r="B643" s="1" t="n">
        <v>44223</v>
      </c>
      <c r="C643" s="1" t="n">
        <v>45828</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4479-2021</t>
        </is>
      </c>
      <c r="B644" s="1" t="n">
        <v>44224</v>
      </c>
      <c r="C644" s="1" t="n">
        <v>45828</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4711-2021</t>
        </is>
      </c>
      <c r="B645" s="1" t="n">
        <v>44225</v>
      </c>
      <c r="C645" s="1" t="n">
        <v>45828</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5050-2021</t>
        </is>
      </c>
      <c r="B646" s="1" t="n">
        <v>44228</v>
      </c>
      <c r="C646" s="1" t="n">
        <v>45828</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5105-2021</t>
        </is>
      </c>
      <c r="B647" s="1" t="n">
        <v>44228</v>
      </c>
      <c r="C647" s="1" t="n">
        <v>45828</v>
      </c>
      <c r="D647" t="inlineStr">
        <is>
          <t>VÄRMLANDS LÄN</t>
        </is>
      </c>
      <c r="E647" t="inlineStr">
        <is>
          <t>TORSBY</t>
        </is>
      </c>
      <c r="G647" t="n">
        <v>5.6</v>
      </c>
      <c r="H647" t="n">
        <v>0</v>
      </c>
      <c r="I647" t="n">
        <v>0</v>
      </c>
      <c r="J647" t="n">
        <v>0</v>
      </c>
      <c r="K647" t="n">
        <v>0</v>
      </c>
      <c r="L647" t="n">
        <v>0</v>
      </c>
      <c r="M647" t="n">
        <v>0</v>
      </c>
      <c r="N647" t="n">
        <v>0</v>
      </c>
      <c r="O647" t="n">
        <v>0</v>
      </c>
      <c r="P647" t="n">
        <v>0</v>
      </c>
      <c r="Q647" t="n">
        <v>0</v>
      </c>
      <c r="R647" s="2" t="inlineStr"/>
    </row>
    <row r="648" ht="15" customHeight="1">
      <c r="A648" t="inlineStr">
        <is>
          <t>A 5365-2021</t>
        </is>
      </c>
      <c r="B648" s="1" t="n">
        <v>44229</v>
      </c>
      <c r="C648" s="1" t="n">
        <v>45828</v>
      </c>
      <c r="D648" t="inlineStr">
        <is>
          <t>VÄRMLANDS LÄN</t>
        </is>
      </c>
      <c r="E648" t="inlineStr">
        <is>
          <t>TORSBY</t>
        </is>
      </c>
      <c r="G648" t="n">
        <v>8.1</v>
      </c>
      <c r="H648" t="n">
        <v>0</v>
      </c>
      <c r="I648" t="n">
        <v>0</v>
      </c>
      <c r="J648" t="n">
        <v>0</v>
      </c>
      <c r="K648" t="n">
        <v>0</v>
      </c>
      <c r="L648" t="n">
        <v>0</v>
      </c>
      <c r="M648" t="n">
        <v>0</v>
      </c>
      <c r="N648" t="n">
        <v>0</v>
      </c>
      <c r="O648" t="n">
        <v>0</v>
      </c>
      <c r="P648" t="n">
        <v>0</v>
      </c>
      <c r="Q648" t="n">
        <v>0</v>
      </c>
      <c r="R648" s="2" t="inlineStr"/>
    </row>
    <row r="649" ht="15" customHeight="1">
      <c r="A649" t="inlineStr">
        <is>
          <t>A 5572-2021</t>
        </is>
      </c>
      <c r="B649" s="1" t="n">
        <v>44230</v>
      </c>
      <c r="C649" s="1" t="n">
        <v>45828</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5839-2021</t>
        </is>
      </c>
      <c r="B650" s="1" t="n">
        <v>44231</v>
      </c>
      <c r="C650" s="1" t="n">
        <v>45828</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6063-2021</t>
        </is>
      </c>
      <c r="B651" s="1" t="n">
        <v>44232</v>
      </c>
      <c r="C651" s="1" t="n">
        <v>45828</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6111-2021</t>
        </is>
      </c>
      <c r="B652" s="1" t="n">
        <v>44232</v>
      </c>
      <c r="C652" s="1" t="n">
        <v>45828</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6121-2021</t>
        </is>
      </c>
      <c r="B653" s="1" t="n">
        <v>44232</v>
      </c>
      <c r="C653" s="1" t="n">
        <v>45828</v>
      </c>
      <c r="D653" t="inlineStr">
        <is>
          <t>VÄRMLANDS LÄN</t>
        </is>
      </c>
      <c r="E653" t="inlineStr">
        <is>
          <t>TORSBY</t>
        </is>
      </c>
      <c r="G653" t="n">
        <v>2.9</v>
      </c>
      <c r="H653" t="n">
        <v>0</v>
      </c>
      <c r="I653" t="n">
        <v>0</v>
      </c>
      <c r="J653" t="n">
        <v>0</v>
      </c>
      <c r="K653" t="n">
        <v>0</v>
      </c>
      <c r="L653" t="n">
        <v>0</v>
      </c>
      <c r="M653" t="n">
        <v>0</v>
      </c>
      <c r="N653" t="n">
        <v>0</v>
      </c>
      <c r="O653" t="n">
        <v>0</v>
      </c>
      <c r="P653" t="n">
        <v>0</v>
      </c>
      <c r="Q653" t="n">
        <v>0</v>
      </c>
      <c r="R653" s="2" t="inlineStr"/>
    </row>
    <row r="654" ht="15" customHeight="1">
      <c r="A654" t="inlineStr">
        <is>
          <t>A 6068-2021</t>
        </is>
      </c>
      <c r="B654" s="1" t="n">
        <v>44232</v>
      </c>
      <c r="C654" s="1" t="n">
        <v>45828</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6102-2021</t>
        </is>
      </c>
      <c r="B655" s="1" t="n">
        <v>44232</v>
      </c>
      <c r="C655" s="1" t="n">
        <v>45828</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6656-2021</t>
        </is>
      </c>
      <c r="B656" s="1" t="n">
        <v>44236</v>
      </c>
      <c r="C656" s="1" t="n">
        <v>45828</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7661-2021</t>
        </is>
      </c>
      <c r="B657" s="1" t="n">
        <v>44242</v>
      </c>
      <c r="C657" s="1" t="n">
        <v>45828</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8034-2021</t>
        </is>
      </c>
      <c r="B658" s="1" t="n">
        <v>44243</v>
      </c>
      <c r="C658" s="1" t="n">
        <v>45828</v>
      </c>
      <c r="D658" t="inlineStr">
        <is>
          <t>VÄRMLANDS LÄN</t>
        </is>
      </c>
      <c r="E658" t="inlineStr">
        <is>
          <t>TORSBY</t>
        </is>
      </c>
      <c r="G658" t="n">
        <v>15.4</v>
      </c>
      <c r="H658" t="n">
        <v>0</v>
      </c>
      <c r="I658" t="n">
        <v>0</v>
      </c>
      <c r="J658" t="n">
        <v>0</v>
      </c>
      <c r="K658" t="n">
        <v>0</v>
      </c>
      <c r="L658" t="n">
        <v>0</v>
      </c>
      <c r="M658" t="n">
        <v>0</v>
      </c>
      <c r="N658" t="n">
        <v>0</v>
      </c>
      <c r="O658" t="n">
        <v>0</v>
      </c>
      <c r="P658" t="n">
        <v>0</v>
      </c>
      <c r="Q658" t="n">
        <v>0</v>
      </c>
      <c r="R658" s="2" t="inlineStr"/>
    </row>
    <row r="659" ht="15" customHeight="1">
      <c r="A659" t="inlineStr">
        <is>
          <t>A 7898-2021</t>
        </is>
      </c>
      <c r="B659" s="1" t="n">
        <v>44243</v>
      </c>
      <c r="C659" s="1" t="n">
        <v>45828</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8910-2021</t>
        </is>
      </c>
      <c r="B660" s="1" t="n">
        <v>44246</v>
      </c>
      <c r="C660" s="1" t="n">
        <v>45828</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9775-2021</t>
        </is>
      </c>
      <c r="B661" s="1" t="n">
        <v>44252</v>
      </c>
      <c r="C661" s="1" t="n">
        <v>45828</v>
      </c>
      <c r="D661" t="inlineStr">
        <is>
          <t>VÄRMLANDS LÄN</t>
        </is>
      </c>
      <c r="E661" t="inlineStr">
        <is>
          <t>TORSBY</t>
        </is>
      </c>
      <c r="G661" t="n">
        <v>2.7</v>
      </c>
      <c r="H661" t="n">
        <v>0</v>
      </c>
      <c r="I661" t="n">
        <v>0</v>
      </c>
      <c r="J661" t="n">
        <v>0</v>
      </c>
      <c r="K661" t="n">
        <v>0</v>
      </c>
      <c r="L661" t="n">
        <v>0</v>
      </c>
      <c r="M661" t="n">
        <v>0</v>
      </c>
      <c r="N661" t="n">
        <v>0</v>
      </c>
      <c r="O661" t="n">
        <v>0</v>
      </c>
      <c r="P661" t="n">
        <v>0</v>
      </c>
      <c r="Q661" t="n">
        <v>0</v>
      </c>
      <c r="R661" s="2" t="inlineStr"/>
    </row>
    <row r="662" ht="15" customHeight="1">
      <c r="A662" t="inlineStr">
        <is>
          <t>A 10133-2021</t>
        </is>
      </c>
      <c r="B662" s="1" t="n">
        <v>44256</v>
      </c>
      <c r="C662" s="1" t="n">
        <v>45828</v>
      </c>
      <c r="D662" t="inlineStr">
        <is>
          <t>VÄRMLANDS LÄN</t>
        </is>
      </c>
      <c r="E662" t="inlineStr">
        <is>
          <t>TORSBY</t>
        </is>
      </c>
      <c r="G662" t="n">
        <v>5</v>
      </c>
      <c r="H662" t="n">
        <v>0</v>
      </c>
      <c r="I662" t="n">
        <v>0</v>
      </c>
      <c r="J662" t="n">
        <v>0</v>
      </c>
      <c r="K662" t="n">
        <v>0</v>
      </c>
      <c r="L662" t="n">
        <v>0</v>
      </c>
      <c r="M662" t="n">
        <v>0</v>
      </c>
      <c r="N662" t="n">
        <v>0</v>
      </c>
      <c r="O662" t="n">
        <v>0</v>
      </c>
      <c r="P662" t="n">
        <v>0</v>
      </c>
      <c r="Q662" t="n">
        <v>0</v>
      </c>
      <c r="R662" s="2" t="inlineStr"/>
    </row>
    <row r="663" ht="15" customHeight="1">
      <c r="A663" t="inlineStr">
        <is>
          <t>A 10118-2021</t>
        </is>
      </c>
      <c r="B663" s="1" t="n">
        <v>44256</v>
      </c>
      <c r="C663" s="1" t="n">
        <v>45828</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10579-2021</t>
        </is>
      </c>
      <c r="B664" s="1" t="n">
        <v>44257</v>
      </c>
      <c r="C664" s="1" t="n">
        <v>45828</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10778-2021</t>
        </is>
      </c>
      <c r="B665" s="1" t="n">
        <v>44259</v>
      </c>
      <c r="C665" s="1" t="n">
        <v>45828</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11695-2021</t>
        </is>
      </c>
      <c r="B666" s="1" t="n">
        <v>44264</v>
      </c>
      <c r="C666" s="1" t="n">
        <v>45828</v>
      </c>
      <c r="D666" t="inlineStr">
        <is>
          <t>VÄRMLANDS LÄN</t>
        </is>
      </c>
      <c r="E666" t="inlineStr">
        <is>
          <t>TORSBY</t>
        </is>
      </c>
      <c r="G666" t="n">
        <v>3</v>
      </c>
      <c r="H666" t="n">
        <v>0</v>
      </c>
      <c r="I666" t="n">
        <v>0</v>
      </c>
      <c r="J666" t="n">
        <v>0</v>
      </c>
      <c r="K666" t="n">
        <v>0</v>
      </c>
      <c r="L666" t="n">
        <v>0</v>
      </c>
      <c r="M666" t="n">
        <v>0</v>
      </c>
      <c r="N666" t="n">
        <v>0</v>
      </c>
      <c r="O666" t="n">
        <v>0</v>
      </c>
      <c r="P666" t="n">
        <v>0</v>
      </c>
      <c r="Q666" t="n">
        <v>0</v>
      </c>
      <c r="R666" s="2" t="inlineStr"/>
    </row>
    <row r="667" ht="15" customHeight="1">
      <c r="A667" t="inlineStr">
        <is>
          <t>A 11947-2021</t>
        </is>
      </c>
      <c r="B667" s="1" t="n">
        <v>44265</v>
      </c>
      <c r="C667" s="1" t="n">
        <v>45828</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13013-2021</t>
        </is>
      </c>
      <c r="B668" s="1" t="n">
        <v>44271</v>
      </c>
      <c r="C668" s="1" t="n">
        <v>45828</v>
      </c>
      <c r="D668" t="inlineStr">
        <is>
          <t>VÄRMLANDS LÄN</t>
        </is>
      </c>
      <c r="E668" t="inlineStr">
        <is>
          <t>TORSBY</t>
        </is>
      </c>
      <c r="G668" t="n">
        <v>7.7</v>
      </c>
      <c r="H668" t="n">
        <v>0</v>
      </c>
      <c r="I668" t="n">
        <v>0</v>
      </c>
      <c r="J668" t="n">
        <v>0</v>
      </c>
      <c r="K668" t="n">
        <v>0</v>
      </c>
      <c r="L668" t="n">
        <v>0</v>
      </c>
      <c r="M668" t="n">
        <v>0</v>
      </c>
      <c r="N668" t="n">
        <v>0</v>
      </c>
      <c r="O668" t="n">
        <v>0</v>
      </c>
      <c r="P668" t="n">
        <v>0</v>
      </c>
      <c r="Q668" t="n">
        <v>0</v>
      </c>
      <c r="R668" s="2" t="inlineStr"/>
    </row>
    <row r="669" ht="15" customHeight="1">
      <c r="A669" t="inlineStr">
        <is>
          <t>A 14942-2021</t>
        </is>
      </c>
      <c r="B669" s="1" t="n">
        <v>44281</v>
      </c>
      <c r="C669" s="1" t="n">
        <v>45828</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15279-2021</t>
        </is>
      </c>
      <c r="B670" s="1" t="n">
        <v>44284</v>
      </c>
      <c r="C670" s="1" t="n">
        <v>45828</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16191-2021</t>
        </is>
      </c>
      <c r="B671" s="1" t="n">
        <v>44285</v>
      </c>
      <c r="C671" s="1" t="n">
        <v>45828</v>
      </c>
      <c r="D671" t="inlineStr">
        <is>
          <t>VÄRMLANDS LÄN</t>
        </is>
      </c>
      <c r="E671" t="inlineStr">
        <is>
          <t>TORSBY</t>
        </is>
      </c>
      <c r="G671" t="n">
        <v>3.7</v>
      </c>
      <c r="H671" t="n">
        <v>0</v>
      </c>
      <c r="I671" t="n">
        <v>0</v>
      </c>
      <c r="J671" t="n">
        <v>0</v>
      </c>
      <c r="K671" t="n">
        <v>0</v>
      </c>
      <c r="L671" t="n">
        <v>0</v>
      </c>
      <c r="M671" t="n">
        <v>0</v>
      </c>
      <c r="N671" t="n">
        <v>0</v>
      </c>
      <c r="O671" t="n">
        <v>0</v>
      </c>
      <c r="P671" t="n">
        <v>0</v>
      </c>
      <c r="Q671" t="n">
        <v>0</v>
      </c>
      <c r="R671" s="2" t="inlineStr"/>
    </row>
    <row r="672" ht="15" customHeight="1">
      <c r="A672" t="inlineStr">
        <is>
          <t>A 15854-2021</t>
        </is>
      </c>
      <c r="B672" s="1" t="n">
        <v>44286</v>
      </c>
      <c r="C672" s="1" t="n">
        <v>45828</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15853-2021</t>
        </is>
      </c>
      <c r="B673" s="1" t="n">
        <v>44286</v>
      </c>
      <c r="C673" s="1" t="n">
        <v>45828</v>
      </c>
      <c r="D673" t="inlineStr">
        <is>
          <t>VÄRMLANDS LÄN</t>
        </is>
      </c>
      <c r="E673" t="inlineStr">
        <is>
          <t>TORSBY</t>
        </is>
      </c>
      <c r="G673" t="n">
        <v>0.6</v>
      </c>
      <c r="H673" t="n">
        <v>0</v>
      </c>
      <c r="I673" t="n">
        <v>0</v>
      </c>
      <c r="J673" t="n">
        <v>0</v>
      </c>
      <c r="K673" t="n">
        <v>0</v>
      </c>
      <c r="L673" t="n">
        <v>0</v>
      </c>
      <c r="M673" t="n">
        <v>0</v>
      </c>
      <c r="N673" t="n">
        <v>0</v>
      </c>
      <c r="O673" t="n">
        <v>0</v>
      </c>
      <c r="P673" t="n">
        <v>0</v>
      </c>
      <c r="Q673" t="n">
        <v>0</v>
      </c>
      <c r="R673" s="2" t="inlineStr"/>
    </row>
    <row r="674" ht="15" customHeight="1">
      <c r="A674" t="inlineStr">
        <is>
          <t>A 15945-2021</t>
        </is>
      </c>
      <c r="B674" s="1" t="n">
        <v>44287</v>
      </c>
      <c r="C674" s="1" t="n">
        <v>45828</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15939-2021</t>
        </is>
      </c>
      <c r="B675" s="1" t="n">
        <v>44287</v>
      </c>
      <c r="C675" s="1" t="n">
        <v>45828</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16303-2021</t>
        </is>
      </c>
      <c r="B676" s="1" t="n">
        <v>44292</v>
      </c>
      <c r="C676" s="1" t="n">
        <v>45828</v>
      </c>
      <c r="D676" t="inlineStr">
        <is>
          <t>VÄRMLANDS LÄN</t>
        </is>
      </c>
      <c r="E676" t="inlineStr">
        <is>
          <t>TORSBY</t>
        </is>
      </c>
      <c r="G676" t="n">
        <v>3.5</v>
      </c>
      <c r="H676" t="n">
        <v>0</v>
      </c>
      <c r="I676" t="n">
        <v>0</v>
      </c>
      <c r="J676" t="n">
        <v>0</v>
      </c>
      <c r="K676" t="n">
        <v>0</v>
      </c>
      <c r="L676" t="n">
        <v>0</v>
      </c>
      <c r="M676" t="n">
        <v>0</v>
      </c>
      <c r="N676" t="n">
        <v>0</v>
      </c>
      <c r="O676" t="n">
        <v>0</v>
      </c>
      <c r="P676" t="n">
        <v>0</v>
      </c>
      <c r="Q676" t="n">
        <v>0</v>
      </c>
      <c r="R676" s="2" t="inlineStr"/>
    </row>
    <row r="677" ht="15" customHeight="1">
      <c r="A677" t="inlineStr">
        <is>
          <t>A 16299-2021</t>
        </is>
      </c>
      <c r="B677" s="1" t="n">
        <v>44292</v>
      </c>
      <c r="C677" s="1" t="n">
        <v>45828</v>
      </c>
      <c r="D677" t="inlineStr">
        <is>
          <t>VÄRMLANDS LÄN</t>
        </is>
      </c>
      <c r="E677" t="inlineStr">
        <is>
          <t>TORSBY</t>
        </is>
      </c>
      <c r="G677" t="n">
        <v>3.4</v>
      </c>
      <c r="H677" t="n">
        <v>0</v>
      </c>
      <c r="I677" t="n">
        <v>0</v>
      </c>
      <c r="J677" t="n">
        <v>0</v>
      </c>
      <c r="K677" t="n">
        <v>0</v>
      </c>
      <c r="L677" t="n">
        <v>0</v>
      </c>
      <c r="M677" t="n">
        <v>0</v>
      </c>
      <c r="N677" t="n">
        <v>0</v>
      </c>
      <c r="O677" t="n">
        <v>0</v>
      </c>
      <c r="P677" t="n">
        <v>0</v>
      </c>
      <c r="Q677" t="n">
        <v>0</v>
      </c>
      <c r="R677" s="2" t="inlineStr"/>
    </row>
    <row r="678" ht="15" customHeight="1">
      <c r="A678" t="inlineStr">
        <is>
          <t>A 16375-2021</t>
        </is>
      </c>
      <c r="B678" s="1" t="n">
        <v>44292</v>
      </c>
      <c r="C678" s="1" t="n">
        <v>45828</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17249-2021</t>
        </is>
      </c>
      <c r="B679" s="1" t="n">
        <v>44298</v>
      </c>
      <c r="C679" s="1" t="n">
        <v>45828</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17941-2021</t>
        </is>
      </c>
      <c r="B680" s="1" t="n">
        <v>44301</v>
      </c>
      <c r="C680" s="1" t="n">
        <v>45828</v>
      </c>
      <c r="D680" t="inlineStr">
        <is>
          <t>VÄRMLANDS LÄN</t>
        </is>
      </c>
      <c r="E680" t="inlineStr">
        <is>
          <t>TORSBY</t>
        </is>
      </c>
      <c r="F680" t="inlineStr">
        <is>
          <t>Kommuner</t>
        </is>
      </c>
      <c r="G680" t="n">
        <v>8</v>
      </c>
      <c r="H680" t="n">
        <v>0</v>
      </c>
      <c r="I680" t="n">
        <v>0</v>
      </c>
      <c r="J680" t="n">
        <v>0</v>
      </c>
      <c r="K680" t="n">
        <v>0</v>
      </c>
      <c r="L680" t="n">
        <v>0</v>
      </c>
      <c r="M680" t="n">
        <v>0</v>
      </c>
      <c r="N680" t="n">
        <v>0</v>
      </c>
      <c r="O680" t="n">
        <v>0</v>
      </c>
      <c r="P680" t="n">
        <v>0</v>
      </c>
      <c r="Q680" t="n">
        <v>0</v>
      </c>
      <c r="R680" s="2" t="inlineStr"/>
    </row>
    <row r="681" ht="15" customHeight="1">
      <c r="A681" t="inlineStr">
        <is>
          <t>A 17962-2021</t>
        </is>
      </c>
      <c r="B681" s="1" t="n">
        <v>44301</v>
      </c>
      <c r="C681" s="1" t="n">
        <v>45828</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17944-2021</t>
        </is>
      </c>
      <c r="B682" s="1" t="n">
        <v>44301</v>
      </c>
      <c r="C682" s="1" t="n">
        <v>45828</v>
      </c>
      <c r="D682" t="inlineStr">
        <is>
          <t>VÄRMLANDS LÄN</t>
        </is>
      </c>
      <c r="E682" t="inlineStr">
        <is>
          <t>TORSBY</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23524-2021</t>
        </is>
      </c>
      <c r="B683" s="1" t="n">
        <v>44301</v>
      </c>
      <c r="C683" s="1" t="n">
        <v>45828</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18174-2021</t>
        </is>
      </c>
      <c r="B684" s="1" t="n">
        <v>44302</v>
      </c>
      <c r="C684" s="1" t="n">
        <v>45828</v>
      </c>
      <c r="D684" t="inlineStr">
        <is>
          <t>VÄRMLANDS LÄN</t>
        </is>
      </c>
      <c r="E684" t="inlineStr">
        <is>
          <t>TORSBY</t>
        </is>
      </c>
      <c r="G684" t="n">
        <v>4.5</v>
      </c>
      <c r="H684" t="n">
        <v>0</v>
      </c>
      <c r="I684" t="n">
        <v>0</v>
      </c>
      <c r="J684" t="n">
        <v>0</v>
      </c>
      <c r="K684" t="n">
        <v>0</v>
      </c>
      <c r="L684" t="n">
        <v>0</v>
      </c>
      <c r="M684" t="n">
        <v>0</v>
      </c>
      <c r="N684" t="n">
        <v>0</v>
      </c>
      <c r="O684" t="n">
        <v>0</v>
      </c>
      <c r="P684" t="n">
        <v>0</v>
      </c>
      <c r="Q684" t="n">
        <v>0</v>
      </c>
      <c r="R684" s="2" t="inlineStr"/>
    </row>
    <row r="685" ht="15" customHeight="1">
      <c r="A685" t="inlineStr">
        <is>
          <t>A 18033-2021</t>
        </is>
      </c>
      <c r="B685" s="1" t="n">
        <v>44302</v>
      </c>
      <c r="C685" s="1" t="n">
        <v>45828</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18354-2021</t>
        </is>
      </c>
      <c r="B686" s="1" t="n">
        <v>44305</v>
      </c>
      <c r="C686" s="1" t="n">
        <v>45828</v>
      </c>
      <c r="D686" t="inlineStr">
        <is>
          <t>VÄRMLANDS LÄN</t>
        </is>
      </c>
      <c r="E686" t="inlineStr">
        <is>
          <t>TORSBY</t>
        </is>
      </c>
      <c r="F686" t="inlineStr">
        <is>
          <t>Kommuner</t>
        </is>
      </c>
      <c r="G686" t="n">
        <v>2.4</v>
      </c>
      <c r="H686" t="n">
        <v>0</v>
      </c>
      <c r="I686" t="n">
        <v>0</v>
      </c>
      <c r="J686" t="n">
        <v>0</v>
      </c>
      <c r="K686" t="n">
        <v>0</v>
      </c>
      <c r="L686" t="n">
        <v>0</v>
      </c>
      <c r="M686" t="n">
        <v>0</v>
      </c>
      <c r="N686" t="n">
        <v>0</v>
      </c>
      <c r="O686" t="n">
        <v>0</v>
      </c>
      <c r="P686" t="n">
        <v>0</v>
      </c>
      <c r="Q686" t="n">
        <v>0</v>
      </c>
      <c r="R686" s="2" t="inlineStr"/>
    </row>
    <row r="687" ht="15" customHeight="1">
      <c r="A687" t="inlineStr">
        <is>
          <t>A 18344-2021</t>
        </is>
      </c>
      <c r="B687" s="1" t="n">
        <v>44305</v>
      </c>
      <c r="C687" s="1" t="n">
        <v>45828</v>
      </c>
      <c r="D687" t="inlineStr">
        <is>
          <t>VÄRMLANDS LÄN</t>
        </is>
      </c>
      <c r="E687" t="inlineStr">
        <is>
          <t>TORSBY</t>
        </is>
      </c>
      <c r="F687" t="inlineStr">
        <is>
          <t>Kommuner</t>
        </is>
      </c>
      <c r="G687" t="n">
        <v>4.3</v>
      </c>
      <c r="H687" t="n">
        <v>0</v>
      </c>
      <c r="I687" t="n">
        <v>0</v>
      </c>
      <c r="J687" t="n">
        <v>0</v>
      </c>
      <c r="K687" t="n">
        <v>0</v>
      </c>
      <c r="L687" t="n">
        <v>0</v>
      </c>
      <c r="M687" t="n">
        <v>0</v>
      </c>
      <c r="N687" t="n">
        <v>0</v>
      </c>
      <c r="O687" t="n">
        <v>0</v>
      </c>
      <c r="P687" t="n">
        <v>0</v>
      </c>
      <c r="Q687" t="n">
        <v>0</v>
      </c>
      <c r="R687" s="2" t="inlineStr"/>
    </row>
    <row r="688" ht="15" customHeight="1">
      <c r="A688" t="inlineStr">
        <is>
          <t>A 18349-2021</t>
        </is>
      </c>
      <c r="B688" s="1" t="n">
        <v>44305</v>
      </c>
      <c r="C688" s="1" t="n">
        <v>45828</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18560-2021</t>
        </is>
      </c>
      <c r="B689" s="1" t="n">
        <v>44306</v>
      </c>
      <c r="C689" s="1" t="n">
        <v>45828</v>
      </c>
      <c r="D689" t="inlineStr">
        <is>
          <t>VÄRMLANDS LÄN</t>
        </is>
      </c>
      <c r="E689" t="inlineStr">
        <is>
          <t>TORSBY</t>
        </is>
      </c>
      <c r="F689" t="inlineStr">
        <is>
          <t>Kommuner</t>
        </is>
      </c>
      <c r="G689" t="n">
        <v>1</v>
      </c>
      <c r="H689" t="n">
        <v>0</v>
      </c>
      <c r="I689" t="n">
        <v>0</v>
      </c>
      <c r="J689" t="n">
        <v>0</v>
      </c>
      <c r="K689" t="n">
        <v>0</v>
      </c>
      <c r="L689" t="n">
        <v>0</v>
      </c>
      <c r="M689" t="n">
        <v>0</v>
      </c>
      <c r="N689" t="n">
        <v>0</v>
      </c>
      <c r="O689" t="n">
        <v>0</v>
      </c>
      <c r="P689" t="n">
        <v>0</v>
      </c>
      <c r="Q689" t="n">
        <v>0</v>
      </c>
      <c r="R689" s="2" t="inlineStr"/>
    </row>
    <row r="690" ht="15" customHeight="1">
      <c r="A690" t="inlineStr">
        <is>
          <t>A 19031-2021</t>
        </is>
      </c>
      <c r="B690" s="1" t="n">
        <v>44308</v>
      </c>
      <c r="C690" s="1" t="n">
        <v>45828</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19338-2021</t>
        </is>
      </c>
      <c r="B691" s="1" t="n">
        <v>44309</v>
      </c>
      <c r="C691" s="1" t="n">
        <v>45828</v>
      </c>
      <c r="D691" t="inlineStr">
        <is>
          <t>VÄRMLANDS LÄN</t>
        </is>
      </c>
      <c r="E691" t="inlineStr">
        <is>
          <t>TORSBY</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19375-2021</t>
        </is>
      </c>
      <c r="B692" s="1" t="n">
        <v>44309</v>
      </c>
      <c r="C692" s="1" t="n">
        <v>45828</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20182-2021</t>
        </is>
      </c>
      <c r="B693" s="1" t="n">
        <v>44312</v>
      </c>
      <c r="C693" s="1" t="n">
        <v>45828</v>
      </c>
      <c r="D693" t="inlineStr">
        <is>
          <t>VÄRMLANDS LÄN</t>
        </is>
      </c>
      <c r="E693" t="inlineStr">
        <is>
          <t>TORSBY</t>
        </is>
      </c>
      <c r="G693" t="n">
        <v>14.4</v>
      </c>
      <c r="H693" t="n">
        <v>0</v>
      </c>
      <c r="I693" t="n">
        <v>0</v>
      </c>
      <c r="J693" t="n">
        <v>0</v>
      </c>
      <c r="K693" t="n">
        <v>0</v>
      </c>
      <c r="L693" t="n">
        <v>0</v>
      </c>
      <c r="M693" t="n">
        <v>0</v>
      </c>
      <c r="N693" t="n">
        <v>0</v>
      </c>
      <c r="O693" t="n">
        <v>0</v>
      </c>
      <c r="P693" t="n">
        <v>0</v>
      </c>
      <c r="Q693" t="n">
        <v>0</v>
      </c>
      <c r="R693" s="2" t="inlineStr"/>
    </row>
    <row r="694" ht="15" customHeight="1">
      <c r="A694" t="inlineStr">
        <is>
          <t>A 20199-2021</t>
        </is>
      </c>
      <c r="B694" s="1" t="n">
        <v>44312</v>
      </c>
      <c r="C694" s="1" t="n">
        <v>45828</v>
      </c>
      <c r="D694" t="inlineStr">
        <is>
          <t>VÄRMLANDS LÄN</t>
        </is>
      </c>
      <c r="E694" t="inlineStr">
        <is>
          <t>TORSBY</t>
        </is>
      </c>
      <c r="G694" t="n">
        <v>11.4</v>
      </c>
      <c r="H694" t="n">
        <v>0</v>
      </c>
      <c r="I694" t="n">
        <v>0</v>
      </c>
      <c r="J694" t="n">
        <v>0</v>
      </c>
      <c r="K694" t="n">
        <v>0</v>
      </c>
      <c r="L694" t="n">
        <v>0</v>
      </c>
      <c r="M694" t="n">
        <v>0</v>
      </c>
      <c r="N694" t="n">
        <v>0</v>
      </c>
      <c r="O694" t="n">
        <v>0</v>
      </c>
      <c r="P694" t="n">
        <v>0</v>
      </c>
      <c r="Q694" t="n">
        <v>0</v>
      </c>
      <c r="R694" s="2" t="inlineStr"/>
    </row>
    <row r="695" ht="15" customHeight="1">
      <c r="A695" t="inlineStr">
        <is>
          <t>A 20170-2021</t>
        </is>
      </c>
      <c r="B695" s="1" t="n">
        <v>44312</v>
      </c>
      <c r="C695" s="1" t="n">
        <v>45828</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19877-2021</t>
        </is>
      </c>
      <c r="B696" s="1" t="n">
        <v>44313</v>
      </c>
      <c r="C696" s="1" t="n">
        <v>45828</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19974-2021</t>
        </is>
      </c>
      <c r="B697" s="1" t="n">
        <v>44313</v>
      </c>
      <c r="C697" s="1" t="n">
        <v>45828</v>
      </c>
      <c r="D697" t="inlineStr">
        <is>
          <t>VÄRMLANDS LÄN</t>
        </is>
      </c>
      <c r="E697" t="inlineStr">
        <is>
          <t>TORSBY</t>
        </is>
      </c>
      <c r="G697" t="n">
        <v>0.4</v>
      </c>
      <c r="H697" t="n">
        <v>0</v>
      </c>
      <c r="I697" t="n">
        <v>0</v>
      </c>
      <c r="J697" t="n">
        <v>0</v>
      </c>
      <c r="K697" t="n">
        <v>0</v>
      </c>
      <c r="L697" t="n">
        <v>0</v>
      </c>
      <c r="M697" t="n">
        <v>0</v>
      </c>
      <c r="N697" t="n">
        <v>0</v>
      </c>
      <c r="O697" t="n">
        <v>0</v>
      </c>
      <c r="P697" t="n">
        <v>0</v>
      </c>
      <c r="Q697" t="n">
        <v>0</v>
      </c>
      <c r="R697" s="2" t="inlineStr"/>
    </row>
    <row r="698" ht="15" customHeight="1">
      <c r="A698" t="inlineStr">
        <is>
          <t>A 20122-2021</t>
        </is>
      </c>
      <c r="B698" s="1" t="n">
        <v>44314</v>
      </c>
      <c r="C698" s="1" t="n">
        <v>45828</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21031-2021</t>
        </is>
      </c>
      <c r="B699" s="1" t="n">
        <v>44319</v>
      </c>
      <c r="C699" s="1" t="n">
        <v>45828</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21206-2021</t>
        </is>
      </c>
      <c r="B700" s="1" t="n">
        <v>44320</v>
      </c>
      <c r="C700" s="1" t="n">
        <v>45828</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22038-2021</t>
        </is>
      </c>
      <c r="B701" s="1" t="n">
        <v>44323</v>
      </c>
      <c r="C701" s="1" t="n">
        <v>45828</v>
      </c>
      <c r="D701" t="inlineStr">
        <is>
          <t>VÄRMLANDS LÄN</t>
        </is>
      </c>
      <c r="E701" t="inlineStr">
        <is>
          <t>TORSBY</t>
        </is>
      </c>
      <c r="G701" t="n">
        <v>4</v>
      </c>
      <c r="H701" t="n">
        <v>0</v>
      </c>
      <c r="I701" t="n">
        <v>0</v>
      </c>
      <c r="J701" t="n">
        <v>0</v>
      </c>
      <c r="K701" t="n">
        <v>0</v>
      </c>
      <c r="L701" t="n">
        <v>0</v>
      </c>
      <c r="M701" t="n">
        <v>0</v>
      </c>
      <c r="N701" t="n">
        <v>0</v>
      </c>
      <c r="O701" t="n">
        <v>0</v>
      </c>
      <c r="P701" t="n">
        <v>0</v>
      </c>
      <c r="Q701" t="n">
        <v>0</v>
      </c>
      <c r="R701" s="2" t="inlineStr"/>
    </row>
    <row r="702" ht="15" customHeight="1">
      <c r="A702" t="inlineStr">
        <is>
          <t>A 22113-2021</t>
        </is>
      </c>
      <c r="B702" s="1" t="n">
        <v>44323</v>
      </c>
      <c r="C702" s="1" t="n">
        <v>45828</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22464-2021</t>
        </is>
      </c>
      <c r="B703" s="1" t="n">
        <v>44326</v>
      </c>
      <c r="C703" s="1" t="n">
        <v>45828</v>
      </c>
      <c r="D703" t="inlineStr">
        <is>
          <t>VÄRMLANDS LÄN</t>
        </is>
      </c>
      <c r="E703" t="inlineStr">
        <is>
          <t>TORSBY</t>
        </is>
      </c>
      <c r="G703" t="n">
        <v>6</v>
      </c>
      <c r="H703" t="n">
        <v>0</v>
      </c>
      <c r="I703" t="n">
        <v>0</v>
      </c>
      <c r="J703" t="n">
        <v>0</v>
      </c>
      <c r="K703" t="n">
        <v>0</v>
      </c>
      <c r="L703" t="n">
        <v>0</v>
      </c>
      <c r="M703" t="n">
        <v>0</v>
      </c>
      <c r="N703" t="n">
        <v>0</v>
      </c>
      <c r="O703" t="n">
        <v>0</v>
      </c>
      <c r="P703" t="n">
        <v>0</v>
      </c>
      <c r="Q703" t="n">
        <v>0</v>
      </c>
      <c r="R703" s="2" t="inlineStr"/>
    </row>
    <row r="704" ht="15" customHeight="1">
      <c r="A704" t="inlineStr">
        <is>
          <t>A 22463-2021</t>
        </is>
      </c>
      <c r="B704" s="1" t="n">
        <v>44326</v>
      </c>
      <c r="C704" s="1" t="n">
        <v>45828</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22671-2021</t>
        </is>
      </c>
      <c r="B705" s="1" t="n">
        <v>44327</v>
      </c>
      <c r="C705" s="1" t="n">
        <v>45828</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22638-2021</t>
        </is>
      </c>
      <c r="B706" s="1" t="n">
        <v>44327</v>
      </c>
      <c r="C706" s="1" t="n">
        <v>45828</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23191-2021</t>
        </is>
      </c>
      <c r="B707" s="1" t="n">
        <v>44328</v>
      </c>
      <c r="C707" s="1" t="n">
        <v>45828</v>
      </c>
      <c r="D707" t="inlineStr">
        <is>
          <t>VÄRMLANDS LÄN</t>
        </is>
      </c>
      <c r="E707" t="inlineStr">
        <is>
          <t>TORSBY</t>
        </is>
      </c>
      <c r="G707" t="n">
        <v>2</v>
      </c>
      <c r="H707" t="n">
        <v>0</v>
      </c>
      <c r="I707" t="n">
        <v>0</v>
      </c>
      <c r="J707" t="n">
        <v>0</v>
      </c>
      <c r="K707" t="n">
        <v>0</v>
      </c>
      <c r="L707" t="n">
        <v>0</v>
      </c>
      <c r="M707" t="n">
        <v>0</v>
      </c>
      <c r="N707" t="n">
        <v>0</v>
      </c>
      <c r="O707" t="n">
        <v>0</v>
      </c>
      <c r="P707" t="n">
        <v>0</v>
      </c>
      <c r="Q707" t="n">
        <v>0</v>
      </c>
      <c r="R707" s="2" t="inlineStr"/>
    </row>
    <row r="708" ht="15" customHeight="1">
      <c r="A708" t="inlineStr">
        <is>
          <t>A 23194-2021</t>
        </is>
      </c>
      <c r="B708" s="1" t="n">
        <v>44328</v>
      </c>
      <c r="C708" s="1" t="n">
        <v>45828</v>
      </c>
      <c r="D708" t="inlineStr">
        <is>
          <t>VÄRMLANDS LÄN</t>
        </is>
      </c>
      <c r="E708" t="inlineStr">
        <is>
          <t>TORSBY</t>
        </is>
      </c>
      <c r="G708" t="n">
        <v>4.3</v>
      </c>
      <c r="H708" t="n">
        <v>0</v>
      </c>
      <c r="I708" t="n">
        <v>0</v>
      </c>
      <c r="J708" t="n">
        <v>0</v>
      </c>
      <c r="K708" t="n">
        <v>0</v>
      </c>
      <c r="L708" t="n">
        <v>0</v>
      </c>
      <c r="M708" t="n">
        <v>0</v>
      </c>
      <c r="N708" t="n">
        <v>0</v>
      </c>
      <c r="O708" t="n">
        <v>0</v>
      </c>
      <c r="P708" t="n">
        <v>0</v>
      </c>
      <c r="Q708" t="n">
        <v>0</v>
      </c>
      <c r="R708" s="2" t="inlineStr"/>
    </row>
    <row r="709" ht="15" customHeight="1">
      <c r="A709" t="inlineStr">
        <is>
          <t>A 23435-2021</t>
        </is>
      </c>
      <c r="B709" s="1" t="n">
        <v>44333</v>
      </c>
      <c r="C709" s="1" t="n">
        <v>45828</v>
      </c>
      <c r="D709" t="inlineStr">
        <is>
          <t>VÄRMLANDS LÄN</t>
        </is>
      </c>
      <c r="E709" t="inlineStr">
        <is>
          <t>TORSBY</t>
        </is>
      </c>
      <c r="G709" t="n">
        <v>4.9</v>
      </c>
      <c r="H709" t="n">
        <v>0</v>
      </c>
      <c r="I709" t="n">
        <v>0</v>
      </c>
      <c r="J709" t="n">
        <v>0</v>
      </c>
      <c r="K709" t="n">
        <v>0</v>
      </c>
      <c r="L709" t="n">
        <v>0</v>
      </c>
      <c r="M709" t="n">
        <v>0</v>
      </c>
      <c r="N709" t="n">
        <v>0</v>
      </c>
      <c r="O709" t="n">
        <v>0</v>
      </c>
      <c r="P709" t="n">
        <v>0</v>
      </c>
      <c r="Q709" t="n">
        <v>0</v>
      </c>
      <c r="R709" s="2" t="inlineStr"/>
    </row>
    <row r="710" ht="15" customHeight="1">
      <c r="A710" t="inlineStr">
        <is>
          <t>A 23548-2021</t>
        </is>
      </c>
      <c r="B710" s="1" t="n">
        <v>44333</v>
      </c>
      <c r="C710" s="1" t="n">
        <v>45828</v>
      </c>
      <c r="D710" t="inlineStr">
        <is>
          <t>VÄRMLANDS LÄN</t>
        </is>
      </c>
      <c r="E710" t="inlineStr">
        <is>
          <t>TORSBY</t>
        </is>
      </c>
      <c r="G710" t="n">
        <v>0.7</v>
      </c>
      <c r="H710" t="n">
        <v>0</v>
      </c>
      <c r="I710" t="n">
        <v>0</v>
      </c>
      <c r="J710" t="n">
        <v>0</v>
      </c>
      <c r="K710" t="n">
        <v>0</v>
      </c>
      <c r="L710" t="n">
        <v>0</v>
      </c>
      <c r="M710" t="n">
        <v>0</v>
      </c>
      <c r="N710" t="n">
        <v>0</v>
      </c>
      <c r="O710" t="n">
        <v>0</v>
      </c>
      <c r="P710" t="n">
        <v>0</v>
      </c>
      <c r="Q710" t="n">
        <v>0</v>
      </c>
      <c r="R710" s="2" t="inlineStr"/>
    </row>
    <row r="711" ht="15" customHeight="1">
      <c r="A711" t="inlineStr">
        <is>
          <t>A 23842-2021</t>
        </is>
      </c>
      <c r="B711" s="1" t="n">
        <v>44335</v>
      </c>
      <c r="C711" s="1" t="n">
        <v>45828</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23823-2021</t>
        </is>
      </c>
      <c r="B712" s="1" t="n">
        <v>44335</v>
      </c>
      <c r="C712" s="1" t="n">
        <v>45828</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24054-2021</t>
        </is>
      </c>
      <c r="B713" s="1" t="n">
        <v>44336</v>
      </c>
      <c r="C713" s="1" t="n">
        <v>45828</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24150-2021</t>
        </is>
      </c>
      <c r="B714" s="1" t="n">
        <v>44336</v>
      </c>
      <c r="C714" s="1" t="n">
        <v>45828</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24165-2021</t>
        </is>
      </c>
      <c r="B715" s="1" t="n">
        <v>44336</v>
      </c>
      <c r="C715" s="1" t="n">
        <v>45828</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25096-2021</t>
        </is>
      </c>
      <c r="B716" s="1" t="n">
        <v>44341</v>
      </c>
      <c r="C716" s="1" t="n">
        <v>45828</v>
      </c>
      <c r="D716" t="inlineStr">
        <is>
          <t>VÄRMLANDS LÄN</t>
        </is>
      </c>
      <c r="E716" t="inlineStr">
        <is>
          <t>TORSBY</t>
        </is>
      </c>
      <c r="F716" t="inlineStr">
        <is>
          <t>Bergvik skog väst AB</t>
        </is>
      </c>
      <c r="G716" t="n">
        <v>14.7</v>
      </c>
      <c r="H716" t="n">
        <v>0</v>
      </c>
      <c r="I716" t="n">
        <v>0</v>
      </c>
      <c r="J716" t="n">
        <v>0</v>
      </c>
      <c r="K716" t="n">
        <v>0</v>
      </c>
      <c r="L716" t="n">
        <v>0</v>
      </c>
      <c r="M716" t="n">
        <v>0</v>
      </c>
      <c r="N716" t="n">
        <v>0</v>
      </c>
      <c r="O716" t="n">
        <v>0</v>
      </c>
      <c r="P716" t="n">
        <v>0</v>
      </c>
      <c r="Q716" t="n">
        <v>0</v>
      </c>
      <c r="R716" s="2" t="inlineStr"/>
    </row>
    <row r="717" ht="15" customHeight="1">
      <c r="A717" t="inlineStr">
        <is>
          <t>A 25247-2021</t>
        </is>
      </c>
      <c r="B717" s="1" t="n">
        <v>44342</v>
      </c>
      <c r="C717" s="1" t="n">
        <v>45828</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25920-2021</t>
        </is>
      </c>
      <c r="B718" s="1" t="n">
        <v>44344</v>
      </c>
      <c r="C718" s="1" t="n">
        <v>45828</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26082-2021</t>
        </is>
      </c>
      <c r="B719" s="1" t="n">
        <v>44344</v>
      </c>
      <c r="C719" s="1" t="n">
        <v>45828</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26223-2021</t>
        </is>
      </c>
      <c r="B720" s="1" t="n">
        <v>44347</v>
      </c>
      <c r="C720" s="1" t="n">
        <v>45828</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26558-2021</t>
        </is>
      </c>
      <c r="B721" s="1" t="n">
        <v>44348</v>
      </c>
      <c r="C721" s="1" t="n">
        <v>45828</v>
      </c>
      <c r="D721" t="inlineStr">
        <is>
          <t>VÄRMLANDS LÄN</t>
        </is>
      </c>
      <c r="E721" t="inlineStr">
        <is>
          <t>TORSBY</t>
        </is>
      </c>
      <c r="G721" t="n">
        <v>19.7</v>
      </c>
      <c r="H721" t="n">
        <v>0</v>
      </c>
      <c r="I721" t="n">
        <v>0</v>
      </c>
      <c r="J721" t="n">
        <v>0</v>
      </c>
      <c r="K721" t="n">
        <v>0</v>
      </c>
      <c r="L721" t="n">
        <v>0</v>
      </c>
      <c r="M721" t="n">
        <v>0</v>
      </c>
      <c r="N721" t="n">
        <v>0</v>
      </c>
      <c r="O721" t="n">
        <v>0</v>
      </c>
      <c r="P721" t="n">
        <v>0</v>
      </c>
      <c r="Q721" t="n">
        <v>0</v>
      </c>
      <c r="R721" s="2" t="inlineStr"/>
    </row>
    <row r="722" ht="15" customHeight="1">
      <c r="A722" t="inlineStr">
        <is>
          <t>A 27446-2021</t>
        </is>
      </c>
      <c r="B722" s="1" t="n">
        <v>44351</v>
      </c>
      <c r="C722" s="1" t="n">
        <v>45828</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27411-2021</t>
        </is>
      </c>
      <c r="B723" s="1" t="n">
        <v>44351</v>
      </c>
      <c r="C723" s="1" t="n">
        <v>45828</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27362-2021</t>
        </is>
      </c>
      <c r="B724" s="1" t="n">
        <v>44351</v>
      </c>
      <c r="C724" s="1" t="n">
        <v>45828</v>
      </c>
      <c r="D724" t="inlineStr">
        <is>
          <t>VÄRMLANDS LÄN</t>
        </is>
      </c>
      <c r="E724" t="inlineStr">
        <is>
          <t>TORSBY</t>
        </is>
      </c>
      <c r="G724" t="n">
        <v>2.9</v>
      </c>
      <c r="H724" t="n">
        <v>0</v>
      </c>
      <c r="I724" t="n">
        <v>0</v>
      </c>
      <c r="J724" t="n">
        <v>0</v>
      </c>
      <c r="K724" t="n">
        <v>0</v>
      </c>
      <c r="L724" t="n">
        <v>0</v>
      </c>
      <c r="M724" t="n">
        <v>0</v>
      </c>
      <c r="N724" t="n">
        <v>0</v>
      </c>
      <c r="O724" t="n">
        <v>0</v>
      </c>
      <c r="P724" t="n">
        <v>0</v>
      </c>
      <c r="Q724" t="n">
        <v>0</v>
      </c>
      <c r="R724" s="2" t="inlineStr"/>
    </row>
    <row r="725" ht="15" customHeight="1">
      <c r="A725" t="inlineStr">
        <is>
          <t>A 27932-2021</t>
        </is>
      </c>
      <c r="B725" s="1" t="n">
        <v>44354</v>
      </c>
      <c r="C725" s="1" t="n">
        <v>45828</v>
      </c>
      <c r="D725" t="inlineStr">
        <is>
          <t>VÄRMLANDS LÄN</t>
        </is>
      </c>
      <c r="E725" t="inlineStr">
        <is>
          <t>TORSBY</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28559-2021</t>
        </is>
      </c>
      <c r="B726" s="1" t="n">
        <v>44356</v>
      </c>
      <c r="C726" s="1" t="n">
        <v>45828</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28562-2021</t>
        </is>
      </c>
      <c r="B727" s="1" t="n">
        <v>44356</v>
      </c>
      <c r="C727" s="1" t="n">
        <v>45828</v>
      </c>
      <c r="D727" t="inlineStr">
        <is>
          <t>VÄRMLANDS LÄN</t>
        </is>
      </c>
      <c r="E727" t="inlineStr">
        <is>
          <t>TORSBY</t>
        </is>
      </c>
      <c r="G727" t="n">
        <v>4.4</v>
      </c>
      <c r="H727" t="n">
        <v>0</v>
      </c>
      <c r="I727" t="n">
        <v>0</v>
      </c>
      <c r="J727" t="n">
        <v>0</v>
      </c>
      <c r="K727" t="n">
        <v>0</v>
      </c>
      <c r="L727" t="n">
        <v>0</v>
      </c>
      <c r="M727" t="n">
        <v>0</v>
      </c>
      <c r="N727" t="n">
        <v>0</v>
      </c>
      <c r="O727" t="n">
        <v>0</v>
      </c>
      <c r="P727" t="n">
        <v>0</v>
      </c>
      <c r="Q727" t="n">
        <v>0</v>
      </c>
      <c r="R727" s="2" t="inlineStr"/>
    </row>
    <row r="728" ht="15" customHeight="1">
      <c r="A728" t="inlineStr">
        <is>
          <t>A 28940-2021</t>
        </is>
      </c>
      <c r="B728" s="1" t="n">
        <v>44358</v>
      </c>
      <c r="C728" s="1" t="n">
        <v>45828</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29495-2021</t>
        </is>
      </c>
      <c r="B729" s="1" t="n">
        <v>44361</v>
      </c>
      <c r="C729" s="1" t="n">
        <v>45828</v>
      </c>
      <c r="D729" t="inlineStr">
        <is>
          <t>VÄRMLANDS LÄN</t>
        </is>
      </c>
      <c r="E729" t="inlineStr">
        <is>
          <t>TORSBY</t>
        </is>
      </c>
      <c r="F729" t="inlineStr">
        <is>
          <t>Övriga Aktiebolag</t>
        </is>
      </c>
      <c r="G729" t="n">
        <v>38.2</v>
      </c>
      <c r="H729" t="n">
        <v>0</v>
      </c>
      <c r="I729" t="n">
        <v>0</v>
      </c>
      <c r="J729" t="n">
        <v>0</v>
      </c>
      <c r="K729" t="n">
        <v>0</v>
      </c>
      <c r="L729" t="n">
        <v>0</v>
      </c>
      <c r="M729" t="n">
        <v>0</v>
      </c>
      <c r="N729" t="n">
        <v>0</v>
      </c>
      <c r="O729" t="n">
        <v>0</v>
      </c>
      <c r="P729" t="n">
        <v>0</v>
      </c>
      <c r="Q729" t="n">
        <v>0</v>
      </c>
      <c r="R729" s="2" t="inlineStr"/>
    </row>
    <row r="730" ht="15" customHeight="1">
      <c r="A730" t="inlineStr">
        <is>
          <t>A 29457-2021</t>
        </is>
      </c>
      <c r="B730" s="1" t="n">
        <v>44361</v>
      </c>
      <c r="C730" s="1" t="n">
        <v>45828</v>
      </c>
      <c r="D730" t="inlineStr">
        <is>
          <t>VÄRMLANDS LÄN</t>
        </is>
      </c>
      <c r="E730" t="inlineStr">
        <is>
          <t>TORSBY</t>
        </is>
      </c>
      <c r="G730" t="n">
        <v>7.6</v>
      </c>
      <c r="H730" t="n">
        <v>0</v>
      </c>
      <c r="I730" t="n">
        <v>0</v>
      </c>
      <c r="J730" t="n">
        <v>0</v>
      </c>
      <c r="K730" t="n">
        <v>0</v>
      </c>
      <c r="L730" t="n">
        <v>0</v>
      </c>
      <c r="M730" t="n">
        <v>0</v>
      </c>
      <c r="N730" t="n">
        <v>0</v>
      </c>
      <c r="O730" t="n">
        <v>0</v>
      </c>
      <c r="P730" t="n">
        <v>0</v>
      </c>
      <c r="Q730" t="n">
        <v>0</v>
      </c>
      <c r="R730" s="2" t="inlineStr"/>
    </row>
    <row r="731" ht="15" customHeight="1">
      <c r="A731" t="inlineStr">
        <is>
          <t>A 29518-2021</t>
        </is>
      </c>
      <c r="B731" s="1" t="n">
        <v>44361</v>
      </c>
      <c r="C731" s="1" t="n">
        <v>45828</v>
      </c>
      <c r="D731" t="inlineStr">
        <is>
          <t>VÄRMLANDS LÄN</t>
        </is>
      </c>
      <c r="E731" t="inlineStr">
        <is>
          <t>TORSBY</t>
        </is>
      </c>
      <c r="F731" t="inlineStr">
        <is>
          <t>Bergvik skog väst AB</t>
        </is>
      </c>
      <c r="G731" t="n">
        <v>16.7</v>
      </c>
      <c r="H731" t="n">
        <v>0</v>
      </c>
      <c r="I731" t="n">
        <v>0</v>
      </c>
      <c r="J731" t="n">
        <v>0</v>
      </c>
      <c r="K731" t="n">
        <v>0</v>
      </c>
      <c r="L731" t="n">
        <v>0</v>
      </c>
      <c r="M731" t="n">
        <v>0</v>
      </c>
      <c r="N731" t="n">
        <v>0</v>
      </c>
      <c r="O731" t="n">
        <v>0</v>
      </c>
      <c r="P731" t="n">
        <v>0</v>
      </c>
      <c r="Q731" t="n">
        <v>0</v>
      </c>
      <c r="R731" s="2" t="inlineStr"/>
    </row>
    <row r="732" ht="15" customHeight="1">
      <c r="A732" t="inlineStr">
        <is>
          <t>A 29746-2021</t>
        </is>
      </c>
      <c r="B732" s="1" t="n">
        <v>44362</v>
      </c>
      <c r="C732" s="1" t="n">
        <v>45828</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30162-2021</t>
        </is>
      </c>
      <c r="B733" s="1" t="n">
        <v>44363</v>
      </c>
      <c r="C733" s="1" t="n">
        <v>45828</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30384-2021</t>
        </is>
      </c>
      <c r="B734" s="1" t="n">
        <v>44364</v>
      </c>
      <c r="C734" s="1" t="n">
        <v>45828</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30802-2021</t>
        </is>
      </c>
      <c r="B735" s="1" t="n">
        <v>44365</v>
      </c>
      <c r="C735" s="1" t="n">
        <v>45828</v>
      </c>
      <c r="D735" t="inlineStr">
        <is>
          <t>VÄRMLANDS LÄN</t>
        </is>
      </c>
      <c r="E735" t="inlineStr">
        <is>
          <t>TORSBY</t>
        </is>
      </c>
      <c r="G735" t="n">
        <v>0.6</v>
      </c>
      <c r="H735" t="n">
        <v>0</v>
      </c>
      <c r="I735" t="n">
        <v>0</v>
      </c>
      <c r="J735" t="n">
        <v>0</v>
      </c>
      <c r="K735" t="n">
        <v>0</v>
      </c>
      <c r="L735" t="n">
        <v>0</v>
      </c>
      <c r="M735" t="n">
        <v>0</v>
      </c>
      <c r="N735" t="n">
        <v>0</v>
      </c>
      <c r="O735" t="n">
        <v>0</v>
      </c>
      <c r="P735" t="n">
        <v>0</v>
      </c>
      <c r="Q735" t="n">
        <v>0</v>
      </c>
      <c r="R735" s="2" t="inlineStr"/>
    </row>
    <row r="736" ht="15" customHeight="1">
      <c r="A736" t="inlineStr">
        <is>
          <t>A 31494-2021</t>
        </is>
      </c>
      <c r="B736" s="1" t="n">
        <v>44369</v>
      </c>
      <c r="C736" s="1" t="n">
        <v>45828</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31493-2021</t>
        </is>
      </c>
      <c r="B737" s="1" t="n">
        <v>44369</v>
      </c>
      <c r="C737" s="1" t="n">
        <v>45828</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31511-2021</t>
        </is>
      </c>
      <c r="B738" s="1" t="n">
        <v>44369</v>
      </c>
      <c r="C738" s="1" t="n">
        <v>45828</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v>
      </c>
      <c r="C739" s="1" t="n">
        <v>45828</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31911-2021</t>
        </is>
      </c>
      <c r="B740" s="1" t="n">
        <v>44370</v>
      </c>
      <c r="C740" s="1" t="n">
        <v>45828</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32696-2021</t>
        </is>
      </c>
      <c r="B741" s="1" t="n">
        <v>44375</v>
      </c>
      <c r="C741" s="1" t="n">
        <v>45828</v>
      </c>
      <c r="D741" t="inlineStr">
        <is>
          <t>VÄRMLANDS LÄN</t>
        </is>
      </c>
      <c r="E741" t="inlineStr">
        <is>
          <t>TORSBY</t>
        </is>
      </c>
      <c r="F741" t="inlineStr">
        <is>
          <t>Bergvik skog väst AB</t>
        </is>
      </c>
      <c r="G741" t="n">
        <v>14.8</v>
      </c>
      <c r="H741" t="n">
        <v>0</v>
      </c>
      <c r="I741" t="n">
        <v>0</v>
      </c>
      <c r="J741" t="n">
        <v>0</v>
      </c>
      <c r="K741" t="n">
        <v>0</v>
      </c>
      <c r="L741" t="n">
        <v>0</v>
      </c>
      <c r="M741" t="n">
        <v>0</v>
      </c>
      <c r="N741" t="n">
        <v>0</v>
      </c>
      <c r="O741" t="n">
        <v>0</v>
      </c>
      <c r="P741" t="n">
        <v>0</v>
      </c>
      <c r="Q741" t="n">
        <v>0</v>
      </c>
      <c r="R741" s="2" t="inlineStr"/>
    </row>
    <row r="742" ht="15" customHeight="1">
      <c r="A742" t="inlineStr">
        <is>
          <t>A 32821-2021</t>
        </is>
      </c>
      <c r="B742" s="1" t="n">
        <v>44375</v>
      </c>
      <c r="C742" s="1" t="n">
        <v>45828</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32747-2021</t>
        </is>
      </c>
      <c r="B743" s="1" t="n">
        <v>44375</v>
      </c>
      <c r="C743" s="1" t="n">
        <v>45828</v>
      </c>
      <c r="D743" t="inlineStr">
        <is>
          <t>VÄRMLANDS LÄN</t>
        </is>
      </c>
      <c r="E743" t="inlineStr">
        <is>
          <t>TORSBY</t>
        </is>
      </c>
      <c r="G743" t="n">
        <v>6.3</v>
      </c>
      <c r="H743" t="n">
        <v>0</v>
      </c>
      <c r="I743" t="n">
        <v>0</v>
      </c>
      <c r="J743" t="n">
        <v>0</v>
      </c>
      <c r="K743" t="n">
        <v>0</v>
      </c>
      <c r="L743" t="n">
        <v>0</v>
      </c>
      <c r="M743" t="n">
        <v>0</v>
      </c>
      <c r="N743" t="n">
        <v>0</v>
      </c>
      <c r="O743" t="n">
        <v>0</v>
      </c>
      <c r="P743" t="n">
        <v>0</v>
      </c>
      <c r="Q743" t="n">
        <v>0</v>
      </c>
      <c r="R743" s="2" t="inlineStr"/>
    </row>
    <row r="744" ht="15" customHeight="1">
      <c r="A744" t="inlineStr">
        <is>
          <t>A 33146-2021</t>
        </is>
      </c>
      <c r="B744" s="1" t="n">
        <v>44376</v>
      </c>
      <c r="C744" s="1" t="n">
        <v>45828</v>
      </c>
      <c r="D744" t="inlineStr">
        <is>
          <t>VÄRMLANDS LÄN</t>
        </is>
      </c>
      <c r="E744" t="inlineStr">
        <is>
          <t>TORSBY</t>
        </is>
      </c>
      <c r="F744" t="inlineStr">
        <is>
          <t>Bergvik skog väst AB</t>
        </is>
      </c>
      <c r="G744" t="n">
        <v>44.5</v>
      </c>
      <c r="H744" t="n">
        <v>0</v>
      </c>
      <c r="I744" t="n">
        <v>0</v>
      </c>
      <c r="J744" t="n">
        <v>0</v>
      </c>
      <c r="K744" t="n">
        <v>0</v>
      </c>
      <c r="L744" t="n">
        <v>0</v>
      </c>
      <c r="M744" t="n">
        <v>0</v>
      </c>
      <c r="N744" t="n">
        <v>0</v>
      </c>
      <c r="O744" t="n">
        <v>0</v>
      </c>
      <c r="P744" t="n">
        <v>0</v>
      </c>
      <c r="Q744" t="n">
        <v>0</v>
      </c>
      <c r="R744" s="2" t="inlineStr"/>
    </row>
    <row r="745" ht="15" customHeight="1">
      <c r="A745" t="inlineStr">
        <is>
          <t>A 33182-2021</t>
        </is>
      </c>
      <c r="B745" s="1" t="n">
        <v>44376</v>
      </c>
      <c r="C745" s="1" t="n">
        <v>45828</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33145-2021</t>
        </is>
      </c>
      <c r="B746" s="1" t="n">
        <v>44376</v>
      </c>
      <c r="C746" s="1" t="n">
        <v>45828</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33149-2021</t>
        </is>
      </c>
      <c r="B747" s="1" t="n">
        <v>44376</v>
      </c>
      <c r="C747" s="1" t="n">
        <v>45828</v>
      </c>
      <c r="D747" t="inlineStr">
        <is>
          <t>VÄRMLANDS LÄN</t>
        </is>
      </c>
      <c r="E747" t="inlineStr">
        <is>
          <t>TORSBY</t>
        </is>
      </c>
      <c r="G747" t="n">
        <v>1.2</v>
      </c>
      <c r="H747" t="n">
        <v>0</v>
      </c>
      <c r="I747" t="n">
        <v>0</v>
      </c>
      <c r="J747" t="n">
        <v>0</v>
      </c>
      <c r="K747" t="n">
        <v>0</v>
      </c>
      <c r="L747" t="n">
        <v>0</v>
      </c>
      <c r="M747" t="n">
        <v>0</v>
      </c>
      <c r="N747" t="n">
        <v>0</v>
      </c>
      <c r="O747" t="n">
        <v>0</v>
      </c>
      <c r="P747" t="n">
        <v>0</v>
      </c>
      <c r="Q747" t="n">
        <v>0</v>
      </c>
      <c r="R747" s="2" t="inlineStr"/>
    </row>
    <row r="748" ht="15" customHeight="1">
      <c r="A748" t="inlineStr">
        <is>
          <t>A 33183-2021</t>
        </is>
      </c>
      <c r="B748" s="1" t="n">
        <v>44376</v>
      </c>
      <c r="C748" s="1" t="n">
        <v>45828</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33517-2021</t>
        </is>
      </c>
      <c r="B749" s="1" t="n">
        <v>44377</v>
      </c>
      <c r="C749" s="1" t="n">
        <v>45828</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33515-2021</t>
        </is>
      </c>
      <c r="B750" s="1" t="n">
        <v>44377</v>
      </c>
      <c r="C750" s="1" t="n">
        <v>45828</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33839-2021</t>
        </is>
      </c>
      <c r="B751" s="1" t="n">
        <v>44378</v>
      </c>
      <c r="C751" s="1" t="n">
        <v>45828</v>
      </c>
      <c r="D751" t="inlineStr">
        <is>
          <t>VÄRMLANDS LÄN</t>
        </is>
      </c>
      <c r="E751" t="inlineStr">
        <is>
          <t>TORSBY</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33853-2021</t>
        </is>
      </c>
      <c r="B752" s="1" t="n">
        <v>44378</v>
      </c>
      <c r="C752" s="1" t="n">
        <v>45828</v>
      </c>
      <c r="D752" t="inlineStr">
        <is>
          <t>VÄRMLANDS LÄN</t>
        </is>
      </c>
      <c r="E752" t="inlineStr">
        <is>
          <t>TORSBY</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33937-2021</t>
        </is>
      </c>
      <c r="B753" s="1" t="n">
        <v>44378</v>
      </c>
      <c r="C753" s="1" t="n">
        <v>45828</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34626-2021</t>
        </is>
      </c>
      <c r="B754" s="1" t="n">
        <v>44382</v>
      </c>
      <c r="C754" s="1" t="n">
        <v>45828</v>
      </c>
      <c r="D754" t="inlineStr">
        <is>
          <t>VÄRMLANDS LÄN</t>
        </is>
      </c>
      <c r="E754" t="inlineStr">
        <is>
          <t>TORSBY</t>
        </is>
      </c>
      <c r="G754" t="n">
        <v>2.1</v>
      </c>
      <c r="H754" t="n">
        <v>0</v>
      </c>
      <c r="I754" t="n">
        <v>0</v>
      </c>
      <c r="J754" t="n">
        <v>0</v>
      </c>
      <c r="K754" t="n">
        <v>0</v>
      </c>
      <c r="L754" t="n">
        <v>0</v>
      </c>
      <c r="M754" t="n">
        <v>0</v>
      </c>
      <c r="N754" t="n">
        <v>0</v>
      </c>
      <c r="O754" t="n">
        <v>0</v>
      </c>
      <c r="P754" t="n">
        <v>0</v>
      </c>
      <c r="Q754" t="n">
        <v>0</v>
      </c>
      <c r="R754" s="2" t="inlineStr"/>
    </row>
    <row r="755" ht="15" customHeight="1">
      <c r="A755" t="inlineStr">
        <is>
          <t>A 34694-2021</t>
        </is>
      </c>
      <c r="B755" s="1" t="n">
        <v>44382</v>
      </c>
      <c r="C755" s="1" t="n">
        <v>45828</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34885-2021</t>
        </is>
      </c>
      <c r="B756" s="1" t="n">
        <v>44383</v>
      </c>
      <c r="C756" s="1" t="n">
        <v>45828</v>
      </c>
      <c r="D756" t="inlineStr">
        <is>
          <t>VÄRMLANDS LÄN</t>
        </is>
      </c>
      <c r="E756" t="inlineStr">
        <is>
          <t>TORSBY</t>
        </is>
      </c>
      <c r="G756" t="n">
        <v>8.9</v>
      </c>
      <c r="H756" t="n">
        <v>0</v>
      </c>
      <c r="I756" t="n">
        <v>0</v>
      </c>
      <c r="J756" t="n">
        <v>0</v>
      </c>
      <c r="K756" t="n">
        <v>0</v>
      </c>
      <c r="L756" t="n">
        <v>0</v>
      </c>
      <c r="M756" t="n">
        <v>0</v>
      </c>
      <c r="N756" t="n">
        <v>0</v>
      </c>
      <c r="O756" t="n">
        <v>0</v>
      </c>
      <c r="P756" t="n">
        <v>0</v>
      </c>
      <c r="Q756" t="n">
        <v>0</v>
      </c>
      <c r="R756" s="2" t="inlineStr"/>
    </row>
    <row r="757" ht="15" customHeight="1">
      <c r="A757" t="inlineStr">
        <is>
          <t>A 35221-2021</t>
        </is>
      </c>
      <c r="B757" s="1" t="n">
        <v>44384</v>
      </c>
      <c r="C757" s="1" t="n">
        <v>45828</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35586-2021</t>
        </is>
      </c>
      <c r="B758" s="1" t="n">
        <v>44386</v>
      </c>
      <c r="C758" s="1" t="n">
        <v>45828</v>
      </c>
      <c r="D758" t="inlineStr">
        <is>
          <t>VÄRMLANDS LÄN</t>
        </is>
      </c>
      <c r="E758" t="inlineStr">
        <is>
          <t>TORSBY</t>
        </is>
      </c>
      <c r="F758" t="inlineStr">
        <is>
          <t>Bergvik skog väst AB</t>
        </is>
      </c>
      <c r="G758" t="n">
        <v>5.1</v>
      </c>
      <c r="H758" t="n">
        <v>0</v>
      </c>
      <c r="I758" t="n">
        <v>0</v>
      </c>
      <c r="J758" t="n">
        <v>0</v>
      </c>
      <c r="K758" t="n">
        <v>0</v>
      </c>
      <c r="L758" t="n">
        <v>0</v>
      </c>
      <c r="M758" t="n">
        <v>0</v>
      </c>
      <c r="N758" t="n">
        <v>0</v>
      </c>
      <c r="O758" t="n">
        <v>0</v>
      </c>
      <c r="P758" t="n">
        <v>0</v>
      </c>
      <c r="Q758" t="n">
        <v>0</v>
      </c>
      <c r="R758" s="2" t="inlineStr"/>
    </row>
    <row r="759" ht="15" customHeight="1">
      <c r="A759" t="inlineStr">
        <is>
          <t>A 35907-2021</t>
        </is>
      </c>
      <c r="B759" s="1" t="n">
        <v>44387</v>
      </c>
      <c r="C759" s="1" t="n">
        <v>45828</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35909-2021</t>
        </is>
      </c>
      <c r="B760" s="1" t="n">
        <v>44387</v>
      </c>
      <c r="C760" s="1" t="n">
        <v>45828</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36189-2021</t>
        </is>
      </c>
      <c r="B761" s="1" t="n">
        <v>44389</v>
      </c>
      <c r="C761" s="1" t="n">
        <v>45828</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36186-2021</t>
        </is>
      </c>
      <c r="B762" s="1" t="n">
        <v>44389</v>
      </c>
      <c r="C762" s="1" t="n">
        <v>45828</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36327-2021</t>
        </is>
      </c>
      <c r="B763" s="1" t="n">
        <v>44390</v>
      </c>
      <c r="C763" s="1" t="n">
        <v>45828</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36589-2021</t>
        </is>
      </c>
      <c r="B764" s="1" t="n">
        <v>44391</v>
      </c>
      <c r="C764" s="1" t="n">
        <v>45828</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36700-2021</t>
        </is>
      </c>
      <c r="B765" s="1" t="n">
        <v>44392</v>
      </c>
      <c r="C765" s="1" t="n">
        <v>45828</v>
      </c>
      <c r="D765" t="inlineStr">
        <is>
          <t>VÄRMLANDS LÄN</t>
        </is>
      </c>
      <c r="E765" t="inlineStr">
        <is>
          <t>TORSBY</t>
        </is>
      </c>
      <c r="F765" t="inlineStr">
        <is>
          <t>Bergvik skog väst AB</t>
        </is>
      </c>
      <c r="G765" t="n">
        <v>9.9</v>
      </c>
      <c r="H765" t="n">
        <v>0</v>
      </c>
      <c r="I765" t="n">
        <v>0</v>
      </c>
      <c r="J765" t="n">
        <v>0</v>
      </c>
      <c r="K765" t="n">
        <v>0</v>
      </c>
      <c r="L765" t="n">
        <v>0</v>
      </c>
      <c r="M765" t="n">
        <v>0</v>
      </c>
      <c r="N765" t="n">
        <v>0</v>
      </c>
      <c r="O765" t="n">
        <v>0</v>
      </c>
      <c r="P765" t="n">
        <v>0</v>
      </c>
      <c r="Q765" t="n">
        <v>0</v>
      </c>
      <c r="R765" s="2" t="inlineStr"/>
    </row>
    <row r="766" ht="15" customHeight="1">
      <c r="A766" t="inlineStr">
        <is>
          <t>A 37074-2021</t>
        </is>
      </c>
      <c r="B766" s="1" t="n">
        <v>44394</v>
      </c>
      <c r="C766" s="1" t="n">
        <v>45828</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37075-2021</t>
        </is>
      </c>
      <c r="B767" s="1" t="n">
        <v>44394</v>
      </c>
      <c r="C767" s="1" t="n">
        <v>45828</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37225-2021</t>
        </is>
      </c>
      <c r="B768" s="1" t="n">
        <v>44396</v>
      </c>
      <c r="C768" s="1" t="n">
        <v>45828</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37609-2021</t>
        </is>
      </c>
      <c r="B769" s="1" t="n">
        <v>44399</v>
      </c>
      <c r="C769" s="1" t="n">
        <v>45828</v>
      </c>
      <c r="D769" t="inlineStr">
        <is>
          <t>VÄRMLANDS LÄN</t>
        </is>
      </c>
      <c r="E769" t="inlineStr">
        <is>
          <t>TORSBY</t>
        </is>
      </c>
      <c r="G769" t="n">
        <v>0.2</v>
      </c>
      <c r="H769" t="n">
        <v>0</v>
      </c>
      <c r="I769" t="n">
        <v>0</v>
      </c>
      <c r="J769" t="n">
        <v>0</v>
      </c>
      <c r="K769" t="n">
        <v>0</v>
      </c>
      <c r="L769" t="n">
        <v>0</v>
      </c>
      <c r="M769" t="n">
        <v>0</v>
      </c>
      <c r="N769" t="n">
        <v>0</v>
      </c>
      <c r="O769" t="n">
        <v>0</v>
      </c>
      <c r="P769" t="n">
        <v>0</v>
      </c>
      <c r="Q769" t="n">
        <v>0</v>
      </c>
      <c r="R769" s="2" t="inlineStr"/>
    </row>
    <row r="770" ht="15" customHeight="1">
      <c r="A770" t="inlineStr">
        <is>
          <t>A 37608-2021</t>
        </is>
      </c>
      <c r="B770" s="1" t="n">
        <v>44399</v>
      </c>
      <c r="C770" s="1" t="n">
        <v>45828</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38467-2021</t>
        </is>
      </c>
      <c r="B771" s="1" t="n">
        <v>44405</v>
      </c>
      <c r="C771" s="1" t="n">
        <v>45828</v>
      </c>
      <c r="D771" t="inlineStr">
        <is>
          <t>VÄRMLANDS LÄN</t>
        </is>
      </c>
      <c r="E771" t="inlineStr">
        <is>
          <t>TORSBY</t>
        </is>
      </c>
      <c r="G771" t="n">
        <v>2.8</v>
      </c>
      <c r="H771" t="n">
        <v>0</v>
      </c>
      <c r="I771" t="n">
        <v>0</v>
      </c>
      <c r="J771" t="n">
        <v>0</v>
      </c>
      <c r="K771" t="n">
        <v>0</v>
      </c>
      <c r="L771" t="n">
        <v>0</v>
      </c>
      <c r="M771" t="n">
        <v>0</v>
      </c>
      <c r="N771" t="n">
        <v>0</v>
      </c>
      <c r="O771" t="n">
        <v>0</v>
      </c>
      <c r="P771" t="n">
        <v>0</v>
      </c>
      <c r="Q771" t="n">
        <v>0</v>
      </c>
      <c r="R771" s="2" t="inlineStr"/>
    </row>
    <row r="772" ht="15" customHeight="1">
      <c r="A772" t="inlineStr">
        <is>
          <t>A 38229-2021</t>
        </is>
      </c>
      <c r="B772" s="1" t="n">
        <v>44405</v>
      </c>
      <c r="C772" s="1" t="n">
        <v>45828</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38298-2021</t>
        </is>
      </c>
      <c r="B773" s="1" t="n">
        <v>44406</v>
      </c>
      <c r="C773" s="1" t="n">
        <v>45828</v>
      </c>
      <c r="D773" t="inlineStr">
        <is>
          <t>VÄRMLANDS LÄN</t>
        </is>
      </c>
      <c r="E773" t="inlineStr">
        <is>
          <t>TORSBY</t>
        </is>
      </c>
      <c r="G773" t="n">
        <v>3.3</v>
      </c>
      <c r="H773" t="n">
        <v>0</v>
      </c>
      <c r="I773" t="n">
        <v>0</v>
      </c>
      <c r="J773" t="n">
        <v>0</v>
      </c>
      <c r="K773" t="n">
        <v>0</v>
      </c>
      <c r="L773" t="n">
        <v>0</v>
      </c>
      <c r="M773" t="n">
        <v>0</v>
      </c>
      <c r="N773" t="n">
        <v>0</v>
      </c>
      <c r="O773" t="n">
        <v>0</v>
      </c>
      <c r="P773" t="n">
        <v>0</v>
      </c>
      <c r="Q773" t="n">
        <v>0</v>
      </c>
      <c r="R773" s="2" t="inlineStr"/>
    </row>
    <row r="774" ht="15" customHeight="1">
      <c r="A774" t="inlineStr">
        <is>
          <t>A 38564-2021</t>
        </is>
      </c>
      <c r="B774" s="1" t="n">
        <v>44407</v>
      </c>
      <c r="C774" s="1" t="n">
        <v>45828</v>
      </c>
      <c r="D774" t="inlineStr">
        <is>
          <t>VÄRMLANDS LÄN</t>
        </is>
      </c>
      <c r="E774" t="inlineStr">
        <is>
          <t>TORSBY</t>
        </is>
      </c>
      <c r="F774" t="inlineStr">
        <is>
          <t>Bergvik skog väst AB</t>
        </is>
      </c>
      <c r="G774" t="n">
        <v>15.7</v>
      </c>
      <c r="H774" t="n">
        <v>0</v>
      </c>
      <c r="I774" t="n">
        <v>0</v>
      </c>
      <c r="J774" t="n">
        <v>0</v>
      </c>
      <c r="K774" t="n">
        <v>0</v>
      </c>
      <c r="L774" t="n">
        <v>0</v>
      </c>
      <c r="M774" t="n">
        <v>0</v>
      </c>
      <c r="N774" t="n">
        <v>0</v>
      </c>
      <c r="O774" t="n">
        <v>0</v>
      </c>
      <c r="P774" t="n">
        <v>0</v>
      </c>
      <c r="Q774" t="n">
        <v>0</v>
      </c>
      <c r="R774" s="2" t="inlineStr"/>
    </row>
    <row r="775" ht="15" customHeight="1">
      <c r="A775" t="inlineStr">
        <is>
          <t>A 38528-2021</t>
        </is>
      </c>
      <c r="B775" s="1" t="n">
        <v>44407</v>
      </c>
      <c r="C775" s="1" t="n">
        <v>45828</v>
      </c>
      <c r="D775" t="inlineStr">
        <is>
          <t>VÄRMLANDS LÄN</t>
        </is>
      </c>
      <c r="E775" t="inlineStr">
        <is>
          <t>TORSBY</t>
        </is>
      </c>
      <c r="F775" t="inlineStr">
        <is>
          <t>Bergvik skog väst AB</t>
        </is>
      </c>
      <c r="G775" t="n">
        <v>12.5</v>
      </c>
      <c r="H775" t="n">
        <v>0</v>
      </c>
      <c r="I775" t="n">
        <v>0</v>
      </c>
      <c r="J775" t="n">
        <v>0</v>
      </c>
      <c r="K775" t="n">
        <v>0</v>
      </c>
      <c r="L775" t="n">
        <v>0</v>
      </c>
      <c r="M775" t="n">
        <v>0</v>
      </c>
      <c r="N775" t="n">
        <v>0</v>
      </c>
      <c r="O775" t="n">
        <v>0</v>
      </c>
      <c r="P775" t="n">
        <v>0</v>
      </c>
      <c r="Q775" t="n">
        <v>0</v>
      </c>
      <c r="R775" s="2" t="inlineStr"/>
    </row>
    <row r="776" ht="15" customHeight="1">
      <c r="A776" t="inlineStr">
        <is>
          <t>A 38767-2021</t>
        </is>
      </c>
      <c r="B776" s="1" t="n">
        <v>44410</v>
      </c>
      <c r="C776" s="1" t="n">
        <v>45828</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38841-2021</t>
        </is>
      </c>
      <c r="B777" s="1" t="n">
        <v>44411</v>
      </c>
      <c r="C777" s="1" t="n">
        <v>45828</v>
      </c>
      <c r="D777" t="inlineStr">
        <is>
          <t>VÄRMLANDS LÄN</t>
        </is>
      </c>
      <c r="E777" t="inlineStr">
        <is>
          <t>TORSBY</t>
        </is>
      </c>
      <c r="F777" t="inlineStr">
        <is>
          <t>Bergvik skog väst AB</t>
        </is>
      </c>
      <c r="G777" t="n">
        <v>13.8</v>
      </c>
      <c r="H777" t="n">
        <v>0</v>
      </c>
      <c r="I777" t="n">
        <v>0</v>
      </c>
      <c r="J777" t="n">
        <v>0</v>
      </c>
      <c r="K777" t="n">
        <v>0</v>
      </c>
      <c r="L777" t="n">
        <v>0</v>
      </c>
      <c r="M777" t="n">
        <v>0</v>
      </c>
      <c r="N777" t="n">
        <v>0</v>
      </c>
      <c r="O777" t="n">
        <v>0</v>
      </c>
      <c r="P777" t="n">
        <v>0</v>
      </c>
      <c r="Q777" t="n">
        <v>0</v>
      </c>
      <c r="R777" s="2" t="inlineStr"/>
    </row>
    <row r="778" ht="15" customHeight="1">
      <c r="A778" t="inlineStr">
        <is>
          <t>A 39003-2021</t>
        </is>
      </c>
      <c r="B778" s="1" t="n">
        <v>44412</v>
      </c>
      <c r="C778" s="1" t="n">
        <v>45828</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39260-2021</t>
        </is>
      </c>
      <c r="B779" s="1" t="n">
        <v>44413</v>
      </c>
      <c r="C779" s="1" t="n">
        <v>45828</v>
      </c>
      <c r="D779" t="inlineStr">
        <is>
          <t>VÄRMLANDS LÄN</t>
        </is>
      </c>
      <c r="E779" t="inlineStr">
        <is>
          <t>TORSBY</t>
        </is>
      </c>
      <c r="G779" t="n">
        <v>4.7</v>
      </c>
      <c r="H779" t="n">
        <v>0</v>
      </c>
      <c r="I779" t="n">
        <v>0</v>
      </c>
      <c r="J779" t="n">
        <v>0</v>
      </c>
      <c r="K779" t="n">
        <v>0</v>
      </c>
      <c r="L779" t="n">
        <v>0</v>
      </c>
      <c r="M779" t="n">
        <v>0</v>
      </c>
      <c r="N779" t="n">
        <v>0</v>
      </c>
      <c r="O779" t="n">
        <v>0</v>
      </c>
      <c r="P779" t="n">
        <v>0</v>
      </c>
      <c r="Q779" t="n">
        <v>0</v>
      </c>
      <c r="R779" s="2" t="inlineStr"/>
    </row>
    <row r="780" ht="15" customHeight="1">
      <c r="A780" t="inlineStr">
        <is>
          <t>A 39642-2021</t>
        </is>
      </c>
      <c r="B780" s="1" t="n">
        <v>44417</v>
      </c>
      <c r="C780" s="1" t="n">
        <v>45828</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45828</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39967-2021</t>
        </is>
      </c>
      <c r="B782" s="1" t="n">
        <v>44418</v>
      </c>
      <c r="C782" s="1" t="n">
        <v>45828</v>
      </c>
      <c r="D782" t="inlineStr">
        <is>
          <t>VÄRMLANDS LÄN</t>
        </is>
      </c>
      <c r="E782" t="inlineStr">
        <is>
          <t>TORSBY</t>
        </is>
      </c>
      <c r="F782" t="inlineStr">
        <is>
          <t>Bergvik skog väst AB</t>
        </is>
      </c>
      <c r="G782" t="n">
        <v>11.8</v>
      </c>
      <c r="H782" t="n">
        <v>0</v>
      </c>
      <c r="I782" t="n">
        <v>0</v>
      </c>
      <c r="J782" t="n">
        <v>0</v>
      </c>
      <c r="K782" t="n">
        <v>0</v>
      </c>
      <c r="L782" t="n">
        <v>0</v>
      </c>
      <c r="M782" t="n">
        <v>0</v>
      </c>
      <c r="N782" t="n">
        <v>0</v>
      </c>
      <c r="O782" t="n">
        <v>0</v>
      </c>
      <c r="P782" t="n">
        <v>0</v>
      </c>
      <c r="Q782" t="n">
        <v>0</v>
      </c>
      <c r="R782" s="2" t="inlineStr"/>
    </row>
    <row r="783" ht="15" customHeight="1">
      <c r="A783" t="inlineStr">
        <is>
          <t>A 40281-2021</t>
        </is>
      </c>
      <c r="B783" s="1" t="n">
        <v>44419</v>
      </c>
      <c r="C783" s="1" t="n">
        <v>45828</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40276-2021</t>
        </is>
      </c>
      <c r="B784" s="1" t="n">
        <v>44419</v>
      </c>
      <c r="C784" s="1" t="n">
        <v>45828</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40278-2021</t>
        </is>
      </c>
      <c r="B785" s="1" t="n">
        <v>44419</v>
      </c>
      <c r="C785" s="1" t="n">
        <v>45828</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40282-2021</t>
        </is>
      </c>
      <c r="B786" s="1" t="n">
        <v>44419</v>
      </c>
      <c r="C786" s="1" t="n">
        <v>45828</v>
      </c>
      <c r="D786" t="inlineStr">
        <is>
          <t>VÄRMLANDS LÄN</t>
        </is>
      </c>
      <c r="E786" t="inlineStr">
        <is>
          <t>TORSBY</t>
        </is>
      </c>
      <c r="G786" t="n">
        <v>3.1</v>
      </c>
      <c r="H786" t="n">
        <v>0</v>
      </c>
      <c r="I786" t="n">
        <v>0</v>
      </c>
      <c r="J786" t="n">
        <v>0</v>
      </c>
      <c r="K786" t="n">
        <v>0</v>
      </c>
      <c r="L786" t="n">
        <v>0</v>
      </c>
      <c r="M786" t="n">
        <v>0</v>
      </c>
      <c r="N786" t="n">
        <v>0</v>
      </c>
      <c r="O786" t="n">
        <v>0</v>
      </c>
      <c r="P786" t="n">
        <v>0</v>
      </c>
      <c r="Q786" t="n">
        <v>0</v>
      </c>
      <c r="R786" s="2" t="inlineStr"/>
    </row>
    <row r="787" ht="15" customHeight="1">
      <c r="A787" t="inlineStr">
        <is>
          <t>A 40590-2021</t>
        </is>
      </c>
      <c r="B787" s="1" t="n">
        <v>44420</v>
      </c>
      <c r="C787" s="1" t="n">
        <v>45828</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40876-2021</t>
        </is>
      </c>
      <c r="B788" s="1" t="n">
        <v>44421</v>
      </c>
      <c r="C788" s="1" t="n">
        <v>45828</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41253-2021</t>
        </is>
      </c>
      <c r="B789" s="1" t="n">
        <v>44424</v>
      </c>
      <c r="C789" s="1" t="n">
        <v>45828</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41377-2021</t>
        </is>
      </c>
      <c r="B790" s="1" t="n">
        <v>44424</v>
      </c>
      <c r="C790" s="1" t="n">
        <v>45828</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41633-2021</t>
        </is>
      </c>
      <c r="B791" s="1" t="n">
        <v>44425</v>
      </c>
      <c r="C791" s="1" t="n">
        <v>45828</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41671-2021</t>
        </is>
      </c>
      <c r="B792" s="1" t="n">
        <v>44425</v>
      </c>
      <c r="C792" s="1" t="n">
        <v>45828</v>
      </c>
      <c r="D792" t="inlineStr">
        <is>
          <t>VÄRMLANDS LÄN</t>
        </is>
      </c>
      <c r="E792" t="inlineStr">
        <is>
          <t>TORSBY</t>
        </is>
      </c>
      <c r="F792" t="inlineStr">
        <is>
          <t>Övriga Aktiebolag</t>
        </is>
      </c>
      <c r="G792" t="n">
        <v>10.1</v>
      </c>
      <c r="H792" t="n">
        <v>0</v>
      </c>
      <c r="I792" t="n">
        <v>0</v>
      </c>
      <c r="J792" t="n">
        <v>0</v>
      </c>
      <c r="K792" t="n">
        <v>0</v>
      </c>
      <c r="L792" t="n">
        <v>0</v>
      </c>
      <c r="M792" t="n">
        <v>0</v>
      </c>
      <c r="N792" t="n">
        <v>0</v>
      </c>
      <c r="O792" t="n">
        <v>0</v>
      </c>
      <c r="P792" t="n">
        <v>0</v>
      </c>
      <c r="Q792" t="n">
        <v>0</v>
      </c>
      <c r="R792" s="2" t="inlineStr"/>
    </row>
    <row r="793" ht="15" customHeight="1">
      <c r="A793" t="inlineStr">
        <is>
          <t>A 41678-2021</t>
        </is>
      </c>
      <c r="B793" s="1" t="n">
        <v>44425</v>
      </c>
      <c r="C793" s="1" t="n">
        <v>45828</v>
      </c>
      <c r="D793" t="inlineStr">
        <is>
          <t>VÄRMLANDS LÄN</t>
        </is>
      </c>
      <c r="E793" t="inlineStr">
        <is>
          <t>TORSBY</t>
        </is>
      </c>
      <c r="G793" t="n">
        <v>4.3</v>
      </c>
      <c r="H793" t="n">
        <v>0</v>
      </c>
      <c r="I793" t="n">
        <v>0</v>
      </c>
      <c r="J793" t="n">
        <v>0</v>
      </c>
      <c r="K793" t="n">
        <v>0</v>
      </c>
      <c r="L793" t="n">
        <v>0</v>
      </c>
      <c r="M793" t="n">
        <v>0</v>
      </c>
      <c r="N793" t="n">
        <v>0</v>
      </c>
      <c r="O793" t="n">
        <v>0</v>
      </c>
      <c r="P793" t="n">
        <v>0</v>
      </c>
      <c r="Q793" t="n">
        <v>0</v>
      </c>
      <c r="R793" s="2" t="inlineStr"/>
    </row>
    <row r="794" ht="15" customHeight="1">
      <c r="A794" t="inlineStr">
        <is>
          <t>A 41808-2021</t>
        </is>
      </c>
      <c r="B794" s="1" t="n">
        <v>44425</v>
      </c>
      <c r="C794" s="1" t="n">
        <v>45828</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42347-2021</t>
        </is>
      </c>
      <c r="B795" s="1" t="n">
        <v>44427</v>
      </c>
      <c r="C795" s="1" t="n">
        <v>45828</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42615-2021</t>
        </is>
      </c>
      <c r="B796" s="1" t="n">
        <v>44428</v>
      </c>
      <c r="C796" s="1" t="n">
        <v>45828</v>
      </c>
      <c r="D796" t="inlineStr">
        <is>
          <t>VÄRMLANDS LÄN</t>
        </is>
      </c>
      <c r="E796" t="inlineStr">
        <is>
          <t>TORSBY</t>
        </is>
      </c>
      <c r="F796" t="inlineStr">
        <is>
          <t>Bergvik skog väst AB</t>
        </is>
      </c>
      <c r="G796" t="n">
        <v>37.2</v>
      </c>
      <c r="H796" t="n">
        <v>0</v>
      </c>
      <c r="I796" t="n">
        <v>0</v>
      </c>
      <c r="J796" t="n">
        <v>0</v>
      </c>
      <c r="K796" t="n">
        <v>0</v>
      </c>
      <c r="L796" t="n">
        <v>0</v>
      </c>
      <c r="M796" t="n">
        <v>0</v>
      </c>
      <c r="N796" t="n">
        <v>0</v>
      </c>
      <c r="O796" t="n">
        <v>0</v>
      </c>
      <c r="P796" t="n">
        <v>0</v>
      </c>
      <c r="Q796" t="n">
        <v>0</v>
      </c>
      <c r="R796" s="2" t="inlineStr"/>
    </row>
    <row r="797" ht="15" customHeight="1">
      <c r="A797" t="inlineStr">
        <is>
          <t>A 42646-2021</t>
        </is>
      </c>
      <c r="B797" s="1" t="n">
        <v>44428</v>
      </c>
      <c r="C797" s="1" t="n">
        <v>45828</v>
      </c>
      <c r="D797" t="inlineStr">
        <is>
          <t>VÄRMLANDS LÄN</t>
        </is>
      </c>
      <c r="E797" t="inlineStr">
        <is>
          <t>TORSBY</t>
        </is>
      </c>
      <c r="F797" t="inlineStr">
        <is>
          <t>Bergvik skog väst AB</t>
        </is>
      </c>
      <c r="G797" t="n">
        <v>21.4</v>
      </c>
      <c r="H797" t="n">
        <v>0</v>
      </c>
      <c r="I797" t="n">
        <v>0</v>
      </c>
      <c r="J797" t="n">
        <v>0</v>
      </c>
      <c r="K797" t="n">
        <v>0</v>
      </c>
      <c r="L797" t="n">
        <v>0</v>
      </c>
      <c r="M797" t="n">
        <v>0</v>
      </c>
      <c r="N797" t="n">
        <v>0</v>
      </c>
      <c r="O797" t="n">
        <v>0</v>
      </c>
      <c r="P797" t="n">
        <v>0</v>
      </c>
      <c r="Q797" t="n">
        <v>0</v>
      </c>
      <c r="R797" s="2" t="inlineStr"/>
    </row>
    <row r="798" ht="15" customHeight="1">
      <c r="A798" t="inlineStr">
        <is>
          <t>A 43052-2021</t>
        </is>
      </c>
      <c r="B798" s="1" t="n">
        <v>44431</v>
      </c>
      <c r="C798" s="1" t="n">
        <v>45828</v>
      </c>
      <c r="D798" t="inlineStr">
        <is>
          <t>VÄRMLANDS LÄN</t>
        </is>
      </c>
      <c r="E798" t="inlineStr">
        <is>
          <t>TORSBY</t>
        </is>
      </c>
      <c r="G798" t="n">
        <v>25.1</v>
      </c>
      <c r="H798" t="n">
        <v>0</v>
      </c>
      <c r="I798" t="n">
        <v>0</v>
      </c>
      <c r="J798" t="n">
        <v>0</v>
      </c>
      <c r="K798" t="n">
        <v>0</v>
      </c>
      <c r="L798" t="n">
        <v>0</v>
      </c>
      <c r="M798" t="n">
        <v>0</v>
      </c>
      <c r="N798" t="n">
        <v>0</v>
      </c>
      <c r="O798" t="n">
        <v>0</v>
      </c>
      <c r="P798" t="n">
        <v>0</v>
      </c>
      <c r="Q798" t="n">
        <v>0</v>
      </c>
      <c r="R798" s="2" t="inlineStr"/>
    </row>
    <row r="799" ht="15" customHeight="1">
      <c r="A799" t="inlineStr">
        <is>
          <t>A 43060-2021</t>
        </is>
      </c>
      <c r="B799" s="1" t="n">
        <v>44431</v>
      </c>
      <c r="C799" s="1" t="n">
        <v>45828</v>
      </c>
      <c r="D799" t="inlineStr">
        <is>
          <t>VÄRMLANDS LÄN</t>
        </is>
      </c>
      <c r="E799" t="inlineStr">
        <is>
          <t>TORSBY</t>
        </is>
      </c>
      <c r="G799" t="n">
        <v>3.2</v>
      </c>
      <c r="H799" t="n">
        <v>0</v>
      </c>
      <c r="I799" t="n">
        <v>0</v>
      </c>
      <c r="J799" t="n">
        <v>0</v>
      </c>
      <c r="K799" t="n">
        <v>0</v>
      </c>
      <c r="L799" t="n">
        <v>0</v>
      </c>
      <c r="M799" t="n">
        <v>0</v>
      </c>
      <c r="N799" t="n">
        <v>0</v>
      </c>
      <c r="O799" t="n">
        <v>0</v>
      </c>
      <c r="P799" t="n">
        <v>0</v>
      </c>
      <c r="Q799" t="n">
        <v>0</v>
      </c>
      <c r="R799" s="2" t="inlineStr"/>
    </row>
    <row r="800" ht="15" customHeight="1">
      <c r="A800" t="inlineStr">
        <is>
          <t>A 43128-2021</t>
        </is>
      </c>
      <c r="B800" s="1" t="n">
        <v>44431</v>
      </c>
      <c r="C800" s="1" t="n">
        <v>45828</v>
      </c>
      <c r="D800" t="inlineStr">
        <is>
          <t>VÄRMLANDS LÄN</t>
        </is>
      </c>
      <c r="E800" t="inlineStr">
        <is>
          <t>TORSBY</t>
        </is>
      </c>
      <c r="G800" t="n">
        <v>10.9</v>
      </c>
      <c r="H800" t="n">
        <v>0</v>
      </c>
      <c r="I800" t="n">
        <v>0</v>
      </c>
      <c r="J800" t="n">
        <v>0</v>
      </c>
      <c r="K800" t="n">
        <v>0</v>
      </c>
      <c r="L800" t="n">
        <v>0</v>
      </c>
      <c r="M800" t="n">
        <v>0</v>
      </c>
      <c r="N800" t="n">
        <v>0</v>
      </c>
      <c r="O800" t="n">
        <v>0</v>
      </c>
      <c r="P800" t="n">
        <v>0</v>
      </c>
      <c r="Q800" t="n">
        <v>0</v>
      </c>
      <c r="R800" s="2" t="inlineStr"/>
    </row>
    <row r="801" ht="15" customHeight="1">
      <c r="A801" t="inlineStr">
        <is>
          <t>A 43136-2021</t>
        </is>
      </c>
      <c r="B801" s="1" t="n">
        <v>44431</v>
      </c>
      <c r="C801" s="1" t="n">
        <v>45828</v>
      </c>
      <c r="D801" t="inlineStr">
        <is>
          <t>VÄRMLANDS LÄN</t>
        </is>
      </c>
      <c r="E801" t="inlineStr">
        <is>
          <t>TORSBY</t>
        </is>
      </c>
      <c r="G801" t="n">
        <v>14.4</v>
      </c>
      <c r="H801" t="n">
        <v>0</v>
      </c>
      <c r="I801" t="n">
        <v>0</v>
      </c>
      <c r="J801" t="n">
        <v>0</v>
      </c>
      <c r="K801" t="n">
        <v>0</v>
      </c>
      <c r="L801" t="n">
        <v>0</v>
      </c>
      <c r="M801" t="n">
        <v>0</v>
      </c>
      <c r="N801" t="n">
        <v>0</v>
      </c>
      <c r="O801" t="n">
        <v>0</v>
      </c>
      <c r="P801" t="n">
        <v>0</v>
      </c>
      <c r="Q801" t="n">
        <v>0</v>
      </c>
      <c r="R801" s="2" t="inlineStr"/>
    </row>
    <row r="802" ht="15" customHeight="1">
      <c r="A802" t="inlineStr">
        <is>
          <t>A 43169-2021</t>
        </is>
      </c>
      <c r="B802" s="1" t="n">
        <v>44431</v>
      </c>
      <c r="C802" s="1" t="n">
        <v>45828</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43095-2021</t>
        </is>
      </c>
      <c r="B803" s="1" t="n">
        <v>44431</v>
      </c>
      <c r="C803" s="1" t="n">
        <v>45828</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43157-2021</t>
        </is>
      </c>
      <c r="B804" s="1" t="n">
        <v>44431</v>
      </c>
      <c r="C804" s="1" t="n">
        <v>45828</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43127-2021</t>
        </is>
      </c>
      <c r="B805" s="1" t="n">
        <v>44431</v>
      </c>
      <c r="C805" s="1" t="n">
        <v>45828</v>
      </c>
      <c r="D805" t="inlineStr">
        <is>
          <t>VÄRMLANDS LÄN</t>
        </is>
      </c>
      <c r="E805" t="inlineStr">
        <is>
          <t>TORSBY</t>
        </is>
      </c>
      <c r="G805" t="n">
        <v>23.3</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v>
      </c>
      <c r="C806" s="1" t="n">
        <v>45828</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44018-2021</t>
        </is>
      </c>
      <c r="B807" s="1" t="n">
        <v>44434</v>
      </c>
      <c r="C807" s="1" t="n">
        <v>45828</v>
      </c>
      <c r="D807" t="inlineStr">
        <is>
          <t>VÄRMLANDS LÄN</t>
        </is>
      </c>
      <c r="E807" t="inlineStr">
        <is>
          <t>TORSBY</t>
        </is>
      </c>
      <c r="F807" t="inlineStr">
        <is>
          <t>Bergvik skog väst AB</t>
        </is>
      </c>
      <c r="G807" t="n">
        <v>2.7</v>
      </c>
      <c r="H807" t="n">
        <v>0</v>
      </c>
      <c r="I807" t="n">
        <v>0</v>
      </c>
      <c r="J807" t="n">
        <v>0</v>
      </c>
      <c r="K807" t="n">
        <v>0</v>
      </c>
      <c r="L807" t="n">
        <v>0</v>
      </c>
      <c r="M807" t="n">
        <v>0</v>
      </c>
      <c r="N807" t="n">
        <v>0</v>
      </c>
      <c r="O807" t="n">
        <v>0</v>
      </c>
      <c r="P807" t="n">
        <v>0</v>
      </c>
      <c r="Q807" t="n">
        <v>0</v>
      </c>
      <c r="R807" s="2" t="inlineStr"/>
    </row>
    <row r="808" ht="15" customHeight="1">
      <c r="A808" t="inlineStr">
        <is>
          <t>A 44418-2021</t>
        </is>
      </c>
      <c r="B808" s="1" t="n">
        <v>44435</v>
      </c>
      <c r="C808" s="1" t="n">
        <v>45828</v>
      </c>
      <c r="D808" t="inlineStr">
        <is>
          <t>VÄRMLANDS LÄN</t>
        </is>
      </c>
      <c r="E808" t="inlineStr">
        <is>
          <t>TORSBY</t>
        </is>
      </c>
      <c r="G808" t="n">
        <v>7.5</v>
      </c>
      <c r="H808" t="n">
        <v>0</v>
      </c>
      <c r="I808" t="n">
        <v>0</v>
      </c>
      <c r="J808" t="n">
        <v>0</v>
      </c>
      <c r="K808" t="n">
        <v>0</v>
      </c>
      <c r="L808" t="n">
        <v>0</v>
      </c>
      <c r="M808" t="n">
        <v>0</v>
      </c>
      <c r="N808" t="n">
        <v>0</v>
      </c>
      <c r="O808" t="n">
        <v>0</v>
      </c>
      <c r="P808" t="n">
        <v>0</v>
      </c>
      <c r="Q808" t="n">
        <v>0</v>
      </c>
      <c r="R808" s="2" t="inlineStr"/>
    </row>
    <row r="809" ht="15" customHeight="1">
      <c r="A809" t="inlineStr">
        <is>
          <t>A 44490-2021</t>
        </is>
      </c>
      <c r="B809" s="1" t="n">
        <v>44435</v>
      </c>
      <c r="C809" s="1" t="n">
        <v>45828</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44761-2021</t>
        </is>
      </c>
      <c r="B810" s="1" t="n">
        <v>44438</v>
      </c>
      <c r="C810" s="1" t="n">
        <v>45828</v>
      </c>
      <c r="D810" t="inlineStr">
        <is>
          <t>VÄRMLANDS LÄN</t>
        </is>
      </c>
      <c r="E810" t="inlineStr">
        <is>
          <t>TORSBY</t>
        </is>
      </c>
      <c r="G810" t="n">
        <v>6.5</v>
      </c>
      <c r="H810" t="n">
        <v>0</v>
      </c>
      <c r="I810" t="n">
        <v>0</v>
      </c>
      <c r="J810" t="n">
        <v>0</v>
      </c>
      <c r="K810" t="n">
        <v>0</v>
      </c>
      <c r="L810" t="n">
        <v>0</v>
      </c>
      <c r="M810" t="n">
        <v>0</v>
      </c>
      <c r="N810" t="n">
        <v>0</v>
      </c>
      <c r="O810" t="n">
        <v>0</v>
      </c>
      <c r="P810" t="n">
        <v>0</v>
      </c>
      <c r="Q810" t="n">
        <v>0</v>
      </c>
      <c r="R810" s="2" t="inlineStr"/>
    </row>
    <row r="811" ht="15" customHeight="1">
      <c r="A811" t="inlineStr">
        <is>
          <t>A 44979-2021</t>
        </is>
      </c>
      <c r="B811" s="1" t="n">
        <v>44438</v>
      </c>
      <c r="C811" s="1" t="n">
        <v>45828</v>
      </c>
      <c r="D811" t="inlineStr">
        <is>
          <t>VÄRMLANDS LÄN</t>
        </is>
      </c>
      <c r="E811" t="inlineStr">
        <is>
          <t>TORSBY</t>
        </is>
      </c>
      <c r="F811" t="inlineStr">
        <is>
          <t>Bergvik skog väst AB</t>
        </is>
      </c>
      <c r="G811" t="n">
        <v>22.2</v>
      </c>
      <c r="H811" t="n">
        <v>0</v>
      </c>
      <c r="I811" t="n">
        <v>0</v>
      </c>
      <c r="J811" t="n">
        <v>0</v>
      </c>
      <c r="K811" t="n">
        <v>0</v>
      </c>
      <c r="L811" t="n">
        <v>0</v>
      </c>
      <c r="M811" t="n">
        <v>0</v>
      </c>
      <c r="N811" t="n">
        <v>0</v>
      </c>
      <c r="O811" t="n">
        <v>0</v>
      </c>
      <c r="P811" t="n">
        <v>0</v>
      </c>
      <c r="Q811" t="n">
        <v>0</v>
      </c>
      <c r="R811" s="2" t="inlineStr"/>
    </row>
    <row r="812" ht="15" customHeight="1">
      <c r="A812" t="inlineStr">
        <is>
          <t>A 44923-2021</t>
        </is>
      </c>
      <c r="B812" s="1" t="n">
        <v>44438</v>
      </c>
      <c r="C812" s="1" t="n">
        <v>45828</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45445-2021</t>
        </is>
      </c>
      <c r="B813" s="1" t="n">
        <v>44440</v>
      </c>
      <c r="C813" s="1" t="n">
        <v>45828</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45447-2021</t>
        </is>
      </c>
      <c r="B814" s="1" t="n">
        <v>44440</v>
      </c>
      <c r="C814" s="1" t="n">
        <v>45828</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46302-2021</t>
        </is>
      </c>
      <c r="B815" s="1" t="n">
        <v>44442</v>
      </c>
      <c r="C815" s="1" t="n">
        <v>45828</v>
      </c>
      <c r="D815" t="inlineStr">
        <is>
          <t>VÄRMLANDS LÄN</t>
        </is>
      </c>
      <c r="E815" t="inlineStr">
        <is>
          <t>TORSBY</t>
        </is>
      </c>
      <c r="F815" t="inlineStr">
        <is>
          <t>Bergvik skog väst AB</t>
        </is>
      </c>
      <c r="G815" t="n">
        <v>3.1</v>
      </c>
      <c r="H815" t="n">
        <v>0</v>
      </c>
      <c r="I815" t="n">
        <v>0</v>
      </c>
      <c r="J815" t="n">
        <v>0</v>
      </c>
      <c r="K815" t="n">
        <v>0</v>
      </c>
      <c r="L815" t="n">
        <v>0</v>
      </c>
      <c r="M815" t="n">
        <v>0</v>
      </c>
      <c r="N815" t="n">
        <v>0</v>
      </c>
      <c r="O815" t="n">
        <v>0</v>
      </c>
      <c r="P815" t="n">
        <v>0</v>
      </c>
      <c r="Q815" t="n">
        <v>0</v>
      </c>
      <c r="R815" s="2" t="inlineStr"/>
    </row>
    <row r="816" ht="15" customHeight="1">
      <c r="A816" t="inlineStr">
        <is>
          <t>A 46503-2021</t>
        </is>
      </c>
      <c r="B816" s="1" t="n">
        <v>44445</v>
      </c>
      <c r="C816" s="1" t="n">
        <v>45828</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46610-2021</t>
        </is>
      </c>
      <c r="B817" s="1" t="n">
        <v>44445</v>
      </c>
      <c r="C817" s="1" t="n">
        <v>45828</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46795-2021</t>
        </is>
      </c>
      <c r="B818" s="1" t="n">
        <v>44446</v>
      </c>
      <c r="C818" s="1" t="n">
        <v>45828</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46934-2021</t>
        </is>
      </c>
      <c r="B819" s="1" t="n">
        <v>44446</v>
      </c>
      <c r="C819" s="1" t="n">
        <v>45828</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46880-2021</t>
        </is>
      </c>
      <c r="B820" s="1" t="n">
        <v>44446</v>
      </c>
      <c r="C820" s="1" t="n">
        <v>45828</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47083-2021</t>
        </is>
      </c>
      <c r="B821" s="1" t="n">
        <v>44446</v>
      </c>
      <c r="C821" s="1" t="n">
        <v>45828</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47098-2021</t>
        </is>
      </c>
      <c r="B822" s="1" t="n">
        <v>44446</v>
      </c>
      <c r="C822" s="1" t="n">
        <v>45828</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47271-2021</t>
        </is>
      </c>
      <c r="B823" s="1" t="n">
        <v>44447</v>
      </c>
      <c r="C823" s="1" t="n">
        <v>45828</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47299-2021</t>
        </is>
      </c>
      <c r="B824" s="1" t="n">
        <v>44447</v>
      </c>
      <c r="C824" s="1" t="n">
        <v>45828</v>
      </c>
      <c r="D824" t="inlineStr">
        <is>
          <t>VÄRMLANDS LÄN</t>
        </is>
      </c>
      <c r="E824" t="inlineStr">
        <is>
          <t>TORSBY</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47602-2021</t>
        </is>
      </c>
      <c r="B825" s="1" t="n">
        <v>44448</v>
      </c>
      <c r="C825" s="1" t="n">
        <v>45828</v>
      </c>
      <c r="D825" t="inlineStr">
        <is>
          <t>VÄRMLANDS LÄN</t>
        </is>
      </c>
      <c r="E825" t="inlineStr">
        <is>
          <t>TORSBY</t>
        </is>
      </c>
      <c r="G825" t="n">
        <v>1.2</v>
      </c>
      <c r="H825" t="n">
        <v>0</v>
      </c>
      <c r="I825" t="n">
        <v>0</v>
      </c>
      <c r="J825" t="n">
        <v>0</v>
      </c>
      <c r="K825" t="n">
        <v>0</v>
      </c>
      <c r="L825" t="n">
        <v>0</v>
      </c>
      <c r="M825" t="n">
        <v>0</v>
      </c>
      <c r="N825" t="n">
        <v>0</v>
      </c>
      <c r="O825" t="n">
        <v>0</v>
      </c>
      <c r="P825" t="n">
        <v>0</v>
      </c>
      <c r="Q825" t="n">
        <v>0</v>
      </c>
      <c r="R825" s="2" t="inlineStr"/>
    </row>
    <row r="826" ht="15" customHeight="1">
      <c r="A826" t="inlineStr">
        <is>
          <t>A 48159-2021</t>
        </is>
      </c>
      <c r="B826" s="1" t="n">
        <v>44449</v>
      </c>
      <c r="C826" s="1" t="n">
        <v>45828</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48188-2021</t>
        </is>
      </c>
      <c r="B827" s="1" t="n">
        <v>44449</v>
      </c>
      <c r="C827" s="1" t="n">
        <v>45828</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48324-2021</t>
        </is>
      </c>
      <c r="B828" s="1" t="n">
        <v>44450</v>
      </c>
      <c r="C828" s="1" t="n">
        <v>45828</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48657-2021</t>
        </is>
      </c>
      <c r="B829" s="1" t="n">
        <v>44452</v>
      </c>
      <c r="C829" s="1" t="n">
        <v>45828</v>
      </c>
      <c r="D829" t="inlineStr">
        <is>
          <t>VÄRMLANDS LÄN</t>
        </is>
      </c>
      <c r="E829" t="inlineStr">
        <is>
          <t>TORSBY</t>
        </is>
      </c>
      <c r="F829" t="inlineStr">
        <is>
          <t>Bergvik skog väst AB</t>
        </is>
      </c>
      <c r="G829" t="n">
        <v>7.8</v>
      </c>
      <c r="H829" t="n">
        <v>0</v>
      </c>
      <c r="I829" t="n">
        <v>0</v>
      </c>
      <c r="J829" t="n">
        <v>0</v>
      </c>
      <c r="K829" t="n">
        <v>0</v>
      </c>
      <c r="L829" t="n">
        <v>0</v>
      </c>
      <c r="M829" t="n">
        <v>0</v>
      </c>
      <c r="N829" t="n">
        <v>0</v>
      </c>
      <c r="O829" t="n">
        <v>0</v>
      </c>
      <c r="P829" t="n">
        <v>0</v>
      </c>
      <c r="Q829" t="n">
        <v>0</v>
      </c>
      <c r="R829" s="2" t="inlineStr"/>
    </row>
    <row r="830" ht="15" customHeight="1">
      <c r="A830" t="inlineStr">
        <is>
          <t>A 48771-2021</t>
        </is>
      </c>
      <c r="B830" s="1" t="n">
        <v>44452</v>
      </c>
      <c r="C830" s="1" t="n">
        <v>45828</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49192-2021</t>
        </is>
      </c>
      <c r="B831" s="1" t="n">
        <v>44454</v>
      </c>
      <c r="C831" s="1" t="n">
        <v>45828</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49900-2021</t>
        </is>
      </c>
      <c r="B832" s="1" t="n">
        <v>44455</v>
      </c>
      <c r="C832" s="1" t="n">
        <v>45828</v>
      </c>
      <c r="D832" t="inlineStr">
        <is>
          <t>VÄRMLANDS LÄN</t>
        </is>
      </c>
      <c r="E832" t="inlineStr">
        <is>
          <t>TORSBY</t>
        </is>
      </c>
      <c r="G832" t="n">
        <v>4.1</v>
      </c>
      <c r="H832" t="n">
        <v>0</v>
      </c>
      <c r="I832" t="n">
        <v>0</v>
      </c>
      <c r="J832" t="n">
        <v>0</v>
      </c>
      <c r="K832" t="n">
        <v>0</v>
      </c>
      <c r="L832" t="n">
        <v>0</v>
      </c>
      <c r="M832" t="n">
        <v>0</v>
      </c>
      <c r="N832" t="n">
        <v>0</v>
      </c>
      <c r="O832" t="n">
        <v>0</v>
      </c>
      <c r="P832" t="n">
        <v>0</v>
      </c>
      <c r="Q832" t="n">
        <v>0</v>
      </c>
      <c r="R832" s="2" t="inlineStr"/>
    </row>
    <row r="833" ht="15" customHeight="1">
      <c r="A833" t="inlineStr">
        <is>
          <t>A 50100-2021</t>
        </is>
      </c>
      <c r="B833" s="1" t="n">
        <v>44456</v>
      </c>
      <c r="C833" s="1" t="n">
        <v>45828</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50596-2021</t>
        </is>
      </c>
      <c r="B834" s="1" t="n">
        <v>44459</v>
      </c>
      <c r="C834" s="1" t="n">
        <v>45828</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50549-2021</t>
        </is>
      </c>
      <c r="B835" s="1" t="n">
        <v>44459</v>
      </c>
      <c r="C835" s="1" t="n">
        <v>45828</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50988-2021</t>
        </is>
      </c>
      <c r="B836" s="1" t="n">
        <v>44460</v>
      </c>
      <c r="C836" s="1" t="n">
        <v>45828</v>
      </c>
      <c r="D836" t="inlineStr">
        <is>
          <t>VÄRMLANDS LÄN</t>
        </is>
      </c>
      <c r="E836" t="inlineStr">
        <is>
          <t>TORSBY</t>
        </is>
      </c>
      <c r="G836" t="n">
        <v>14.3</v>
      </c>
      <c r="H836" t="n">
        <v>0</v>
      </c>
      <c r="I836" t="n">
        <v>0</v>
      </c>
      <c r="J836" t="n">
        <v>0</v>
      </c>
      <c r="K836" t="n">
        <v>0</v>
      </c>
      <c r="L836" t="n">
        <v>0</v>
      </c>
      <c r="M836" t="n">
        <v>0</v>
      </c>
      <c r="N836" t="n">
        <v>0</v>
      </c>
      <c r="O836" t="n">
        <v>0</v>
      </c>
      <c r="P836" t="n">
        <v>0</v>
      </c>
      <c r="Q836" t="n">
        <v>0</v>
      </c>
      <c r="R836" s="2" t="inlineStr"/>
    </row>
    <row r="837" ht="15" customHeight="1">
      <c r="A837" t="inlineStr">
        <is>
          <t>A 51505-2021</t>
        </is>
      </c>
      <c r="B837" s="1" t="n">
        <v>44460</v>
      </c>
      <c r="C837" s="1" t="n">
        <v>45828</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51494-2021</t>
        </is>
      </c>
      <c r="B838" s="1" t="n">
        <v>44460</v>
      </c>
      <c r="C838" s="1" t="n">
        <v>45828</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51510-2021</t>
        </is>
      </c>
      <c r="B839" s="1" t="n">
        <v>44460</v>
      </c>
      <c r="C839" s="1" t="n">
        <v>45828</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51099-2021</t>
        </is>
      </c>
      <c r="B840" s="1" t="n">
        <v>44461</v>
      </c>
      <c r="C840" s="1" t="n">
        <v>45828</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51247-2021</t>
        </is>
      </c>
      <c r="B841" s="1" t="n">
        <v>44461</v>
      </c>
      <c r="C841" s="1" t="n">
        <v>45828</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51372-2021</t>
        </is>
      </c>
      <c r="B842" s="1" t="n">
        <v>44461</v>
      </c>
      <c r="C842" s="1" t="n">
        <v>45828</v>
      </c>
      <c r="D842" t="inlineStr">
        <is>
          <t>VÄRMLANDS LÄN</t>
        </is>
      </c>
      <c r="E842" t="inlineStr">
        <is>
          <t>TORSBY</t>
        </is>
      </c>
      <c r="F842" t="inlineStr">
        <is>
          <t>Bergvik skog väst AB</t>
        </is>
      </c>
      <c r="G842" t="n">
        <v>2.3</v>
      </c>
      <c r="H842" t="n">
        <v>0</v>
      </c>
      <c r="I842" t="n">
        <v>0</v>
      </c>
      <c r="J842" t="n">
        <v>0</v>
      </c>
      <c r="K842" t="n">
        <v>0</v>
      </c>
      <c r="L842" t="n">
        <v>0</v>
      </c>
      <c r="M842" t="n">
        <v>0</v>
      </c>
      <c r="N842" t="n">
        <v>0</v>
      </c>
      <c r="O842" t="n">
        <v>0</v>
      </c>
      <c r="P842" t="n">
        <v>0</v>
      </c>
      <c r="Q842" t="n">
        <v>0</v>
      </c>
      <c r="R842" s="2" t="inlineStr"/>
    </row>
    <row r="843" ht="15" customHeight="1">
      <c r="A843" t="inlineStr">
        <is>
          <t>A 51819-2021</t>
        </is>
      </c>
      <c r="B843" s="1" t="n">
        <v>44462</v>
      </c>
      <c r="C843" s="1" t="n">
        <v>45828</v>
      </c>
      <c r="D843" t="inlineStr">
        <is>
          <t>VÄRMLANDS LÄN</t>
        </is>
      </c>
      <c r="E843" t="inlineStr">
        <is>
          <t>TORSBY</t>
        </is>
      </c>
      <c r="F843" t="inlineStr">
        <is>
          <t>Bergvik skog väst AB</t>
        </is>
      </c>
      <c r="G843" t="n">
        <v>14.7</v>
      </c>
      <c r="H843" t="n">
        <v>0</v>
      </c>
      <c r="I843" t="n">
        <v>0</v>
      </c>
      <c r="J843" t="n">
        <v>0</v>
      </c>
      <c r="K843" t="n">
        <v>0</v>
      </c>
      <c r="L843" t="n">
        <v>0</v>
      </c>
      <c r="M843" t="n">
        <v>0</v>
      </c>
      <c r="N843" t="n">
        <v>0</v>
      </c>
      <c r="O843" t="n">
        <v>0</v>
      </c>
      <c r="P843" t="n">
        <v>0</v>
      </c>
      <c r="Q843" t="n">
        <v>0</v>
      </c>
      <c r="R843" s="2" t="inlineStr"/>
    </row>
    <row r="844" ht="15" customHeight="1">
      <c r="A844" t="inlineStr">
        <is>
          <t>A 51522-2021</t>
        </is>
      </c>
      <c r="B844" s="1" t="n">
        <v>44462</v>
      </c>
      <c r="C844" s="1" t="n">
        <v>45828</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52121-2021</t>
        </is>
      </c>
      <c r="B845" s="1" t="n">
        <v>44463</v>
      </c>
      <c r="C845" s="1" t="n">
        <v>45828</v>
      </c>
      <c r="D845" t="inlineStr">
        <is>
          <t>VÄRMLANDS LÄN</t>
        </is>
      </c>
      <c r="E845" t="inlineStr">
        <is>
          <t>TORSBY</t>
        </is>
      </c>
      <c r="G845" t="n">
        <v>0</v>
      </c>
      <c r="H845" t="n">
        <v>0</v>
      </c>
      <c r="I845" t="n">
        <v>0</v>
      </c>
      <c r="J845" t="n">
        <v>0</v>
      </c>
      <c r="K845" t="n">
        <v>0</v>
      </c>
      <c r="L845" t="n">
        <v>0</v>
      </c>
      <c r="M845" t="n">
        <v>0</v>
      </c>
      <c r="N845" t="n">
        <v>0</v>
      </c>
      <c r="O845" t="n">
        <v>0</v>
      </c>
      <c r="P845" t="n">
        <v>0</v>
      </c>
      <c r="Q845" t="n">
        <v>0</v>
      </c>
      <c r="R845" s="2" t="inlineStr"/>
    </row>
    <row r="846" ht="15" customHeight="1">
      <c r="A846" t="inlineStr">
        <is>
          <t>A 52520-2021</t>
        </is>
      </c>
      <c r="B846" s="1" t="n">
        <v>44466</v>
      </c>
      <c r="C846" s="1" t="n">
        <v>45828</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52728-2021</t>
        </is>
      </c>
      <c r="B847" s="1" t="n">
        <v>44467</v>
      </c>
      <c r="C847" s="1" t="n">
        <v>45828</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52900-2021</t>
        </is>
      </c>
      <c r="B848" s="1" t="n">
        <v>44467</v>
      </c>
      <c r="C848" s="1" t="n">
        <v>45828</v>
      </c>
      <c r="D848" t="inlineStr">
        <is>
          <t>VÄRMLANDS LÄN</t>
        </is>
      </c>
      <c r="E848" t="inlineStr">
        <is>
          <t>TORSBY</t>
        </is>
      </c>
      <c r="G848" t="n">
        <v>3.8</v>
      </c>
      <c r="H848" t="n">
        <v>0</v>
      </c>
      <c r="I848" t="n">
        <v>0</v>
      </c>
      <c r="J848" t="n">
        <v>0</v>
      </c>
      <c r="K848" t="n">
        <v>0</v>
      </c>
      <c r="L848" t="n">
        <v>0</v>
      </c>
      <c r="M848" t="n">
        <v>0</v>
      </c>
      <c r="N848" t="n">
        <v>0</v>
      </c>
      <c r="O848" t="n">
        <v>0</v>
      </c>
      <c r="P848" t="n">
        <v>0</v>
      </c>
      <c r="Q848" t="n">
        <v>0</v>
      </c>
      <c r="R848" s="2" t="inlineStr"/>
    </row>
    <row r="849" ht="15" customHeight="1">
      <c r="A849" t="inlineStr">
        <is>
          <t>A 53705-2021</t>
        </is>
      </c>
      <c r="B849" s="1" t="n">
        <v>44469</v>
      </c>
      <c r="C849" s="1" t="n">
        <v>45828</v>
      </c>
      <c r="D849" t="inlineStr">
        <is>
          <t>VÄRMLANDS LÄN</t>
        </is>
      </c>
      <c r="E849" t="inlineStr">
        <is>
          <t>TORSBY</t>
        </is>
      </c>
      <c r="F849" t="inlineStr">
        <is>
          <t>Kyrkan</t>
        </is>
      </c>
      <c r="G849" t="n">
        <v>12.4</v>
      </c>
      <c r="H849" t="n">
        <v>0</v>
      </c>
      <c r="I849" t="n">
        <v>0</v>
      </c>
      <c r="J849" t="n">
        <v>0</v>
      </c>
      <c r="K849" t="n">
        <v>0</v>
      </c>
      <c r="L849" t="n">
        <v>0</v>
      </c>
      <c r="M849" t="n">
        <v>0</v>
      </c>
      <c r="N849" t="n">
        <v>0</v>
      </c>
      <c r="O849" t="n">
        <v>0</v>
      </c>
      <c r="P849" t="n">
        <v>0</v>
      </c>
      <c r="Q849" t="n">
        <v>0</v>
      </c>
      <c r="R849" s="2" t="inlineStr"/>
    </row>
    <row r="850" ht="15" customHeight="1">
      <c r="A850" t="inlineStr">
        <is>
          <t>A 54029-2021</t>
        </is>
      </c>
      <c r="B850" s="1" t="n">
        <v>44470</v>
      </c>
      <c r="C850" s="1" t="n">
        <v>45828</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54033-2021</t>
        </is>
      </c>
      <c r="B851" s="1" t="n">
        <v>44470</v>
      </c>
      <c r="C851" s="1" t="n">
        <v>45828</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55794-2021</t>
        </is>
      </c>
      <c r="B852" s="1" t="n">
        <v>44476</v>
      </c>
      <c r="C852" s="1" t="n">
        <v>45828</v>
      </c>
      <c r="D852" t="inlineStr">
        <is>
          <t>VÄRMLANDS LÄN</t>
        </is>
      </c>
      <c r="E852" t="inlineStr">
        <is>
          <t>TORSBY</t>
        </is>
      </c>
      <c r="G852" t="n">
        <v>2.2</v>
      </c>
      <c r="H852" t="n">
        <v>0</v>
      </c>
      <c r="I852" t="n">
        <v>0</v>
      </c>
      <c r="J852" t="n">
        <v>0</v>
      </c>
      <c r="K852" t="n">
        <v>0</v>
      </c>
      <c r="L852" t="n">
        <v>0</v>
      </c>
      <c r="M852" t="n">
        <v>0</v>
      </c>
      <c r="N852" t="n">
        <v>0</v>
      </c>
      <c r="O852" t="n">
        <v>0</v>
      </c>
      <c r="P852" t="n">
        <v>0</v>
      </c>
      <c r="Q852" t="n">
        <v>0</v>
      </c>
      <c r="R852" s="2" t="inlineStr"/>
    </row>
    <row r="853" ht="15" customHeight="1">
      <c r="A853" t="inlineStr">
        <is>
          <t>A 55811-2021</t>
        </is>
      </c>
      <c r="B853" s="1" t="n">
        <v>44476</v>
      </c>
      <c r="C853" s="1" t="n">
        <v>45828</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45828</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56037-2021</t>
        </is>
      </c>
      <c r="B855" s="1" t="n">
        <v>44477</v>
      </c>
      <c r="C855" s="1" t="n">
        <v>45828</v>
      </c>
      <c r="D855" t="inlineStr">
        <is>
          <t>VÄRMLANDS LÄN</t>
        </is>
      </c>
      <c r="E855" t="inlineStr">
        <is>
          <t>TORSBY</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56062-2021</t>
        </is>
      </c>
      <c r="B856" s="1" t="n">
        <v>44477</v>
      </c>
      <c r="C856" s="1" t="n">
        <v>45828</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56981-2021</t>
        </is>
      </c>
      <c r="B857" s="1" t="n">
        <v>44482</v>
      </c>
      <c r="C857" s="1" t="n">
        <v>45828</v>
      </c>
      <c r="D857" t="inlineStr">
        <is>
          <t>VÄRMLANDS LÄN</t>
        </is>
      </c>
      <c r="E857" t="inlineStr">
        <is>
          <t>TORSBY</t>
        </is>
      </c>
      <c r="G857" t="n">
        <v>2.2</v>
      </c>
      <c r="H857" t="n">
        <v>0</v>
      </c>
      <c r="I857" t="n">
        <v>0</v>
      </c>
      <c r="J857" t="n">
        <v>0</v>
      </c>
      <c r="K857" t="n">
        <v>0</v>
      </c>
      <c r="L857" t="n">
        <v>0</v>
      </c>
      <c r="M857" t="n">
        <v>0</v>
      </c>
      <c r="N857" t="n">
        <v>0</v>
      </c>
      <c r="O857" t="n">
        <v>0</v>
      </c>
      <c r="P857" t="n">
        <v>0</v>
      </c>
      <c r="Q857" t="n">
        <v>0</v>
      </c>
      <c r="R857" s="2" t="inlineStr"/>
    </row>
    <row r="858" ht="15" customHeight="1">
      <c r="A858" t="inlineStr">
        <is>
          <t>A 57287-2021</t>
        </is>
      </c>
      <c r="B858" s="1" t="n">
        <v>44482</v>
      </c>
      <c r="C858" s="1" t="n">
        <v>45828</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58062-2021</t>
        </is>
      </c>
      <c r="B859" s="1" t="n">
        <v>44487</v>
      </c>
      <c r="C859" s="1" t="n">
        <v>45828</v>
      </c>
      <c r="D859" t="inlineStr">
        <is>
          <t>VÄRMLANDS LÄN</t>
        </is>
      </c>
      <c r="E859" t="inlineStr">
        <is>
          <t>TORSBY</t>
        </is>
      </c>
      <c r="G859" t="n">
        <v>6</v>
      </c>
      <c r="H859" t="n">
        <v>0</v>
      </c>
      <c r="I859" t="n">
        <v>0</v>
      </c>
      <c r="J859" t="n">
        <v>0</v>
      </c>
      <c r="K859" t="n">
        <v>0</v>
      </c>
      <c r="L859" t="n">
        <v>0</v>
      </c>
      <c r="M859" t="n">
        <v>0</v>
      </c>
      <c r="N859" t="n">
        <v>0</v>
      </c>
      <c r="O859" t="n">
        <v>0</v>
      </c>
      <c r="P859" t="n">
        <v>0</v>
      </c>
      <c r="Q859" t="n">
        <v>0</v>
      </c>
      <c r="R859" s="2" t="inlineStr"/>
    </row>
    <row r="860" ht="15" customHeight="1">
      <c r="A860" t="inlineStr">
        <is>
          <t>A 58479-2021</t>
        </is>
      </c>
      <c r="B860" s="1" t="n">
        <v>44488</v>
      </c>
      <c r="C860" s="1" t="n">
        <v>45828</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58476-2021</t>
        </is>
      </c>
      <c r="B861" s="1" t="n">
        <v>44488</v>
      </c>
      <c r="C861" s="1" t="n">
        <v>45828</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58543-2021</t>
        </is>
      </c>
      <c r="B862" s="1" t="n">
        <v>44488</v>
      </c>
      <c r="C862" s="1" t="n">
        <v>45828</v>
      </c>
      <c r="D862" t="inlineStr">
        <is>
          <t>VÄRMLANDS LÄN</t>
        </is>
      </c>
      <c r="E862" t="inlineStr">
        <is>
          <t>TORSBY</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58728-2021</t>
        </is>
      </c>
      <c r="B863" s="1" t="n">
        <v>44489</v>
      </c>
      <c r="C863" s="1" t="n">
        <v>45828</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59425-2021</t>
        </is>
      </c>
      <c r="B864" s="1" t="n">
        <v>44491</v>
      </c>
      <c r="C864" s="1" t="n">
        <v>45828</v>
      </c>
      <c r="D864" t="inlineStr">
        <is>
          <t>VÄRMLANDS LÄN</t>
        </is>
      </c>
      <c r="E864" t="inlineStr">
        <is>
          <t>TORSBY</t>
        </is>
      </c>
      <c r="F864" t="inlineStr">
        <is>
          <t>Bergvik skog väst AB</t>
        </is>
      </c>
      <c r="G864" t="n">
        <v>14.9</v>
      </c>
      <c r="H864" t="n">
        <v>0</v>
      </c>
      <c r="I864" t="n">
        <v>0</v>
      </c>
      <c r="J864" t="n">
        <v>0</v>
      </c>
      <c r="K864" t="n">
        <v>0</v>
      </c>
      <c r="L864" t="n">
        <v>0</v>
      </c>
      <c r="M864" t="n">
        <v>0</v>
      </c>
      <c r="N864" t="n">
        <v>0</v>
      </c>
      <c r="O864" t="n">
        <v>0</v>
      </c>
      <c r="P864" t="n">
        <v>0</v>
      </c>
      <c r="Q864" t="n">
        <v>0</v>
      </c>
      <c r="R864" s="2" t="inlineStr"/>
    </row>
    <row r="865" ht="15" customHeight="1">
      <c r="A865" t="inlineStr">
        <is>
          <t>A 60428-2021</t>
        </is>
      </c>
      <c r="B865" s="1" t="n">
        <v>44496</v>
      </c>
      <c r="C865" s="1" t="n">
        <v>45828</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60430-2021</t>
        </is>
      </c>
      <c r="B866" s="1" t="n">
        <v>44496</v>
      </c>
      <c r="C866" s="1" t="n">
        <v>45828</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60698-2021</t>
        </is>
      </c>
      <c r="B867" s="1" t="n">
        <v>44496</v>
      </c>
      <c r="C867" s="1" t="n">
        <v>45828</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61231-2021</t>
        </is>
      </c>
      <c r="B868" s="1" t="n">
        <v>44496</v>
      </c>
      <c r="C868" s="1" t="n">
        <v>45828</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61812-2021</t>
        </is>
      </c>
      <c r="B869" s="1" t="n">
        <v>44501</v>
      </c>
      <c r="C869" s="1" t="n">
        <v>45828</v>
      </c>
      <c r="D869" t="inlineStr">
        <is>
          <t>VÄRMLANDS LÄN</t>
        </is>
      </c>
      <c r="E869" t="inlineStr">
        <is>
          <t>TORSBY</t>
        </is>
      </c>
      <c r="G869" t="n">
        <v>5.3</v>
      </c>
      <c r="H869" t="n">
        <v>0</v>
      </c>
      <c r="I869" t="n">
        <v>0</v>
      </c>
      <c r="J869" t="n">
        <v>0</v>
      </c>
      <c r="K869" t="n">
        <v>0</v>
      </c>
      <c r="L869" t="n">
        <v>0</v>
      </c>
      <c r="M869" t="n">
        <v>0</v>
      </c>
      <c r="N869" t="n">
        <v>0</v>
      </c>
      <c r="O869" t="n">
        <v>0</v>
      </c>
      <c r="P869" t="n">
        <v>0</v>
      </c>
      <c r="Q869" t="n">
        <v>0</v>
      </c>
      <c r="R869" s="2" t="inlineStr"/>
    </row>
    <row r="870" ht="15" customHeight="1">
      <c r="A870" t="inlineStr">
        <is>
          <t>A 61809-2021</t>
        </is>
      </c>
      <c r="B870" s="1" t="n">
        <v>44501</v>
      </c>
      <c r="C870" s="1" t="n">
        <v>45828</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62045-2021</t>
        </is>
      </c>
      <c r="B871" s="1" t="n">
        <v>44502</v>
      </c>
      <c r="C871" s="1" t="n">
        <v>45828</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62039-2021</t>
        </is>
      </c>
      <c r="B872" s="1" t="n">
        <v>44502</v>
      </c>
      <c r="C872" s="1" t="n">
        <v>45828</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62576-2021</t>
        </is>
      </c>
      <c r="B873" s="1" t="n">
        <v>44502</v>
      </c>
      <c r="C873" s="1" t="n">
        <v>45828</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62845-2021</t>
        </is>
      </c>
      <c r="B874" s="1" t="n">
        <v>44504</v>
      </c>
      <c r="C874" s="1" t="n">
        <v>45828</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63251-2021</t>
        </is>
      </c>
      <c r="B875" s="1" t="n">
        <v>44508</v>
      </c>
      <c r="C875" s="1" t="n">
        <v>45828</v>
      </c>
      <c r="D875" t="inlineStr">
        <is>
          <t>VÄRMLANDS LÄN</t>
        </is>
      </c>
      <c r="E875" t="inlineStr">
        <is>
          <t>TORSBY</t>
        </is>
      </c>
      <c r="G875" t="n">
        <v>0.7</v>
      </c>
      <c r="H875" t="n">
        <v>0</v>
      </c>
      <c r="I875" t="n">
        <v>0</v>
      </c>
      <c r="J875" t="n">
        <v>0</v>
      </c>
      <c r="K875" t="n">
        <v>0</v>
      </c>
      <c r="L875" t="n">
        <v>0</v>
      </c>
      <c r="M875" t="n">
        <v>0</v>
      </c>
      <c r="N875" t="n">
        <v>0</v>
      </c>
      <c r="O875" t="n">
        <v>0</v>
      </c>
      <c r="P875" t="n">
        <v>0</v>
      </c>
      <c r="Q875" t="n">
        <v>0</v>
      </c>
      <c r="R875" s="2" t="inlineStr"/>
    </row>
    <row r="876" ht="15" customHeight="1">
      <c r="A876" t="inlineStr">
        <is>
          <t>A 63527-2021</t>
        </is>
      </c>
      <c r="B876" s="1" t="n">
        <v>44508</v>
      </c>
      <c r="C876" s="1" t="n">
        <v>45828</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64780-2021</t>
        </is>
      </c>
      <c r="B877" s="1" t="n">
        <v>44512</v>
      </c>
      <c r="C877" s="1" t="n">
        <v>45828</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64902-2021</t>
        </is>
      </c>
      <c r="B878" s="1" t="n">
        <v>44512</v>
      </c>
      <c r="C878" s="1" t="n">
        <v>45828</v>
      </c>
      <c r="D878" t="inlineStr">
        <is>
          <t>VÄRMLANDS LÄN</t>
        </is>
      </c>
      <c r="E878" t="inlineStr">
        <is>
          <t>TORSBY</t>
        </is>
      </c>
      <c r="G878" t="n">
        <v>6.1</v>
      </c>
      <c r="H878" t="n">
        <v>0</v>
      </c>
      <c r="I878" t="n">
        <v>0</v>
      </c>
      <c r="J878" t="n">
        <v>0</v>
      </c>
      <c r="K878" t="n">
        <v>0</v>
      </c>
      <c r="L878" t="n">
        <v>0</v>
      </c>
      <c r="M878" t="n">
        <v>0</v>
      </c>
      <c r="N878" t="n">
        <v>0</v>
      </c>
      <c r="O878" t="n">
        <v>0</v>
      </c>
      <c r="P878" t="n">
        <v>0</v>
      </c>
      <c r="Q878" t="n">
        <v>0</v>
      </c>
      <c r="R878" s="2" t="inlineStr"/>
    </row>
    <row r="879" ht="15" customHeight="1">
      <c r="A879" t="inlineStr">
        <is>
          <t>A 65182-2021</t>
        </is>
      </c>
      <c r="B879" s="1" t="n">
        <v>44515</v>
      </c>
      <c r="C879" s="1" t="n">
        <v>45828</v>
      </c>
      <c r="D879" t="inlineStr">
        <is>
          <t>VÄRMLANDS LÄN</t>
        </is>
      </c>
      <c r="E879" t="inlineStr">
        <is>
          <t>TORSBY</t>
        </is>
      </c>
      <c r="G879" t="n">
        <v>5.9</v>
      </c>
      <c r="H879" t="n">
        <v>0</v>
      </c>
      <c r="I879" t="n">
        <v>0</v>
      </c>
      <c r="J879" t="n">
        <v>0</v>
      </c>
      <c r="K879" t="n">
        <v>0</v>
      </c>
      <c r="L879" t="n">
        <v>0</v>
      </c>
      <c r="M879" t="n">
        <v>0</v>
      </c>
      <c r="N879" t="n">
        <v>0</v>
      </c>
      <c r="O879" t="n">
        <v>0</v>
      </c>
      <c r="P879" t="n">
        <v>0</v>
      </c>
      <c r="Q879" t="n">
        <v>0</v>
      </c>
      <c r="R879" s="2" t="inlineStr"/>
    </row>
    <row r="880" ht="15" customHeight="1">
      <c r="A880" t="inlineStr">
        <is>
          <t>A 65301-2021</t>
        </is>
      </c>
      <c r="B880" s="1" t="n">
        <v>44515</v>
      </c>
      <c r="C880" s="1" t="n">
        <v>45828</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65537-2021</t>
        </is>
      </c>
      <c r="B881" s="1" t="n">
        <v>44516</v>
      </c>
      <c r="C881" s="1" t="n">
        <v>45828</v>
      </c>
      <c r="D881" t="inlineStr">
        <is>
          <t>VÄRMLANDS LÄN</t>
        </is>
      </c>
      <c r="E881" t="inlineStr">
        <is>
          <t>TORSBY</t>
        </is>
      </c>
      <c r="G881" t="n">
        <v>2.8</v>
      </c>
      <c r="H881" t="n">
        <v>0</v>
      </c>
      <c r="I881" t="n">
        <v>0</v>
      </c>
      <c r="J881" t="n">
        <v>0</v>
      </c>
      <c r="K881" t="n">
        <v>0</v>
      </c>
      <c r="L881" t="n">
        <v>0</v>
      </c>
      <c r="M881" t="n">
        <v>0</v>
      </c>
      <c r="N881" t="n">
        <v>0</v>
      </c>
      <c r="O881" t="n">
        <v>0</v>
      </c>
      <c r="P881" t="n">
        <v>0</v>
      </c>
      <c r="Q881" t="n">
        <v>0</v>
      </c>
      <c r="R881" s="2" t="inlineStr"/>
    </row>
    <row r="882" ht="15" customHeight="1">
      <c r="A882" t="inlineStr">
        <is>
          <t>A 65713-2021</t>
        </is>
      </c>
      <c r="B882" s="1" t="n">
        <v>44516</v>
      </c>
      <c r="C882" s="1" t="n">
        <v>45828</v>
      </c>
      <c r="D882" t="inlineStr">
        <is>
          <t>VÄRMLANDS LÄN</t>
        </is>
      </c>
      <c r="E882" t="inlineStr">
        <is>
          <t>TORSBY</t>
        </is>
      </c>
      <c r="G882" t="n">
        <v>7</v>
      </c>
      <c r="H882" t="n">
        <v>0</v>
      </c>
      <c r="I882" t="n">
        <v>0</v>
      </c>
      <c r="J882" t="n">
        <v>0</v>
      </c>
      <c r="K882" t="n">
        <v>0</v>
      </c>
      <c r="L882" t="n">
        <v>0</v>
      </c>
      <c r="M882" t="n">
        <v>0</v>
      </c>
      <c r="N882" t="n">
        <v>0</v>
      </c>
      <c r="O882" t="n">
        <v>0</v>
      </c>
      <c r="P882" t="n">
        <v>0</v>
      </c>
      <c r="Q882" t="n">
        <v>0</v>
      </c>
      <c r="R882" s="2" t="inlineStr"/>
    </row>
    <row r="883" ht="15" customHeight="1">
      <c r="A883" t="inlineStr">
        <is>
          <t>A 65705-2021</t>
        </is>
      </c>
      <c r="B883" s="1" t="n">
        <v>44516</v>
      </c>
      <c r="C883" s="1" t="n">
        <v>45828</v>
      </c>
      <c r="D883" t="inlineStr">
        <is>
          <t>VÄRMLANDS LÄN</t>
        </is>
      </c>
      <c r="E883" t="inlineStr">
        <is>
          <t>TORSBY</t>
        </is>
      </c>
      <c r="G883" t="n">
        <v>4.5</v>
      </c>
      <c r="H883" t="n">
        <v>0</v>
      </c>
      <c r="I883" t="n">
        <v>0</v>
      </c>
      <c r="J883" t="n">
        <v>0</v>
      </c>
      <c r="K883" t="n">
        <v>0</v>
      </c>
      <c r="L883" t="n">
        <v>0</v>
      </c>
      <c r="M883" t="n">
        <v>0</v>
      </c>
      <c r="N883" t="n">
        <v>0</v>
      </c>
      <c r="O883" t="n">
        <v>0</v>
      </c>
      <c r="P883" t="n">
        <v>0</v>
      </c>
      <c r="Q883" t="n">
        <v>0</v>
      </c>
      <c r="R883" s="2" t="inlineStr"/>
    </row>
    <row r="884" ht="15" customHeight="1">
      <c r="A884" t="inlineStr">
        <is>
          <t>A 65959-2021</t>
        </is>
      </c>
      <c r="B884" s="1" t="n">
        <v>44517</v>
      </c>
      <c r="C884" s="1" t="n">
        <v>45828</v>
      </c>
      <c r="D884" t="inlineStr">
        <is>
          <t>VÄRMLANDS LÄN</t>
        </is>
      </c>
      <c r="E884" t="inlineStr">
        <is>
          <t>TORSBY</t>
        </is>
      </c>
      <c r="G884" t="n">
        <v>3.3</v>
      </c>
      <c r="H884" t="n">
        <v>0</v>
      </c>
      <c r="I884" t="n">
        <v>0</v>
      </c>
      <c r="J884" t="n">
        <v>0</v>
      </c>
      <c r="K884" t="n">
        <v>0</v>
      </c>
      <c r="L884" t="n">
        <v>0</v>
      </c>
      <c r="M884" t="n">
        <v>0</v>
      </c>
      <c r="N884" t="n">
        <v>0</v>
      </c>
      <c r="O884" t="n">
        <v>0</v>
      </c>
      <c r="P884" t="n">
        <v>0</v>
      </c>
      <c r="Q884" t="n">
        <v>0</v>
      </c>
      <c r="R884" s="2" t="inlineStr"/>
    </row>
    <row r="885" ht="15" customHeight="1">
      <c r="A885" t="inlineStr">
        <is>
          <t>A 65998-2021</t>
        </is>
      </c>
      <c r="B885" s="1" t="n">
        <v>44517</v>
      </c>
      <c r="C885" s="1" t="n">
        <v>45828</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66103-2021</t>
        </is>
      </c>
      <c r="B886" s="1" t="n">
        <v>44517</v>
      </c>
      <c r="C886" s="1" t="n">
        <v>45828</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66133-2021</t>
        </is>
      </c>
      <c r="B887" s="1" t="n">
        <v>44517</v>
      </c>
      <c r="C887" s="1" t="n">
        <v>45828</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66978-2021</t>
        </is>
      </c>
      <c r="B888" s="1" t="n">
        <v>44522</v>
      </c>
      <c r="C888" s="1" t="n">
        <v>45828</v>
      </c>
      <c r="D888" t="inlineStr">
        <is>
          <t>VÄRMLANDS LÄN</t>
        </is>
      </c>
      <c r="E888" t="inlineStr">
        <is>
          <t>TORSBY</t>
        </is>
      </c>
      <c r="F888" t="inlineStr">
        <is>
          <t>Kommuner</t>
        </is>
      </c>
      <c r="G888" t="n">
        <v>1</v>
      </c>
      <c r="H888" t="n">
        <v>0</v>
      </c>
      <c r="I888" t="n">
        <v>0</v>
      </c>
      <c r="J888" t="n">
        <v>0</v>
      </c>
      <c r="K888" t="n">
        <v>0</v>
      </c>
      <c r="L888" t="n">
        <v>0</v>
      </c>
      <c r="M888" t="n">
        <v>0</v>
      </c>
      <c r="N888" t="n">
        <v>0</v>
      </c>
      <c r="O888" t="n">
        <v>0</v>
      </c>
      <c r="P888" t="n">
        <v>0</v>
      </c>
      <c r="Q888" t="n">
        <v>0</v>
      </c>
      <c r="R888" s="2" t="inlineStr"/>
    </row>
    <row r="889" ht="15" customHeight="1">
      <c r="A889" t="inlineStr">
        <is>
          <t>A 67006-2021</t>
        </is>
      </c>
      <c r="B889" s="1" t="n">
        <v>44522</v>
      </c>
      <c r="C889" s="1" t="n">
        <v>45828</v>
      </c>
      <c r="D889" t="inlineStr">
        <is>
          <t>VÄRMLANDS LÄN</t>
        </is>
      </c>
      <c r="E889" t="inlineStr">
        <is>
          <t>TORSBY</t>
        </is>
      </c>
      <c r="F889" t="inlineStr">
        <is>
          <t>Kommuner</t>
        </is>
      </c>
      <c r="G889" t="n">
        <v>4.4</v>
      </c>
      <c r="H889" t="n">
        <v>0</v>
      </c>
      <c r="I889" t="n">
        <v>0</v>
      </c>
      <c r="J889" t="n">
        <v>0</v>
      </c>
      <c r="K889" t="n">
        <v>0</v>
      </c>
      <c r="L889" t="n">
        <v>0</v>
      </c>
      <c r="M889" t="n">
        <v>0</v>
      </c>
      <c r="N889" t="n">
        <v>0</v>
      </c>
      <c r="O889" t="n">
        <v>0</v>
      </c>
      <c r="P889" t="n">
        <v>0</v>
      </c>
      <c r="Q889" t="n">
        <v>0</v>
      </c>
      <c r="R889" s="2" t="inlineStr"/>
    </row>
    <row r="890" ht="15" customHeight="1">
      <c r="A890" t="inlineStr">
        <is>
          <t>A 67147-2021</t>
        </is>
      </c>
      <c r="B890" s="1" t="n">
        <v>44523</v>
      </c>
      <c r="C890" s="1" t="n">
        <v>45828</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67172-2021</t>
        </is>
      </c>
      <c r="B891" s="1" t="n">
        <v>44523</v>
      </c>
      <c r="C891" s="1" t="n">
        <v>45828</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67567-2021</t>
        </is>
      </c>
      <c r="B892" s="1" t="n">
        <v>44524</v>
      </c>
      <c r="C892" s="1" t="n">
        <v>45828</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67457-2021</t>
        </is>
      </c>
      <c r="B893" s="1" t="n">
        <v>44524</v>
      </c>
      <c r="C893" s="1" t="n">
        <v>45828</v>
      </c>
      <c r="D893" t="inlineStr">
        <is>
          <t>VÄRMLANDS LÄN</t>
        </is>
      </c>
      <c r="E893" t="inlineStr">
        <is>
          <t>TORSBY</t>
        </is>
      </c>
      <c r="G893" t="n">
        <v>7.6</v>
      </c>
      <c r="H893" t="n">
        <v>0</v>
      </c>
      <c r="I893" t="n">
        <v>0</v>
      </c>
      <c r="J893" t="n">
        <v>0</v>
      </c>
      <c r="K893" t="n">
        <v>0</v>
      </c>
      <c r="L893" t="n">
        <v>0</v>
      </c>
      <c r="M893" t="n">
        <v>0</v>
      </c>
      <c r="N893" t="n">
        <v>0</v>
      </c>
      <c r="O893" t="n">
        <v>0</v>
      </c>
      <c r="P893" t="n">
        <v>0</v>
      </c>
      <c r="Q893" t="n">
        <v>0</v>
      </c>
      <c r="R893" s="2" t="inlineStr"/>
    </row>
    <row r="894" ht="15" customHeight="1">
      <c r="A894" t="inlineStr">
        <is>
          <t>A 67933-2021</t>
        </is>
      </c>
      <c r="B894" s="1" t="n">
        <v>44525</v>
      </c>
      <c r="C894" s="1" t="n">
        <v>45828</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67913-2021</t>
        </is>
      </c>
      <c r="B895" s="1" t="n">
        <v>44525</v>
      </c>
      <c r="C895" s="1" t="n">
        <v>45828</v>
      </c>
      <c r="D895" t="inlineStr">
        <is>
          <t>VÄRMLANDS LÄN</t>
        </is>
      </c>
      <c r="E895" t="inlineStr">
        <is>
          <t>TORSBY</t>
        </is>
      </c>
      <c r="F895" t="inlineStr">
        <is>
          <t>Bergvik skog väst AB</t>
        </is>
      </c>
      <c r="G895" t="n">
        <v>8</v>
      </c>
      <c r="H895" t="n">
        <v>0</v>
      </c>
      <c r="I895" t="n">
        <v>0</v>
      </c>
      <c r="J895" t="n">
        <v>0</v>
      </c>
      <c r="K895" t="n">
        <v>0</v>
      </c>
      <c r="L895" t="n">
        <v>0</v>
      </c>
      <c r="M895" t="n">
        <v>0</v>
      </c>
      <c r="N895" t="n">
        <v>0</v>
      </c>
      <c r="O895" t="n">
        <v>0</v>
      </c>
      <c r="P895" t="n">
        <v>0</v>
      </c>
      <c r="Q895" t="n">
        <v>0</v>
      </c>
      <c r="R895" s="2" t="inlineStr"/>
    </row>
    <row r="896" ht="15" customHeight="1">
      <c r="A896" t="inlineStr">
        <is>
          <t>A 69279-2021</t>
        </is>
      </c>
      <c r="B896" s="1" t="n">
        <v>44526</v>
      </c>
      <c r="C896" s="1" t="n">
        <v>45828</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69265-2021</t>
        </is>
      </c>
      <c r="B897" s="1" t="n">
        <v>44526</v>
      </c>
      <c r="C897" s="1" t="n">
        <v>45828</v>
      </c>
      <c r="D897" t="inlineStr">
        <is>
          <t>VÄRMLANDS LÄN</t>
        </is>
      </c>
      <c r="E897" t="inlineStr">
        <is>
          <t>TORSBY</t>
        </is>
      </c>
      <c r="G897" t="n">
        <v>11.1</v>
      </c>
      <c r="H897" t="n">
        <v>0</v>
      </c>
      <c r="I897" t="n">
        <v>0</v>
      </c>
      <c r="J897" t="n">
        <v>0</v>
      </c>
      <c r="K897" t="n">
        <v>0</v>
      </c>
      <c r="L897" t="n">
        <v>0</v>
      </c>
      <c r="M897" t="n">
        <v>0</v>
      </c>
      <c r="N897" t="n">
        <v>0</v>
      </c>
      <c r="O897" t="n">
        <v>0</v>
      </c>
      <c r="P897" t="n">
        <v>0</v>
      </c>
      <c r="Q897" t="n">
        <v>0</v>
      </c>
      <c r="R897" s="2" t="inlineStr"/>
    </row>
    <row r="898" ht="15" customHeight="1">
      <c r="A898" t="inlineStr">
        <is>
          <t>A 69275-2021</t>
        </is>
      </c>
      <c r="B898" s="1" t="n">
        <v>44526</v>
      </c>
      <c r="C898" s="1" t="n">
        <v>45828</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68153-2021</t>
        </is>
      </c>
      <c r="B899" s="1" t="n">
        <v>44526</v>
      </c>
      <c r="C899" s="1" t="n">
        <v>45828</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69281-2021</t>
        </is>
      </c>
      <c r="B900" s="1" t="n">
        <v>44526</v>
      </c>
      <c r="C900" s="1" t="n">
        <v>45828</v>
      </c>
      <c r="D900" t="inlineStr">
        <is>
          <t>VÄRMLANDS LÄN</t>
        </is>
      </c>
      <c r="E900" t="inlineStr">
        <is>
          <t>TORSBY</t>
        </is>
      </c>
      <c r="G900" t="n">
        <v>7.5</v>
      </c>
      <c r="H900" t="n">
        <v>0</v>
      </c>
      <c r="I900" t="n">
        <v>0</v>
      </c>
      <c r="J900" t="n">
        <v>0</v>
      </c>
      <c r="K900" t="n">
        <v>0</v>
      </c>
      <c r="L900" t="n">
        <v>0</v>
      </c>
      <c r="M900" t="n">
        <v>0</v>
      </c>
      <c r="N900" t="n">
        <v>0</v>
      </c>
      <c r="O900" t="n">
        <v>0</v>
      </c>
      <c r="P900" t="n">
        <v>0</v>
      </c>
      <c r="Q900" t="n">
        <v>0</v>
      </c>
      <c r="R900" s="2" t="inlineStr"/>
    </row>
    <row r="901" ht="15" customHeight="1">
      <c r="A901" t="inlineStr">
        <is>
          <t>A 68266-2021</t>
        </is>
      </c>
      <c r="B901" s="1" t="n">
        <v>44526</v>
      </c>
      <c r="C901" s="1" t="n">
        <v>45828</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68136-2021</t>
        </is>
      </c>
      <c r="B902" s="1" t="n">
        <v>44526</v>
      </c>
      <c r="C902" s="1" t="n">
        <v>45828</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68650-2021</t>
        </is>
      </c>
      <c r="B903" s="1" t="n">
        <v>44529</v>
      </c>
      <c r="C903" s="1" t="n">
        <v>45828</v>
      </c>
      <c r="D903" t="inlineStr">
        <is>
          <t>VÄRMLANDS LÄN</t>
        </is>
      </c>
      <c r="E903" t="inlineStr">
        <is>
          <t>TORSBY</t>
        </is>
      </c>
      <c r="F903" t="inlineStr">
        <is>
          <t>Bergvik skog väst AB</t>
        </is>
      </c>
      <c r="G903" t="n">
        <v>8.6</v>
      </c>
      <c r="H903" t="n">
        <v>0</v>
      </c>
      <c r="I903" t="n">
        <v>0</v>
      </c>
      <c r="J903" t="n">
        <v>0</v>
      </c>
      <c r="K903" t="n">
        <v>0</v>
      </c>
      <c r="L903" t="n">
        <v>0</v>
      </c>
      <c r="M903" t="n">
        <v>0</v>
      </c>
      <c r="N903" t="n">
        <v>0</v>
      </c>
      <c r="O903" t="n">
        <v>0</v>
      </c>
      <c r="P903" t="n">
        <v>0</v>
      </c>
      <c r="Q903" t="n">
        <v>0</v>
      </c>
      <c r="R903" s="2" t="inlineStr"/>
    </row>
    <row r="904" ht="15" customHeight="1">
      <c r="A904" t="inlineStr">
        <is>
          <t>A 68850-2021</t>
        </is>
      </c>
      <c r="B904" s="1" t="n">
        <v>44530</v>
      </c>
      <c r="C904" s="1" t="n">
        <v>45828</v>
      </c>
      <c r="D904" t="inlineStr">
        <is>
          <t>VÄRMLANDS LÄN</t>
        </is>
      </c>
      <c r="E904" t="inlineStr">
        <is>
          <t>TORSBY</t>
        </is>
      </c>
      <c r="G904" t="n">
        <v>13.1</v>
      </c>
      <c r="H904" t="n">
        <v>0</v>
      </c>
      <c r="I904" t="n">
        <v>0</v>
      </c>
      <c r="J904" t="n">
        <v>0</v>
      </c>
      <c r="K904" t="n">
        <v>0</v>
      </c>
      <c r="L904" t="n">
        <v>0</v>
      </c>
      <c r="M904" t="n">
        <v>0</v>
      </c>
      <c r="N904" t="n">
        <v>0</v>
      </c>
      <c r="O904" t="n">
        <v>0</v>
      </c>
      <c r="P904" t="n">
        <v>0</v>
      </c>
      <c r="Q904" t="n">
        <v>0</v>
      </c>
      <c r="R904" s="2" t="inlineStr"/>
    </row>
    <row r="905" ht="15" customHeight="1">
      <c r="A905" t="inlineStr">
        <is>
          <t>A 68855-2021</t>
        </is>
      </c>
      <c r="B905" s="1" t="n">
        <v>44530</v>
      </c>
      <c r="C905" s="1" t="n">
        <v>45828</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69026-2021</t>
        </is>
      </c>
      <c r="B906" s="1" t="n">
        <v>44530</v>
      </c>
      <c r="C906" s="1" t="n">
        <v>45828</v>
      </c>
      <c r="D906" t="inlineStr">
        <is>
          <t>VÄRMLANDS LÄN</t>
        </is>
      </c>
      <c r="E906" t="inlineStr">
        <is>
          <t>TORSBY</t>
        </is>
      </c>
      <c r="F906" t="inlineStr">
        <is>
          <t>Bergvik skog väst AB</t>
        </is>
      </c>
      <c r="G906" t="n">
        <v>11.3</v>
      </c>
      <c r="H906" t="n">
        <v>0</v>
      </c>
      <c r="I906" t="n">
        <v>0</v>
      </c>
      <c r="J906" t="n">
        <v>0</v>
      </c>
      <c r="K906" t="n">
        <v>0</v>
      </c>
      <c r="L906" t="n">
        <v>0</v>
      </c>
      <c r="M906" t="n">
        <v>0</v>
      </c>
      <c r="N906" t="n">
        <v>0</v>
      </c>
      <c r="O906" t="n">
        <v>0</v>
      </c>
      <c r="P906" t="n">
        <v>0</v>
      </c>
      <c r="Q906" t="n">
        <v>0</v>
      </c>
      <c r="R906" s="2" t="inlineStr"/>
    </row>
    <row r="907" ht="15" customHeight="1">
      <c r="A907" t="inlineStr">
        <is>
          <t>A 69086-2021</t>
        </is>
      </c>
      <c r="B907" s="1" t="n">
        <v>44530</v>
      </c>
      <c r="C907" s="1" t="n">
        <v>45828</v>
      </c>
      <c r="D907" t="inlineStr">
        <is>
          <t>VÄRMLANDS LÄN</t>
        </is>
      </c>
      <c r="E907" t="inlineStr">
        <is>
          <t>TORSBY</t>
        </is>
      </c>
      <c r="F907" t="inlineStr">
        <is>
          <t>Bergvik skog väst AB</t>
        </is>
      </c>
      <c r="G907" t="n">
        <v>3.3</v>
      </c>
      <c r="H907" t="n">
        <v>0</v>
      </c>
      <c r="I907" t="n">
        <v>0</v>
      </c>
      <c r="J907" t="n">
        <v>0</v>
      </c>
      <c r="K907" t="n">
        <v>0</v>
      </c>
      <c r="L907" t="n">
        <v>0</v>
      </c>
      <c r="M907" t="n">
        <v>0</v>
      </c>
      <c r="N907" t="n">
        <v>0</v>
      </c>
      <c r="O907" t="n">
        <v>0</v>
      </c>
      <c r="P907" t="n">
        <v>0</v>
      </c>
      <c r="Q907" t="n">
        <v>0</v>
      </c>
      <c r="R907" s="2" t="inlineStr"/>
    </row>
    <row r="908" ht="15" customHeight="1">
      <c r="A908" t="inlineStr">
        <is>
          <t>A 69877-2021</t>
        </is>
      </c>
      <c r="B908" s="1" t="n">
        <v>44532</v>
      </c>
      <c r="C908" s="1" t="n">
        <v>45828</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69878-2021</t>
        </is>
      </c>
      <c r="B909" s="1" t="n">
        <v>44532</v>
      </c>
      <c r="C909" s="1" t="n">
        <v>45828</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70166-2021</t>
        </is>
      </c>
      <c r="B910" s="1" t="n">
        <v>44533</v>
      </c>
      <c r="C910" s="1" t="n">
        <v>45828</v>
      </c>
      <c r="D910" t="inlineStr">
        <is>
          <t>VÄRMLANDS LÄN</t>
        </is>
      </c>
      <c r="E910" t="inlineStr">
        <is>
          <t>TORSBY</t>
        </is>
      </c>
      <c r="F910" t="inlineStr">
        <is>
          <t>Kommuner</t>
        </is>
      </c>
      <c r="G910" t="n">
        <v>1.1</v>
      </c>
      <c r="H910" t="n">
        <v>0</v>
      </c>
      <c r="I910" t="n">
        <v>0</v>
      </c>
      <c r="J910" t="n">
        <v>0</v>
      </c>
      <c r="K910" t="n">
        <v>0</v>
      </c>
      <c r="L910" t="n">
        <v>0</v>
      </c>
      <c r="M910" t="n">
        <v>0</v>
      </c>
      <c r="N910" t="n">
        <v>0</v>
      </c>
      <c r="O910" t="n">
        <v>0</v>
      </c>
      <c r="P910" t="n">
        <v>0</v>
      </c>
      <c r="Q910" t="n">
        <v>0</v>
      </c>
      <c r="R910" s="2" t="inlineStr"/>
    </row>
    <row r="911" ht="15" customHeight="1">
      <c r="A911" t="inlineStr">
        <is>
          <t>A 69974-2021</t>
        </is>
      </c>
      <c r="B911" s="1" t="n">
        <v>44533</v>
      </c>
      <c r="C911" s="1" t="n">
        <v>45828</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70241-2021</t>
        </is>
      </c>
      <c r="B912" s="1" t="n">
        <v>44536</v>
      </c>
      <c r="C912" s="1" t="n">
        <v>45828</v>
      </c>
      <c r="D912" t="inlineStr">
        <is>
          <t>VÄRMLANDS LÄN</t>
        </is>
      </c>
      <c r="E912" t="inlineStr">
        <is>
          <t>TORSBY</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70253-2021</t>
        </is>
      </c>
      <c r="B913" s="1" t="n">
        <v>44536</v>
      </c>
      <c r="C913" s="1" t="n">
        <v>45828</v>
      </c>
      <c r="D913" t="inlineStr">
        <is>
          <t>VÄRMLANDS LÄN</t>
        </is>
      </c>
      <c r="E913" t="inlineStr">
        <is>
          <t>TORSBY</t>
        </is>
      </c>
      <c r="G913" t="n">
        <v>4.3</v>
      </c>
      <c r="H913" t="n">
        <v>0</v>
      </c>
      <c r="I913" t="n">
        <v>0</v>
      </c>
      <c r="J913" t="n">
        <v>0</v>
      </c>
      <c r="K913" t="n">
        <v>0</v>
      </c>
      <c r="L913" t="n">
        <v>0</v>
      </c>
      <c r="M913" t="n">
        <v>0</v>
      </c>
      <c r="N913" t="n">
        <v>0</v>
      </c>
      <c r="O913" t="n">
        <v>0</v>
      </c>
      <c r="P913" t="n">
        <v>0</v>
      </c>
      <c r="Q913" t="n">
        <v>0</v>
      </c>
      <c r="R913" s="2" t="inlineStr"/>
    </row>
    <row r="914" ht="15" customHeight="1">
      <c r="A914" t="inlineStr">
        <is>
          <t>A 70658-2021</t>
        </is>
      </c>
      <c r="B914" s="1" t="n">
        <v>44537</v>
      </c>
      <c r="C914" s="1" t="n">
        <v>45828</v>
      </c>
      <c r="D914" t="inlineStr">
        <is>
          <t>VÄRMLANDS LÄN</t>
        </is>
      </c>
      <c r="E914" t="inlineStr">
        <is>
          <t>TORSBY</t>
        </is>
      </c>
      <c r="G914" t="n">
        <v>1.9</v>
      </c>
      <c r="H914" t="n">
        <v>0</v>
      </c>
      <c r="I914" t="n">
        <v>0</v>
      </c>
      <c r="J914" t="n">
        <v>0</v>
      </c>
      <c r="K914" t="n">
        <v>0</v>
      </c>
      <c r="L914" t="n">
        <v>0</v>
      </c>
      <c r="M914" t="n">
        <v>0</v>
      </c>
      <c r="N914" t="n">
        <v>0</v>
      </c>
      <c r="O914" t="n">
        <v>0</v>
      </c>
      <c r="P914" t="n">
        <v>0</v>
      </c>
      <c r="Q914" t="n">
        <v>0</v>
      </c>
      <c r="R914" s="2" t="inlineStr"/>
    </row>
    <row r="915" ht="15" customHeight="1">
      <c r="A915" t="inlineStr">
        <is>
          <t>A 70787-2021</t>
        </is>
      </c>
      <c r="B915" s="1" t="n">
        <v>44537</v>
      </c>
      <c r="C915" s="1" t="n">
        <v>45828</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70775-2021</t>
        </is>
      </c>
      <c r="B916" s="1" t="n">
        <v>44537</v>
      </c>
      <c r="C916" s="1" t="n">
        <v>45828</v>
      </c>
      <c r="D916" t="inlineStr">
        <is>
          <t>VÄRMLANDS LÄN</t>
        </is>
      </c>
      <c r="E916" t="inlineStr">
        <is>
          <t>TORSBY</t>
        </is>
      </c>
      <c r="G916" t="n">
        <v>0.3</v>
      </c>
      <c r="H916" t="n">
        <v>0</v>
      </c>
      <c r="I916" t="n">
        <v>0</v>
      </c>
      <c r="J916" t="n">
        <v>0</v>
      </c>
      <c r="K916" t="n">
        <v>0</v>
      </c>
      <c r="L916" t="n">
        <v>0</v>
      </c>
      <c r="M916" t="n">
        <v>0</v>
      </c>
      <c r="N916" t="n">
        <v>0</v>
      </c>
      <c r="O916" t="n">
        <v>0</v>
      </c>
      <c r="P916" t="n">
        <v>0</v>
      </c>
      <c r="Q916" t="n">
        <v>0</v>
      </c>
      <c r="R916" s="2" t="inlineStr"/>
    </row>
    <row r="917" ht="15" customHeight="1">
      <c r="A917" t="inlineStr">
        <is>
          <t>A 70785-2021</t>
        </is>
      </c>
      <c r="B917" s="1" t="n">
        <v>44537</v>
      </c>
      <c r="C917" s="1" t="n">
        <v>45828</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70978-2021</t>
        </is>
      </c>
      <c r="B918" s="1" t="n">
        <v>44537</v>
      </c>
      <c r="C918" s="1" t="n">
        <v>45828</v>
      </c>
      <c r="D918" t="inlineStr">
        <is>
          <t>VÄRMLANDS LÄN</t>
        </is>
      </c>
      <c r="E918" t="inlineStr">
        <is>
          <t>TORSBY</t>
        </is>
      </c>
      <c r="G918" t="n">
        <v>12.6</v>
      </c>
      <c r="H918" t="n">
        <v>0</v>
      </c>
      <c r="I918" t="n">
        <v>0</v>
      </c>
      <c r="J918" t="n">
        <v>0</v>
      </c>
      <c r="K918" t="n">
        <v>0</v>
      </c>
      <c r="L918" t="n">
        <v>0</v>
      </c>
      <c r="M918" t="n">
        <v>0</v>
      </c>
      <c r="N918" t="n">
        <v>0</v>
      </c>
      <c r="O918" t="n">
        <v>0</v>
      </c>
      <c r="P918" t="n">
        <v>0</v>
      </c>
      <c r="Q918" t="n">
        <v>0</v>
      </c>
      <c r="R918" s="2" t="inlineStr"/>
    </row>
    <row r="919" ht="15" customHeight="1">
      <c r="A919" t="inlineStr">
        <is>
          <t>A 70926-2021</t>
        </is>
      </c>
      <c r="B919" s="1" t="n">
        <v>44538</v>
      </c>
      <c r="C919" s="1" t="n">
        <v>45828</v>
      </c>
      <c r="D919" t="inlineStr">
        <is>
          <t>VÄRMLANDS LÄN</t>
        </is>
      </c>
      <c r="E919" t="inlineStr">
        <is>
          <t>TORSBY</t>
        </is>
      </c>
      <c r="G919" t="n">
        <v>6.5</v>
      </c>
      <c r="H919" t="n">
        <v>0</v>
      </c>
      <c r="I919" t="n">
        <v>0</v>
      </c>
      <c r="J919" t="n">
        <v>0</v>
      </c>
      <c r="K919" t="n">
        <v>0</v>
      </c>
      <c r="L919" t="n">
        <v>0</v>
      </c>
      <c r="M919" t="n">
        <v>0</v>
      </c>
      <c r="N919" t="n">
        <v>0</v>
      </c>
      <c r="O919" t="n">
        <v>0</v>
      </c>
      <c r="P919" t="n">
        <v>0</v>
      </c>
      <c r="Q919" t="n">
        <v>0</v>
      </c>
      <c r="R919" s="2" t="inlineStr"/>
    </row>
    <row r="920" ht="15" customHeight="1">
      <c r="A920" t="inlineStr">
        <is>
          <t>A 70924-2021</t>
        </is>
      </c>
      <c r="B920" s="1" t="n">
        <v>44538</v>
      </c>
      <c r="C920" s="1" t="n">
        <v>45828</v>
      </c>
      <c r="D920" t="inlineStr">
        <is>
          <t>VÄRMLANDS LÄN</t>
        </is>
      </c>
      <c r="E920" t="inlineStr">
        <is>
          <t>TORSBY</t>
        </is>
      </c>
      <c r="G920" t="n">
        <v>3.8</v>
      </c>
      <c r="H920" t="n">
        <v>0</v>
      </c>
      <c r="I920" t="n">
        <v>0</v>
      </c>
      <c r="J920" t="n">
        <v>0</v>
      </c>
      <c r="K920" t="n">
        <v>0</v>
      </c>
      <c r="L920" t="n">
        <v>0</v>
      </c>
      <c r="M920" t="n">
        <v>0</v>
      </c>
      <c r="N920" t="n">
        <v>0</v>
      </c>
      <c r="O920" t="n">
        <v>0</v>
      </c>
      <c r="P920" t="n">
        <v>0</v>
      </c>
      <c r="Q920" t="n">
        <v>0</v>
      </c>
      <c r="R920" s="2" t="inlineStr"/>
    </row>
    <row r="921" ht="15" customHeight="1">
      <c r="A921" t="inlineStr">
        <is>
          <t>A 71255-2021</t>
        </is>
      </c>
      <c r="B921" s="1" t="n">
        <v>44538</v>
      </c>
      <c r="C921" s="1" t="n">
        <v>45828</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71084-2021</t>
        </is>
      </c>
      <c r="B922" s="1" t="n">
        <v>44539</v>
      </c>
      <c r="C922" s="1" t="n">
        <v>45828</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71469-2021</t>
        </is>
      </c>
      <c r="B923" s="1" t="n">
        <v>44540</v>
      </c>
      <c r="C923" s="1" t="n">
        <v>45828</v>
      </c>
      <c r="D923" t="inlineStr">
        <is>
          <t>VÄRMLANDS LÄN</t>
        </is>
      </c>
      <c r="E923" t="inlineStr">
        <is>
          <t>TORSBY</t>
        </is>
      </c>
      <c r="F923" t="inlineStr">
        <is>
          <t>Övriga Aktiebolag</t>
        </is>
      </c>
      <c r="G923" t="n">
        <v>4.1</v>
      </c>
      <c r="H923" t="n">
        <v>0</v>
      </c>
      <c r="I923" t="n">
        <v>0</v>
      </c>
      <c r="J923" t="n">
        <v>0</v>
      </c>
      <c r="K923" t="n">
        <v>0</v>
      </c>
      <c r="L923" t="n">
        <v>0</v>
      </c>
      <c r="M923" t="n">
        <v>0</v>
      </c>
      <c r="N923" t="n">
        <v>0</v>
      </c>
      <c r="O923" t="n">
        <v>0</v>
      </c>
      <c r="P923" t="n">
        <v>0</v>
      </c>
      <c r="Q923" t="n">
        <v>0</v>
      </c>
      <c r="R923" s="2" t="inlineStr"/>
    </row>
    <row r="924" ht="15" customHeight="1">
      <c r="A924" t="inlineStr">
        <is>
          <t>A 71679-2021</t>
        </is>
      </c>
      <c r="B924" s="1" t="n">
        <v>44543</v>
      </c>
      <c r="C924" s="1" t="n">
        <v>45828</v>
      </c>
      <c r="D924" t="inlineStr">
        <is>
          <t>VÄRMLANDS LÄN</t>
        </is>
      </c>
      <c r="E924" t="inlineStr">
        <is>
          <t>TORSBY</t>
        </is>
      </c>
      <c r="G924" t="n">
        <v>2.3</v>
      </c>
      <c r="H924" t="n">
        <v>0</v>
      </c>
      <c r="I924" t="n">
        <v>0</v>
      </c>
      <c r="J924" t="n">
        <v>0</v>
      </c>
      <c r="K924" t="n">
        <v>0</v>
      </c>
      <c r="L924" t="n">
        <v>0</v>
      </c>
      <c r="M924" t="n">
        <v>0</v>
      </c>
      <c r="N924" t="n">
        <v>0</v>
      </c>
      <c r="O924" t="n">
        <v>0</v>
      </c>
      <c r="P924" t="n">
        <v>0</v>
      </c>
      <c r="Q924" t="n">
        <v>0</v>
      </c>
      <c r="R924" s="2" t="inlineStr"/>
    </row>
    <row r="925" ht="15" customHeight="1">
      <c r="A925" t="inlineStr">
        <is>
          <t>A 71990-2021</t>
        </is>
      </c>
      <c r="B925" s="1" t="n">
        <v>44544</v>
      </c>
      <c r="C925" s="1" t="n">
        <v>45828</v>
      </c>
      <c r="D925" t="inlineStr">
        <is>
          <t>VÄRMLANDS LÄN</t>
        </is>
      </c>
      <c r="E925" t="inlineStr">
        <is>
          <t>TORSBY</t>
        </is>
      </c>
      <c r="G925" t="n">
        <v>4.6</v>
      </c>
      <c r="H925" t="n">
        <v>0</v>
      </c>
      <c r="I925" t="n">
        <v>0</v>
      </c>
      <c r="J925" t="n">
        <v>0</v>
      </c>
      <c r="K925" t="n">
        <v>0</v>
      </c>
      <c r="L925" t="n">
        <v>0</v>
      </c>
      <c r="M925" t="n">
        <v>0</v>
      </c>
      <c r="N925" t="n">
        <v>0</v>
      </c>
      <c r="O925" t="n">
        <v>0</v>
      </c>
      <c r="P925" t="n">
        <v>0</v>
      </c>
      <c r="Q925" t="n">
        <v>0</v>
      </c>
      <c r="R925" s="2" t="inlineStr"/>
    </row>
    <row r="926" ht="15" customHeight="1">
      <c r="A926" t="inlineStr">
        <is>
          <t>A 72200-2021</t>
        </is>
      </c>
      <c r="B926" s="1" t="n">
        <v>44544</v>
      </c>
      <c r="C926" s="1" t="n">
        <v>45828</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72250-2021</t>
        </is>
      </c>
      <c r="B927" s="1" t="n">
        <v>44544</v>
      </c>
      <c r="C927" s="1" t="n">
        <v>45828</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73055-2021</t>
        </is>
      </c>
      <c r="B928" s="1" t="n">
        <v>44550</v>
      </c>
      <c r="C928" s="1" t="n">
        <v>45828</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73324-2021</t>
        </is>
      </c>
      <c r="B929" s="1" t="n">
        <v>44550</v>
      </c>
      <c r="C929" s="1" t="n">
        <v>45828</v>
      </c>
      <c r="D929" t="inlineStr">
        <is>
          <t>VÄRMLANDS LÄN</t>
        </is>
      </c>
      <c r="E929" t="inlineStr">
        <is>
          <t>TORSBY</t>
        </is>
      </c>
      <c r="G929" t="n">
        <v>9.9</v>
      </c>
      <c r="H929" t="n">
        <v>0</v>
      </c>
      <c r="I929" t="n">
        <v>0</v>
      </c>
      <c r="J929" t="n">
        <v>0</v>
      </c>
      <c r="K929" t="n">
        <v>0</v>
      </c>
      <c r="L929" t="n">
        <v>0</v>
      </c>
      <c r="M929" t="n">
        <v>0</v>
      </c>
      <c r="N929" t="n">
        <v>0</v>
      </c>
      <c r="O929" t="n">
        <v>0</v>
      </c>
      <c r="P929" t="n">
        <v>0</v>
      </c>
      <c r="Q929" t="n">
        <v>0</v>
      </c>
      <c r="R929" s="2" t="inlineStr"/>
    </row>
    <row r="930" ht="15" customHeight="1">
      <c r="A930" t="inlineStr">
        <is>
          <t>A 73165-2021</t>
        </is>
      </c>
      <c r="B930" s="1" t="n">
        <v>44550</v>
      </c>
      <c r="C930" s="1" t="n">
        <v>45828</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73442-2021</t>
        </is>
      </c>
      <c r="B931" s="1" t="n">
        <v>44551</v>
      </c>
      <c r="C931" s="1" t="n">
        <v>45828</v>
      </c>
      <c r="D931" t="inlineStr">
        <is>
          <t>VÄRMLANDS LÄN</t>
        </is>
      </c>
      <c r="E931" t="inlineStr">
        <is>
          <t>TORSBY</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73553-2021</t>
        </is>
      </c>
      <c r="B932" s="1" t="n">
        <v>44551</v>
      </c>
      <c r="C932" s="1" t="n">
        <v>45828</v>
      </c>
      <c r="D932" t="inlineStr">
        <is>
          <t>VÄRMLANDS LÄN</t>
        </is>
      </c>
      <c r="E932" t="inlineStr">
        <is>
          <t>TORSBY</t>
        </is>
      </c>
      <c r="G932" t="n">
        <v>5.1</v>
      </c>
      <c r="H932" t="n">
        <v>0</v>
      </c>
      <c r="I932" t="n">
        <v>0</v>
      </c>
      <c r="J932" t="n">
        <v>0</v>
      </c>
      <c r="K932" t="n">
        <v>0</v>
      </c>
      <c r="L932" t="n">
        <v>0</v>
      </c>
      <c r="M932" t="n">
        <v>0</v>
      </c>
      <c r="N932" t="n">
        <v>0</v>
      </c>
      <c r="O932" t="n">
        <v>0</v>
      </c>
      <c r="P932" t="n">
        <v>0</v>
      </c>
      <c r="Q932" t="n">
        <v>0</v>
      </c>
      <c r="R932" s="2" t="inlineStr"/>
    </row>
    <row r="933" ht="15" customHeight="1">
      <c r="A933" t="inlineStr">
        <is>
          <t>A 73521-2021</t>
        </is>
      </c>
      <c r="B933" s="1" t="n">
        <v>44551</v>
      </c>
      <c r="C933" s="1" t="n">
        <v>45828</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73882-2021</t>
        </is>
      </c>
      <c r="B934" s="1" t="n">
        <v>44553</v>
      </c>
      <c r="C934" s="1" t="n">
        <v>45828</v>
      </c>
      <c r="D934" t="inlineStr">
        <is>
          <t>VÄRMLANDS LÄN</t>
        </is>
      </c>
      <c r="E934" t="inlineStr">
        <is>
          <t>TORSBY</t>
        </is>
      </c>
      <c r="F934" t="inlineStr">
        <is>
          <t>Kyrkan</t>
        </is>
      </c>
      <c r="G934" t="n">
        <v>0.5</v>
      </c>
      <c r="H934" t="n">
        <v>0</v>
      </c>
      <c r="I934" t="n">
        <v>0</v>
      </c>
      <c r="J934" t="n">
        <v>0</v>
      </c>
      <c r="K934" t="n">
        <v>0</v>
      </c>
      <c r="L934" t="n">
        <v>0</v>
      </c>
      <c r="M934" t="n">
        <v>0</v>
      </c>
      <c r="N934" t="n">
        <v>0</v>
      </c>
      <c r="O934" t="n">
        <v>0</v>
      </c>
      <c r="P934" t="n">
        <v>0</v>
      </c>
      <c r="Q934" t="n">
        <v>0</v>
      </c>
      <c r="R934" s="2" t="inlineStr"/>
    </row>
    <row r="935" ht="15" customHeight="1">
      <c r="A935" t="inlineStr">
        <is>
          <t>A 73874-2021</t>
        </is>
      </c>
      <c r="B935" s="1" t="n">
        <v>44553</v>
      </c>
      <c r="C935" s="1" t="n">
        <v>45828</v>
      </c>
      <c r="D935" t="inlineStr">
        <is>
          <t>VÄRMLANDS LÄN</t>
        </is>
      </c>
      <c r="E935" t="inlineStr">
        <is>
          <t>TORSBY</t>
        </is>
      </c>
      <c r="G935" t="n">
        <v>6.6</v>
      </c>
      <c r="H935" t="n">
        <v>0</v>
      </c>
      <c r="I935" t="n">
        <v>0</v>
      </c>
      <c r="J935" t="n">
        <v>0</v>
      </c>
      <c r="K935" t="n">
        <v>0</v>
      </c>
      <c r="L935" t="n">
        <v>0</v>
      </c>
      <c r="M935" t="n">
        <v>0</v>
      </c>
      <c r="N935" t="n">
        <v>0</v>
      </c>
      <c r="O935" t="n">
        <v>0</v>
      </c>
      <c r="P935" t="n">
        <v>0</v>
      </c>
      <c r="Q935" t="n">
        <v>0</v>
      </c>
      <c r="R935" s="2" t="inlineStr"/>
    </row>
    <row r="936" ht="15" customHeight="1">
      <c r="A936" t="inlineStr">
        <is>
          <t>A 74012-2021</t>
        </is>
      </c>
      <c r="B936" s="1" t="n">
        <v>44553</v>
      </c>
      <c r="C936" s="1" t="n">
        <v>45828</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74079-2021</t>
        </is>
      </c>
      <c r="B937" s="1" t="n">
        <v>44557</v>
      </c>
      <c r="C937" s="1" t="n">
        <v>45828</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74375-2021</t>
        </is>
      </c>
      <c r="B938" s="1" t="n">
        <v>44559</v>
      </c>
      <c r="C938" s="1" t="n">
        <v>45828</v>
      </c>
      <c r="D938" t="inlineStr">
        <is>
          <t>VÄRMLANDS LÄN</t>
        </is>
      </c>
      <c r="E938" t="inlineStr">
        <is>
          <t>TORSBY</t>
        </is>
      </c>
      <c r="G938" t="n">
        <v>2.4</v>
      </c>
      <c r="H938" t="n">
        <v>0</v>
      </c>
      <c r="I938" t="n">
        <v>0</v>
      </c>
      <c r="J938" t="n">
        <v>0</v>
      </c>
      <c r="K938" t="n">
        <v>0</v>
      </c>
      <c r="L938" t="n">
        <v>0</v>
      </c>
      <c r="M938" t="n">
        <v>0</v>
      </c>
      <c r="N938" t="n">
        <v>0</v>
      </c>
      <c r="O938" t="n">
        <v>0</v>
      </c>
      <c r="P938" t="n">
        <v>0</v>
      </c>
      <c r="Q938" t="n">
        <v>0</v>
      </c>
      <c r="R938" s="2" t="inlineStr"/>
    </row>
    <row r="939" ht="15" customHeight="1">
      <c r="A939" t="inlineStr">
        <is>
          <t>A 74374-2021</t>
        </is>
      </c>
      <c r="B939" s="1" t="n">
        <v>44559</v>
      </c>
      <c r="C939" s="1" t="n">
        <v>45828</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74351-2021</t>
        </is>
      </c>
      <c r="B940" s="1" t="n">
        <v>44559</v>
      </c>
      <c r="C940" s="1" t="n">
        <v>45828</v>
      </c>
      <c r="D940" t="inlineStr">
        <is>
          <t>VÄRMLANDS LÄN</t>
        </is>
      </c>
      <c r="E940" t="inlineStr">
        <is>
          <t>TORSBY</t>
        </is>
      </c>
      <c r="F940" t="inlineStr">
        <is>
          <t>Bergvik skog väst AB</t>
        </is>
      </c>
      <c r="G940" t="n">
        <v>9.1</v>
      </c>
      <c r="H940" t="n">
        <v>0</v>
      </c>
      <c r="I940" t="n">
        <v>0</v>
      </c>
      <c r="J940" t="n">
        <v>0</v>
      </c>
      <c r="K940" t="n">
        <v>0</v>
      </c>
      <c r="L940" t="n">
        <v>0</v>
      </c>
      <c r="M940" t="n">
        <v>0</v>
      </c>
      <c r="N940" t="n">
        <v>0</v>
      </c>
      <c r="O940" t="n">
        <v>0</v>
      </c>
      <c r="P940" t="n">
        <v>0</v>
      </c>
      <c r="Q940" t="n">
        <v>0</v>
      </c>
      <c r="R940" s="2" t="inlineStr"/>
    </row>
    <row r="941" ht="15" customHeight="1">
      <c r="A941" t="inlineStr">
        <is>
          <t>A 361-2022</t>
        </is>
      </c>
      <c r="B941" s="1" t="n">
        <v>44565</v>
      </c>
      <c r="C941" s="1" t="n">
        <v>45828</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739-2022</t>
        </is>
      </c>
      <c r="B942" s="1" t="n">
        <v>44568</v>
      </c>
      <c r="C942" s="1" t="n">
        <v>45828</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997-2022</t>
        </is>
      </c>
      <c r="B943" s="1" t="n">
        <v>44571</v>
      </c>
      <c r="C943" s="1" t="n">
        <v>45828</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1839-2022</t>
        </is>
      </c>
      <c r="B944" s="1" t="n">
        <v>44574</v>
      </c>
      <c r="C944" s="1" t="n">
        <v>45828</v>
      </c>
      <c r="D944" t="inlineStr">
        <is>
          <t>VÄRMLANDS LÄN</t>
        </is>
      </c>
      <c r="E944" t="inlineStr">
        <is>
          <t>TORSBY</t>
        </is>
      </c>
      <c r="G944" t="n">
        <v>5.3</v>
      </c>
      <c r="H944" t="n">
        <v>0</v>
      </c>
      <c r="I944" t="n">
        <v>0</v>
      </c>
      <c r="J944" t="n">
        <v>0</v>
      </c>
      <c r="K944" t="n">
        <v>0</v>
      </c>
      <c r="L944" t="n">
        <v>0</v>
      </c>
      <c r="M944" t="n">
        <v>0</v>
      </c>
      <c r="N944" t="n">
        <v>0</v>
      </c>
      <c r="O944" t="n">
        <v>0</v>
      </c>
      <c r="P944" t="n">
        <v>0</v>
      </c>
      <c r="Q944" t="n">
        <v>0</v>
      </c>
      <c r="R944" s="2" t="inlineStr"/>
    </row>
    <row r="945" ht="15" customHeight="1">
      <c r="A945" t="inlineStr">
        <is>
          <t>A 1911-2022</t>
        </is>
      </c>
      <c r="B945" s="1" t="n">
        <v>44575</v>
      </c>
      <c r="C945" s="1" t="n">
        <v>45828</v>
      </c>
      <c r="D945" t="inlineStr">
        <is>
          <t>VÄRMLANDS LÄN</t>
        </is>
      </c>
      <c r="E945" t="inlineStr">
        <is>
          <t>TORSBY</t>
        </is>
      </c>
      <c r="F945" t="inlineStr">
        <is>
          <t>Kommuner</t>
        </is>
      </c>
      <c r="G945" t="n">
        <v>0.8</v>
      </c>
      <c r="H945" t="n">
        <v>0</v>
      </c>
      <c r="I945" t="n">
        <v>0</v>
      </c>
      <c r="J945" t="n">
        <v>0</v>
      </c>
      <c r="K945" t="n">
        <v>0</v>
      </c>
      <c r="L945" t="n">
        <v>0</v>
      </c>
      <c r="M945" t="n">
        <v>0</v>
      </c>
      <c r="N945" t="n">
        <v>0</v>
      </c>
      <c r="O945" t="n">
        <v>0</v>
      </c>
      <c r="P945" t="n">
        <v>0</v>
      </c>
      <c r="Q945" t="n">
        <v>0</v>
      </c>
      <c r="R945" s="2" t="inlineStr"/>
    </row>
    <row r="946" ht="15" customHeight="1">
      <c r="A946" t="inlineStr">
        <is>
          <t>A 2414-2022</t>
        </is>
      </c>
      <c r="B946" s="1" t="n">
        <v>44579</v>
      </c>
      <c r="C946" s="1" t="n">
        <v>45828</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2421-2022</t>
        </is>
      </c>
      <c r="B947" s="1" t="n">
        <v>44579</v>
      </c>
      <c r="C947" s="1" t="n">
        <v>45828</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2699-2022</t>
        </is>
      </c>
      <c r="B948" s="1" t="n">
        <v>44580</v>
      </c>
      <c r="C948" s="1" t="n">
        <v>45828</v>
      </c>
      <c r="D948" t="inlineStr">
        <is>
          <t>VÄRMLANDS LÄN</t>
        </is>
      </c>
      <c r="E948" t="inlineStr">
        <is>
          <t>TORSBY</t>
        </is>
      </c>
      <c r="G948" t="n">
        <v>0.4</v>
      </c>
      <c r="H948" t="n">
        <v>0</v>
      </c>
      <c r="I948" t="n">
        <v>0</v>
      </c>
      <c r="J948" t="n">
        <v>0</v>
      </c>
      <c r="K948" t="n">
        <v>0</v>
      </c>
      <c r="L948" t="n">
        <v>0</v>
      </c>
      <c r="M948" t="n">
        <v>0</v>
      </c>
      <c r="N948" t="n">
        <v>0</v>
      </c>
      <c r="O948" t="n">
        <v>0</v>
      </c>
      <c r="P948" t="n">
        <v>0</v>
      </c>
      <c r="Q948" t="n">
        <v>0</v>
      </c>
      <c r="R948" s="2" t="inlineStr"/>
    </row>
    <row r="949" ht="15" customHeight="1">
      <c r="A949" t="inlineStr">
        <is>
          <t>A 3071-2022</t>
        </is>
      </c>
      <c r="B949" s="1" t="n">
        <v>44582</v>
      </c>
      <c r="C949" s="1" t="n">
        <v>45828</v>
      </c>
      <c r="D949" t="inlineStr">
        <is>
          <t>VÄRMLANDS LÄN</t>
        </is>
      </c>
      <c r="E949" t="inlineStr">
        <is>
          <t>TORSBY</t>
        </is>
      </c>
      <c r="G949" t="n">
        <v>7.9</v>
      </c>
      <c r="H949" t="n">
        <v>0</v>
      </c>
      <c r="I949" t="n">
        <v>0</v>
      </c>
      <c r="J949" t="n">
        <v>0</v>
      </c>
      <c r="K949" t="n">
        <v>0</v>
      </c>
      <c r="L949" t="n">
        <v>0</v>
      </c>
      <c r="M949" t="n">
        <v>0</v>
      </c>
      <c r="N949" t="n">
        <v>0</v>
      </c>
      <c r="O949" t="n">
        <v>0</v>
      </c>
      <c r="P949" t="n">
        <v>0</v>
      </c>
      <c r="Q949" t="n">
        <v>0</v>
      </c>
      <c r="R949" s="2" t="inlineStr"/>
    </row>
    <row r="950" ht="15" customHeight="1">
      <c r="A950" t="inlineStr">
        <is>
          <t>A 3369-2022</t>
        </is>
      </c>
      <c r="B950" s="1" t="n">
        <v>44585</v>
      </c>
      <c r="C950" s="1" t="n">
        <v>45828</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3385-2022</t>
        </is>
      </c>
      <c r="B951" s="1" t="n">
        <v>44585</v>
      </c>
      <c r="C951" s="1" t="n">
        <v>45828</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3397-2022</t>
        </is>
      </c>
      <c r="B952" s="1" t="n">
        <v>44585</v>
      </c>
      <c r="C952" s="1" t="n">
        <v>45828</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3387-2022</t>
        </is>
      </c>
      <c r="B953" s="1" t="n">
        <v>44585</v>
      </c>
      <c r="C953" s="1" t="n">
        <v>45828</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3382-2022</t>
        </is>
      </c>
      <c r="B954" s="1" t="n">
        <v>44585</v>
      </c>
      <c r="C954" s="1" t="n">
        <v>45828</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3390-2022</t>
        </is>
      </c>
      <c r="B955" s="1" t="n">
        <v>44585</v>
      </c>
      <c r="C955" s="1" t="n">
        <v>45828</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3393-2022</t>
        </is>
      </c>
      <c r="B956" s="1" t="n">
        <v>44585</v>
      </c>
      <c r="C956" s="1" t="n">
        <v>45828</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3749-2022</t>
        </is>
      </c>
      <c r="B957" s="1" t="n">
        <v>44586</v>
      </c>
      <c r="C957" s="1" t="n">
        <v>45828</v>
      </c>
      <c r="D957" t="inlineStr">
        <is>
          <t>VÄRMLANDS LÄN</t>
        </is>
      </c>
      <c r="E957" t="inlineStr">
        <is>
          <t>TORSBY</t>
        </is>
      </c>
      <c r="G957" t="n">
        <v>6.3</v>
      </c>
      <c r="H957" t="n">
        <v>0</v>
      </c>
      <c r="I957" t="n">
        <v>0</v>
      </c>
      <c r="J957" t="n">
        <v>0</v>
      </c>
      <c r="K957" t="n">
        <v>0</v>
      </c>
      <c r="L957" t="n">
        <v>0</v>
      </c>
      <c r="M957" t="n">
        <v>0</v>
      </c>
      <c r="N957" t="n">
        <v>0</v>
      </c>
      <c r="O957" t="n">
        <v>0</v>
      </c>
      <c r="P957" t="n">
        <v>0</v>
      </c>
      <c r="Q957" t="n">
        <v>0</v>
      </c>
      <c r="R957" s="2" t="inlineStr"/>
    </row>
    <row r="958" ht="15" customHeight="1">
      <c r="A958" t="inlineStr">
        <is>
          <t>A 3841-2022</t>
        </is>
      </c>
      <c r="B958" s="1" t="n">
        <v>44587</v>
      </c>
      <c r="C958" s="1" t="n">
        <v>45828</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3887-2022</t>
        </is>
      </c>
      <c r="B959" s="1" t="n">
        <v>44587</v>
      </c>
      <c r="C959" s="1" t="n">
        <v>45828</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4172-2022</t>
        </is>
      </c>
      <c r="B960" s="1" t="n">
        <v>44588</v>
      </c>
      <c r="C960" s="1" t="n">
        <v>45828</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4557-2022</t>
        </is>
      </c>
      <c r="B961" s="1" t="n">
        <v>44591</v>
      </c>
      <c r="C961" s="1" t="n">
        <v>45828</v>
      </c>
      <c r="D961" t="inlineStr">
        <is>
          <t>VÄRMLANDS LÄN</t>
        </is>
      </c>
      <c r="E961" t="inlineStr">
        <is>
          <t>TORSBY</t>
        </is>
      </c>
      <c r="G961" t="n">
        <v>2.7</v>
      </c>
      <c r="H961" t="n">
        <v>0</v>
      </c>
      <c r="I961" t="n">
        <v>0</v>
      </c>
      <c r="J961" t="n">
        <v>0</v>
      </c>
      <c r="K961" t="n">
        <v>0</v>
      </c>
      <c r="L961" t="n">
        <v>0</v>
      </c>
      <c r="M961" t="n">
        <v>0</v>
      </c>
      <c r="N961" t="n">
        <v>0</v>
      </c>
      <c r="O961" t="n">
        <v>0</v>
      </c>
      <c r="P961" t="n">
        <v>0</v>
      </c>
      <c r="Q961" t="n">
        <v>0</v>
      </c>
      <c r="R961" s="2" t="inlineStr"/>
    </row>
    <row r="962" ht="15" customHeight="1">
      <c r="A962" t="inlineStr">
        <is>
          <t>A 4640-2022</t>
        </is>
      </c>
      <c r="B962" s="1" t="n">
        <v>44592</v>
      </c>
      <c r="C962" s="1" t="n">
        <v>45828</v>
      </c>
      <c r="D962" t="inlineStr">
        <is>
          <t>VÄRMLANDS LÄN</t>
        </is>
      </c>
      <c r="E962" t="inlineStr">
        <is>
          <t>TORSBY</t>
        </is>
      </c>
      <c r="G962" t="n">
        <v>9</v>
      </c>
      <c r="H962" t="n">
        <v>0</v>
      </c>
      <c r="I962" t="n">
        <v>0</v>
      </c>
      <c r="J962" t="n">
        <v>0</v>
      </c>
      <c r="K962" t="n">
        <v>0</v>
      </c>
      <c r="L962" t="n">
        <v>0</v>
      </c>
      <c r="M962" t="n">
        <v>0</v>
      </c>
      <c r="N962" t="n">
        <v>0</v>
      </c>
      <c r="O962" t="n">
        <v>0</v>
      </c>
      <c r="P962" t="n">
        <v>0</v>
      </c>
      <c r="Q962" t="n">
        <v>0</v>
      </c>
      <c r="R962" s="2" t="inlineStr"/>
    </row>
    <row r="963" ht="15" customHeight="1">
      <c r="A963" t="inlineStr">
        <is>
          <t>A 4967-2022</t>
        </is>
      </c>
      <c r="B963" s="1" t="n">
        <v>44593</v>
      </c>
      <c r="C963" s="1" t="n">
        <v>45828</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4960-2022</t>
        </is>
      </c>
      <c r="B964" s="1" t="n">
        <v>44593</v>
      </c>
      <c r="C964" s="1" t="n">
        <v>45828</v>
      </c>
      <c r="D964" t="inlineStr">
        <is>
          <t>VÄRMLANDS LÄN</t>
        </is>
      </c>
      <c r="E964" t="inlineStr">
        <is>
          <t>TORSBY</t>
        </is>
      </c>
      <c r="G964" t="n">
        <v>4.8</v>
      </c>
      <c r="H964" t="n">
        <v>0</v>
      </c>
      <c r="I964" t="n">
        <v>0</v>
      </c>
      <c r="J964" t="n">
        <v>0</v>
      </c>
      <c r="K964" t="n">
        <v>0</v>
      </c>
      <c r="L964" t="n">
        <v>0</v>
      </c>
      <c r="M964" t="n">
        <v>0</v>
      </c>
      <c r="N964" t="n">
        <v>0</v>
      </c>
      <c r="O964" t="n">
        <v>0</v>
      </c>
      <c r="P964" t="n">
        <v>0</v>
      </c>
      <c r="Q964" t="n">
        <v>0</v>
      </c>
      <c r="R964" s="2" t="inlineStr"/>
    </row>
    <row r="965" ht="15" customHeight="1">
      <c r="A965" t="inlineStr">
        <is>
          <t>A 5040-2022</t>
        </is>
      </c>
      <c r="B965" s="1" t="n">
        <v>44593</v>
      </c>
      <c r="C965" s="1" t="n">
        <v>45828</v>
      </c>
      <c r="D965" t="inlineStr">
        <is>
          <t>VÄRMLANDS LÄN</t>
        </is>
      </c>
      <c r="E965" t="inlineStr">
        <is>
          <t>TORSBY</t>
        </is>
      </c>
      <c r="G965" t="n">
        <v>1.7</v>
      </c>
      <c r="H965" t="n">
        <v>0</v>
      </c>
      <c r="I965" t="n">
        <v>0</v>
      </c>
      <c r="J965" t="n">
        <v>0</v>
      </c>
      <c r="K965" t="n">
        <v>0</v>
      </c>
      <c r="L965" t="n">
        <v>0</v>
      </c>
      <c r="M965" t="n">
        <v>0</v>
      </c>
      <c r="N965" t="n">
        <v>0</v>
      </c>
      <c r="O965" t="n">
        <v>0</v>
      </c>
      <c r="P965" t="n">
        <v>0</v>
      </c>
      <c r="Q965" t="n">
        <v>0</v>
      </c>
      <c r="R965" s="2" t="inlineStr"/>
    </row>
    <row r="966" ht="15" customHeight="1">
      <c r="A966" t="inlineStr">
        <is>
          <t>A 5015-2022</t>
        </is>
      </c>
      <c r="B966" s="1" t="n">
        <v>44593</v>
      </c>
      <c r="C966" s="1" t="n">
        <v>45828</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5289-2022</t>
        </is>
      </c>
      <c r="B967" s="1" t="n">
        <v>44594</v>
      </c>
      <c r="C967" s="1" t="n">
        <v>45828</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6438-2022</t>
        </is>
      </c>
      <c r="B968" s="1" t="n">
        <v>44601</v>
      </c>
      <c r="C968" s="1" t="n">
        <v>45828</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7091-2022</t>
        </is>
      </c>
      <c r="B969" s="1" t="n">
        <v>44603</v>
      </c>
      <c r="C969" s="1" t="n">
        <v>45828</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7069-2022</t>
        </is>
      </c>
      <c r="B970" s="1" t="n">
        <v>44603</v>
      </c>
      <c r="C970" s="1" t="n">
        <v>45828</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7544-2022</t>
        </is>
      </c>
      <c r="B971" s="1" t="n">
        <v>44607</v>
      </c>
      <c r="C971" s="1" t="n">
        <v>45828</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7543-2022</t>
        </is>
      </c>
      <c r="B972" s="1" t="n">
        <v>44607</v>
      </c>
      <c r="C972" s="1" t="n">
        <v>45828</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7921-2022</t>
        </is>
      </c>
      <c r="B973" s="1" t="n">
        <v>44608</v>
      </c>
      <c r="C973" s="1" t="n">
        <v>45828</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8048-2022</t>
        </is>
      </c>
      <c r="B974" s="1" t="n">
        <v>44609</v>
      </c>
      <c r="C974" s="1" t="n">
        <v>45828</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8054-2022</t>
        </is>
      </c>
      <c r="B975" s="1" t="n">
        <v>44609</v>
      </c>
      <c r="C975" s="1" t="n">
        <v>45828</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8033-2022</t>
        </is>
      </c>
      <c r="B976" s="1" t="n">
        <v>44609</v>
      </c>
      <c r="C976" s="1" t="n">
        <v>45828</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8739-2022</t>
        </is>
      </c>
      <c r="B977" s="1" t="n">
        <v>44615</v>
      </c>
      <c r="C977" s="1" t="n">
        <v>45828</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9057-2022</t>
        </is>
      </c>
      <c r="B978" s="1" t="n">
        <v>44615</v>
      </c>
      <c r="C978" s="1" t="n">
        <v>45828</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10608-2022</t>
        </is>
      </c>
      <c r="B979" s="1" t="n">
        <v>44624</v>
      </c>
      <c r="C979" s="1" t="n">
        <v>45828</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11050-2022</t>
        </is>
      </c>
      <c r="B980" s="1" t="n">
        <v>44628</v>
      </c>
      <c r="C980" s="1" t="n">
        <v>45828</v>
      </c>
      <c r="D980" t="inlineStr">
        <is>
          <t>VÄRMLANDS LÄN</t>
        </is>
      </c>
      <c r="E980" t="inlineStr">
        <is>
          <t>TORSBY</t>
        </is>
      </c>
      <c r="G980" t="n">
        <v>4.9</v>
      </c>
      <c r="H980" t="n">
        <v>0</v>
      </c>
      <c r="I980" t="n">
        <v>0</v>
      </c>
      <c r="J980" t="n">
        <v>0</v>
      </c>
      <c r="K980" t="n">
        <v>0</v>
      </c>
      <c r="L980" t="n">
        <v>0</v>
      </c>
      <c r="M980" t="n">
        <v>0</v>
      </c>
      <c r="N980" t="n">
        <v>0</v>
      </c>
      <c r="O980" t="n">
        <v>0</v>
      </c>
      <c r="P980" t="n">
        <v>0</v>
      </c>
      <c r="Q980" t="n">
        <v>0</v>
      </c>
      <c r="R980" s="2" t="inlineStr"/>
    </row>
    <row r="981" ht="15" customHeight="1">
      <c r="A981" t="inlineStr">
        <is>
          <t>A 11447-2022</t>
        </is>
      </c>
      <c r="B981" s="1" t="n">
        <v>44630</v>
      </c>
      <c r="C981" s="1" t="n">
        <v>45828</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11665-2022</t>
        </is>
      </c>
      <c r="B982" s="1" t="n">
        <v>44632</v>
      </c>
      <c r="C982" s="1" t="n">
        <v>45828</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11667-2022</t>
        </is>
      </c>
      <c r="B983" s="1" t="n">
        <v>44632</v>
      </c>
      <c r="C983" s="1" t="n">
        <v>45828</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11664-2022</t>
        </is>
      </c>
      <c r="B984" s="1" t="n">
        <v>44632</v>
      </c>
      <c r="C984" s="1" t="n">
        <v>45828</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11666-2022</t>
        </is>
      </c>
      <c r="B985" s="1" t="n">
        <v>44632</v>
      </c>
      <c r="C985" s="1" t="n">
        <v>45828</v>
      </c>
      <c r="D985" t="inlineStr">
        <is>
          <t>VÄRMLANDS LÄN</t>
        </is>
      </c>
      <c r="E985" t="inlineStr">
        <is>
          <t>TORSBY</t>
        </is>
      </c>
      <c r="G985" t="n">
        <v>3.6</v>
      </c>
      <c r="H985" t="n">
        <v>0</v>
      </c>
      <c r="I985" t="n">
        <v>0</v>
      </c>
      <c r="J985" t="n">
        <v>0</v>
      </c>
      <c r="K985" t="n">
        <v>0</v>
      </c>
      <c r="L985" t="n">
        <v>0</v>
      </c>
      <c r="M985" t="n">
        <v>0</v>
      </c>
      <c r="N985" t="n">
        <v>0</v>
      </c>
      <c r="O985" t="n">
        <v>0</v>
      </c>
      <c r="P985" t="n">
        <v>0</v>
      </c>
      <c r="Q985" t="n">
        <v>0</v>
      </c>
      <c r="R985" s="2" t="inlineStr"/>
    </row>
    <row r="986" ht="15" customHeight="1">
      <c r="A986" t="inlineStr">
        <is>
          <t>A 11922-2022</t>
        </is>
      </c>
      <c r="B986" s="1" t="n">
        <v>44635</v>
      </c>
      <c r="C986" s="1" t="n">
        <v>45828</v>
      </c>
      <c r="D986" t="inlineStr">
        <is>
          <t>VÄRMLANDS LÄN</t>
        </is>
      </c>
      <c r="E986" t="inlineStr">
        <is>
          <t>TORSBY</t>
        </is>
      </c>
      <c r="G986" t="n">
        <v>2.6</v>
      </c>
      <c r="H986" t="n">
        <v>0</v>
      </c>
      <c r="I986" t="n">
        <v>0</v>
      </c>
      <c r="J986" t="n">
        <v>0</v>
      </c>
      <c r="K986" t="n">
        <v>0</v>
      </c>
      <c r="L986" t="n">
        <v>0</v>
      </c>
      <c r="M986" t="n">
        <v>0</v>
      </c>
      <c r="N986" t="n">
        <v>0</v>
      </c>
      <c r="O986" t="n">
        <v>0</v>
      </c>
      <c r="P986" t="n">
        <v>0</v>
      </c>
      <c r="Q986" t="n">
        <v>0</v>
      </c>
      <c r="R986" s="2" t="inlineStr"/>
    </row>
    <row r="987" ht="15" customHeight="1">
      <c r="A987" t="inlineStr">
        <is>
          <t>A 11918-2022</t>
        </is>
      </c>
      <c r="B987" s="1" t="n">
        <v>44635</v>
      </c>
      <c r="C987" s="1" t="n">
        <v>45828</v>
      </c>
      <c r="D987" t="inlineStr">
        <is>
          <t>VÄRMLANDS LÄN</t>
        </is>
      </c>
      <c r="E987" t="inlineStr">
        <is>
          <t>TORSBY</t>
        </is>
      </c>
      <c r="G987" t="n">
        <v>6.4</v>
      </c>
      <c r="H987" t="n">
        <v>0</v>
      </c>
      <c r="I987" t="n">
        <v>0</v>
      </c>
      <c r="J987" t="n">
        <v>0</v>
      </c>
      <c r="K987" t="n">
        <v>0</v>
      </c>
      <c r="L987" t="n">
        <v>0</v>
      </c>
      <c r="M987" t="n">
        <v>0</v>
      </c>
      <c r="N987" t="n">
        <v>0</v>
      </c>
      <c r="O987" t="n">
        <v>0</v>
      </c>
      <c r="P987" t="n">
        <v>0</v>
      </c>
      <c r="Q987" t="n">
        <v>0</v>
      </c>
      <c r="R987" s="2" t="inlineStr"/>
    </row>
    <row r="988" ht="15" customHeight="1">
      <c r="A988" t="inlineStr">
        <is>
          <t>A 12310-2022</t>
        </is>
      </c>
      <c r="B988" s="1" t="n">
        <v>44636</v>
      </c>
      <c r="C988" s="1" t="n">
        <v>45828</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12365-2022</t>
        </is>
      </c>
      <c r="B989" s="1" t="n">
        <v>44637</v>
      </c>
      <c r="C989" s="1" t="n">
        <v>45828</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13207-2022</t>
        </is>
      </c>
      <c r="B990" s="1" t="n">
        <v>44644</v>
      </c>
      <c r="C990" s="1" t="n">
        <v>45828</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13698-2022</t>
        </is>
      </c>
      <c r="B991" s="1" t="n">
        <v>44648</v>
      </c>
      <c r="C991" s="1" t="n">
        <v>45828</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13896-2022</t>
        </is>
      </c>
      <c r="B992" s="1" t="n">
        <v>44650</v>
      </c>
      <c r="C992" s="1" t="n">
        <v>45828</v>
      </c>
      <c r="D992" t="inlineStr">
        <is>
          <t>VÄRMLANDS LÄN</t>
        </is>
      </c>
      <c r="E992" t="inlineStr">
        <is>
          <t>TORSBY</t>
        </is>
      </c>
      <c r="G992" t="n">
        <v>3.2</v>
      </c>
      <c r="H992" t="n">
        <v>0</v>
      </c>
      <c r="I992" t="n">
        <v>0</v>
      </c>
      <c r="J992" t="n">
        <v>0</v>
      </c>
      <c r="K992" t="n">
        <v>0</v>
      </c>
      <c r="L992" t="n">
        <v>0</v>
      </c>
      <c r="M992" t="n">
        <v>0</v>
      </c>
      <c r="N992" t="n">
        <v>0</v>
      </c>
      <c r="O992" t="n">
        <v>0</v>
      </c>
      <c r="P992" t="n">
        <v>0</v>
      </c>
      <c r="Q992" t="n">
        <v>0</v>
      </c>
      <c r="R992" s="2" t="inlineStr"/>
    </row>
    <row r="993" ht="15" customHeight="1">
      <c r="A993" t="inlineStr">
        <is>
          <t>A 14145-2022</t>
        </is>
      </c>
      <c r="B993" s="1" t="n">
        <v>44651</v>
      </c>
      <c r="C993" s="1" t="n">
        <v>45828</v>
      </c>
      <c r="D993" t="inlineStr">
        <is>
          <t>VÄRMLANDS LÄN</t>
        </is>
      </c>
      <c r="E993" t="inlineStr">
        <is>
          <t>TORSBY</t>
        </is>
      </c>
      <c r="G993" t="n">
        <v>2</v>
      </c>
      <c r="H993" t="n">
        <v>0</v>
      </c>
      <c r="I993" t="n">
        <v>0</v>
      </c>
      <c r="J993" t="n">
        <v>0</v>
      </c>
      <c r="K993" t="n">
        <v>0</v>
      </c>
      <c r="L993" t="n">
        <v>0</v>
      </c>
      <c r="M993" t="n">
        <v>0</v>
      </c>
      <c r="N993" t="n">
        <v>0</v>
      </c>
      <c r="O993" t="n">
        <v>0</v>
      </c>
      <c r="P993" t="n">
        <v>0</v>
      </c>
      <c r="Q993" t="n">
        <v>0</v>
      </c>
      <c r="R993" s="2" t="inlineStr"/>
    </row>
    <row r="994" ht="15" customHeight="1">
      <c r="A994" t="inlineStr">
        <is>
          <t>A 14168-2022</t>
        </is>
      </c>
      <c r="B994" s="1" t="n">
        <v>44651</v>
      </c>
      <c r="C994" s="1" t="n">
        <v>45828</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14320-2022</t>
        </is>
      </c>
      <c r="B995" s="1" t="n">
        <v>44652</v>
      </c>
      <c r="C995" s="1" t="n">
        <v>45828</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15461-2022</t>
        </is>
      </c>
      <c r="B996" s="1" t="n">
        <v>44661</v>
      </c>
      <c r="C996" s="1" t="n">
        <v>45828</v>
      </c>
      <c r="D996" t="inlineStr">
        <is>
          <t>VÄRMLANDS LÄN</t>
        </is>
      </c>
      <c r="E996" t="inlineStr">
        <is>
          <t>TORSBY</t>
        </is>
      </c>
      <c r="G996" t="n">
        <v>13.1</v>
      </c>
      <c r="H996" t="n">
        <v>0</v>
      </c>
      <c r="I996" t="n">
        <v>0</v>
      </c>
      <c r="J996" t="n">
        <v>0</v>
      </c>
      <c r="K996" t="n">
        <v>0</v>
      </c>
      <c r="L996" t="n">
        <v>0</v>
      </c>
      <c r="M996" t="n">
        <v>0</v>
      </c>
      <c r="N996" t="n">
        <v>0</v>
      </c>
      <c r="O996" t="n">
        <v>0</v>
      </c>
      <c r="P996" t="n">
        <v>0</v>
      </c>
      <c r="Q996" t="n">
        <v>0</v>
      </c>
      <c r="R996" s="2" t="inlineStr"/>
    </row>
    <row r="997" ht="15" customHeight="1">
      <c r="A997" t="inlineStr">
        <is>
          <t>A 15460-2022</t>
        </is>
      </c>
      <c r="B997" s="1" t="n">
        <v>44661</v>
      </c>
      <c r="C997" s="1" t="n">
        <v>45828</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16080-2022</t>
        </is>
      </c>
      <c r="B998" s="1" t="n">
        <v>44665</v>
      </c>
      <c r="C998" s="1" t="n">
        <v>45828</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16010-2022</t>
        </is>
      </c>
      <c r="B999" s="1" t="n">
        <v>44665</v>
      </c>
      <c r="C999" s="1" t="n">
        <v>45828</v>
      </c>
      <c r="D999" t="inlineStr">
        <is>
          <t>VÄRMLANDS LÄN</t>
        </is>
      </c>
      <c r="E999" t="inlineStr">
        <is>
          <t>TORSBY</t>
        </is>
      </c>
      <c r="F999" t="inlineStr">
        <is>
          <t>Bergvik skog väst AB</t>
        </is>
      </c>
      <c r="G999" t="n">
        <v>18.7</v>
      </c>
      <c r="H999" t="n">
        <v>0</v>
      </c>
      <c r="I999" t="n">
        <v>0</v>
      </c>
      <c r="J999" t="n">
        <v>0</v>
      </c>
      <c r="K999" t="n">
        <v>0</v>
      </c>
      <c r="L999" t="n">
        <v>0</v>
      </c>
      <c r="M999" t="n">
        <v>0</v>
      </c>
      <c r="N999" t="n">
        <v>0</v>
      </c>
      <c r="O999" t="n">
        <v>0</v>
      </c>
      <c r="P999" t="n">
        <v>0</v>
      </c>
      <c r="Q999" t="n">
        <v>0</v>
      </c>
      <c r="R999" s="2" t="inlineStr"/>
    </row>
    <row r="1000" ht="15" customHeight="1">
      <c r="A1000" t="inlineStr">
        <is>
          <t>A 16425-2022</t>
        </is>
      </c>
      <c r="B1000" s="1" t="n">
        <v>44671</v>
      </c>
      <c r="C1000" s="1" t="n">
        <v>45828</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16498-2022</t>
        </is>
      </c>
      <c r="B1001" s="1" t="n">
        <v>44671</v>
      </c>
      <c r="C1001" s="1" t="n">
        <v>45828</v>
      </c>
      <c r="D1001" t="inlineStr">
        <is>
          <t>VÄRMLANDS LÄN</t>
        </is>
      </c>
      <c r="E1001" t="inlineStr">
        <is>
          <t>TORSBY</t>
        </is>
      </c>
      <c r="F1001" t="inlineStr">
        <is>
          <t>Kommuner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17765-2022</t>
        </is>
      </c>
      <c r="B1002" s="1" t="n">
        <v>44681</v>
      </c>
      <c r="C1002" s="1" t="n">
        <v>45828</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18101-2022</t>
        </is>
      </c>
      <c r="B1003" s="1" t="n">
        <v>44684</v>
      </c>
      <c r="C1003" s="1" t="n">
        <v>45828</v>
      </c>
      <c r="D1003" t="inlineStr">
        <is>
          <t>VÄRMLANDS LÄN</t>
        </is>
      </c>
      <c r="E1003" t="inlineStr">
        <is>
          <t>TORSBY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18105-2022</t>
        </is>
      </c>
      <c r="B1004" s="1" t="n">
        <v>44684</v>
      </c>
      <c r="C1004" s="1" t="n">
        <v>45828</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18099-2022</t>
        </is>
      </c>
      <c r="B1005" s="1" t="n">
        <v>44684</v>
      </c>
      <c r="C1005" s="1" t="n">
        <v>45828</v>
      </c>
      <c r="D1005" t="inlineStr">
        <is>
          <t>VÄRMLANDS LÄN</t>
        </is>
      </c>
      <c r="E1005" t="inlineStr">
        <is>
          <t>TORSBY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18347-2022</t>
        </is>
      </c>
      <c r="B1006" s="1" t="n">
        <v>44685</v>
      </c>
      <c r="C1006" s="1" t="n">
        <v>45828</v>
      </c>
      <c r="D1006" t="inlineStr">
        <is>
          <t>VÄRMLANDS LÄN</t>
        </is>
      </c>
      <c r="E1006" t="inlineStr">
        <is>
          <t>TORSBY</t>
        </is>
      </c>
      <c r="F1006" t="inlineStr">
        <is>
          <t>Bergvik skog väst AB</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18628-2022</t>
        </is>
      </c>
      <c r="B1007" s="1" t="n">
        <v>44687</v>
      </c>
      <c r="C1007" s="1" t="n">
        <v>45828</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18779-2022</t>
        </is>
      </c>
      <c r="B1008" s="1" t="n">
        <v>44689</v>
      </c>
      <c r="C1008" s="1" t="n">
        <v>45828</v>
      </c>
      <c r="D1008" t="inlineStr">
        <is>
          <t>VÄRMLANDS LÄN</t>
        </is>
      </c>
      <c r="E1008" t="inlineStr">
        <is>
          <t>TORSBY</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18897-2022</t>
        </is>
      </c>
      <c r="B1009" s="1" t="n">
        <v>44690</v>
      </c>
      <c r="C1009" s="1" t="n">
        <v>45828</v>
      </c>
      <c r="D1009" t="inlineStr">
        <is>
          <t>VÄRMLANDS LÄN</t>
        </is>
      </c>
      <c r="E1009" t="inlineStr">
        <is>
          <t>TORSBY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18877-2022</t>
        </is>
      </c>
      <c r="B1010" s="1" t="n">
        <v>44690</v>
      </c>
      <c r="C1010" s="1" t="n">
        <v>45828</v>
      </c>
      <c r="D1010" t="inlineStr">
        <is>
          <t>VÄRMLANDS LÄN</t>
        </is>
      </c>
      <c r="E1010" t="inlineStr">
        <is>
          <t>TORSBY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18903-2022</t>
        </is>
      </c>
      <c r="B1011" s="1" t="n">
        <v>44690</v>
      </c>
      <c r="C1011" s="1" t="n">
        <v>45828</v>
      </c>
      <c r="D1011" t="inlineStr">
        <is>
          <t>VÄRMLANDS LÄN</t>
        </is>
      </c>
      <c r="E1011" t="inlineStr">
        <is>
          <t>TORSBY</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19171-2022</t>
        </is>
      </c>
      <c r="B1012" s="1" t="n">
        <v>44691</v>
      </c>
      <c r="C1012" s="1" t="n">
        <v>45828</v>
      </c>
      <c r="D1012" t="inlineStr">
        <is>
          <t>VÄRMLANDS LÄN</t>
        </is>
      </c>
      <c r="E1012" t="inlineStr">
        <is>
          <t>TORSBY</t>
        </is>
      </c>
      <c r="F1012" t="inlineStr">
        <is>
          <t>Bergvik skog väst AB</t>
        </is>
      </c>
      <c r="G1012" t="n">
        <v>23.3</v>
      </c>
      <c r="H1012" t="n">
        <v>0</v>
      </c>
      <c r="I1012" t="n">
        <v>0</v>
      </c>
      <c r="J1012" t="n">
        <v>0</v>
      </c>
      <c r="K1012" t="n">
        <v>0</v>
      </c>
      <c r="L1012" t="n">
        <v>0</v>
      </c>
      <c r="M1012" t="n">
        <v>0</v>
      </c>
      <c r="N1012" t="n">
        <v>0</v>
      </c>
      <c r="O1012" t="n">
        <v>0</v>
      </c>
      <c r="P1012" t="n">
        <v>0</v>
      </c>
      <c r="Q1012" t="n">
        <v>0</v>
      </c>
      <c r="R1012" s="2" t="inlineStr"/>
    </row>
    <row r="1013" ht="15" customHeight="1">
      <c r="A1013" t="inlineStr">
        <is>
          <t>A 19307-2022</t>
        </is>
      </c>
      <c r="B1013" s="1" t="n">
        <v>44692</v>
      </c>
      <c r="C1013" s="1" t="n">
        <v>45828</v>
      </c>
      <c r="D1013" t="inlineStr">
        <is>
          <t>VÄRMLANDS LÄN</t>
        </is>
      </c>
      <c r="E1013" t="inlineStr">
        <is>
          <t>TORSBY</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19489-2022</t>
        </is>
      </c>
      <c r="B1014" s="1" t="n">
        <v>44693</v>
      </c>
      <c r="C1014" s="1" t="n">
        <v>45828</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19632-2022</t>
        </is>
      </c>
      <c r="B1015" s="1" t="n">
        <v>44694</v>
      </c>
      <c r="C1015" s="1" t="n">
        <v>45828</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19614-2022</t>
        </is>
      </c>
      <c r="B1016" s="1" t="n">
        <v>44694</v>
      </c>
      <c r="C1016" s="1" t="n">
        <v>45828</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20045-2022</t>
        </is>
      </c>
      <c r="B1017" s="1" t="n">
        <v>44697</v>
      </c>
      <c r="C1017" s="1" t="n">
        <v>45828</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20046-2022</t>
        </is>
      </c>
      <c r="B1018" s="1" t="n">
        <v>44697</v>
      </c>
      <c r="C1018" s="1" t="n">
        <v>45828</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20009-2022</t>
        </is>
      </c>
      <c r="B1019" s="1" t="n">
        <v>44697</v>
      </c>
      <c r="C1019" s="1" t="n">
        <v>45828</v>
      </c>
      <c r="D1019" t="inlineStr">
        <is>
          <t>VÄRMLANDS LÄN</t>
        </is>
      </c>
      <c r="E1019" t="inlineStr">
        <is>
          <t>TORSBY</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20168-2022</t>
        </is>
      </c>
      <c r="B1020" s="1" t="n">
        <v>44698</v>
      </c>
      <c r="C1020" s="1" t="n">
        <v>45828</v>
      </c>
      <c r="D1020" t="inlineStr">
        <is>
          <t>VÄRMLANDS LÄN</t>
        </is>
      </c>
      <c r="E1020" t="inlineStr">
        <is>
          <t>TORSBY</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20175-2022</t>
        </is>
      </c>
      <c r="B1021" s="1" t="n">
        <v>44698</v>
      </c>
      <c r="C1021" s="1" t="n">
        <v>45828</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20174-2022</t>
        </is>
      </c>
      <c r="B1022" s="1" t="n">
        <v>44698</v>
      </c>
      <c r="C1022" s="1" t="n">
        <v>45828</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20382-2022</t>
        </is>
      </c>
      <c r="B1023" s="1" t="n">
        <v>44699</v>
      </c>
      <c r="C1023" s="1" t="n">
        <v>45828</v>
      </c>
      <c r="D1023" t="inlineStr">
        <is>
          <t>VÄRMLANDS LÄN</t>
        </is>
      </c>
      <c r="E1023" t="inlineStr">
        <is>
          <t>TORSBY</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20819-2022</t>
        </is>
      </c>
      <c r="B1024" s="1" t="n">
        <v>44699</v>
      </c>
      <c r="C1024" s="1" t="n">
        <v>45828</v>
      </c>
      <c r="D1024" t="inlineStr">
        <is>
          <t>VÄRMLANDS LÄN</t>
        </is>
      </c>
      <c r="E1024" t="inlineStr">
        <is>
          <t>TORSBY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20881-2022</t>
        </is>
      </c>
      <c r="B1025" s="1" t="n">
        <v>44701</v>
      </c>
      <c r="C1025" s="1" t="n">
        <v>45828</v>
      </c>
      <c r="D1025" t="inlineStr">
        <is>
          <t>VÄRMLANDS LÄN</t>
        </is>
      </c>
      <c r="E1025" t="inlineStr">
        <is>
          <t>TORSBY</t>
        </is>
      </c>
      <c r="F1025" t="inlineStr">
        <is>
          <t>Bergvik skog väst AB</t>
        </is>
      </c>
      <c r="G1025" t="n">
        <v>17.2</v>
      </c>
      <c r="H1025" t="n">
        <v>0</v>
      </c>
      <c r="I1025" t="n">
        <v>0</v>
      </c>
      <c r="J1025" t="n">
        <v>0</v>
      </c>
      <c r="K1025" t="n">
        <v>0</v>
      </c>
      <c r="L1025" t="n">
        <v>0</v>
      </c>
      <c r="M1025" t="n">
        <v>0</v>
      </c>
      <c r="N1025" t="n">
        <v>0</v>
      </c>
      <c r="O1025" t="n">
        <v>0</v>
      </c>
      <c r="P1025" t="n">
        <v>0</v>
      </c>
      <c r="Q1025" t="n">
        <v>0</v>
      </c>
      <c r="R1025" s="2" t="inlineStr"/>
    </row>
    <row r="1026" ht="15" customHeight="1">
      <c r="A1026" t="inlineStr">
        <is>
          <t>A 20907-2022</t>
        </is>
      </c>
      <c r="B1026" s="1" t="n">
        <v>44701</v>
      </c>
      <c r="C1026" s="1" t="n">
        <v>45828</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20899-2022</t>
        </is>
      </c>
      <c r="B1027" s="1" t="n">
        <v>44701</v>
      </c>
      <c r="C1027" s="1" t="n">
        <v>45828</v>
      </c>
      <c r="D1027" t="inlineStr">
        <is>
          <t>VÄRMLANDS LÄN</t>
        </is>
      </c>
      <c r="E1027" t="inlineStr">
        <is>
          <t>TORSBY</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21094-2022</t>
        </is>
      </c>
      <c r="B1028" s="1" t="n">
        <v>44704</v>
      </c>
      <c r="C1028" s="1" t="n">
        <v>45828</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21070-2022</t>
        </is>
      </c>
      <c r="B1029" s="1" t="n">
        <v>44704</v>
      </c>
      <c r="C1029" s="1" t="n">
        <v>45828</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21089-2022</t>
        </is>
      </c>
      <c r="B1030" s="1" t="n">
        <v>44704</v>
      </c>
      <c r="C1030" s="1" t="n">
        <v>45828</v>
      </c>
      <c r="D1030" t="inlineStr">
        <is>
          <t>VÄRMLANDS LÄN</t>
        </is>
      </c>
      <c r="E1030" t="inlineStr">
        <is>
          <t>TORSBY</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21516-2022</t>
        </is>
      </c>
      <c r="B1031" s="1" t="n">
        <v>44706</v>
      </c>
      <c r="C1031" s="1" t="n">
        <v>45828</v>
      </c>
      <c r="D1031" t="inlineStr">
        <is>
          <t>VÄRMLANDS LÄN</t>
        </is>
      </c>
      <c r="E1031" t="inlineStr">
        <is>
          <t>TORSBY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21465-2022</t>
        </is>
      </c>
      <c r="B1032" s="1" t="n">
        <v>44706</v>
      </c>
      <c r="C1032" s="1" t="n">
        <v>45828</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21521-2022</t>
        </is>
      </c>
      <c r="B1033" s="1" t="n">
        <v>44706</v>
      </c>
      <c r="C1033" s="1" t="n">
        <v>45828</v>
      </c>
      <c r="D1033" t="inlineStr">
        <is>
          <t>VÄRMLANDS LÄN</t>
        </is>
      </c>
      <c r="E1033" t="inlineStr">
        <is>
          <t>TORSBY</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22158-2022</t>
        </is>
      </c>
      <c r="B1034" s="1" t="n">
        <v>44708</v>
      </c>
      <c r="C1034" s="1" t="n">
        <v>45828</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22124-2022</t>
        </is>
      </c>
      <c r="B1035" s="1" t="n">
        <v>44712</v>
      </c>
      <c r="C1035" s="1" t="n">
        <v>45828</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45828</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22662-2022</t>
        </is>
      </c>
      <c r="B1037" s="1" t="n">
        <v>44714</v>
      </c>
      <c r="C1037" s="1" t="n">
        <v>45828</v>
      </c>
      <c r="D1037" t="inlineStr">
        <is>
          <t>VÄRMLANDS LÄN</t>
        </is>
      </c>
      <c r="E1037" t="inlineStr">
        <is>
          <t>TORSBY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22826-2022</t>
        </is>
      </c>
      <c r="B1038" s="1" t="n">
        <v>44714</v>
      </c>
      <c r="C1038" s="1" t="n">
        <v>45828</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22823-2022</t>
        </is>
      </c>
      <c r="B1039" s="1" t="n">
        <v>44714</v>
      </c>
      <c r="C1039" s="1" t="n">
        <v>45828</v>
      </c>
      <c r="D1039" t="inlineStr">
        <is>
          <t>VÄRMLANDS LÄN</t>
        </is>
      </c>
      <c r="E1039" t="inlineStr">
        <is>
          <t>TORSBY</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23185-2022</t>
        </is>
      </c>
      <c r="B1040" s="1" t="n">
        <v>44719</v>
      </c>
      <c r="C1040" s="1" t="n">
        <v>45828</v>
      </c>
      <c r="D1040" t="inlineStr">
        <is>
          <t>VÄRMLANDS LÄN</t>
        </is>
      </c>
      <c r="E1040" t="inlineStr">
        <is>
          <t>TORSBY</t>
        </is>
      </c>
      <c r="F1040" t="inlineStr">
        <is>
          <t>Naturvårdsverket</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23011-2022</t>
        </is>
      </c>
      <c r="B1041" s="1" t="n">
        <v>44719</v>
      </c>
      <c r="C1041" s="1" t="n">
        <v>45828</v>
      </c>
      <c r="D1041" t="inlineStr">
        <is>
          <t>VÄRMLANDS LÄN</t>
        </is>
      </c>
      <c r="E1041" t="inlineStr">
        <is>
          <t>TORSBY</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23264-2022</t>
        </is>
      </c>
      <c r="B1042" s="1" t="n">
        <v>44720</v>
      </c>
      <c r="C1042" s="1" t="n">
        <v>45828</v>
      </c>
      <c r="D1042" t="inlineStr">
        <is>
          <t>VÄRMLANDS LÄN</t>
        </is>
      </c>
      <c r="E1042" t="inlineStr">
        <is>
          <t>TORSBY</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23343-2022</t>
        </is>
      </c>
      <c r="B1043" s="1" t="n">
        <v>44720</v>
      </c>
      <c r="C1043" s="1" t="n">
        <v>45828</v>
      </c>
      <c r="D1043" t="inlineStr">
        <is>
          <t>VÄRMLANDS LÄN</t>
        </is>
      </c>
      <c r="E1043" t="inlineStr">
        <is>
          <t>TORSBY</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23401-2022</t>
        </is>
      </c>
      <c r="B1044" s="1" t="n">
        <v>44720</v>
      </c>
      <c r="C1044" s="1" t="n">
        <v>45828</v>
      </c>
      <c r="D1044" t="inlineStr">
        <is>
          <t>VÄRMLANDS LÄN</t>
        </is>
      </c>
      <c r="E1044" t="inlineStr">
        <is>
          <t>TORSBY</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23405-2022</t>
        </is>
      </c>
      <c r="B1045" s="1" t="n">
        <v>44720</v>
      </c>
      <c r="C1045" s="1" t="n">
        <v>45828</v>
      </c>
      <c r="D1045" t="inlineStr">
        <is>
          <t>VÄRMLANDS LÄN</t>
        </is>
      </c>
      <c r="E1045" t="inlineStr">
        <is>
          <t>TORSBY</t>
        </is>
      </c>
      <c r="F1045" t="inlineStr">
        <is>
          <t>Bergvik skog väst AB</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23803-2022</t>
        </is>
      </c>
      <c r="B1046" s="1" t="n">
        <v>44720</v>
      </c>
      <c r="C1046" s="1" t="n">
        <v>45828</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23804-2022</t>
        </is>
      </c>
      <c r="B1047" s="1" t="n">
        <v>44722</v>
      </c>
      <c r="C1047" s="1" t="n">
        <v>45828</v>
      </c>
      <c r="D1047" t="inlineStr">
        <is>
          <t>VÄRMLANDS LÄN</t>
        </is>
      </c>
      <c r="E1047" t="inlineStr">
        <is>
          <t>TORSBY</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23823-2022</t>
        </is>
      </c>
      <c r="B1048" s="1" t="n">
        <v>44722</v>
      </c>
      <c r="C1048" s="1" t="n">
        <v>45828</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23735-2022</t>
        </is>
      </c>
      <c r="B1049" s="1" t="n">
        <v>44722</v>
      </c>
      <c r="C1049" s="1" t="n">
        <v>45828</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23818-2022</t>
        </is>
      </c>
      <c r="B1050" s="1" t="n">
        <v>44722</v>
      </c>
      <c r="C1050" s="1" t="n">
        <v>45828</v>
      </c>
      <c r="D1050" t="inlineStr">
        <is>
          <t>VÄRMLANDS LÄN</t>
        </is>
      </c>
      <c r="E1050" t="inlineStr">
        <is>
          <t>TORSBY</t>
        </is>
      </c>
      <c r="G1050" t="n">
        <v>23.5</v>
      </c>
      <c r="H1050" t="n">
        <v>0</v>
      </c>
      <c r="I1050" t="n">
        <v>0</v>
      </c>
      <c r="J1050" t="n">
        <v>0</v>
      </c>
      <c r="K1050" t="n">
        <v>0</v>
      </c>
      <c r="L1050" t="n">
        <v>0</v>
      </c>
      <c r="M1050" t="n">
        <v>0</v>
      </c>
      <c r="N1050" t="n">
        <v>0</v>
      </c>
      <c r="O1050" t="n">
        <v>0</v>
      </c>
      <c r="P1050" t="n">
        <v>0</v>
      </c>
      <c r="Q1050" t="n">
        <v>0</v>
      </c>
      <c r="R1050" s="2" t="inlineStr"/>
    </row>
    <row r="1051" ht="15" customHeight="1">
      <c r="A1051" t="inlineStr">
        <is>
          <t>A 23732-2022</t>
        </is>
      </c>
      <c r="B1051" s="1" t="n">
        <v>44722</v>
      </c>
      <c r="C1051" s="1" t="n">
        <v>45828</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23746-2022</t>
        </is>
      </c>
      <c r="B1052" s="1" t="n">
        <v>44722</v>
      </c>
      <c r="C1052" s="1" t="n">
        <v>45828</v>
      </c>
      <c r="D1052" t="inlineStr">
        <is>
          <t>VÄRMLANDS LÄN</t>
        </is>
      </c>
      <c r="E1052" t="inlineStr">
        <is>
          <t>TORSBY</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23851-2022</t>
        </is>
      </c>
      <c r="B1053" s="1" t="n">
        <v>44722</v>
      </c>
      <c r="C1053" s="1" t="n">
        <v>45828</v>
      </c>
      <c r="D1053" t="inlineStr">
        <is>
          <t>VÄRMLANDS LÄN</t>
        </is>
      </c>
      <c r="E1053" t="inlineStr">
        <is>
          <t>TORSBY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24960-2022</t>
        </is>
      </c>
      <c r="B1054" s="1" t="n">
        <v>44728</v>
      </c>
      <c r="C1054" s="1" t="n">
        <v>45828</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25537-2022</t>
        </is>
      </c>
      <c r="B1055" s="1" t="n">
        <v>44732</v>
      </c>
      <c r="C1055" s="1" t="n">
        <v>45828</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26686-2022</t>
        </is>
      </c>
      <c r="B1056" s="1" t="n">
        <v>44739</v>
      </c>
      <c r="C1056" s="1" t="n">
        <v>45828</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26842-2022</t>
        </is>
      </c>
      <c r="B1057" s="1" t="n">
        <v>44740</v>
      </c>
      <c r="C1057" s="1" t="n">
        <v>45828</v>
      </c>
      <c r="D1057" t="inlineStr">
        <is>
          <t>VÄRMLANDS LÄN</t>
        </is>
      </c>
      <c r="E1057" t="inlineStr">
        <is>
          <t>TORSBY</t>
        </is>
      </c>
      <c r="F1057" t="inlineStr">
        <is>
          <t>Bergvik skog väst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26988-2022</t>
        </is>
      </c>
      <c r="B1058" s="1" t="n">
        <v>44740</v>
      </c>
      <c r="C1058" s="1" t="n">
        <v>45828</v>
      </c>
      <c r="D1058" t="inlineStr">
        <is>
          <t>VÄRMLANDS LÄN</t>
        </is>
      </c>
      <c r="E1058" t="inlineStr">
        <is>
          <t>TORSBY</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27223-2022</t>
        </is>
      </c>
      <c r="B1059" s="1" t="n">
        <v>44741</v>
      </c>
      <c r="C1059" s="1" t="n">
        <v>45828</v>
      </c>
      <c r="D1059" t="inlineStr">
        <is>
          <t>VÄRMLANDS LÄN</t>
        </is>
      </c>
      <c r="E1059" t="inlineStr">
        <is>
          <t>TORSBY</t>
        </is>
      </c>
      <c r="F1059" t="inlineStr">
        <is>
          <t>Bergvik skog väst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27686-2022</t>
        </is>
      </c>
      <c r="B1060" s="1" t="n">
        <v>44743</v>
      </c>
      <c r="C1060" s="1" t="n">
        <v>45828</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28008-2022</t>
        </is>
      </c>
      <c r="B1061" s="1" t="n">
        <v>44746</v>
      </c>
      <c r="C1061" s="1" t="n">
        <v>45828</v>
      </c>
      <c r="D1061" t="inlineStr">
        <is>
          <t>VÄRMLANDS LÄN</t>
        </is>
      </c>
      <c r="E1061" t="inlineStr">
        <is>
          <t>TORSBY</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28016-2022</t>
        </is>
      </c>
      <c r="B1062" s="1" t="n">
        <v>44746</v>
      </c>
      <c r="C1062" s="1" t="n">
        <v>45828</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28113-2022</t>
        </is>
      </c>
      <c r="B1063" s="1" t="n">
        <v>44746</v>
      </c>
      <c r="C1063" s="1" t="n">
        <v>45828</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28172-2022</t>
        </is>
      </c>
      <c r="B1064" s="1" t="n">
        <v>44746</v>
      </c>
      <c r="C1064" s="1" t="n">
        <v>45828</v>
      </c>
      <c r="D1064" t="inlineStr">
        <is>
          <t>VÄRMLANDS LÄN</t>
        </is>
      </c>
      <c r="E1064" t="inlineStr">
        <is>
          <t>TORSBY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28471-2022</t>
        </is>
      </c>
      <c r="B1065" s="1" t="n">
        <v>44747</v>
      </c>
      <c r="C1065" s="1" t="n">
        <v>45828</v>
      </c>
      <c r="D1065" t="inlineStr">
        <is>
          <t>VÄRMLANDS LÄN</t>
        </is>
      </c>
      <c r="E1065" t="inlineStr">
        <is>
          <t>TORSBY</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28955-2022</t>
        </is>
      </c>
      <c r="B1066" s="1" t="n">
        <v>44749</v>
      </c>
      <c r="C1066" s="1" t="n">
        <v>45828</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29142-2022</t>
        </is>
      </c>
      <c r="B1067" s="1" t="n">
        <v>44750</v>
      </c>
      <c r="C1067" s="1" t="n">
        <v>45828</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29509-2022</t>
        </is>
      </c>
      <c r="B1068" s="1" t="n">
        <v>44753</v>
      </c>
      <c r="C1068" s="1" t="n">
        <v>45828</v>
      </c>
      <c r="D1068" t="inlineStr">
        <is>
          <t>VÄRMLANDS LÄN</t>
        </is>
      </c>
      <c r="E1068" t="inlineStr">
        <is>
          <t>TORSBY</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29596-2022</t>
        </is>
      </c>
      <c r="B1069" s="1" t="n">
        <v>44754</v>
      </c>
      <c r="C1069" s="1" t="n">
        <v>45828</v>
      </c>
      <c r="D1069" t="inlineStr">
        <is>
          <t>VÄRMLANDS LÄN</t>
        </is>
      </c>
      <c r="E1069" t="inlineStr">
        <is>
          <t>TORSBY</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29717-2022</t>
        </is>
      </c>
      <c r="B1070" s="1" t="n">
        <v>44755</v>
      </c>
      <c r="C1070" s="1" t="n">
        <v>45828</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29720-2022</t>
        </is>
      </c>
      <c r="B1071" s="1" t="n">
        <v>44755</v>
      </c>
      <c r="C1071" s="1" t="n">
        <v>45828</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29721-2022</t>
        </is>
      </c>
      <c r="B1072" s="1" t="n">
        <v>44755</v>
      </c>
      <c r="C1072" s="1" t="n">
        <v>45828</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29901-2022</t>
        </is>
      </c>
      <c r="B1073" s="1" t="n">
        <v>44756</v>
      </c>
      <c r="C1073" s="1" t="n">
        <v>45828</v>
      </c>
      <c r="D1073" t="inlineStr">
        <is>
          <t>VÄRMLANDS LÄN</t>
        </is>
      </c>
      <c r="E1073" t="inlineStr">
        <is>
          <t>TORSBY</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29908-2022</t>
        </is>
      </c>
      <c r="B1074" s="1" t="n">
        <v>44756</v>
      </c>
      <c r="C1074" s="1" t="n">
        <v>45828</v>
      </c>
      <c r="D1074" t="inlineStr">
        <is>
          <t>VÄRMLANDS LÄN</t>
        </is>
      </c>
      <c r="E1074" t="inlineStr">
        <is>
          <t>TORSBY</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29921-2022</t>
        </is>
      </c>
      <c r="B1075" s="1" t="n">
        <v>44756</v>
      </c>
      <c r="C1075" s="1" t="n">
        <v>45828</v>
      </c>
      <c r="D1075" t="inlineStr">
        <is>
          <t>VÄRMLANDS LÄN</t>
        </is>
      </c>
      <c r="E1075" t="inlineStr">
        <is>
          <t>TORSBY</t>
        </is>
      </c>
      <c r="F1075" t="inlineStr">
        <is>
          <t>Kommuner</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29990-2022</t>
        </is>
      </c>
      <c r="B1076" s="1" t="n">
        <v>44756</v>
      </c>
      <c r="C1076" s="1" t="n">
        <v>45828</v>
      </c>
      <c r="D1076" t="inlineStr">
        <is>
          <t>VÄRMLANDS LÄN</t>
        </is>
      </c>
      <c r="E1076" t="inlineStr">
        <is>
          <t>TORSBY</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30326-2022</t>
        </is>
      </c>
      <c r="B1077" s="1" t="n">
        <v>44760</v>
      </c>
      <c r="C1077" s="1" t="n">
        <v>45828</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30612-2022</t>
        </is>
      </c>
      <c r="B1078" s="1" t="n">
        <v>44763</v>
      </c>
      <c r="C1078" s="1" t="n">
        <v>45828</v>
      </c>
      <c r="D1078" t="inlineStr">
        <is>
          <t>VÄRMLANDS LÄN</t>
        </is>
      </c>
      <c r="E1078" t="inlineStr">
        <is>
          <t>TORSBY</t>
        </is>
      </c>
      <c r="F1078" t="inlineStr">
        <is>
          <t>Kommuner</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32003-2022</t>
        </is>
      </c>
      <c r="B1079" s="1" t="n">
        <v>44778</v>
      </c>
      <c r="C1079" s="1" t="n">
        <v>45828</v>
      </c>
      <c r="D1079" t="inlineStr">
        <is>
          <t>VÄRMLANDS LÄN</t>
        </is>
      </c>
      <c r="E1079" t="inlineStr">
        <is>
          <t>TORSBY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32438-2022</t>
        </is>
      </c>
      <c r="B1080" s="1" t="n">
        <v>44782</v>
      </c>
      <c r="C1080" s="1" t="n">
        <v>45828</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32444-2022</t>
        </is>
      </c>
      <c r="B1081" s="1" t="n">
        <v>44782</v>
      </c>
      <c r="C1081" s="1" t="n">
        <v>45828</v>
      </c>
      <c r="D1081" t="inlineStr">
        <is>
          <t>VÄRMLANDS LÄN</t>
        </is>
      </c>
      <c r="E1081" t="inlineStr">
        <is>
          <t>TORSBY</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32400-2022</t>
        </is>
      </c>
      <c r="B1082" s="1" t="n">
        <v>44782</v>
      </c>
      <c r="C1082" s="1" t="n">
        <v>45828</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32496-2022</t>
        </is>
      </c>
      <c r="B1083" s="1" t="n">
        <v>44782</v>
      </c>
      <c r="C1083" s="1" t="n">
        <v>45828</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33069-2022</t>
        </is>
      </c>
      <c r="B1084" s="1" t="n">
        <v>44785</v>
      </c>
      <c r="C1084" s="1" t="n">
        <v>45828</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33181-2022</t>
        </is>
      </c>
      <c r="B1085" s="1" t="n">
        <v>44785</v>
      </c>
      <c r="C1085" s="1" t="n">
        <v>45828</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33254-2022</t>
        </is>
      </c>
      <c r="B1086" s="1" t="n">
        <v>44787</v>
      </c>
      <c r="C1086" s="1" t="n">
        <v>45828</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33251-2022</t>
        </is>
      </c>
      <c r="B1087" s="1" t="n">
        <v>44787</v>
      </c>
      <c r="C1087" s="1" t="n">
        <v>45828</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33579-2022</t>
        </is>
      </c>
      <c r="B1088" s="1" t="n">
        <v>44789</v>
      </c>
      <c r="C1088" s="1" t="n">
        <v>45828</v>
      </c>
      <c r="D1088" t="inlineStr">
        <is>
          <t>VÄRMLANDS LÄN</t>
        </is>
      </c>
      <c r="E1088" t="inlineStr">
        <is>
          <t>TORSBY</t>
        </is>
      </c>
      <c r="F1088" t="inlineStr">
        <is>
          <t>Bergvik skog väst AB</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33802-2022</t>
        </is>
      </c>
      <c r="B1089" s="1" t="n">
        <v>44790</v>
      </c>
      <c r="C1089" s="1" t="n">
        <v>45828</v>
      </c>
      <c r="D1089" t="inlineStr">
        <is>
          <t>VÄRMLANDS LÄN</t>
        </is>
      </c>
      <c r="E1089" t="inlineStr">
        <is>
          <t>TORSBY</t>
        </is>
      </c>
      <c r="F1089" t="inlineStr">
        <is>
          <t>Bergvik skog väst AB</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33960-2022</t>
        </is>
      </c>
      <c r="B1090" s="1" t="n">
        <v>44790</v>
      </c>
      <c r="C1090" s="1" t="n">
        <v>45828</v>
      </c>
      <c r="D1090" t="inlineStr">
        <is>
          <t>VÄRMLANDS LÄN</t>
        </is>
      </c>
      <c r="E1090" t="inlineStr">
        <is>
          <t>TORSBY</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33958-2022</t>
        </is>
      </c>
      <c r="B1091" s="1" t="n">
        <v>44790</v>
      </c>
      <c r="C1091" s="1" t="n">
        <v>45828</v>
      </c>
      <c r="D1091" t="inlineStr">
        <is>
          <t>VÄRMLANDS LÄN</t>
        </is>
      </c>
      <c r="E1091" t="inlineStr">
        <is>
          <t>TORSBY</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33943-2022</t>
        </is>
      </c>
      <c r="B1092" s="1" t="n">
        <v>44790</v>
      </c>
      <c r="C1092" s="1" t="n">
        <v>45828</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33959-2022</t>
        </is>
      </c>
      <c r="B1093" s="1" t="n">
        <v>44790</v>
      </c>
      <c r="C1093" s="1" t="n">
        <v>45828</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34371-2022</t>
        </is>
      </c>
      <c r="B1094" s="1" t="n">
        <v>44792</v>
      </c>
      <c r="C1094" s="1" t="n">
        <v>45828</v>
      </c>
      <c r="D1094" t="inlineStr">
        <is>
          <t>VÄRMLANDS LÄN</t>
        </is>
      </c>
      <c r="E1094" t="inlineStr">
        <is>
          <t>TORSBY</t>
        </is>
      </c>
      <c r="F1094" t="inlineStr">
        <is>
          <t>Bergvik skog väst AB</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34378-2022</t>
        </is>
      </c>
      <c r="B1095" s="1" t="n">
        <v>44792</v>
      </c>
      <c r="C1095" s="1" t="n">
        <v>45828</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34434-2022</t>
        </is>
      </c>
      <c r="B1096" s="1" t="n">
        <v>44792</v>
      </c>
      <c r="C1096" s="1" t="n">
        <v>45828</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34440-2022</t>
        </is>
      </c>
      <c r="B1097" s="1" t="n">
        <v>44792</v>
      </c>
      <c r="C1097" s="1" t="n">
        <v>45828</v>
      </c>
      <c r="D1097" t="inlineStr">
        <is>
          <t>VÄRMLANDS LÄN</t>
        </is>
      </c>
      <c r="E1097" t="inlineStr">
        <is>
          <t>TORSBY</t>
        </is>
      </c>
      <c r="F1097" t="inlineStr">
        <is>
          <t>Bergvik skog väst AB</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34581-2022</t>
        </is>
      </c>
      <c r="B1098" s="1" t="n">
        <v>44792</v>
      </c>
      <c r="C1098" s="1" t="n">
        <v>45828</v>
      </c>
      <c r="D1098" t="inlineStr">
        <is>
          <t>VÄRMLANDS LÄN</t>
        </is>
      </c>
      <c r="E1098" t="inlineStr">
        <is>
          <t>TORSBY</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34568-2022</t>
        </is>
      </c>
      <c r="B1099" s="1" t="n">
        <v>44795</v>
      </c>
      <c r="C1099" s="1" t="n">
        <v>45828</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34662-2022</t>
        </is>
      </c>
      <c r="B1100" s="1" t="n">
        <v>44795</v>
      </c>
      <c r="C1100" s="1" t="n">
        <v>45828</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45828</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34655-2022</t>
        </is>
      </c>
      <c r="B1102" s="1" t="n">
        <v>44795</v>
      </c>
      <c r="C1102" s="1" t="n">
        <v>45828</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34908-2022</t>
        </is>
      </c>
      <c r="B1103" s="1" t="n">
        <v>44796</v>
      </c>
      <c r="C1103" s="1" t="n">
        <v>45828</v>
      </c>
      <c r="D1103" t="inlineStr">
        <is>
          <t>VÄRMLANDS LÄN</t>
        </is>
      </c>
      <c r="E1103" t="inlineStr">
        <is>
          <t>TORSBY</t>
        </is>
      </c>
      <c r="F1103" t="inlineStr">
        <is>
          <t>Bergvik skog väst AB</t>
        </is>
      </c>
      <c r="G1103" t="n">
        <v>33.4</v>
      </c>
      <c r="H1103" t="n">
        <v>0</v>
      </c>
      <c r="I1103" t="n">
        <v>0</v>
      </c>
      <c r="J1103" t="n">
        <v>0</v>
      </c>
      <c r="K1103" t="n">
        <v>0</v>
      </c>
      <c r="L1103" t="n">
        <v>0</v>
      </c>
      <c r="M1103" t="n">
        <v>0</v>
      </c>
      <c r="N1103" t="n">
        <v>0</v>
      </c>
      <c r="O1103" t="n">
        <v>0</v>
      </c>
      <c r="P1103" t="n">
        <v>0</v>
      </c>
      <c r="Q1103" t="n">
        <v>0</v>
      </c>
      <c r="R1103" s="2" t="inlineStr"/>
    </row>
    <row r="1104" ht="15" customHeight="1">
      <c r="A1104" t="inlineStr">
        <is>
          <t>A 35134-2022</t>
        </is>
      </c>
      <c r="B1104" s="1" t="n">
        <v>44797</v>
      </c>
      <c r="C1104" s="1" t="n">
        <v>45828</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35132-2022</t>
        </is>
      </c>
      <c r="B1105" s="1" t="n">
        <v>44797</v>
      </c>
      <c r="C1105" s="1" t="n">
        <v>45828</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35606-2022</t>
        </is>
      </c>
      <c r="B1106" s="1" t="n">
        <v>44799</v>
      </c>
      <c r="C1106" s="1" t="n">
        <v>45828</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35595-2022</t>
        </is>
      </c>
      <c r="B1107" s="1" t="n">
        <v>44799</v>
      </c>
      <c r="C1107" s="1" t="n">
        <v>45828</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35724-2022</t>
        </is>
      </c>
      <c r="B1108" s="1" t="n">
        <v>44799</v>
      </c>
      <c r="C1108" s="1" t="n">
        <v>45828</v>
      </c>
      <c r="D1108" t="inlineStr">
        <is>
          <t>VÄRMLANDS LÄN</t>
        </is>
      </c>
      <c r="E1108" t="inlineStr">
        <is>
          <t>TORSBY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35711-2022</t>
        </is>
      </c>
      <c r="B1109" s="1" t="n">
        <v>44799</v>
      </c>
      <c r="C1109" s="1" t="n">
        <v>45828</v>
      </c>
      <c r="D1109" t="inlineStr">
        <is>
          <t>VÄRMLANDS LÄN</t>
        </is>
      </c>
      <c r="E1109" t="inlineStr">
        <is>
          <t>TORSBY</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35851-2022</t>
        </is>
      </c>
      <c r="B1110" s="1" t="n">
        <v>44802</v>
      </c>
      <c r="C1110" s="1" t="n">
        <v>45828</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36290-2022</t>
        </is>
      </c>
      <c r="B1111" s="1" t="n">
        <v>44803</v>
      </c>
      <c r="C1111" s="1" t="n">
        <v>45828</v>
      </c>
      <c r="D1111" t="inlineStr">
        <is>
          <t>VÄRMLANDS LÄN</t>
        </is>
      </c>
      <c r="E1111" t="inlineStr">
        <is>
          <t>TORSBY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36318-2022</t>
        </is>
      </c>
      <c r="B1112" s="1" t="n">
        <v>44803</v>
      </c>
      <c r="C1112" s="1" t="n">
        <v>45828</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36514-2022</t>
        </is>
      </c>
      <c r="B1113" s="1" t="n">
        <v>44804</v>
      </c>
      <c r="C1113" s="1" t="n">
        <v>45828</v>
      </c>
      <c r="D1113" t="inlineStr">
        <is>
          <t>VÄRMLANDS LÄN</t>
        </is>
      </c>
      <c r="E1113" t="inlineStr">
        <is>
          <t>TORSBY</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36547-2022</t>
        </is>
      </c>
      <c r="B1114" s="1" t="n">
        <v>44804</v>
      </c>
      <c r="C1114" s="1" t="n">
        <v>45828</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36545-2022</t>
        </is>
      </c>
      <c r="B1115" s="1" t="n">
        <v>44804</v>
      </c>
      <c r="C1115" s="1" t="n">
        <v>45828</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36527-2022</t>
        </is>
      </c>
      <c r="B1116" s="1" t="n">
        <v>44804</v>
      </c>
      <c r="C1116" s="1" t="n">
        <v>45828</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36537-2022</t>
        </is>
      </c>
      <c r="B1117" s="1" t="n">
        <v>44804</v>
      </c>
      <c r="C1117" s="1" t="n">
        <v>45828</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36582-2022</t>
        </is>
      </c>
      <c r="B1118" s="1" t="n">
        <v>44804</v>
      </c>
      <c r="C1118" s="1" t="n">
        <v>45828</v>
      </c>
      <c r="D1118" t="inlineStr">
        <is>
          <t>VÄRMLANDS LÄN</t>
        </is>
      </c>
      <c r="E1118" t="inlineStr">
        <is>
          <t>TORSBY</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v>
      </c>
      <c r="C1119" s="1" t="n">
        <v>45828</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36572-2022</t>
        </is>
      </c>
      <c r="B1120" s="1" t="n">
        <v>44804</v>
      </c>
      <c r="C1120" s="1" t="n">
        <v>45828</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36587-2022</t>
        </is>
      </c>
      <c r="B1121" s="1" t="n">
        <v>44804</v>
      </c>
      <c r="C1121" s="1" t="n">
        <v>45828</v>
      </c>
      <c r="D1121" t="inlineStr">
        <is>
          <t>VÄRMLANDS LÄN</t>
        </is>
      </c>
      <c r="E1121" t="inlineStr">
        <is>
          <t>TORSBY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37148-2022</t>
        </is>
      </c>
      <c r="B1122" s="1" t="n">
        <v>44806</v>
      </c>
      <c r="C1122" s="1" t="n">
        <v>45828</v>
      </c>
      <c r="D1122" t="inlineStr">
        <is>
          <t>VÄRMLANDS LÄN</t>
        </is>
      </c>
      <c r="E1122" t="inlineStr">
        <is>
          <t>TORSBY</t>
        </is>
      </c>
      <c r="F1122" t="inlineStr">
        <is>
          <t>Kommuner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37279-2022</t>
        </is>
      </c>
      <c r="B1123" s="1" t="n">
        <v>44807</v>
      </c>
      <c r="C1123" s="1" t="n">
        <v>45828</v>
      </c>
      <c r="D1123" t="inlineStr">
        <is>
          <t>VÄRMLANDS LÄN</t>
        </is>
      </c>
      <c r="E1123" t="inlineStr">
        <is>
          <t>TORSBY</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37401-2022</t>
        </is>
      </c>
      <c r="B1124" s="1" t="n">
        <v>44809</v>
      </c>
      <c r="C1124" s="1" t="n">
        <v>45828</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37449-2022</t>
        </is>
      </c>
      <c r="B1125" s="1" t="n">
        <v>44809</v>
      </c>
      <c r="C1125" s="1" t="n">
        <v>45828</v>
      </c>
      <c r="D1125" t="inlineStr">
        <is>
          <t>VÄRMLANDS LÄN</t>
        </is>
      </c>
      <c r="E1125" t="inlineStr">
        <is>
          <t>TORSBY</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37340-2022</t>
        </is>
      </c>
      <c r="B1126" s="1" t="n">
        <v>44809</v>
      </c>
      <c r="C1126" s="1" t="n">
        <v>45828</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37752-2022</t>
        </is>
      </c>
      <c r="B1127" s="1" t="n">
        <v>44810</v>
      </c>
      <c r="C1127" s="1" t="n">
        <v>45828</v>
      </c>
      <c r="D1127" t="inlineStr">
        <is>
          <t>VÄRMLANDS LÄN</t>
        </is>
      </c>
      <c r="E1127" t="inlineStr">
        <is>
          <t>TORSBY</t>
        </is>
      </c>
      <c r="F1127" t="inlineStr">
        <is>
          <t>Kyrkan</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37814-2022</t>
        </is>
      </c>
      <c r="B1128" s="1" t="n">
        <v>44810</v>
      </c>
      <c r="C1128" s="1" t="n">
        <v>45828</v>
      </c>
      <c r="D1128" t="inlineStr">
        <is>
          <t>VÄRMLANDS LÄN</t>
        </is>
      </c>
      <c r="E1128" t="inlineStr">
        <is>
          <t>TORSBY</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37754-2022</t>
        </is>
      </c>
      <c r="B1129" s="1" t="n">
        <v>44810</v>
      </c>
      <c r="C1129" s="1" t="n">
        <v>45828</v>
      </c>
      <c r="D1129" t="inlineStr">
        <is>
          <t>VÄRMLANDS LÄN</t>
        </is>
      </c>
      <c r="E1129" t="inlineStr">
        <is>
          <t>TORSBY</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37913-2022</t>
        </is>
      </c>
      <c r="B1130" s="1" t="n">
        <v>44811</v>
      </c>
      <c r="C1130" s="1" t="n">
        <v>45828</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37929-2022</t>
        </is>
      </c>
      <c r="B1131" s="1" t="n">
        <v>44811</v>
      </c>
      <c r="C1131" s="1" t="n">
        <v>45828</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37917-2022</t>
        </is>
      </c>
      <c r="B1132" s="1" t="n">
        <v>44811</v>
      </c>
      <c r="C1132" s="1" t="n">
        <v>45828</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37937-2022</t>
        </is>
      </c>
      <c r="B1133" s="1" t="n">
        <v>44811</v>
      </c>
      <c r="C1133" s="1" t="n">
        <v>45828</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37985-2022</t>
        </is>
      </c>
      <c r="B1134" s="1" t="n">
        <v>44811</v>
      </c>
      <c r="C1134" s="1" t="n">
        <v>45828</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38033-2022</t>
        </is>
      </c>
      <c r="B1135" s="1" t="n">
        <v>44811</v>
      </c>
      <c r="C1135" s="1" t="n">
        <v>45828</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38200-2022</t>
        </is>
      </c>
      <c r="B1136" s="1" t="n">
        <v>44812</v>
      </c>
      <c r="C1136" s="1" t="n">
        <v>45828</v>
      </c>
      <c r="D1136" t="inlineStr">
        <is>
          <t>VÄRMLANDS LÄN</t>
        </is>
      </c>
      <c r="E1136" t="inlineStr">
        <is>
          <t>TORSBY</t>
        </is>
      </c>
      <c r="F1136" t="inlineStr">
        <is>
          <t>Bergvik skog väst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38179-2022</t>
        </is>
      </c>
      <c r="B1137" s="1" t="n">
        <v>44812</v>
      </c>
      <c r="C1137" s="1" t="n">
        <v>45828</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38378-2022</t>
        </is>
      </c>
      <c r="B1138" s="1" t="n">
        <v>44812</v>
      </c>
      <c r="C1138" s="1" t="n">
        <v>45828</v>
      </c>
      <c r="D1138" t="inlineStr">
        <is>
          <t>VÄRMLANDS LÄN</t>
        </is>
      </c>
      <c r="E1138" t="inlineStr">
        <is>
          <t>TORSBY</t>
        </is>
      </c>
      <c r="F1138" t="inlineStr">
        <is>
          <t>Bergvik skog väst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38486-2022</t>
        </is>
      </c>
      <c r="B1139" s="1" t="n">
        <v>44813</v>
      </c>
      <c r="C1139" s="1" t="n">
        <v>45828</v>
      </c>
      <c r="D1139" t="inlineStr">
        <is>
          <t>VÄRMLANDS LÄN</t>
        </is>
      </c>
      <c r="E1139" t="inlineStr">
        <is>
          <t>TORSBY</t>
        </is>
      </c>
      <c r="F1139" t="inlineStr">
        <is>
          <t>Bergvik skog väst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38699-2022</t>
        </is>
      </c>
      <c r="B1140" s="1" t="n">
        <v>44814</v>
      </c>
      <c r="C1140" s="1" t="n">
        <v>45828</v>
      </c>
      <c r="D1140" t="inlineStr">
        <is>
          <t>VÄRMLANDS LÄN</t>
        </is>
      </c>
      <c r="E1140" t="inlineStr">
        <is>
          <t>TORSBY</t>
        </is>
      </c>
      <c r="F1140" t="inlineStr">
        <is>
          <t>Bergvik skog väst AB</t>
        </is>
      </c>
      <c r="G1140" t="n">
        <v>22.6</v>
      </c>
      <c r="H1140" t="n">
        <v>0</v>
      </c>
      <c r="I1140" t="n">
        <v>0</v>
      </c>
      <c r="J1140" t="n">
        <v>0</v>
      </c>
      <c r="K1140" t="n">
        <v>0</v>
      </c>
      <c r="L1140" t="n">
        <v>0</v>
      </c>
      <c r="M1140" t="n">
        <v>0</v>
      </c>
      <c r="N1140" t="n">
        <v>0</v>
      </c>
      <c r="O1140" t="n">
        <v>0</v>
      </c>
      <c r="P1140" t="n">
        <v>0</v>
      </c>
      <c r="Q1140" t="n">
        <v>0</v>
      </c>
      <c r="R1140" s="2" t="inlineStr"/>
    </row>
    <row r="1141" ht="15" customHeight="1">
      <c r="A1141" t="inlineStr">
        <is>
          <t>A 38882-2022</t>
        </is>
      </c>
      <c r="B1141" s="1" t="n">
        <v>44816</v>
      </c>
      <c r="C1141" s="1" t="n">
        <v>45828</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38914-2022</t>
        </is>
      </c>
      <c r="B1142" s="1" t="n">
        <v>44816</v>
      </c>
      <c r="C1142" s="1" t="n">
        <v>45828</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39069-2022</t>
        </is>
      </c>
      <c r="B1143" s="1" t="n">
        <v>44816</v>
      </c>
      <c r="C1143" s="1" t="n">
        <v>45828</v>
      </c>
      <c r="D1143" t="inlineStr">
        <is>
          <t>VÄRMLANDS LÄN</t>
        </is>
      </c>
      <c r="E1143" t="inlineStr">
        <is>
          <t>TORSBY</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39186-2022</t>
        </is>
      </c>
      <c r="B1144" s="1" t="n">
        <v>44817</v>
      </c>
      <c r="C1144" s="1" t="n">
        <v>45828</v>
      </c>
      <c r="D1144" t="inlineStr">
        <is>
          <t>VÄRMLANDS LÄN</t>
        </is>
      </c>
      <c r="E1144" t="inlineStr">
        <is>
          <t>TORSBY</t>
        </is>
      </c>
      <c r="F1144" t="inlineStr">
        <is>
          <t>Bergvik skog väst AB</t>
        </is>
      </c>
      <c r="G1144" t="n">
        <v>20.3</v>
      </c>
      <c r="H1144" t="n">
        <v>0</v>
      </c>
      <c r="I1144" t="n">
        <v>0</v>
      </c>
      <c r="J1144" t="n">
        <v>0</v>
      </c>
      <c r="K1144" t="n">
        <v>0</v>
      </c>
      <c r="L1144" t="n">
        <v>0</v>
      </c>
      <c r="M1144" t="n">
        <v>0</v>
      </c>
      <c r="N1144" t="n">
        <v>0</v>
      </c>
      <c r="O1144" t="n">
        <v>0</v>
      </c>
      <c r="P1144" t="n">
        <v>0</v>
      </c>
      <c r="Q1144" t="n">
        <v>0</v>
      </c>
      <c r="R1144" s="2" t="inlineStr"/>
    </row>
    <row r="1145" ht="15" customHeight="1">
      <c r="A1145" t="inlineStr">
        <is>
          <t>A 39216-2022</t>
        </is>
      </c>
      <c r="B1145" s="1" t="n">
        <v>44817</v>
      </c>
      <c r="C1145" s="1" t="n">
        <v>45828</v>
      </c>
      <c r="D1145" t="inlineStr">
        <is>
          <t>VÄRMLANDS LÄN</t>
        </is>
      </c>
      <c r="E1145" t="inlineStr">
        <is>
          <t>TORSBY</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39215-2022</t>
        </is>
      </c>
      <c r="B1146" s="1" t="n">
        <v>44817</v>
      </c>
      <c r="C1146" s="1" t="n">
        <v>45828</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39221-2022</t>
        </is>
      </c>
      <c r="B1147" s="1" t="n">
        <v>44817</v>
      </c>
      <c r="C1147" s="1" t="n">
        <v>45828</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39217-2022</t>
        </is>
      </c>
      <c r="B1148" s="1" t="n">
        <v>44817</v>
      </c>
      <c r="C1148" s="1" t="n">
        <v>45828</v>
      </c>
      <c r="D1148" t="inlineStr">
        <is>
          <t>VÄRMLANDS LÄN</t>
        </is>
      </c>
      <c r="E1148" t="inlineStr">
        <is>
          <t>TORSBY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39781-2022</t>
        </is>
      </c>
      <c r="B1149" s="1" t="n">
        <v>44819</v>
      </c>
      <c r="C1149" s="1" t="n">
        <v>45828</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39780-2022</t>
        </is>
      </c>
      <c r="B1150" s="1" t="n">
        <v>44819</v>
      </c>
      <c r="C1150" s="1" t="n">
        <v>45828</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40009-2022</t>
        </is>
      </c>
      <c r="B1151" s="1" t="n">
        <v>44820</v>
      </c>
      <c r="C1151" s="1" t="n">
        <v>45828</v>
      </c>
      <c r="D1151" t="inlineStr">
        <is>
          <t>VÄRMLANDS LÄN</t>
        </is>
      </c>
      <c r="E1151" t="inlineStr">
        <is>
          <t>TORSBY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40036-2022</t>
        </is>
      </c>
      <c r="B1152" s="1" t="n">
        <v>44820</v>
      </c>
      <c r="C1152" s="1" t="n">
        <v>45828</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40221-2022</t>
        </is>
      </c>
      <c r="B1153" s="1" t="n">
        <v>44820</v>
      </c>
      <c r="C1153" s="1" t="n">
        <v>45828</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40353-2022</t>
        </is>
      </c>
      <c r="B1154" s="1" t="n">
        <v>44823</v>
      </c>
      <c r="C1154" s="1" t="n">
        <v>45828</v>
      </c>
      <c r="D1154" t="inlineStr">
        <is>
          <t>VÄRMLANDS LÄN</t>
        </is>
      </c>
      <c r="E1154" t="inlineStr">
        <is>
          <t>TORSBY</t>
        </is>
      </c>
      <c r="F1154" t="inlineStr">
        <is>
          <t>Bergvik skog väst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41264-2022</t>
        </is>
      </c>
      <c r="B1155" s="1" t="n">
        <v>44823</v>
      </c>
      <c r="C1155" s="1" t="n">
        <v>45828</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41295-2022</t>
        </is>
      </c>
      <c r="B1156" s="1" t="n">
        <v>44823</v>
      </c>
      <c r="C1156" s="1" t="n">
        <v>45828</v>
      </c>
      <c r="D1156" t="inlineStr">
        <is>
          <t>VÄRMLANDS LÄN</t>
        </is>
      </c>
      <c r="E1156" t="inlineStr">
        <is>
          <t>TORSBY</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40718-2022</t>
        </is>
      </c>
      <c r="B1157" s="1" t="n">
        <v>44824</v>
      </c>
      <c r="C1157" s="1" t="n">
        <v>45828</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40788-2022</t>
        </is>
      </c>
      <c r="B1158" s="1" t="n">
        <v>44824</v>
      </c>
      <c r="C1158" s="1" t="n">
        <v>45828</v>
      </c>
      <c r="D1158" t="inlineStr">
        <is>
          <t>VÄRMLANDS LÄN</t>
        </is>
      </c>
      <c r="E1158" t="inlineStr">
        <is>
          <t>TORSBY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40997-2022</t>
        </is>
      </c>
      <c r="B1159" s="1" t="n">
        <v>44825</v>
      </c>
      <c r="C1159" s="1" t="n">
        <v>45828</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41065-2022</t>
        </is>
      </c>
      <c r="B1160" s="1" t="n">
        <v>44825</v>
      </c>
      <c r="C1160" s="1" t="n">
        <v>45828</v>
      </c>
      <c r="D1160" t="inlineStr">
        <is>
          <t>VÄRMLANDS LÄN</t>
        </is>
      </c>
      <c r="E1160" t="inlineStr">
        <is>
          <t>TORSBY</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41130-2022</t>
        </is>
      </c>
      <c r="B1161" s="1" t="n">
        <v>44825</v>
      </c>
      <c r="C1161" s="1" t="n">
        <v>45828</v>
      </c>
      <c r="D1161" t="inlineStr">
        <is>
          <t>VÄRMLANDS LÄN</t>
        </is>
      </c>
      <c r="E1161" t="inlineStr">
        <is>
          <t>TORSBY</t>
        </is>
      </c>
      <c r="F1161" t="inlineStr">
        <is>
          <t>Kyrkan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41315-2022</t>
        </is>
      </c>
      <c r="B1162" s="1" t="n">
        <v>44826</v>
      </c>
      <c r="C1162" s="1" t="n">
        <v>45828</v>
      </c>
      <c r="D1162" t="inlineStr">
        <is>
          <t>VÄRMLANDS LÄN</t>
        </is>
      </c>
      <c r="E1162" t="inlineStr">
        <is>
          <t>TORSBY</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41322-2022</t>
        </is>
      </c>
      <c r="B1163" s="1" t="n">
        <v>44826</v>
      </c>
      <c r="C1163" s="1" t="n">
        <v>45828</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41781-2022</t>
        </is>
      </c>
      <c r="B1164" s="1" t="n">
        <v>44827</v>
      </c>
      <c r="C1164" s="1" t="n">
        <v>45828</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41675-2022</t>
        </is>
      </c>
      <c r="B1165" s="1" t="n">
        <v>44827</v>
      </c>
      <c r="C1165" s="1" t="n">
        <v>45828</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41590-2022</t>
        </is>
      </c>
      <c r="B1166" s="1" t="n">
        <v>44827</v>
      </c>
      <c r="C1166" s="1" t="n">
        <v>45828</v>
      </c>
      <c r="D1166" t="inlineStr">
        <is>
          <t>VÄRMLANDS LÄN</t>
        </is>
      </c>
      <c r="E1166" t="inlineStr">
        <is>
          <t>TORSBY</t>
        </is>
      </c>
      <c r="F1166" t="inlineStr">
        <is>
          <t>Bergvik skog väst AB</t>
        </is>
      </c>
      <c r="G1166" t="n">
        <v>42.5</v>
      </c>
      <c r="H1166" t="n">
        <v>0</v>
      </c>
      <c r="I1166" t="n">
        <v>0</v>
      </c>
      <c r="J1166" t="n">
        <v>0</v>
      </c>
      <c r="K1166" t="n">
        <v>0</v>
      </c>
      <c r="L1166" t="n">
        <v>0</v>
      </c>
      <c r="M1166" t="n">
        <v>0</v>
      </c>
      <c r="N1166" t="n">
        <v>0</v>
      </c>
      <c r="O1166" t="n">
        <v>0</v>
      </c>
      <c r="P1166" t="n">
        <v>0</v>
      </c>
      <c r="Q1166" t="n">
        <v>0</v>
      </c>
      <c r="R1166" s="2" t="inlineStr"/>
    </row>
    <row r="1167" ht="15" customHeight="1">
      <c r="A1167" t="inlineStr">
        <is>
          <t>A 41995-2022</t>
        </is>
      </c>
      <c r="B1167" s="1" t="n">
        <v>44830</v>
      </c>
      <c r="C1167" s="1" t="n">
        <v>45828</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42588-2022</t>
        </is>
      </c>
      <c r="B1168" s="1" t="n">
        <v>44831</v>
      </c>
      <c r="C1168" s="1" t="n">
        <v>45828</v>
      </c>
      <c r="D1168" t="inlineStr">
        <is>
          <t>VÄRMLANDS LÄN</t>
        </is>
      </c>
      <c r="E1168" t="inlineStr">
        <is>
          <t>TORSBY</t>
        </is>
      </c>
      <c r="F1168" t="inlineStr">
        <is>
          <t>Bergvik skog väst AB</t>
        </is>
      </c>
      <c r="G1168" t="n">
        <v>41.4</v>
      </c>
      <c r="H1168" t="n">
        <v>0</v>
      </c>
      <c r="I1168" t="n">
        <v>0</v>
      </c>
      <c r="J1168" t="n">
        <v>0</v>
      </c>
      <c r="K1168" t="n">
        <v>0</v>
      </c>
      <c r="L1168" t="n">
        <v>0</v>
      </c>
      <c r="M1168" t="n">
        <v>0</v>
      </c>
      <c r="N1168" t="n">
        <v>0</v>
      </c>
      <c r="O1168" t="n">
        <v>0</v>
      </c>
      <c r="P1168" t="n">
        <v>0</v>
      </c>
      <c r="Q1168" t="n">
        <v>0</v>
      </c>
      <c r="R1168" s="2" t="inlineStr"/>
    </row>
    <row r="1169" ht="15" customHeight="1">
      <c r="A1169" t="inlineStr">
        <is>
          <t>A 42784-2022</t>
        </is>
      </c>
      <c r="B1169" s="1" t="n">
        <v>44832</v>
      </c>
      <c r="C1169" s="1" t="n">
        <v>45828</v>
      </c>
      <c r="D1169" t="inlineStr">
        <is>
          <t>VÄRMLANDS LÄN</t>
        </is>
      </c>
      <c r="E1169" t="inlineStr">
        <is>
          <t>TORSBY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42701-2022</t>
        </is>
      </c>
      <c r="B1170" s="1" t="n">
        <v>44832</v>
      </c>
      <c r="C1170" s="1" t="n">
        <v>45828</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43022-2022</t>
        </is>
      </c>
      <c r="B1171" s="1" t="n">
        <v>44833</v>
      </c>
      <c r="C1171" s="1" t="n">
        <v>45828</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43111-2022</t>
        </is>
      </c>
      <c r="B1172" s="1" t="n">
        <v>44833</v>
      </c>
      <c r="C1172" s="1" t="n">
        <v>45828</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43248-2022</t>
        </is>
      </c>
      <c r="B1173" s="1" t="n">
        <v>44834</v>
      </c>
      <c r="C1173" s="1" t="n">
        <v>45828</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43289-2022</t>
        </is>
      </c>
      <c r="B1174" s="1" t="n">
        <v>44834</v>
      </c>
      <c r="C1174" s="1" t="n">
        <v>45828</v>
      </c>
      <c r="D1174" t="inlineStr">
        <is>
          <t>VÄRMLANDS LÄN</t>
        </is>
      </c>
      <c r="E1174" t="inlineStr">
        <is>
          <t>TORSBY</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43465-2022</t>
        </is>
      </c>
      <c r="B1175" s="1" t="n">
        <v>44836</v>
      </c>
      <c r="C1175" s="1" t="n">
        <v>45828</v>
      </c>
      <c r="D1175" t="inlineStr">
        <is>
          <t>VÄRMLANDS LÄN</t>
        </is>
      </c>
      <c r="E1175" t="inlineStr">
        <is>
          <t>TORSBY</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43943-2022</t>
        </is>
      </c>
      <c r="B1176" s="1" t="n">
        <v>44838</v>
      </c>
      <c r="C1176" s="1" t="n">
        <v>45828</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43989-2022</t>
        </is>
      </c>
      <c r="B1177" s="1" t="n">
        <v>44838</v>
      </c>
      <c r="C1177" s="1" t="n">
        <v>45828</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44214-2022</t>
        </is>
      </c>
      <c r="B1178" s="1" t="n">
        <v>44838</v>
      </c>
      <c r="C1178" s="1" t="n">
        <v>45828</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44340-2022</t>
        </is>
      </c>
      <c r="B1179" s="1" t="n">
        <v>44838</v>
      </c>
      <c r="C1179" s="1" t="n">
        <v>45828</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44170-2022</t>
        </is>
      </c>
      <c r="B1180" s="1" t="n">
        <v>44838</v>
      </c>
      <c r="C1180" s="1" t="n">
        <v>45828</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44149-2022</t>
        </is>
      </c>
      <c r="B1181" s="1" t="n">
        <v>44839</v>
      </c>
      <c r="C1181" s="1" t="n">
        <v>45828</v>
      </c>
      <c r="D1181" t="inlineStr">
        <is>
          <t>VÄRMLANDS LÄN</t>
        </is>
      </c>
      <c r="E1181" t="inlineStr">
        <is>
          <t>TORSBY</t>
        </is>
      </c>
      <c r="F1181" t="inlineStr">
        <is>
          <t>Bergvik skog väst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44196-2022</t>
        </is>
      </c>
      <c r="B1182" s="1" t="n">
        <v>44839</v>
      </c>
      <c r="C1182" s="1" t="n">
        <v>45828</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44327-2022</t>
        </is>
      </c>
      <c r="B1183" s="1" t="n">
        <v>44839</v>
      </c>
      <c r="C1183" s="1" t="n">
        <v>45828</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44841-2022</t>
        </is>
      </c>
      <c r="B1184" s="1" t="n">
        <v>44839</v>
      </c>
      <c r="C1184" s="1" t="n">
        <v>45828</v>
      </c>
      <c r="D1184" t="inlineStr">
        <is>
          <t>VÄRMLANDS LÄN</t>
        </is>
      </c>
      <c r="E1184" t="inlineStr">
        <is>
          <t>TORSBY</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44879-2022</t>
        </is>
      </c>
      <c r="B1185" s="1" t="n">
        <v>44839</v>
      </c>
      <c r="C1185" s="1" t="n">
        <v>45828</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44498-2022</t>
        </is>
      </c>
      <c r="B1186" s="1" t="n">
        <v>44840</v>
      </c>
      <c r="C1186" s="1" t="n">
        <v>45828</v>
      </c>
      <c r="D1186" t="inlineStr">
        <is>
          <t>VÄRMLANDS LÄN</t>
        </is>
      </c>
      <c r="E1186" t="inlineStr">
        <is>
          <t>TORSBY</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44516-2022</t>
        </is>
      </c>
      <c r="B1187" s="1" t="n">
        <v>44840</v>
      </c>
      <c r="C1187" s="1" t="n">
        <v>45828</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44517-2022</t>
        </is>
      </c>
      <c r="B1188" s="1" t="n">
        <v>44840</v>
      </c>
      <c r="C1188" s="1" t="n">
        <v>45828</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44532-2022</t>
        </is>
      </c>
      <c r="B1189" s="1" t="n">
        <v>44840</v>
      </c>
      <c r="C1189" s="1" t="n">
        <v>45828</v>
      </c>
      <c r="D1189" t="inlineStr">
        <is>
          <t>VÄRMLANDS LÄN</t>
        </is>
      </c>
      <c r="E1189" t="inlineStr">
        <is>
          <t>TORSBY</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44708-2022</t>
        </is>
      </c>
      <c r="B1190" s="1" t="n">
        <v>44840</v>
      </c>
      <c r="C1190" s="1" t="n">
        <v>45828</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45056-2022</t>
        </is>
      </c>
      <c r="B1191" s="1" t="n">
        <v>44841</v>
      </c>
      <c r="C1191" s="1" t="n">
        <v>45828</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45303-2022</t>
        </is>
      </c>
      <c r="B1192" s="1" t="n">
        <v>44844</v>
      </c>
      <c r="C1192" s="1" t="n">
        <v>45828</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45368-2022</t>
        </is>
      </c>
      <c r="B1193" s="1" t="n">
        <v>44844</v>
      </c>
      <c r="C1193" s="1" t="n">
        <v>45828</v>
      </c>
      <c r="D1193" t="inlineStr">
        <is>
          <t>VÄRMLANDS LÄN</t>
        </is>
      </c>
      <c r="E1193" t="inlineStr">
        <is>
          <t>TORSBY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45328-2022</t>
        </is>
      </c>
      <c r="B1194" s="1" t="n">
        <v>44844</v>
      </c>
      <c r="C1194" s="1" t="n">
        <v>45828</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45325-2022</t>
        </is>
      </c>
      <c r="B1195" s="1" t="n">
        <v>44844</v>
      </c>
      <c r="C1195" s="1" t="n">
        <v>45828</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45369-2022</t>
        </is>
      </c>
      <c r="B1196" s="1" t="n">
        <v>44844</v>
      </c>
      <c r="C1196" s="1" t="n">
        <v>45828</v>
      </c>
      <c r="D1196" t="inlineStr">
        <is>
          <t>VÄRMLANDS LÄN</t>
        </is>
      </c>
      <c r="E1196" t="inlineStr">
        <is>
          <t>TORSBY</t>
        </is>
      </c>
      <c r="F1196" t="inlineStr">
        <is>
          <t>Bergvik skog väst AB</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45809-2022</t>
        </is>
      </c>
      <c r="B1197" s="1" t="n">
        <v>44844</v>
      </c>
      <c r="C1197" s="1" t="n">
        <v>45828</v>
      </c>
      <c r="D1197" t="inlineStr">
        <is>
          <t>VÄRMLANDS LÄN</t>
        </is>
      </c>
      <c r="E1197" t="inlineStr">
        <is>
          <t>TORSBY</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45666-2022</t>
        </is>
      </c>
      <c r="B1198" s="1" t="n">
        <v>44845</v>
      </c>
      <c r="C1198" s="1" t="n">
        <v>45828</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46551-2022</t>
        </is>
      </c>
      <c r="B1199" s="1" t="n">
        <v>44848</v>
      </c>
      <c r="C1199" s="1" t="n">
        <v>45828</v>
      </c>
      <c r="D1199" t="inlineStr">
        <is>
          <t>VÄRMLANDS LÄN</t>
        </is>
      </c>
      <c r="E1199" t="inlineStr">
        <is>
          <t>TORSBY</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47167-2022</t>
        </is>
      </c>
      <c r="B1200" s="1" t="n">
        <v>44852</v>
      </c>
      <c r="C1200" s="1" t="n">
        <v>45828</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47141-2022</t>
        </is>
      </c>
      <c r="B1201" s="1" t="n">
        <v>44852</v>
      </c>
      <c r="C1201" s="1" t="n">
        <v>45828</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47206-2022</t>
        </is>
      </c>
      <c r="B1202" s="1" t="n">
        <v>44852</v>
      </c>
      <c r="C1202" s="1" t="n">
        <v>45828</v>
      </c>
      <c r="D1202" t="inlineStr">
        <is>
          <t>VÄRMLANDS LÄN</t>
        </is>
      </c>
      <c r="E1202" t="inlineStr">
        <is>
          <t>TORSBY</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47466-2022</t>
        </is>
      </c>
      <c r="B1203" s="1" t="n">
        <v>44852</v>
      </c>
      <c r="C1203" s="1" t="n">
        <v>45828</v>
      </c>
      <c r="D1203" t="inlineStr">
        <is>
          <t>VÄRMLANDS LÄN</t>
        </is>
      </c>
      <c r="E1203" t="inlineStr">
        <is>
          <t>TORSBY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48328-2022</t>
        </is>
      </c>
      <c r="B1204" s="1" t="n">
        <v>44853</v>
      </c>
      <c r="C1204" s="1" t="n">
        <v>45828</v>
      </c>
      <c r="D1204" t="inlineStr">
        <is>
          <t>VÄRMLANDS LÄN</t>
        </is>
      </c>
      <c r="E1204" t="inlineStr">
        <is>
          <t>TORSBY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48356-2022</t>
        </is>
      </c>
      <c r="B1205" s="1" t="n">
        <v>44853</v>
      </c>
      <c r="C1205" s="1" t="n">
        <v>45828</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48320-2022</t>
        </is>
      </c>
      <c r="B1206" s="1" t="n">
        <v>44853</v>
      </c>
      <c r="C1206" s="1" t="n">
        <v>45828</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47694-2022</t>
        </is>
      </c>
      <c r="B1207" s="1" t="n">
        <v>44854</v>
      </c>
      <c r="C1207" s="1" t="n">
        <v>45828</v>
      </c>
      <c r="D1207" t="inlineStr">
        <is>
          <t>VÄRMLANDS LÄN</t>
        </is>
      </c>
      <c r="E1207" t="inlineStr">
        <is>
          <t>TORSBY</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48239-2022</t>
        </is>
      </c>
      <c r="B1208" s="1" t="n">
        <v>44858</v>
      </c>
      <c r="C1208" s="1" t="n">
        <v>45828</v>
      </c>
      <c r="D1208" t="inlineStr">
        <is>
          <t>VÄRMLANDS LÄN</t>
        </is>
      </c>
      <c r="E1208" t="inlineStr">
        <is>
          <t>TORSBY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48712-2022</t>
        </is>
      </c>
      <c r="B1209" s="1" t="n">
        <v>44859</v>
      </c>
      <c r="C1209" s="1" t="n">
        <v>45828</v>
      </c>
      <c r="D1209" t="inlineStr">
        <is>
          <t>VÄRMLANDS LÄN</t>
        </is>
      </c>
      <c r="E1209" t="inlineStr">
        <is>
          <t>TORSBY</t>
        </is>
      </c>
      <c r="F1209" t="inlineStr">
        <is>
          <t>Bergvik skog väst AB</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49699-2022</t>
        </is>
      </c>
      <c r="B1210" s="1" t="n">
        <v>44859</v>
      </c>
      <c r="C1210" s="1" t="n">
        <v>45828</v>
      </c>
      <c r="D1210" t="inlineStr">
        <is>
          <t>VÄRMLANDS LÄN</t>
        </is>
      </c>
      <c r="E1210" t="inlineStr">
        <is>
          <t>TORSBY</t>
        </is>
      </c>
      <c r="F1210" t="inlineStr">
        <is>
          <t>Kyrkan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49814-2022</t>
        </is>
      </c>
      <c r="B1211" s="1" t="n">
        <v>44859</v>
      </c>
      <c r="C1211" s="1" t="n">
        <v>45828</v>
      </c>
      <c r="D1211" t="inlineStr">
        <is>
          <t>VÄRMLANDS LÄN</t>
        </is>
      </c>
      <c r="E1211" t="inlineStr">
        <is>
          <t>TORSBY</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49608-2022</t>
        </is>
      </c>
      <c r="B1212" s="1" t="n">
        <v>44859</v>
      </c>
      <c r="C1212" s="1" t="n">
        <v>45828</v>
      </c>
      <c r="D1212" t="inlineStr">
        <is>
          <t>VÄRMLANDS LÄN</t>
        </is>
      </c>
      <c r="E1212" t="inlineStr">
        <is>
          <t>TORSBY</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49073-2022</t>
        </is>
      </c>
      <c r="B1213" s="1" t="n">
        <v>44860</v>
      </c>
      <c r="C1213" s="1" t="n">
        <v>45828</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49206-2022</t>
        </is>
      </c>
      <c r="B1214" s="1" t="n">
        <v>44861</v>
      </c>
      <c r="C1214" s="1" t="n">
        <v>45828</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49346-2022</t>
        </is>
      </c>
      <c r="B1215" s="1" t="n">
        <v>44861</v>
      </c>
      <c r="C1215" s="1" t="n">
        <v>45828</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50390-2022</t>
        </is>
      </c>
      <c r="B1216" s="1" t="n">
        <v>44861</v>
      </c>
      <c r="C1216" s="1" t="n">
        <v>45828</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49795-2022</t>
        </is>
      </c>
      <c r="B1217" s="1" t="n">
        <v>44862</v>
      </c>
      <c r="C1217" s="1" t="n">
        <v>45828</v>
      </c>
      <c r="D1217" t="inlineStr">
        <is>
          <t>VÄRMLANDS LÄN</t>
        </is>
      </c>
      <c r="E1217" t="inlineStr">
        <is>
          <t>TORSBY</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49810-2022</t>
        </is>
      </c>
      <c r="B1218" s="1" t="n">
        <v>44862</v>
      </c>
      <c r="C1218" s="1" t="n">
        <v>45828</v>
      </c>
      <c r="D1218" t="inlineStr">
        <is>
          <t>VÄRMLANDS LÄN</t>
        </is>
      </c>
      <c r="E1218" t="inlineStr">
        <is>
          <t>TORSBY</t>
        </is>
      </c>
      <c r="F1218" t="inlineStr">
        <is>
          <t>Bergvik skog väst AB</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49957-2022</t>
        </is>
      </c>
      <c r="B1219" s="1" t="n">
        <v>44865</v>
      </c>
      <c r="C1219" s="1" t="n">
        <v>45828</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49983-2022</t>
        </is>
      </c>
      <c r="B1220" s="1" t="n">
        <v>44865</v>
      </c>
      <c r="C1220" s="1" t="n">
        <v>45828</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49970-2022</t>
        </is>
      </c>
      <c r="B1221" s="1" t="n">
        <v>44865</v>
      </c>
      <c r="C1221" s="1" t="n">
        <v>45828</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49959-2022</t>
        </is>
      </c>
      <c r="B1222" s="1" t="n">
        <v>44865</v>
      </c>
      <c r="C1222" s="1" t="n">
        <v>45828</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50280-2022</t>
        </is>
      </c>
      <c r="B1223" s="1" t="n">
        <v>44865</v>
      </c>
      <c r="C1223" s="1" t="n">
        <v>45828</v>
      </c>
      <c r="D1223" t="inlineStr">
        <is>
          <t>VÄRMLANDS LÄN</t>
        </is>
      </c>
      <c r="E1223" t="inlineStr">
        <is>
          <t>TORSBY</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50417-2022</t>
        </is>
      </c>
      <c r="B1224" s="1" t="n">
        <v>44866</v>
      </c>
      <c r="C1224" s="1" t="n">
        <v>45828</v>
      </c>
      <c r="D1224" t="inlineStr">
        <is>
          <t>VÄRMLANDS LÄN</t>
        </is>
      </c>
      <c r="E1224" t="inlineStr">
        <is>
          <t>TORSBY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50436-2022</t>
        </is>
      </c>
      <c r="B1225" s="1" t="n">
        <v>44866</v>
      </c>
      <c r="C1225" s="1" t="n">
        <v>45828</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50434-2022</t>
        </is>
      </c>
      <c r="B1226" s="1" t="n">
        <v>44866</v>
      </c>
      <c r="C1226" s="1" t="n">
        <v>45828</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50953-2022</t>
        </is>
      </c>
      <c r="B1227" s="1" t="n">
        <v>44866</v>
      </c>
      <c r="C1227" s="1" t="n">
        <v>45828</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50789-2022</t>
        </is>
      </c>
      <c r="B1228" s="1" t="n">
        <v>44867</v>
      </c>
      <c r="C1228" s="1" t="n">
        <v>45828</v>
      </c>
      <c r="D1228" t="inlineStr">
        <is>
          <t>VÄRMLANDS LÄN</t>
        </is>
      </c>
      <c r="E1228" t="inlineStr">
        <is>
          <t>TORSBY</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51124-2022</t>
        </is>
      </c>
      <c r="B1229" s="1" t="n">
        <v>44868</v>
      </c>
      <c r="C1229" s="1" t="n">
        <v>45828</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51439-2022</t>
        </is>
      </c>
      <c r="B1230" s="1" t="n">
        <v>44869</v>
      </c>
      <c r="C1230" s="1" t="n">
        <v>45828</v>
      </c>
      <c r="D1230" t="inlineStr">
        <is>
          <t>VÄRMLANDS LÄN</t>
        </is>
      </c>
      <c r="E1230" t="inlineStr">
        <is>
          <t>TORSBY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51490-2022</t>
        </is>
      </c>
      <c r="B1231" s="1" t="n">
        <v>44869</v>
      </c>
      <c r="C1231" s="1" t="n">
        <v>45828</v>
      </c>
      <c r="D1231" t="inlineStr">
        <is>
          <t>VÄRMLANDS LÄN</t>
        </is>
      </c>
      <c r="E1231" t="inlineStr">
        <is>
          <t>TORSBY</t>
        </is>
      </c>
      <c r="F1231" t="inlineStr">
        <is>
          <t>Bergvik skog väst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51489-2022</t>
        </is>
      </c>
      <c r="B1232" s="1" t="n">
        <v>44869</v>
      </c>
      <c r="C1232" s="1" t="n">
        <v>45828</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51847-2022</t>
        </is>
      </c>
      <c r="B1233" s="1" t="n">
        <v>44872</v>
      </c>
      <c r="C1233" s="1" t="n">
        <v>45828</v>
      </c>
      <c r="D1233" t="inlineStr">
        <is>
          <t>VÄRMLANDS LÄN</t>
        </is>
      </c>
      <c r="E1233" t="inlineStr">
        <is>
          <t>TORSBY</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51843-2022</t>
        </is>
      </c>
      <c r="B1234" s="1" t="n">
        <v>44872</v>
      </c>
      <c r="C1234" s="1" t="n">
        <v>45828</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51911-2022</t>
        </is>
      </c>
      <c r="B1235" s="1" t="n">
        <v>44872</v>
      </c>
      <c r="C1235" s="1" t="n">
        <v>45828</v>
      </c>
      <c r="D1235" t="inlineStr">
        <is>
          <t>VÄRMLANDS LÄN</t>
        </is>
      </c>
      <c r="E1235" t="inlineStr">
        <is>
          <t>TORSBY</t>
        </is>
      </c>
      <c r="F1235" t="inlineStr">
        <is>
          <t>Bergvik skog väst AB</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52921-2022</t>
        </is>
      </c>
      <c r="B1236" s="1" t="n">
        <v>44872</v>
      </c>
      <c r="C1236" s="1" t="n">
        <v>45828</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52901-2022</t>
        </is>
      </c>
      <c r="B1237" s="1" t="n">
        <v>44872</v>
      </c>
      <c r="C1237" s="1" t="n">
        <v>45828</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52286-2022</t>
        </is>
      </c>
      <c r="B1238" s="1" t="n">
        <v>44873</v>
      </c>
      <c r="C1238" s="1" t="n">
        <v>45828</v>
      </c>
      <c r="D1238" t="inlineStr">
        <is>
          <t>VÄRMLANDS LÄN</t>
        </is>
      </c>
      <c r="E1238" t="inlineStr">
        <is>
          <t>TORSBY</t>
        </is>
      </c>
      <c r="F1238" t="inlineStr">
        <is>
          <t>Bergvik skog väst AB</t>
        </is>
      </c>
      <c r="G1238" t="n">
        <v>51.4</v>
      </c>
      <c r="H1238" t="n">
        <v>0</v>
      </c>
      <c r="I1238" t="n">
        <v>0</v>
      </c>
      <c r="J1238" t="n">
        <v>0</v>
      </c>
      <c r="K1238" t="n">
        <v>0</v>
      </c>
      <c r="L1238" t="n">
        <v>0</v>
      </c>
      <c r="M1238" t="n">
        <v>0</v>
      </c>
      <c r="N1238" t="n">
        <v>0</v>
      </c>
      <c r="O1238" t="n">
        <v>0</v>
      </c>
      <c r="P1238" t="n">
        <v>0</v>
      </c>
      <c r="Q1238" t="n">
        <v>0</v>
      </c>
      <c r="R1238" s="2" t="inlineStr"/>
    </row>
    <row r="1239" ht="15" customHeight="1">
      <c r="A1239" t="inlineStr">
        <is>
          <t>A 52393-2022</t>
        </is>
      </c>
      <c r="B1239" s="1" t="n">
        <v>44874</v>
      </c>
      <c r="C1239" s="1" t="n">
        <v>45828</v>
      </c>
      <c r="D1239" t="inlineStr">
        <is>
          <t>VÄRMLANDS LÄN</t>
        </is>
      </c>
      <c r="E1239" t="inlineStr">
        <is>
          <t>TORSBY</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52546-2022</t>
        </is>
      </c>
      <c r="B1240" s="1" t="n">
        <v>44874</v>
      </c>
      <c r="C1240" s="1" t="n">
        <v>45828</v>
      </c>
      <c r="D1240" t="inlineStr">
        <is>
          <t>VÄRMLANDS LÄN</t>
        </is>
      </c>
      <c r="E1240" t="inlineStr">
        <is>
          <t>TORSBY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52386-2022</t>
        </is>
      </c>
      <c r="B1241" s="1" t="n">
        <v>44874</v>
      </c>
      <c r="C1241" s="1" t="n">
        <v>45828</v>
      </c>
      <c r="D1241" t="inlineStr">
        <is>
          <t>VÄRMLANDS LÄN</t>
        </is>
      </c>
      <c r="E1241" t="inlineStr">
        <is>
          <t>TORSBY</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52543-2022</t>
        </is>
      </c>
      <c r="B1242" s="1" t="n">
        <v>44874</v>
      </c>
      <c r="C1242" s="1" t="n">
        <v>45828</v>
      </c>
      <c r="D1242" t="inlineStr">
        <is>
          <t>VÄRMLANDS LÄN</t>
        </is>
      </c>
      <c r="E1242" t="inlineStr">
        <is>
          <t>TORSBY</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52447-2022</t>
        </is>
      </c>
      <c r="B1243" s="1" t="n">
        <v>44874</v>
      </c>
      <c r="C1243" s="1" t="n">
        <v>45828</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52483-2022</t>
        </is>
      </c>
      <c r="B1244" s="1" t="n">
        <v>44874</v>
      </c>
      <c r="C1244" s="1" t="n">
        <v>45828</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52913-2022</t>
        </is>
      </c>
      <c r="B1245" s="1" t="n">
        <v>44875</v>
      </c>
      <c r="C1245" s="1" t="n">
        <v>45828</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52919-2022</t>
        </is>
      </c>
      <c r="B1246" s="1" t="n">
        <v>44875</v>
      </c>
      <c r="C1246" s="1" t="n">
        <v>45828</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53044-2022</t>
        </is>
      </c>
      <c r="B1247" s="1" t="n">
        <v>44876</v>
      </c>
      <c r="C1247" s="1" t="n">
        <v>45828</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53076-2022</t>
        </is>
      </c>
      <c r="B1248" s="1" t="n">
        <v>44876</v>
      </c>
      <c r="C1248" s="1" t="n">
        <v>45828</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53988-2022</t>
        </is>
      </c>
      <c r="B1249" s="1" t="n">
        <v>44876</v>
      </c>
      <c r="C1249" s="1" t="n">
        <v>45828</v>
      </c>
      <c r="D1249" t="inlineStr">
        <is>
          <t>VÄRMLANDS LÄN</t>
        </is>
      </c>
      <c r="E1249" t="inlineStr">
        <is>
          <t>TORSBY</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53381-2022</t>
        </is>
      </c>
      <c r="B1250" s="1" t="n">
        <v>44879</v>
      </c>
      <c r="C1250" s="1" t="n">
        <v>45828</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53492-2022</t>
        </is>
      </c>
      <c r="B1251" s="1" t="n">
        <v>44879</v>
      </c>
      <c r="C1251" s="1" t="n">
        <v>45828</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53781-2022</t>
        </is>
      </c>
      <c r="B1252" s="1" t="n">
        <v>44880</v>
      </c>
      <c r="C1252" s="1" t="n">
        <v>45828</v>
      </c>
      <c r="D1252" t="inlineStr">
        <is>
          <t>VÄRMLANDS LÄN</t>
        </is>
      </c>
      <c r="E1252" t="inlineStr">
        <is>
          <t>TORSBY</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53906-2022</t>
        </is>
      </c>
      <c r="B1253" s="1" t="n">
        <v>44880</v>
      </c>
      <c r="C1253" s="1" t="n">
        <v>45828</v>
      </c>
      <c r="D1253" t="inlineStr">
        <is>
          <t>VÄRMLANDS LÄN</t>
        </is>
      </c>
      <c r="E1253" t="inlineStr">
        <is>
          <t>TORSBY</t>
        </is>
      </c>
      <c r="F1253" t="inlineStr">
        <is>
          <t>Bergvik skog väst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54452-2022</t>
        </is>
      </c>
      <c r="B1254" s="1" t="n">
        <v>44880</v>
      </c>
      <c r="C1254" s="1" t="n">
        <v>45828</v>
      </c>
      <c r="D1254" t="inlineStr">
        <is>
          <t>VÄRMLANDS LÄN</t>
        </is>
      </c>
      <c r="E1254" t="inlineStr">
        <is>
          <t>TORSBY</t>
        </is>
      </c>
      <c r="F1254" t="inlineStr">
        <is>
          <t>Kyrkan</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54028-2022</t>
        </is>
      </c>
      <c r="B1255" s="1" t="n">
        <v>44881</v>
      </c>
      <c r="C1255" s="1" t="n">
        <v>45828</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54143-2022</t>
        </is>
      </c>
      <c r="B1256" s="1" t="n">
        <v>44881</v>
      </c>
      <c r="C1256" s="1" t="n">
        <v>45828</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54160-2022</t>
        </is>
      </c>
      <c r="B1257" s="1" t="n">
        <v>44881</v>
      </c>
      <c r="C1257" s="1" t="n">
        <v>45828</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v>
      </c>
      <c r="C1258" s="1" t="n">
        <v>45828</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54865-2022</t>
        </is>
      </c>
      <c r="B1259" s="1" t="n">
        <v>44884</v>
      </c>
      <c r="C1259" s="1" t="n">
        <v>45828</v>
      </c>
      <c r="D1259" t="inlineStr">
        <is>
          <t>VÄRMLANDS LÄN</t>
        </is>
      </c>
      <c r="E1259" t="inlineStr">
        <is>
          <t>TORSBY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54885-2022</t>
        </is>
      </c>
      <c r="B1260" s="1" t="n">
        <v>44886</v>
      </c>
      <c r="C1260" s="1" t="n">
        <v>45828</v>
      </c>
      <c r="D1260" t="inlineStr">
        <is>
          <t>VÄRMLANDS LÄN</t>
        </is>
      </c>
      <c r="E1260" t="inlineStr">
        <is>
          <t>TORSBY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55068-2022</t>
        </is>
      </c>
      <c r="B1261" s="1" t="n">
        <v>44886</v>
      </c>
      <c r="C1261" s="1" t="n">
        <v>45828</v>
      </c>
      <c r="D1261" t="inlineStr">
        <is>
          <t>VÄRMLANDS LÄN</t>
        </is>
      </c>
      <c r="E1261" t="inlineStr">
        <is>
          <t>TORSBY</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55092-2022</t>
        </is>
      </c>
      <c r="B1262" s="1" t="n">
        <v>44886</v>
      </c>
      <c r="C1262" s="1" t="n">
        <v>45828</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55104-2022</t>
        </is>
      </c>
      <c r="B1263" s="1" t="n">
        <v>44886</v>
      </c>
      <c r="C1263" s="1" t="n">
        <v>45828</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55428-2022</t>
        </is>
      </c>
      <c r="B1264" s="1" t="n">
        <v>44887</v>
      </c>
      <c r="C1264" s="1" t="n">
        <v>45828</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55475-2022</t>
        </is>
      </c>
      <c r="B1265" s="1" t="n">
        <v>44887</v>
      </c>
      <c r="C1265" s="1" t="n">
        <v>45828</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55436-2022</t>
        </is>
      </c>
      <c r="B1266" s="1" t="n">
        <v>44887</v>
      </c>
      <c r="C1266" s="1" t="n">
        <v>45828</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55575-2022</t>
        </is>
      </c>
      <c r="B1267" s="1" t="n">
        <v>44888</v>
      </c>
      <c r="C1267" s="1" t="n">
        <v>45828</v>
      </c>
      <c r="D1267" t="inlineStr">
        <is>
          <t>VÄRMLANDS LÄN</t>
        </is>
      </c>
      <c r="E1267" t="inlineStr">
        <is>
          <t>TORSBY</t>
        </is>
      </c>
      <c r="F1267" t="inlineStr">
        <is>
          <t>Bergvik skog väst AB</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55981-2022</t>
        </is>
      </c>
      <c r="B1268" s="1" t="n">
        <v>44889</v>
      </c>
      <c r="C1268" s="1" t="n">
        <v>45828</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55939-2022</t>
        </is>
      </c>
      <c r="B1269" s="1" t="n">
        <v>44889</v>
      </c>
      <c r="C1269" s="1" t="n">
        <v>45828</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55947-2022</t>
        </is>
      </c>
      <c r="B1270" s="1" t="n">
        <v>44889</v>
      </c>
      <c r="C1270" s="1" t="n">
        <v>45828</v>
      </c>
      <c r="D1270" t="inlineStr">
        <is>
          <t>VÄRMLANDS LÄN</t>
        </is>
      </c>
      <c r="E1270" t="inlineStr">
        <is>
          <t>TORSBY</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56281-2022</t>
        </is>
      </c>
      <c r="B1271" s="1" t="n">
        <v>44890</v>
      </c>
      <c r="C1271" s="1" t="n">
        <v>45828</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56361-2022</t>
        </is>
      </c>
      <c r="B1272" s="1" t="n">
        <v>44890</v>
      </c>
      <c r="C1272" s="1" t="n">
        <v>45828</v>
      </c>
      <c r="D1272" t="inlineStr">
        <is>
          <t>VÄRMLANDS LÄN</t>
        </is>
      </c>
      <c r="E1272" t="inlineStr">
        <is>
          <t>TORSBY</t>
        </is>
      </c>
      <c r="F1272" t="inlineStr">
        <is>
          <t>Bergvik skog väst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56432-2022</t>
        </is>
      </c>
      <c r="B1273" s="1" t="n">
        <v>44891</v>
      </c>
      <c r="C1273" s="1" t="n">
        <v>45828</v>
      </c>
      <c r="D1273" t="inlineStr">
        <is>
          <t>VÄRMLANDS LÄN</t>
        </is>
      </c>
      <c r="E1273" t="inlineStr">
        <is>
          <t>TORSBY</t>
        </is>
      </c>
      <c r="F1273" t="inlineStr">
        <is>
          <t>Bergvik skog väst AB</t>
        </is>
      </c>
      <c r="G1273" t="n">
        <v>37.4</v>
      </c>
      <c r="H1273" t="n">
        <v>0</v>
      </c>
      <c r="I1273" t="n">
        <v>0</v>
      </c>
      <c r="J1273" t="n">
        <v>0</v>
      </c>
      <c r="K1273" t="n">
        <v>0</v>
      </c>
      <c r="L1273" t="n">
        <v>0</v>
      </c>
      <c r="M1273" t="n">
        <v>0</v>
      </c>
      <c r="N1273" t="n">
        <v>0</v>
      </c>
      <c r="O1273" t="n">
        <v>0</v>
      </c>
      <c r="P1273" t="n">
        <v>0</v>
      </c>
      <c r="Q1273" t="n">
        <v>0</v>
      </c>
      <c r="R1273" s="2" t="inlineStr"/>
    </row>
    <row r="1274" ht="15" customHeight="1">
      <c r="A1274" t="inlineStr">
        <is>
          <t>A 56434-2022</t>
        </is>
      </c>
      <c r="B1274" s="1" t="n">
        <v>44891</v>
      </c>
      <c r="C1274" s="1" t="n">
        <v>45828</v>
      </c>
      <c r="D1274" t="inlineStr">
        <is>
          <t>VÄRMLANDS LÄN</t>
        </is>
      </c>
      <c r="E1274" t="inlineStr">
        <is>
          <t>TORSBY</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56473-2022</t>
        </is>
      </c>
      <c r="B1275" s="1" t="n">
        <v>44893</v>
      </c>
      <c r="C1275" s="1" t="n">
        <v>45828</v>
      </c>
      <c r="D1275" t="inlineStr">
        <is>
          <t>VÄRMLANDS LÄN</t>
        </is>
      </c>
      <c r="E1275" t="inlineStr">
        <is>
          <t>TORSBY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57072-2022</t>
        </is>
      </c>
      <c r="B1276" s="1" t="n">
        <v>44895</v>
      </c>
      <c r="C1276" s="1" t="n">
        <v>45828</v>
      </c>
      <c r="D1276" t="inlineStr">
        <is>
          <t>VÄRMLANDS LÄN</t>
        </is>
      </c>
      <c r="E1276" t="inlineStr">
        <is>
          <t>TORSBY</t>
        </is>
      </c>
      <c r="F1276" t="inlineStr">
        <is>
          <t>Övriga statliga verk och myndigheter</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57176-2022</t>
        </is>
      </c>
      <c r="B1277" s="1" t="n">
        <v>44895</v>
      </c>
      <c r="C1277" s="1" t="n">
        <v>45828</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57071-2022</t>
        </is>
      </c>
      <c r="B1278" s="1" t="n">
        <v>44895</v>
      </c>
      <c r="C1278" s="1" t="n">
        <v>45828</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57172-2022</t>
        </is>
      </c>
      <c r="B1279" s="1" t="n">
        <v>44895</v>
      </c>
      <c r="C1279" s="1" t="n">
        <v>45828</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57408-2022</t>
        </is>
      </c>
      <c r="B1280" s="1" t="n">
        <v>44896</v>
      </c>
      <c r="C1280" s="1" t="n">
        <v>45828</v>
      </c>
      <c r="D1280" t="inlineStr">
        <is>
          <t>VÄRMLANDS LÄN</t>
        </is>
      </c>
      <c r="E1280" t="inlineStr">
        <is>
          <t>TORSBY</t>
        </is>
      </c>
      <c r="F1280" t="inlineStr">
        <is>
          <t>Bergvik skog väst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57418-2022</t>
        </is>
      </c>
      <c r="B1281" s="1" t="n">
        <v>44896</v>
      </c>
      <c r="C1281" s="1" t="n">
        <v>45828</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57393-2022</t>
        </is>
      </c>
      <c r="B1282" s="1" t="n">
        <v>44896</v>
      </c>
      <c r="C1282" s="1" t="n">
        <v>45828</v>
      </c>
      <c r="D1282" t="inlineStr">
        <is>
          <t>VÄRMLANDS LÄN</t>
        </is>
      </c>
      <c r="E1282" t="inlineStr">
        <is>
          <t>TORSBY</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57452-2022</t>
        </is>
      </c>
      <c r="B1283" s="1" t="n">
        <v>44896</v>
      </c>
      <c r="C1283" s="1" t="n">
        <v>45828</v>
      </c>
      <c r="D1283" t="inlineStr">
        <is>
          <t>VÄRMLANDS LÄN</t>
        </is>
      </c>
      <c r="E1283" t="inlineStr">
        <is>
          <t>TORSBY</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57708-2022</t>
        </is>
      </c>
      <c r="B1284" s="1" t="n">
        <v>44897</v>
      </c>
      <c r="C1284" s="1" t="n">
        <v>45828</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57726-2022</t>
        </is>
      </c>
      <c r="B1285" s="1" t="n">
        <v>44897</v>
      </c>
      <c r="C1285" s="1" t="n">
        <v>45828</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57721-2022</t>
        </is>
      </c>
      <c r="B1286" s="1" t="n">
        <v>44897</v>
      </c>
      <c r="C1286" s="1" t="n">
        <v>45828</v>
      </c>
      <c r="D1286" t="inlineStr">
        <is>
          <t>VÄRMLANDS LÄN</t>
        </is>
      </c>
      <c r="E1286" t="inlineStr">
        <is>
          <t>TORSBY</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57867-2022</t>
        </is>
      </c>
      <c r="B1287" s="1" t="n">
        <v>44899</v>
      </c>
      <c r="C1287" s="1" t="n">
        <v>45828</v>
      </c>
      <c r="D1287" t="inlineStr">
        <is>
          <t>VÄRMLANDS LÄN</t>
        </is>
      </c>
      <c r="E1287" t="inlineStr">
        <is>
          <t>TORSBY</t>
        </is>
      </c>
      <c r="F1287" t="inlineStr">
        <is>
          <t>Bergvik skog väst AB</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57937-2022</t>
        </is>
      </c>
      <c r="B1288" s="1" t="n">
        <v>44900</v>
      </c>
      <c r="C1288" s="1" t="n">
        <v>45828</v>
      </c>
      <c r="D1288" t="inlineStr">
        <is>
          <t>VÄRMLANDS LÄN</t>
        </is>
      </c>
      <c r="E1288" t="inlineStr">
        <is>
          <t>TORSBY</t>
        </is>
      </c>
      <c r="F1288" t="inlineStr">
        <is>
          <t>Bergvik skog väst AB</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58225-2022</t>
        </is>
      </c>
      <c r="B1289" s="1" t="n">
        <v>44901</v>
      </c>
      <c r="C1289" s="1" t="n">
        <v>45828</v>
      </c>
      <c r="D1289" t="inlineStr">
        <is>
          <t>VÄRMLANDS LÄN</t>
        </is>
      </c>
      <c r="E1289" t="inlineStr">
        <is>
          <t>TORSBY</t>
        </is>
      </c>
      <c r="G1289" t="n">
        <v>11.7</v>
      </c>
      <c r="H1289" t="n">
        <v>0</v>
      </c>
      <c r="I1289" t="n">
        <v>0</v>
      </c>
      <c r="J1289" t="n">
        <v>0</v>
      </c>
      <c r="K1289" t="n">
        <v>0</v>
      </c>
      <c r="L1289" t="n">
        <v>0</v>
      </c>
      <c r="M1289" t="n">
        <v>0</v>
      </c>
      <c r="N1289" t="n">
        <v>0</v>
      </c>
      <c r="O1289" t="n">
        <v>0</v>
      </c>
      <c r="P1289" t="n">
        <v>0</v>
      </c>
      <c r="Q1289" t="n">
        <v>0</v>
      </c>
      <c r="R1289" s="2" t="inlineStr"/>
    </row>
    <row r="1290" ht="15" customHeight="1">
      <c r="A1290" t="inlineStr">
        <is>
          <t>A 58276-2022</t>
        </is>
      </c>
      <c r="B1290" s="1" t="n">
        <v>44901</v>
      </c>
      <c r="C1290" s="1" t="n">
        <v>45828</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58956-2022</t>
        </is>
      </c>
      <c r="B1291" s="1" t="n">
        <v>44903</v>
      </c>
      <c r="C1291" s="1" t="n">
        <v>45828</v>
      </c>
      <c r="D1291" t="inlineStr">
        <is>
          <t>VÄRMLANDS LÄN</t>
        </is>
      </c>
      <c r="E1291" t="inlineStr">
        <is>
          <t>TORSBY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58869-2022</t>
        </is>
      </c>
      <c r="B1292" s="1" t="n">
        <v>44903</v>
      </c>
      <c r="C1292" s="1" t="n">
        <v>45828</v>
      </c>
      <c r="D1292" t="inlineStr">
        <is>
          <t>VÄRMLANDS LÄN</t>
        </is>
      </c>
      <c r="E1292" t="inlineStr">
        <is>
          <t>TORSBY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58951-2022</t>
        </is>
      </c>
      <c r="B1293" s="1" t="n">
        <v>44903</v>
      </c>
      <c r="C1293" s="1" t="n">
        <v>45828</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59097-2022</t>
        </is>
      </c>
      <c r="B1294" s="1" t="n">
        <v>44904</v>
      </c>
      <c r="C1294" s="1" t="n">
        <v>45828</v>
      </c>
      <c r="D1294" t="inlineStr">
        <is>
          <t>VÄRMLANDS LÄN</t>
        </is>
      </c>
      <c r="E1294" t="inlineStr">
        <is>
          <t>TORSBY</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59096-2022</t>
        </is>
      </c>
      <c r="B1295" s="1" t="n">
        <v>44904</v>
      </c>
      <c r="C1295" s="1" t="n">
        <v>45828</v>
      </c>
      <c r="D1295" t="inlineStr">
        <is>
          <t>VÄRMLANDS LÄN</t>
        </is>
      </c>
      <c r="E1295" t="inlineStr">
        <is>
          <t>TORSBY</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59778-2022</t>
        </is>
      </c>
      <c r="B1296" s="1" t="n">
        <v>44908</v>
      </c>
      <c r="C1296" s="1" t="n">
        <v>45828</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60240-2022</t>
        </is>
      </c>
      <c r="B1297" s="1" t="n">
        <v>44910</v>
      </c>
      <c r="C1297" s="1" t="n">
        <v>45828</v>
      </c>
      <c r="D1297" t="inlineStr">
        <is>
          <t>VÄRMLANDS LÄN</t>
        </is>
      </c>
      <c r="E1297" t="inlineStr">
        <is>
          <t>TORSBY</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61432-2022</t>
        </is>
      </c>
      <c r="B1298" s="1" t="n">
        <v>44910</v>
      </c>
      <c r="C1298" s="1" t="n">
        <v>45828</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61428-2022</t>
        </is>
      </c>
      <c r="B1299" s="1" t="n">
        <v>44910</v>
      </c>
      <c r="C1299" s="1" t="n">
        <v>45828</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60737-2022</t>
        </is>
      </c>
      <c r="B1300" s="1" t="n">
        <v>44913</v>
      </c>
      <c r="C1300" s="1" t="n">
        <v>45828</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60823-2022</t>
        </is>
      </c>
      <c r="B1301" s="1" t="n">
        <v>44914</v>
      </c>
      <c r="C1301" s="1" t="n">
        <v>45828</v>
      </c>
      <c r="D1301" t="inlineStr">
        <is>
          <t>VÄRMLANDS LÄN</t>
        </is>
      </c>
      <c r="E1301" t="inlineStr">
        <is>
          <t>TORSBY</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61128-2022</t>
        </is>
      </c>
      <c r="B1302" s="1" t="n">
        <v>44915</v>
      </c>
      <c r="C1302" s="1" t="n">
        <v>45828</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61151-2022</t>
        </is>
      </c>
      <c r="B1303" s="1" t="n">
        <v>44915</v>
      </c>
      <c r="C1303" s="1" t="n">
        <v>45828</v>
      </c>
      <c r="D1303" t="inlineStr">
        <is>
          <t>VÄRMLANDS LÄN</t>
        </is>
      </c>
      <c r="E1303" t="inlineStr">
        <is>
          <t>TORSBY</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61286-2022</t>
        </is>
      </c>
      <c r="B1304" s="1" t="n">
        <v>44915</v>
      </c>
      <c r="C1304" s="1" t="n">
        <v>45828</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61321-2022</t>
        </is>
      </c>
      <c r="B1305" s="1" t="n">
        <v>44915</v>
      </c>
      <c r="C1305" s="1" t="n">
        <v>45828</v>
      </c>
      <c r="D1305" t="inlineStr">
        <is>
          <t>VÄRMLANDS LÄN</t>
        </is>
      </c>
      <c r="E1305" t="inlineStr">
        <is>
          <t>TORSBY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61138-2022</t>
        </is>
      </c>
      <c r="B1306" s="1" t="n">
        <v>44915</v>
      </c>
      <c r="C1306" s="1" t="n">
        <v>45828</v>
      </c>
      <c r="D1306" t="inlineStr">
        <is>
          <t>VÄRMLANDS LÄN</t>
        </is>
      </c>
      <c r="E1306" t="inlineStr">
        <is>
          <t>TORSBY</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61143-2022</t>
        </is>
      </c>
      <c r="B1307" s="1" t="n">
        <v>44915</v>
      </c>
      <c r="C1307" s="1" t="n">
        <v>45828</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61290-2022</t>
        </is>
      </c>
      <c r="B1308" s="1" t="n">
        <v>44915</v>
      </c>
      <c r="C1308" s="1" t="n">
        <v>45828</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61367-2022</t>
        </is>
      </c>
      <c r="B1309" s="1" t="n">
        <v>44915</v>
      </c>
      <c r="C1309" s="1" t="n">
        <v>45828</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61135-2022</t>
        </is>
      </c>
      <c r="B1310" s="1" t="n">
        <v>44915</v>
      </c>
      <c r="C1310" s="1" t="n">
        <v>45828</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61510-2022</t>
        </is>
      </c>
      <c r="B1311" s="1" t="n">
        <v>44916</v>
      </c>
      <c r="C1311" s="1" t="n">
        <v>45828</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62006-2022</t>
        </is>
      </c>
      <c r="B1312" s="1" t="n">
        <v>44918</v>
      </c>
      <c r="C1312" s="1" t="n">
        <v>45828</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80-2023</t>
        </is>
      </c>
      <c r="B1313" s="1" t="n">
        <v>44918</v>
      </c>
      <c r="C1313" s="1" t="n">
        <v>45828</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345-2023</t>
        </is>
      </c>
      <c r="B1314" s="1" t="n">
        <v>44923</v>
      </c>
      <c r="C1314" s="1" t="n">
        <v>45828</v>
      </c>
      <c r="D1314" t="inlineStr">
        <is>
          <t>VÄRMLANDS LÄN</t>
        </is>
      </c>
      <c r="E1314" t="inlineStr">
        <is>
          <t>TORSBY</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363-2023</t>
        </is>
      </c>
      <c r="B1315" s="1" t="n">
        <v>44923</v>
      </c>
      <c r="C1315" s="1" t="n">
        <v>45828</v>
      </c>
      <c r="D1315" t="inlineStr">
        <is>
          <t>VÄRMLANDS LÄN</t>
        </is>
      </c>
      <c r="E1315" t="inlineStr">
        <is>
          <t>TORSBY</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62574-2022</t>
        </is>
      </c>
      <c r="B1316" s="1" t="n">
        <v>44924</v>
      </c>
      <c r="C1316" s="1" t="n">
        <v>45828</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522-2023</t>
        </is>
      </c>
      <c r="B1317" s="1" t="n">
        <v>44930</v>
      </c>
      <c r="C1317" s="1" t="n">
        <v>45828</v>
      </c>
      <c r="D1317" t="inlineStr">
        <is>
          <t>VÄRMLANDS LÄN</t>
        </is>
      </c>
      <c r="E1317" t="inlineStr">
        <is>
          <t>TORSBY</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1003-2023</t>
        </is>
      </c>
      <c r="B1318" s="1" t="n">
        <v>44935</v>
      </c>
      <c r="C1318" s="1" t="n">
        <v>45828</v>
      </c>
      <c r="D1318" t="inlineStr">
        <is>
          <t>VÄRMLANDS LÄN</t>
        </is>
      </c>
      <c r="E1318" t="inlineStr">
        <is>
          <t>TORSBY</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1120-2023</t>
        </is>
      </c>
      <c r="B1319" s="1" t="n">
        <v>44935</v>
      </c>
      <c r="C1319" s="1" t="n">
        <v>45828</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1166-2023</t>
        </is>
      </c>
      <c r="B1320" s="1" t="n">
        <v>44935</v>
      </c>
      <c r="C1320" s="1" t="n">
        <v>45828</v>
      </c>
      <c r="D1320" t="inlineStr">
        <is>
          <t>VÄRMLANDS LÄN</t>
        </is>
      </c>
      <c r="E1320" t="inlineStr">
        <is>
          <t>TORSBY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1123-2023</t>
        </is>
      </c>
      <c r="B1321" s="1" t="n">
        <v>44935</v>
      </c>
      <c r="C1321" s="1" t="n">
        <v>45828</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1386-2023</t>
        </is>
      </c>
      <c r="B1322" s="1" t="n">
        <v>44936</v>
      </c>
      <c r="C1322" s="1" t="n">
        <v>45828</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1947-2023</t>
        </is>
      </c>
      <c r="B1323" s="1" t="n">
        <v>44939</v>
      </c>
      <c r="C1323" s="1" t="n">
        <v>45828</v>
      </c>
      <c r="D1323" t="inlineStr">
        <is>
          <t>VÄRMLANDS LÄN</t>
        </is>
      </c>
      <c r="E1323" t="inlineStr">
        <is>
          <t>TORSBY</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1979-2023</t>
        </is>
      </c>
      <c r="B1324" s="1" t="n">
        <v>44939</v>
      </c>
      <c r="C1324" s="1" t="n">
        <v>45828</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2471-2023</t>
        </is>
      </c>
      <c r="B1325" s="1" t="n">
        <v>44943</v>
      </c>
      <c r="C1325" s="1" t="n">
        <v>45828</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2512-2023</t>
        </is>
      </c>
      <c r="B1326" s="1" t="n">
        <v>44943</v>
      </c>
      <c r="C1326" s="1" t="n">
        <v>45828</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3098-2023</t>
        </is>
      </c>
      <c r="B1327" s="1" t="n">
        <v>44946</v>
      </c>
      <c r="C1327" s="1" t="n">
        <v>45828</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3103-2023</t>
        </is>
      </c>
      <c r="B1328" s="1" t="n">
        <v>44946</v>
      </c>
      <c r="C1328" s="1" t="n">
        <v>45828</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3256-2023</t>
        </is>
      </c>
      <c r="B1329" s="1" t="n">
        <v>44948</v>
      </c>
      <c r="C1329" s="1" t="n">
        <v>45828</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3421-2023</t>
        </is>
      </c>
      <c r="B1330" s="1" t="n">
        <v>44949</v>
      </c>
      <c r="C1330" s="1" t="n">
        <v>45828</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3489-2023</t>
        </is>
      </c>
      <c r="B1331" s="1" t="n">
        <v>44949</v>
      </c>
      <c r="C1331" s="1" t="n">
        <v>45828</v>
      </c>
      <c r="D1331" t="inlineStr">
        <is>
          <t>VÄRMLANDS LÄN</t>
        </is>
      </c>
      <c r="E1331" t="inlineStr">
        <is>
          <t>TORSBY</t>
        </is>
      </c>
      <c r="F1331" t="inlineStr">
        <is>
          <t>Kommuner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3491-2023</t>
        </is>
      </c>
      <c r="B1332" s="1" t="n">
        <v>44949</v>
      </c>
      <c r="C1332" s="1" t="n">
        <v>45828</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3542-2023</t>
        </is>
      </c>
      <c r="B1333" s="1" t="n">
        <v>44950</v>
      </c>
      <c r="C1333" s="1" t="n">
        <v>45828</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3666-2023</t>
        </is>
      </c>
      <c r="B1334" s="1" t="n">
        <v>44950</v>
      </c>
      <c r="C1334" s="1" t="n">
        <v>45828</v>
      </c>
      <c r="D1334" t="inlineStr">
        <is>
          <t>VÄRMLANDS LÄN</t>
        </is>
      </c>
      <c r="E1334" t="inlineStr">
        <is>
          <t>TORSBY</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3670-2023</t>
        </is>
      </c>
      <c r="B1335" s="1" t="n">
        <v>44950</v>
      </c>
      <c r="C1335" s="1" t="n">
        <v>45828</v>
      </c>
      <c r="D1335" t="inlineStr">
        <is>
          <t>VÄRMLANDS LÄN</t>
        </is>
      </c>
      <c r="E1335" t="inlineStr">
        <is>
          <t>TORSBY</t>
        </is>
      </c>
      <c r="G1335" t="n">
        <v>15.4</v>
      </c>
      <c r="H1335" t="n">
        <v>0</v>
      </c>
      <c r="I1335" t="n">
        <v>0</v>
      </c>
      <c r="J1335" t="n">
        <v>0</v>
      </c>
      <c r="K1335" t="n">
        <v>0</v>
      </c>
      <c r="L1335" t="n">
        <v>0</v>
      </c>
      <c r="M1335" t="n">
        <v>0</v>
      </c>
      <c r="N1335" t="n">
        <v>0</v>
      </c>
      <c r="O1335" t="n">
        <v>0</v>
      </c>
      <c r="P1335" t="n">
        <v>0</v>
      </c>
      <c r="Q1335" t="n">
        <v>0</v>
      </c>
      <c r="R1335" s="2" t="inlineStr"/>
    </row>
    <row r="1336" ht="15" customHeight="1">
      <c r="A1336" t="inlineStr">
        <is>
          <t>A 3667-2023</t>
        </is>
      </c>
      <c r="B1336" s="1" t="n">
        <v>44950</v>
      </c>
      <c r="C1336" s="1" t="n">
        <v>45828</v>
      </c>
      <c r="D1336" t="inlineStr">
        <is>
          <t>VÄRMLANDS LÄN</t>
        </is>
      </c>
      <c r="E1336" t="inlineStr">
        <is>
          <t>TORSBY</t>
        </is>
      </c>
      <c r="G1336" t="n">
        <v>21.2</v>
      </c>
      <c r="H1336" t="n">
        <v>0</v>
      </c>
      <c r="I1336" t="n">
        <v>0</v>
      </c>
      <c r="J1336" t="n">
        <v>0</v>
      </c>
      <c r="K1336" t="n">
        <v>0</v>
      </c>
      <c r="L1336" t="n">
        <v>0</v>
      </c>
      <c r="M1336" t="n">
        <v>0</v>
      </c>
      <c r="N1336" t="n">
        <v>0</v>
      </c>
      <c r="O1336" t="n">
        <v>0</v>
      </c>
      <c r="P1336" t="n">
        <v>0</v>
      </c>
      <c r="Q1336" t="n">
        <v>0</v>
      </c>
      <c r="R1336" s="2" t="inlineStr"/>
    </row>
    <row r="1337" ht="15" customHeight="1">
      <c r="A1337" t="inlineStr">
        <is>
          <t>A 3672-2023</t>
        </is>
      </c>
      <c r="B1337" s="1" t="n">
        <v>44950</v>
      </c>
      <c r="C1337" s="1" t="n">
        <v>45828</v>
      </c>
      <c r="D1337" t="inlineStr">
        <is>
          <t>VÄRMLANDS LÄN</t>
        </is>
      </c>
      <c r="E1337" t="inlineStr">
        <is>
          <t>TORSBY</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3881-2023</t>
        </is>
      </c>
      <c r="B1338" s="1" t="n">
        <v>44951</v>
      </c>
      <c r="C1338" s="1" t="n">
        <v>45828</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4250-2023</t>
        </is>
      </c>
      <c r="B1339" s="1" t="n">
        <v>44953</v>
      </c>
      <c r="C1339" s="1" t="n">
        <v>45828</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4236-2023</t>
        </is>
      </c>
      <c r="B1340" s="1" t="n">
        <v>44953</v>
      </c>
      <c r="C1340" s="1" t="n">
        <v>45828</v>
      </c>
      <c r="D1340" t="inlineStr">
        <is>
          <t>VÄRMLANDS LÄN</t>
        </is>
      </c>
      <c r="E1340" t="inlineStr">
        <is>
          <t>TORSBY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4433-2023</t>
        </is>
      </c>
      <c r="B1341" s="1" t="n">
        <v>44956</v>
      </c>
      <c r="C1341" s="1" t="n">
        <v>45828</v>
      </c>
      <c r="D1341" t="inlineStr">
        <is>
          <t>VÄRMLANDS LÄN</t>
        </is>
      </c>
      <c r="E1341" t="inlineStr">
        <is>
          <t>TORSBY</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4510-2023</t>
        </is>
      </c>
      <c r="B1342" s="1" t="n">
        <v>44956</v>
      </c>
      <c r="C1342" s="1" t="n">
        <v>45828</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4568-2023</t>
        </is>
      </c>
      <c r="B1343" s="1" t="n">
        <v>44956</v>
      </c>
      <c r="C1343" s="1" t="n">
        <v>45828</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4585-2023</t>
        </is>
      </c>
      <c r="B1344" s="1" t="n">
        <v>44956</v>
      </c>
      <c r="C1344" s="1" t="n">
        <v>45828</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4707-2023</t>
        </is>
      </c>
      <c r="B1345" s="1" t="n">
        <v>44957</v>
      </c>
      <c r="C1345" s="1" t="n">
        <v>45828</v>
      </c>
      <c r="D1345" t="inlineStr">
        <is>
          <t>VÄRMLANDS LÄN</t>
        </is>
      </c>
      <c r="E1345" t="inlineStr">
        <is>
          <t>TORSBY</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5216-2023</t>
        </is>
      </c>
      <c r="B1346" s="1" t="n">
        <v>44959</v>
      </c>
      <c r="C1346" s="1" t="n">
        <v>45828</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5492-2023</t>
        </is>
      </c>
      <c r="B1347" s="1" t="n">
        <v>44959</v>
      </c>
      <c r="C1347" s="1" t="n">
        <v>45828</v>
      </c>
      <c r="D1347" t="inlineStr">
        <is>
          <t>VÄRMLANDS LÄN</t>
        </is>
      </c>
      <c r="E1347" t="inlineStr">
        <is>
          <t>TORSBY</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6708-2023</t>
        </is>
      </c>
      <c r="B1348" s="1" t="n">
        <v>44960</v>
      </c>
      <c r="C1348" s="1" t="n">
        <v>45828</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6702-2023</t>
        </is>
      </c>
      <c r="B1349" s="1" t="n">
        <v>44960</v>
      </c>
      <c r="C1349" s="1" t="n">
        <v>45828</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6715-2023</t>
        </is>
      </c>
      <c r="B1350" s="1" t="n">
        <v>44960</v>
      </c>
      <c r="C1350" s="1" t="n">
        <v>45828</v>
      </c>
      <c r="D1350" t="inlineStr">
        <is>
          <t>VÄRMLANDS LÄN</t>
        </is>
      </c>
      <c r="E1350" t="inlineStr">
        <is>
          <t>TORSBY</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6711-2023</t>
        </is>
      </c>
      <c r="B1351" s="1" t="n">
        <v>44960</v>
      </c>
      <c r="C1351" s="1" t="n">
        <v>45828</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6713-2023</t>
        </is>
      </c>
      <c r="B1352" s="1" t="n">
        <v>44960</v>
      </c>
      <c r="C1352" s="1" t="n">
        <v>45828</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5830-2023</t>
        </is>
      </c>
      <c r="B1353" s="1" t="n">
        <v>44963</v>
      </c>
      <c r="C1353" s="1" t="n">
        <v>45828</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5763-2023</t>
        </is>
      </c>
      <c r="B1354" s="1" t="n">
        <v>44963</v>
      </c>
      <c r="C1354" s="1" t="n">
        <v>45828</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6863-2023</t>
        </is>
      </c>
      <c r="B1355" s="1" t="n">
        <v>44964</v>
      </c>
      <c r="C1355" s="1" t="n">
        <v>45828</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7283-2023</t>
        </is>
      </c>
      <c r="B1356" s="1" t="n">
        <v>44970</v>
      </c>
      <c r="C1356" s="1" t="n">
        <v>45828</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7127-2023</t>
        </is>
      </c>
      <c r="B1357" s="1" t="n">
        <v>44970</v>
      </c>
      <c r="C1357" s="1" t="n">
        <v>45828</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7133-2023</t>
        </is>
      </c>
      <c r="B1358" s="1" t="n">
        <v>44970</v>
      </c>
      <c r="C1358" s="1" t="n">
        <v>45828</v>
      </c>
      <c r="D1358" t="inlineStr">
        <is>
          <t>VÄRMLANDS LÄN</t>
        </is>
      </c>
      <c r="E1358" t="inlineStr">
        <is>
          <t>TORSBY</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7405-2023</t>
        </is>
      </c>
      <c r="B1359" s="1" t="n">
        <v>44971</v>
      </c>
      <c r="C1359" s="1" t="n">
        <v>45828</v>
      </c>
      <c r="D1359" t="inlineStr">
        <is>
          <t>VÄRMLANDS LÄN</t>
        </is>
      </c>
      <c r="E1359" t="inlineStr">
        <is>
          <t>TORSBY</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8194-2023</t>
        </is>
      </c>
      <c r="B1360" s="1" t="n">
        <v>44971</v>
      </c>
      <c r="C1360" s="1" t="n">
        <v>45828</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8192-2023</t>
        </is>
      </c>
      <c r="B1361" s="1" t="n">
        <v>44971</v>
      </c>
      <c r="C1361" s="1" t="n">
        <v>45828</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7745-2023</t>
        </is>
      </c>
      <c r="B1362" s="1" t="n">
        <v>44973</v>
      </c>
      <c r="C1362" s="1" t="n">
        <v>45828</v>
      </c>
      <c r="D1362" t="inlineStr">
        <is>
          <t>VÄRMLANDS LÄN</t>
        </is>
      </c>
      <c r="E1362" t="inlineStr">
        <is>
          <t>TORSBY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7753-2023</t>
        </is>
      </c>
      <c r="B1363" s="1" t="n">
        <v>44973</v>
      </c>
      <c r="C1363" s="1" t="n">
        <v>45828</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8016-2023</t>
        </is>
      </c>
      <c r="B1364" s="1" t="n">
        <v>44973</v>
      </c>
      <c r="C1364" s="1" t="n">
        <v>45828</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8910-2023</t>
        </is>
      </c>
      <c r="B1365" s="1" t="n">
        <v>44973</v>
      </c>
      <c r="C1365" s="1" t="n">
        <v>45828</v>
      </c>
      <c r="D1365" t="inlineStr">
        <is>
          <t>VÄRMLANDS LÄN</t>
        </is>
      </c>
      <c r="E1365" t="inlineStr">
        <is>
          <t>TORSBY</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8012-2023</t>
        </is>
      </c>
      <c r="B1366" s="1" t="n">
        <v>44973</v>
      </c>
      <c r="C1366" s="1" t="n">
        <v>45828</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8284-2023</t>
        </is>
      </c>
      <c r="B1367" s="1" t="n">
        <v>44974</v>
      </c>
      <c r="C1367" s="1" t="n">
        <v>45828</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8281-2023</t>
        </is>
      </c>
      <c r="B1368" s="1" t="n">
        <v>44974</v>
      </c>
      <c r="C1368" s="1" t="n">
        <v>45828</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8287-2023</t>
        </is>
      </c>
      <c r="B1369" s="1" t="n">
        <v>44974</v>
      </c>
      <c r="C1369" s="1" t="n">
        <v>45828</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8931-2023</t>
        </is>
      </c>
      <c r="B1370" s="1" t="n">
        <v>44974</v>
      </c>
      <c r="C1370" s="1" t="n">
        <v>45828</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8928-2023</t>
        </is>
      </c>
      <c r="B1371" s="1" t="n">
        <v>44974</v>
      </c>
      <c r="C1371" s="1" t="n">
        <v>45828</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45828</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9453-2023</t>
        </is>
      </c>
      <c r="B1373" s="1" t="n">
        <v>44977</v>
      </c>
      <c r="C1373" s="1" t="n">
        <v>45828</v>
      </c>
      <c r="D1373" t="inlineStr">
        <is>
          <t>VÄRMLANDS LÄN</t>
        </is>
      </c>
      <c r="E1373" t="inlineStr">
        <is>
          <t>TORSBY</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8819-2023</t>
        </is>
      </c>
      <c r="B1374" s="1" t="n">
        <v>44978</v>
      </c>
      <c r="C1374" s="1" t="n">
        <v>45828</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9067-2023</t>
        </is>
      </c>
      <c r="B1375" s="1" t="n">
        <v>44979</v>
      </c>
      <c r="C1375" s="1" t="n">
        <v>45828</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9056-2023</t>
        </is>
      </c>
      <c r="B1376" s="1" t="n">
        <v>44979</v>
      </c>
      <c r="C1376" s="1" t="n">
        <v>45828</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10027-2023</t>
        </is>
      </c>
      <c r="B1377" s="1" t="n">
        <v>44979</v>
      </c>
      <c r="C1377" s="1" t="n">
        <v>45828</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10033-2023</t>
        </is>
      </c>
      <c r="B1378" s="1" t="n">
        <v>44979</v>
      </c>
      <c r="C1378" s="1" t="n">
        <v>45828</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10024-2023</t>
        </is>
      </c>
      <c r="B1379" s="1" t="n">
        <v>44979</v>
      </c>
      <c r="C1379" s="1" t="n">
        <v>45828</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9327-2023</t>
        </is>
      </c>
      <c r="B1380" s="1" t="n">
        <v>44980</v>
      </c>
      <c r="C1380" s="1" t="n">
        <v>45828</v>
      </c>
      <c r="D1380" t="inlineStr">
        <is>
          <t>VÄRMLANDS LÄN</t>
        </is>
      </c>
      <c r="E1380" t="inlineStr">
        <is>
          <t>TORSBY</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10479-2023</t>
        </is>
      </c>
      <c r="B1381" s="1" t="n">
        <v>44981</v>
      </c>
      <c r="C1381" s="1" t="n">
        <v>45828</v>
      </c>
      <c r="D1381" t="inlineStr">
        <is>
          <t>VÄRMLANDS LÄN</t>
        </is>
      </c>
      <c r="E1381" t="inlineStr">
        <is>
          <t>TORSBY</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10473-2023</t>
        </is>
      </c>
      <c r="B1382" s="1" t="n">
        <v>44981</v>
      </c>
      <c r="C1382" s="1" t="n">
        <v>45828</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10471-2023</t>
        </is>
      </c>
      <c r="B1383" s="1" t="n">
        <v>44981</v>
      </c>
      <c r="C1383" s="1" t="n">
        <v>45828</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9575-2023</t>
        </is>
      </c>
      <c r="B1384" s="1" t="n">
        <v>44982</v>
      </c>
      <c r="C1384" s="1" t="n">
        <v>45828</v>
      </c>
      <c r="D1384" t="inlineStr">
        <is>
          <t>VÄRMLANDS LÄN</t>
        </is>
      </c>
      <c r="E1384" t="inlineStr">
        <is>
          <t>TORSBY</t>
        </is>
      </c>
      <c r="F1384" t="inlineStr">
        <is>
          <t>Övriga statliga verk och myndigheter</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9574-2023</t>
        </is>
      </c>
      <c r="B1385" s="1" t="n">
        <v>44982</v>
      </c>
      <c r="C1385" s="1" t="n">
        <v>45828</v>
      </c>
      <c r="D1385" t="inlineStr">
        <is>
          <t>VÄRMLANDS LÄN</t>
        </is>
      </c>
      <c r="E1385" t="inlineStr">
        <is>
          <t>TORSBY</t>
        </is>
      </c>
      <c r="F1385" t="inlineStr">
        <is>
          <t>Övriga statliga verk och myndigheter</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9578-2023</t>
        </is>
      </c>
      <c r="B1386" s="1" t="n">
        <v>44982</v>
      </c>
      <c r="C1386" s="1" t="n">
        <v>45828</v>
      </c>
      <c r="D1386" t="inlineStr">
        <is>
          <t>VÄRMLANDS LÄN</t>
        </is>
      </c>
      <c r="E1386" t="inlineStr">
        <is>
          <t>TORSBY</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10888-2023</t>
        </is>
      </c>
      <c r="B1387" s="1" t="n">
        <v>44985</v>
      </c>
      <c r="C1387" s="1" t="n">
        <v>45828</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10155-2023</t>
        </is>
      </c>
      <c r="B1388" s="1" t="n">
        <v>44986</v>
      </c>
      <c r="C1388" s="1" t="n">
        <v>45828</v>
      </c>
      <c r="D1388" t="inlineStr">
        <is>
          <t>VÄRMLANDS LÄN</t>
        </is>
      </c>
      <c r="E1388" t="inlineStr">
        <is>
          <t>TORSBY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10218-2023</t>
        </is>
      </c>
      <c r="B1389" s="1" t="n">
        <v>44986</v>
      </c>
      <c r="C1389" s="1" t="n">
        <v>45828</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10228-2023</t>
        </is>
      </c>
      <c r="B1390" s="1" t="n">
        <v>44986</v>
      </c>
      <c r="C1390" s="1" t="n">
        <v>45828</v>
      </c>
      <c r="D1390" t="inlineStr">
        <is>
          <t>VÄRMLANDS LÄN</t>
        </is>
      </c>
      <c r="E1390" t="inlineStr">
        <is>
          <t>TORSBY</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10662-2023</t>
        </is>
      </c>
      <c r="B1391" s="1" t="n">
        <v>44988</v>
      </c>
      <c r="C1391" s="1" t="n">
        <v>45828</v>
      </c>
      <c r="D1391" t="inlineStr">
        <is>
          <t>VÄRMLANDS LÄN</t>
        </is>
      </c>
      <c r="E1391" t="inlineStr">
        <is>
          <t>TORSBY</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10583-2023</t>
        </is>
      </c>
      <c r="B1392" s="1" t="n">
        <v>44988</v>
      </c>
      <c r="C1392" s="1" t="n">
        <v>45828</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10666-2023</t>
        </is>
      </c>
      <c r="B1393" s="1" t="n">
        <v>44988</v>
      </c>
      <c r="C1393" s="1" t="n">
        <v>45828</v>
      </c>
      <c r="D1393" t="inlineStr">
        <is>
          <t>VÄRMLANDS LÄN</t>
        </is>
      </c>
      <c r="E1393" t="inlineStr">
        <is>
          <t>TORSBY</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10698-2023</t>
        </is>
      </c>
      <c r="B1394" s="1" t="n">
        <v>44988</v>
      </c>
      <c r="C1394" s="1" t="n">
        <v>45828</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11364-2023</t>
        </is>
      </c>
      <c r="B1395" s="1" t="n">
        <v>44993</v>
      </c>
      <c r="C1395" s="1" t="n">
        <v>45828</v>
      </c>
      <c r="D1395" t="inlineStr">
        <is>
          <t>VÄRMLANDS LÄN</t>
        </is>
      </c>
      <c r="E1395" t="inlineStr">
        <is>
          <t>TORSBY</t>
        </is>
      </c>
      <c r="G1395" t="n">
        <v>31.9</v>
      </c>
      <c r="H1395" t="n">
        <v>0</v>
      </c>
      <c r="I1395" t="n">
        <v>0</v>
      </c>
      <c r="J1395" t="n">
        <v>0</v>
      </c>
      <c r="K1395" t="n">
        <v>0</v>
      </c>
      <c r="L1395" t="n">
        <v>0</v>
      </c>
      <c r="M1395" t="n">
        <v>0</v>
      </c>
      <c r="N1395" t="n">
        <v>0</v>
      </c>
      <c r="O1395" t="n">
        <v>0</v>
      </c>
      <c r="P1395" t="n">
        <v>0</v>
      </c>
      <c r="Q1395" t="n">
        <v>0</v>
      </c>
      <c r="R1395" s="2" t="inlineStr"/>
    </row>
    <row r="1396" ht="15" customHeight="1">
      <c r="A1396" t="inlineStr">
        <is>
          <t>A 11366-2023</t>
        </is>
      </c>
      <c r="B1396" s="1" t="n">
        <v>44993</v>
      </c>
      <c r="C1396" s="1" t="n">
        <v>45828</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12441-2023</t>
        </is>
      </c>
      <c r="B1397" s="1" t="n">
        <v>44999</v>
      </c>
      <c r="C1397" s="1" t="n">
        <v>45828</v>
      </c>
      <c r="D1397" t="inlineStr">
        <is>
          <t>VÄRMLANDS LÄN</t>
        </is>
      </c>
      <c r="E1397" t="inlineStr">
        <is>
          <t>TORSBY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12453-2023</t>
        </is>
      </c>
      <c r="B1398" s="1" t="n">
        <v>44999</v>
      </c>
      <c r="C1398" s="1" t="n">
        <v>45828</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12458-2023</t>
        </is>
      </c>
      <c r="B1399" s="1" t="n">
        <v>44999</v>
      </c>
      <c r="C1399" s="1" t="n">
        <v>45828</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12467-2023</t>
        </is>
      </c>
      <c r="B1400" s="1" t="n">
        <v>44999</v>
      </c>
      <c r="C1400" s="1" t="n">
        <v>45828</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12689-2023</t>
        </is>
      </c>
      <c r="B1401" s="1" t="n">
        <v>45000</v>
      </c>
      <c r="C1401" s="1" t="n">
        <v>45828</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12637-2023</t>
        </is>
      </c>
      <c r="B1402" s="1" t="n">
        <v>45000</v>
      </c>
      <c r="C1402" s="1" t="n">
        <v>45828</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12670-2023</t>
        </is>
      </c>
      <c r="B1403" s="1" t="n">
        <v>45000</v>
      </c>
      <c r="C1403" s="1" t="n">
        <v>45828</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12933-2023</t>
        </is>
      </c>
      <c r="B1404" s="1" t="n">
        <v>45001</v>
      </c>
      <c r="C1404" s="1" t="n">
        <v>45828</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13054-2023</t>
        </is>
      </c>
      <c r="B1405" s="1" t="n">
        <v>45001</v>
      </c>
      <c r="C1405" s="1" t="n">
        <v>45828</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13048-2023</t>
        </is>
      </c>
      <c r="B1406" s="1" t="n">
        <v>45001</v>
      </c>
      <c r="C1406" s="1" t="n">
        <v>45828</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12968-2023</t>
        </is>
      </c>
      <c r="B1407" s="1" t="n">
        <v>45001</v>
      </c>
      <c r="C1407" s="1" t="n">
        <v>45828</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13791-2023</t>
        </is>
      </c>
      <c r="B1408" s="1" t="n">
        <v>45005</v>
      </c>
      <c r="C1408" s="1" t="n">
        <v>45828</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13561-2023</t>
        </is>
      </c>
      <c r="B1409" s="1" t="n">
        <v>45006</v>
      </c>
      <c r="C1409" s="1" t="n">
        <v>45828</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13586-2023</t>
        </is>
      </c>
      <c r="B1410" s="1" t="n">
        <v>45006</v>
      </c>
      <c r="C1410" s="1" t="n">
        <v>45828</v>
      </c>
      <c r="D1410" t="inlineStr">
        <is>
          <t>VÄRMLANDS LÄN</t>
        </is>
      </c>
      <c r="E1410" t="inlineStr">
        <is>
          <t>TORSBY</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13785-2023</t>
        </is>
      </c>
      <c r="B1411" s="1" t="n">
        <v>45007</v>
      </c>
      <c r="C1411" s="1" t="n">
        <v>45828</v>
      </c>
      <c r="D1411" t="inlineStr">
        <is>
          <t>VÄRMLANDS LÄN</t>
        </is>
      </c>
      <c r="E1411" t="inlineStr">
        <is>
          <t>TORSBY</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13723-2023</t>
        </is>
      </c>
      <c r="B1412" s="1" t="n">
        <v>45007</v>
      </c>
      <c r="C1412" s="1" t="n">
        <v>45828</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14293-2023</t>
        </is>
      </c>
      <c r="B1413" s="1" t="n">
        <v>45011</v>
      </c>
      <c r="C1413" s="1" t="n">
        <v>45828</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14304-2023</t>
        </is>
      </c>
      <c r="B1414" s="1" t="n">
        <v>45011</v>
      </c>
      <c r="C1414" s="1" t="n">
        <v>45828</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14303-2023</t>
        </is>
      </c>
      <c r="B1415" s="1" t="n">
        <v>45011</v>
      </c>
      <c r="C1415" s="1" t="n">
        <v>45828</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14292-2023</t>
        </is>
      </c>
      <c r="B1416" s="1" t="n">
        <v>45011</v>
      </c>
      <c r="C1416" s="1" t="n">
        <v>45828</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14592-2023</t>
        </is>
      </c>
      <c r="B1417" s="1" t="n">
        <v>45013</v>
      </c>
      <c r="C1417" s="1" t="n">
        <v>45828</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14581-2023</t>
        </is>
      </c>
      <c r="B1418" s="1" t="n">
        <v>45013</v>
      </c>
      <c r="C1418" s="1" t="n">
        <v>45828</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14624-2023</t>
        </is>
      </c>
      <c r="B1419" s="1" t="n">
        <v>45013</v>
      </c>
      <c r="C1419" s="1" t="n">
        <v>45828</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14709-2023</t>
        </is>
      </c>
      <c r="B1420" s="1" t="n">
        <v>45014</v>
      </c>
      <c r="C1420" s="1" t="n">
        <v>45828</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45828</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14917-2023</t>
        </is>
      </c>
      <c r="B1422" s="1" t="n">
        <v>45015</v>
      </c>
      <c r="C1422" s="1" t="n">
        <v>45828</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15085-2023</t>
        </is>
      </c>
      <c r="B1423" s="1" t="n">
        <v>45016</v>
      </c>
      <c r="C1423" s="1" t="n">
        <v>45828</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15087-2023</t>
        </is>
      </c>
      <c r="B1424" s="1" t="n">
        <v>45016</v>
      </c>
      <c r="C1424" s="1" t="n">
        <v>45828</v>
      </c>
      <c r="D1424" t="inlineStr">
        <is>
          <t>VÄRMLANDS LÄN</t>
        </is>
      </c>
      <c r="E1424" t="inlineStr">
        <is>
          <t>TORSBY</t>
        </is>
      </c>
      <c r="F1424" t="inlineStr">
        <is>
          <t>Bergvik skog väst AB</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15413-2023</t>
        </is>
      </c>
      <c r="B1425" s="1" t="n">
        <v>45019</v>
      </c>
      <c r="C1425" s="1" t="n">
        <v>45828</v>
      </c>
      <c r="D1425" t="inlineStr">
        <is>
          <t>VÄRMLANDS LÄN</t>
        </is>
      </c>
      <c r="E1425" t="inlineStr">
        <is>
          <t>TORSBY</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15450-2023</t>
        </is>
      </c>
      <c r="B1426" s="1" t="n">
        <v>45020</v>
      </c>
      <c r="C1426" s="1" t="n">
        <v>45828</v>
      </c>
      <c r="D1426" t="inlineStr">
        <is>
          <t>VÄRMLANDS LÄN</t>
        </is>
      </c>
      <c r="E1426" t="inlineStr">
        <is>
          <t>TORSBY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15488-2023</t>
        </is>
      </c>
      <c r="B1427" s="1" t="n">
        <v>45020</v>
      </c>
      <c r="C1427" s="1" t="n">
        <v>45828</v>
      </c>
      <c r="D1427" t="inlineStr">
        <is>
          <t>VÄRMLANDS LÄN</t>
        </is>
      </c>
      <c r="E1427" t="inlineStr">
        <is>
          <t>TORSBY</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15773-2023</t>
        </is>
      </c>
      <c r="B1428" s="1" t="n">
        <v>45021</v>
      </c>
      <c r="C1428" s="1" t="n">
        <v>45828</v>
      </c>
      <c r="D1428" t="inlineStr">
        <is>
          <t>VÄRMLANDS LÄN</t>
        </is>
      </c>
      <c r="E1428" t="inlineStr">
        <is>
          <t>TORSBY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16093-2023</t>
        </is>
      </c>
      <c r="B1429" s="1" t="n">
        <v>45021</v>
      </c>
      <c r="C1429" s="1" t="n">
        <v>45828</v>
      </c>
      <c r="D1429" t="inlineStr">
        <is>
          <t>VÄRMLANDS LÄN</t>
        </is>
      </c>
      <c r="E1429" t="inlineStr">
        <is>
          <t>TORSBY</t>
        </is>
      </c>
      <c r="F1429" t="inlineStr">
        <is>
          <t>Övriga statliga verk och myndigheter</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16121-2023</t>
        </is>
      </c>
      <c r="B1430" s="1" t="n">
        <v>45022</v>
      </c>
      <c r="C1430" s="1" t="n">
        <v>45828</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16416-2023</t>
        </is>
      </c>
      <c r="B1431" s="1" t="n">
        <v>45022</v>
      </c>
      <c r="C1431" s="1" t="n">
        <v>45828</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16433-2023</t>
        </is>
      </c>
      <c r="B1432" s="1" t="n">
        <v>45022</v>
      </c>
      <c r="C1432" s="1" t="n">
        <v>45828</v>
      </c>
      <c r="D1432" t="inlineStr">
        <is>
          <t>VÄRMLANDS LÄN</t>
        </is>
      </c>
      <c r="E1432" t="inlineStr">
        <is>
          <t>TORSBY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16427-2023</t>
        </is>
      </c>
      <c r="B1433" s="1" t="n">
        <v>45022</v>
      </c>
      <c r="C1433" s="1" t="n">
        <v>45828</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15992-2023</t>
        </is>
      </c>
      <c r="B1434" s="1" t="n">
        <v>45023</v>
      </c>
      <c r="C1434" s="1" t="n">
        <v>45828</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16044-2023</t>
        </is>
      </c>
      <c r="B1435" s="1" t="n">
        <v>45027</v>
      </c>
      <c r="C1435" s="1" t="n">
        <v>45828</v>
      </c>
      <c r="D1435" t="inlineStr">
        <is>
          <t>VÄRMLANDS LÄN</t>
        </is>
      </c>
      <c r="E1435" t="inlineStr">
        <is>
          <t>TORSBY</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16309-2023</t>
        </is>
      </c>
      <c r="B1436" s="1" t="n">
        <v>45028</v>
      </c>
      <c r="C1436" s="1" t="n">
        <v>45828</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16313-2023</t>
        </is>
      </c>
      <c r="B1437" s="1" t="n">
        <v>45028</v>
      </c>
      <c r="C1437" s="1" t="n">
        <v>45828</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16317-2023</t>
        </is>
      </c>
      <c r="B1438" s="1" t="n">
        <v>45028</v>
      </c>
      <c r="C1438" s="1" t="n">
        <v>45828</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16919-2023</t>
        </is>
      </c>
      <c r="B1439" s="1" t="n">
        <v>45033</v>
      </c>
      <c r="C1439" s="1" t="n">
        <v>45828</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16945-2023</t>
        </is>
      </c>
      <c r="B1440" s="1" t="n">
        <v>45033</v>
      </c>
      <c r="C1440" s="1" t="n">
        <v>45828</v>
      </c>
      <c r="D1440" t="inlineStr">
        <is>
          <t>VÄRMLANDS LÄN</t>
        </is>
      </c>
      <c r="E1440" t="inlineStr">
        <is>
          <t>TORSBY</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16943-2023</t>
        </is>
      </c>
      <c r="B1441" s="1" t="n">
        <v>45033</v>
      </c>
      <c r="C1441" s="1" t="n">
        <v>45828</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17184-2023</t>
        </is>
      </c>
      <c r="B1442" s="1" t="n">
        <v>45034</v>
      </c>
      <c r="C1442" s="1" t="n">
        <v>45828</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17188-2023</t>
        </is>
      </c>
      <c r="B1443" s="1" t="n">
        <v>45034</v>
      </c>
      <c r="C1443" s="1" t="n">
        <v>45828</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17554-2023</t>
        </is>
      </c>
      <c r="B1444" s="1" t="n">
        <v>45034</v>
      </c>
      <c r="C1444" s="1" t="n">
        <v>45828</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17300-2023</t>
        </is>
      </c>
      <c r="B1445" s="1" t="n">
        <v>45035</v>
      </c>
      <c r="C1445" s="1" t="n">
        <v>45828</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17322-2023</t>
        </is>
      </c>
      <c r="B1446" s="1" t="n">
        <v>45035</v>
      </c>
      <c r="C1446" s="1" t="n">
        <v>45828</v>
      </c>
      <c r="D1446" t="inlineStr">
        <is>
          <t>VÄRMLANDS LÄN</t>
        </is>
      </c>
      <c r="E1446" t="inlineStr">
        <is>
          <t>TORSBY</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17328-2023</t>
        </is>
      </c>
      <c r="B1447" s="1" t="n">
        <v>45035</v>
      </c>
      <c r="C1447" s="1" t="n">
        <v>45828</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17548-2023</t>
        </is>
      </c>
      <c r="B1448" s="1" t="n">
        <v>45036</v>
      </c>
      <c r="C1448" s="1" t="n">
        <v>45828</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17488-2023</t>
        </is>
      </c>
      <c r="B1449" s="1" t="n">
        <v>45036</v>
      </c>
      <c r="C1449" s="1" t="n">
        <v>45828</v>
      </c>
      <c r="D1449" t="inlineStr">
        <is>
          <t>VÄRMLANDS LÄN</t>
        </is>
      </c>
      <c r="E1449" t="inlineStr">
        <is>
          <t>TORSBY</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17546-2023</t>
        </is>
      </c>
      <c r="B1450" s="1" t="n">
        <v>45036</v>
      </c>
      <c r="C1450" s="1" t="n">
        <v>45828</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17898-2023</t>
        </is>
      </c>
      <c r="B1451" s="1" t="n">
        <v>45039</v>
      </c>
      <c r="C1451" s="1" t="n">
        <v>45828</v>
      </c>
      <c r="D1451" t="inlineStr">
        <is>
          <t>VÄRMLANDS LÄN</t>
        </is>
      </c>
      <c r="E1451" t="inlineStr">
        <is>
          <t>TORSBY</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17897-2023</t>
        </is>
      </c>
      <c r="B1452" s="1" t="n">
        <v>45039</v>
      </c>
      <c r="C1452" s="1" t="n">
        <v>45828</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18244-2023</t>
        </is>
      </c>
      <c r="B1453" s="1" t="n">
        <v>45041</v>
      </c>
      <c r="C1453" s="1" t="n">
        <v>45828</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18338-2023</t>
        </is>
      </c>
      <c r="B1454" s="1" t="n">
        <v>45041</v>
      </c>
      <c r="C1454" s="1" t="n">
        <v>45828</v>
      </c>
      <c r="D1454" t="inlineStr">
        <is>
          <t>VÄRMLANDS LÄN</t>
        </is>
      </c>
      <c r="E1454" t="inlineStr">
        <is>
          <t>TORSBY</t>
        </is>
      </c>
      <c r="F1454" t="inlineStr">
        <is>
          <t>Bergvik skog väst AB</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18544-2023</t>
        </is>
      </c>
      <c r="B1455" s="1" t="n">
        <v>45041</v>
      </c>
      <c r="C1455" s="1" t="n">
        <v>45828</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18411-2023</t>
        </is>
      </c>
      <c r="B1456" s="1" t="n">
        <v>45042</v>
      </c>
      <c r="C1456" s="1" t="n">
        <v>45828</v>
      </c>
      <c r="D1456" t="inlineStr">
        <is>
          <t>VÄRMLANDS LÄN</t>
        </is>
      </c>
      <c r="E1456" t="inlineStr">
        <is>
          <t>TORSBY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18621-2023</t>
        </is>
      </c>
      <c r="B1457" s="1" t="n">
        <v>45043</v>
      </c>
      <c r="C1457" s="1" t="n">
        <v>45828</v>
      </c>
      <c r="D1457" t="inlineStr">
        <is>
          <t>VÄRMLANDS LÄN</t>
        </is>
      </c>
      <c r="E1457" t="inlineStr">
        <is>
          <t>TORSBY</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18675-2023</t>
        </is>
      </c>
      <c r="B1458" s="1" t="n">
        <v>45043</v>
      </c>
      <c r="C1458" s="1" t="n">
        <v>45828</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18876-2023</t>
        </is>
      </c>
      <c r="B1459" s="1" t="n">
        <v>45044</v>
      </c>
      <c r="C1459" s="1" t="n">
        <v>45828</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19042-2023</t>
        </is>
      </c>
      <c r="B1460" s="1" t="n">
        <v>45047</v>
      </c>
      <c r="C1460" s="1" t="n">
        <v>45828</v>
      </c>
      <c r="D1460" t="inlineStr">
        <is>
          <t>VÄRMLANDS LÄN</t>
        </is>
      </c>
      <c r="E1460" t="inlineStr">
        <is>
          <t>TORSBY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19527-2023</t>
        </is>
      </c>
      <c r="B1461" s="1" t="n">
        <v>45050</v>
      </c>
      <c r="C1461" s="1" t="n">
        <v>45828</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19675-2023</t>
        </is>
      </c>
      <c r="B1462" s="1" t="n">
        <v>45051</v>
      </c>
      <c r="C1462" s="1" t="n">
        <v>45828</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19714-2023</t>
        </is>
      </c>
      <c r="B1463" s="1" t="n">
        <v>45051</v>
      </c>
      <c r="C1463" s="1" t="n">
        <v>45828</v>
      </c>
      <c r="D1463" t="inlineStr">
        <is>
          <t>VÄRMLANDS LÄN</t>
        </is>
      </c>
      <c r="E1463" t="inlineStr">
        <is>
          <t>TORSBY</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19998-2023</t>
        </is>
      </c>
      <c r="B1464" s="1" t="n">
        <v>45054</v>
      </c>
      <c r="C1464" s="1" t="n">
        <v>45828</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20130-2023</t>
        </is>
      </c>
      <c r="B1465" s="1" t="n">
        <v>45055</v>
      </c>
      <c r="C1465" s="1" t="n">
        <v>45828</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20107-2023</t>
        </is>
      </c>
      <c r="B1466" s="1" t="n">
        <v>45055</v>
      </c>
      <c r="C1466" s="1" t="n">
        <v>45828</v>
      </c>
      <c r="D1466" t="inlineStr">
        <is>
          <t>VÄRMLANDS LÄN</t>
        </is>
      </c>
      <c r="E1466" t="inlineStr">
        <is>
          <t>TORSBY</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20120-2023</t>
        </is>
      </c>
      <c r="B1467" s="1" t="n">
        <v>45055</v>
      </c>
      <c r="C1467" s="1" t="n">
        <v>45828</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20127-2023</t>
        </is>
      </c>
      <c r="B1468" s="1" t="n">
        <v>45055</v>
      </c>
      <c r="C1468" s="1" t="n">
        <v>45828</v>
      </c>
      <c r="D1468" t="inlineStr">
        <is>
          <t>VÄRMLANDS LÄN</t>
        </is>
      </c>
      <c r="E1468" t="inlineStr">
        <is>
          <t>TORSBY</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20805-2023</t>
        </is>
      </c>
      <c r="B1469" s="1" t="n">
        <v>45055</v>
      </c>
      <c r="C1469" s="1" t="n">
        <v>45828</v>
      </c>
      <c r="D1469" t="inlineStr">
        <is>
          <t>VÄRMLANDS LÄN</t>
        </is>
      </c>
      <c r="E1469" t="inlineStr">
        <is>
          <t>TORSBY</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20293-2023</t>
        </is>
      </c>
      <c r="B1470" s="1" t="n">
        <v>45056</v>
      </c>
      <c r="C1470" s="1" t="n">
        <v>45828</v>
      </c>
      <c r="D1470" t="inlineStr">
        <is>
          <t>VÄRMLANDS LÄN</t>
        </is>
      </c>
      <c r="E1470" t="inlineStr">
        <is>
          <t>TORSBY</t>
        </is>
      </c>
      <c r="F1470" t="inlineStr">
        <is>
          <t>Kyrkan</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20321-2023</t>
        </is>
      </c>
      <c r="B1471" s="1" t="n">
        <v>45056</v>
      </c>
      <c r="C1471" s="1" t="n">
        <v>45828</v>
      </c>
      <c r="D1471" t="inlineStr">
        <is>
          <t>VÄRMLANDS LÄN</t>
        </is>
      </c>
      <c r="E1471" t="inlineStr">
        <is>
          <t>TORSBY</t>
        </is>
      </c>
      <c r="F1471" t="inlineStr">
        <is>
          <t>Kyrkan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20393-2023</t>
        </is>
      </c>
      <c r="B1472" s="1" t="n">
        <v>45056</v>
      </c>
      <c r="C1472" s="1" t="n">
        <v>45828</v>
      </c>
      <c r="D1472" t="inlineStr">
        <is>
          <t>VÄRMLANDS LÄN</t>
        </is>
      </c>
      <c r="E1472" t="inlineStr">
        <is>
          <t>TORSBY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20298-2023</t>
        </is>
      </c>
      <c r="B1473" s="1" t="n">
        <v>45056</v>
      </c>
      <c r="C1473" s="1" t="n">
        <v>45828</v>
      </c>
      <c r="D1473" t="inlineStr">
        <is>
          <t>VÄRMLANDS LÄN</t>
        </is>
      </c>
      <c r="E1473" t="inlineStr">
        <is>
          <t>TORSBY</t>
        </is>
      </c>
      <c r="F1473" t="inlineStr">
        <is>
          <t>Kyrkan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20847-2023</t>
        </is>
      </c>
      <c r="B1474" s="1" t="n">
        <v>45056</v>
      </c>
      <c r="C1474" s="1" t="n">
        <v>45828</v>
      </c>
      <c r="D1474" t="inlineStr">
        <is>
          <t>VÄRMLANDS LÄN</t>
        </is>
      </c>
      <c r="E1474" t="inlineStr">
        <is>
          <t>TORSBY</t>
        </is>
      </c>
      <c r="G1474" t="n">
        <v>13.9</v>
      </c>
      <c r="H1474" t="n">
        <v>0</v>
      </c>
      <c r="I1474" t="n">
        <v>0</v>
      </c>
      <c r="J1474" t="n">
        <v>0</v>
      </c>
      <c r="K1474" t="n">
        <v>0</v>
      </c>
      <c r="L1474" t="n">
        <v>0</v>
      </c>
      <c r="M1474" t="n">
        <v>0</v>
      </c>
      <c r="N1474" t="n">
        <v>0</v>
      </c>
      <c r="O1474" t="n">
        <v>0</v>
      </c>
      <c r="P1474" t="n">
        <v>0</v>
      </c>
      <c r="Q1474" t="n">
        <v>0</v>
      </c>
      <c r="R1474" s="2" t="inlineStr"/>
    </row>
    <row r="1475" ht="15" customHeight="1">
      <c r="A1475" t="inlineStr">
        <is>
          <t>A 20528-2023</t>
        </is>
      </c>
      <c r="B1475" s="1" t="n">
        <v>45057</v>
      </c>
      <c r="C1475" s="1" t="n">
        <v>45828</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20757-2023</t>
        </is>
      </c>
      <c r="B1476" s="1" t="n">
        <v>45058</v>
      </c>
      <c r="C1476" s="1" t="n">
        <v>45828</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20831-2023</t>
        </is>
      </c>
      <c r="B1477" s="1" t="n">
        <v>45058</v>
      </c>
      <c r="C1477" s="1" t="n">
        <v>45828</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20648-2023</t>
        </is>
      </c>
      <c r="B1478" s="1" t="n">
        <v>45058</v>
      </c>
      <c r="C1478" s="1" t="n">
        <v>45828</v>
      </c>
      <c r="D1478" t="inlineStr">
        <is>
          <t>VÄRMLANDS LÄN</t>
        </is>
      </c>
      <c r="E1478" t="inlineStr">
        <is>
          <t>TORSBY</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20740-2023</t>
        </is>
      </c>
      <c r="B1479" s="1" t="n">
        <v>45058</v>
      </c>
      <c r="C1479" s="1" t="n">
        <v>45828</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20737-2023</t>
        </is>
      </c>
      <c r="B1480" s="1" t="n">
        <v>45058</v>
      </c>
      <c r="C1480" s="1" t="n">
        <v>45828</v>
      </c>
      <c r="D1480" t="inlineStr">
        <is>
          <t>VÄRMLANDS LÄN</t>
        </is>
      </c>
      <c r="E1480" t="inlineStr">
        <is>
          <t>TORSBY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20829-2023</t>
        </is>
      </c>
      <c r="B1481" s="1" t="n">
        <v>45058</v>
      </c>
      <c r="C1481" s="1" t="n">
        <v>45828</v>
      </c>
      <c r="D1481" t="inlineStr">
        <is>
          <t>VÄRMLANDS LÄN</t>
        </is>
      </c>
      <c r="E1481" t="inlineStr">
        <is>
          <t>TORSBY</t>
        </is>
      </c>
      <c r="F1481" t="inlineStr">
        <is>
          <t>Bergvik skog väst AB</t>
        </is>
      </c>
      <c r="G1481" t="n">
        <v>12.2</v>
      </c>
      <c r="H1481" t="n">
        <v>0</v>
      </c>
      <c r="I1481" t="n">
        <v>0</v>
      </c>
      <c r="J1481" t="n">
        <v>0</v>
      </c>
      <c r="K1481" t="n">
        <v>0</v>
      </c>
      <c r="L1481" t="n">
        <v>0</v>
      </c>
      <c r="M1481" t="n">
        <v>0</v>
      </c>
      <c r="N1481" t="n">
        <v>0</v>
      </c>
      <c r="O1481" t="n">
        <v>0</v>
      </c>
      <c r="P1481" t="n">
        <v>0</v>
      </c>
      <c r="Q1481" t="n">
        <v>0</v>
      </c>
      <c r="R1481" s="2" t="inlineStr"/>
    </row>
    <row r="1482" ht="15" customHeight="1">
      <c r="A1482" t="inlineStr">
        <is>
          <t>A 20830-2023</t>
        </is>
      </c>
      <c r="B1482" s="1" t="n">
        <v>45058</v>
      </c>
      <c r="C1482" s="1" t="n">
        <v>45828</v>
      </c>
      <c r="D1482" t="inlineStr">
        <is>
          <t>VÄRMLANDS LÄN</t>
        </is>
      </c>
      <c r="E1482" t="inlineStr">
        <is>
          <t>TORSBY</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20679-2023</t>
        </is>
      </c>
      <c r="B1483" s="1" t="n">
        <v>45058</v>
      </c>
      <c r="C1483" s="1" t="n">
        <v>45828</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20721-2023</t>
        </is>
      </c>
      <c r="B1484" s="1" t="n">
        <v>45058</v>
      </c>
      <c r="C1484" s="1" t="n">
        <v>45828</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20733-2023</t>
        </is>
      </c>
      <c r="B1485" s="1" t="n">
        <v>45058</v>
      </c>
      <c r="C1485" s="1" t="n">
        <v>45828</v>
      </c>
      <c r="D1485" t="inlineStr">
        <is>
          <t>VÄRMLANDS LÄN</t>
        </is>
      </c>
      <c r="E1485" t="inlineStr">
        <is>
          <t>TORSBY</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20745-2023</t>
        </is>
      </c>
      <c r="B1486" s="1" t="n">
        <v>45058</v>
      </c>
      <c r="C1486" s="1" t="n">
        <v>45828</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21258-2023</t>
        </is>
      </c>
      <c r="B1487" s="1" t="n">
        <v>45058</v>
      </c>
      <c r="C1487" s="1" t="n">
        <v>45828</v>
      </c>
      <c r="D1487" t="inlineStr">
        <is>
          <t>VÄRMLANDS LÄN</t>
        </is>
      </c>
      <c r="E1487" t="inlineStr">
        <is>
          <t>TORSBY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21255-2023</t>
        </is>
      </c>
      <c r="B1488" s="1" t="n">
        <v>45058</v>
      </c>
      <c r="C1488" s="1" t="n">
        <v>45828</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20898-2023</t>
        </is>
      </c>
      <c r="B1489" s="1" t="n">
        <v>45059</v>
      </c>
      <c r="C1489" s="1" t="n">
        <v>45828</v>
      </c>
      <c r="D1489" t="inlineStr">
        <is>
          <t>VÄRMLANDS LÄN</t>
        </is>
      </c>
      <c r="E1489" t="inlineStr">
        <is>
          <t>TORSBY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21076-2023</t>
        </is>
      </c>
      <c r="B1490" s="1" t="n">
        <v>45061</v>
      </c>
      <c r="C1490" s="1" t="n">
        <v>45828</v>
      </c>
      <c r="D1490" t="inlineStr">
        <is>
          <t>VÄRMLANDS LÄN</t>
        </is>
      </c>
      <c r="E1490" t="inlineStr">
        <is>
          <t>TORSBY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21033-2023</t>
        </is>
      </c>
      <c r="B1491" s="1" t="n">
        <v>45061</v>
      </c>
      <c r="C1491" s="1" t="n">
        <v>45828</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21078-2023</t>
        </is>
      </c>
      <c r="B1492" s="1" t="n">
        <v>45061</v>
      </c>
      <c r="C1492" s="1" t="n">
        <v>45828</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21158-2023</t>
        </is>
      </c>
      <c r="B1493" s="1" t="n">
        <v>45062</v>
      </c>
      <c r="C1493" s="1" t="n">
        <v>45828</v>
      </c>
      <c r="D1493" t="inlineStr">
        <is>
          <t>VÄRMLANDS LÄN</t>
        </is>
      </c>
      <c r="E1493" t="inlineStr">
        <is>
          <t>TORSBY</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21189-2023</t>
        </is>
      </c>
      <c r="B1494" s="1" t="n">
        <v>45062</v>
      </c>
      <c r="C1494" s="1" t="n">
        <v>45828</v>
      </c>
      <c r="D1494" t="inlineStr">
        <is>
          <t>VÄRMLANDS LÄN</t>
        </is>
      </c>
      <c r="E1494" t="inlineStr">
        <is>
          <t>TORSBY</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21154-2023</t>
        </is>
      </c>
      <c r="B1495" s="1" t="n">
        <v>45062</v>
      </c>
      <c r="C1495" s="1" t="n">
        <v>45828</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21409-2023</t>
        </is>
      </c>
      <c r="B1496" s="1" t="n">
        <v>45063</v>
      </c>
      <c r="C1496" s="1" t="n">
        <v>45828</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21365-2023</t>
        </is>
      </c>
      <c r="B1497" s="1" t="n">
        <v>45063</v>
      </c>
      <c r="C1497" s="1" t="n">
        <v>45828</v>
      </c>
      <c r="D1497" t="inlineStr">
        <is>
          <t>VÄRMLANDS LÄN</t>
        </is>
      </c>
      <c r="E1497" t="inlineStr">
        <is>
          <t>TORSBY</t>
        </is>
      </c>
      <c r="F1497" t="inlineStr">
        <is>
          <t>Kyrkan</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21390-2023</t>
        </is>
      </c>
      <c r="B1498" s="1" t="n">
        <v>45063</v>
      </c>
      <c r="C1498" s="1" t="n">
        <v>45828</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21411-2023</t>
        </is>
      </c>
      <c r="B1499" s="1" t="n">
        <v>45063</v>
      </c>
      <c r="C1499" s="1" t="n">
        <v>45828</v>
      </c>
      <c r="D1499" t="inlineStr">
        <is>
          <t>VÄRMLANDS LÄN</t>
        </is>
      </c>
      <c r="E1499" t="inlineStr">
        <is>
          <t>TORSBY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21786-2023</t>
        </is>
      </c>
      <c r="B1500" s="1" t="n">
        <v>45066</v>
      </c>
      <c r="C1500" s="1" t="n">
        <v>45828</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21790-2023</t>
        </is>
      </c>
      <c r="B1501" s="1" t="n">
        <v>45067</v>
      </c>
      <c r="C1501" s="1" t="n">
        <v>45828</v>
      </c>
      <c r="D1501" t="inlineStr">
        <is>
          <t>VÄRMLANDS LÄN</t>
        </is>
      </c>
      <c r="E1501" t="inlineStr">
        <is>
          <t>TORSBY</t>
        </is>
      </c>
      <c r="F1501" t="inlineStr">
        <is>
          <t>Övriga statliga verk och myndigheter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21839-2023</t>
        </is>
      </c>
      <c r="B1502" s="1" t="n">
        <v>45068</v>
      </c>
      <c r="C1502" s="1" t="n">
        <v>45828</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21847-2023</t>
        </is>
      </c>
      <c r="B1503" s="1" t="n">
        <v>45068</v>
      </c>
      <c r="C1503" s="1" t="n">
        <v>45828</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21988-2023</t>
        </is>
      </c>
      <c r="B1504" s="1" t="n">
        <v>45068</v>
      </c>
      <c r="C1504" s="1" t="n">
        <v>45828</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21912-2023</t>
        </is>
      </c>
      <c r="B1505" s="1" t="n">
        <v>45068</v>
      </c>
      <c r="C1505" s="1" t="n">
        <v>45828</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22089-2023</t>
        </is>
      </c>
      <c r="B1506" s="1" t="n">
        <v>45069</v>
      </c>
      <c r="C1506" s="1" t="n">
        <v>45828</v>
      </c>
      <c r="D1506" t="inlineStr">
        <is>
          <t>VÄRMLANDS LÄN</t>
        </is>
      </c>
      <c r="E1506" t="inlineStr">
        <is>
          <t>TORSBY</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22030-2023</t>
        </is>
      </c>
      <c r="B1507" s="1" t="n">
        <v>45069</v>
      </c>
      <c r="C1507" s="1" t="n">
        <v>45828</v>
      </c>
      <c r="D1507" t="inlineStr">
        <is>
          <t>VÄRMLANDS LÄN</t>
        </is>
      </c>
      <c r="E1507" t="inlineStr">
        <is>
          <t>TORSBY</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22038-2023</t>
        </is>
      </c>
      <c r="B1508" s="1" t="n">
        <v>45069</v>
      </c>
      <c r="C1508" s="1" t="n">
        <v>45828</v>
      </c>
      <c r="D1508" t="inlineStr">
        <is>
          <t>VÄRMLANDS LÄN</t>
        </is>
      </c>
      <c r="E1508" t="inlineStr">
        <is>
          <t>TORSBY</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22033-2023</t>
        </is>
      </c>
      <c r="B1509" s="1" t="n">
        <v>45069</v>
      </c>
      <c r="C1509" s="1" t="n">
        <v>45828</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22386-2023</t>
        </is>
      </c>
      <c r="B1510" s="1" t="n">
        <v>45070</v>
      </c>
      <c r="C1510" s="1" t="n">
        <v>45828</v>
      </c>
      <c r="D1510" t="inlineStr">
        <is>
          <t>VÄRMLANDS LÄN</t>
        </is>
      </c>
      <c r="E1510" t="inlineStr">
        <is>
          <t>TORSBY</t>
        </is>
      </c>
      <c r="F1510" t="inlineStr">
        <is>
          <t>Bergvik skog väst AB</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22301-2023</t>
        </is>
      </c>
      <c r="B1511" s="1" t="n">
        <v>45070</v>
      </c>
      <c r="C1511" s="1" t="n">
        <v>45828</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23073-2023</t>
        </is>
      </c>
      <c r="B1512" s="1" t="n">
        <v>45070</v>
      </c>
      <c r="C1512" s="1" t="n">
        <v>45828</v>
      </c>
      <c r="D1512" t="inlineStr">
        <is>
          <t>VÄRMLANDS LÄN</t>
        </is>
      </c>
      <c r="E1512" t="inlineStr">
        <is>
          <t>TORSBY</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22920-2023</t>
        </is>
      </c>
      <c r="B1513" s="1" t="n">
        <v>45070</v>
      </c>
      <c r="C1513" s="1" t="n">
        <v>45828</v>
      </c>
      <c r="D1513" t="inlineStr">
        <is>
          <t>VÄRMLANDS LÄN</t>
        </is>
      </c>
      <c r="E1513" t="inlineStr">
        <is>
          <t>TORSBY</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22494-2023</t>
        </is>
      </c>
      <c r="B1514" s="1" t="n">
        <v>45071</v>
      </c>
      <c r="C1514" s="1" t="n">
        <v>45828</v>
      </c>
      <c r="D1514" t="inlineStr">
        <is>
          <t>VÄRMLANDS LÄN</t>
        </is>
      </c>
      <c r="E1514" t="inlineStr">
        <is>
          <t>TORSBY</t>
        </is>
      </c>
      <c r="F1514" t="inlineStr">
        <is>
          <t>Bergvik skog väst AB</t>
        </is>
      </c>
      <c r="G1514" t="n">
        <v>25.7</v>
      </c>
      <c r="H1514" t="n">
        <v>0</v>
      </c>
      <c r="I1514" t="n">
        <v>0</v>
      </c>
      <c r="J1514" t="n">
        <v>0</v>
      </c>
      <c r="K1514" t="n">
        <v>0</v>
      </c>
      <c r="L1514" t="n">
        <v>0</v>
      </c>
      <c r="M1514" t="n">
        <v>0</v>
      </c>
      <c r="N1514" t="n">
        <v>0</v>
      </c>
      <c r="O1514" t="n">
        <v>0</v>
      </c>
      <c r="P1514" t="n">
        <v>0</v>
      </c>
      <c r="Q1514" t="n">
        <v>0</v>
      </c>
      <c r="R1514" s="2" t="inlineStr"/>
    </row>
    <row r="1515" ht="15" customHeight="1">
      <c r="A1515" t="inlineStr">
        <is>
          <t>A 22524-2023</t>
        </is>
      </c>
      <c r="B1515" s="1" t="n">
        <v>45071</v>
      </c>
      <c r="C1515" s="1" t="n">
        <v>45828</v>
      </c>
      <c r="D1515" t="inlineStr">
        <is>
          <t>VÄRMLANDS LÄN</t>
        </is>
      </c>
      <c r="E1515" t="inlineStr">
        <is>
          <t>TORSBY</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22587-2023</t>
        </is>
      </c>
      <c r="B1516" s="1" t="n">
        <v>45071</v>
      </c>
      <c r="C1516" s="1" t="n">
        <v>45828</v>
      </c>
      <c r="D1516" t="inlineStr">
        <is>
          <t>VÄRMLANDS LÄN</t>
        </is>
      </c>
      <c r="E1516" t="inlineStr">
        <is>
          <t>TORSBY</t>
        </is>
      </c>
      <c r="F1516" t="inlineStr">
        <is>
          <t>Bergvik skog väst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22618-2023</t>
        </is>
      </c>
      <c r="B1517" s="1" t="n">
        <v>45071</v>
      </c>
      <c r="C1517" s="1" t="n">
        <v>45828</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22655-2023</t>
        </is>
      </c>
      <c r="B1518" s="1" t="n">
        <v>45071</v>
      </c>
      <c r="C1518" s="1" t="n">
        <v>45828</v>
      </c>
      <c r="D1518" t="inlineStr">
        <is>
          <t>VÄRMLANDS LÄN</t>
        </is>
      </c>
      <c r="E1518" t="inlineStr">
        <is>
          <t>TORSBY</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22705-2023</t>
        </is>
      </c>
      <c r="B1519" s="1" t="n">
        <v>45071</v>
      </c>
      <c r="C1519" s="1" t="n">
        <v>45828</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22687-2023</t>
        </is>
      </c>
      <c r="B1520" s="1" t="n">
        <v>45071</v>
      </c>
      <c r="C1520" s="1" t="n">
        <v>45828</v>
      </c>
      <c r="D1520" t="inlineStr">
        <is>
          <t>VÄRMLANDS LÄN</t>
        </is>
      </c>
      <c r="E1520" t="inlineStr">
        <is>
          <t>TORSBY</t>
        </is>
      </c>
      <c r="F1520" t="inlineStr">
        <is>
          <t>Bergvik skog väst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22634-2023</t>
        </is>
      </c>
      <c r="B1521" s="1" t="n">
        <v>45071</v>
      </c>
      <c r="C1521" s="1" t="n">
        <v>45828</v>
      </c>
      <c r="D1521" t="inlineStr">
        <is>
          <t>VÄRMLANDS LÄN</t>
        </is>
      </c>
      <c r="E1521" t="inlineStr">
        <is>
          <t>TORSBY</t>
        </is>
      </c>
      <c r="F1521" t="inlineStr">
        <is>
          <t>Bergvik skog väst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22675-2023</t>
        </is>
      </c>
      <c r="B1522" s="1" t="n">
        <v>45071</v>
      </c>
      <c r="C1522" s="1" t="n">
        <v>45828</v>
      </c>
      <c r="D1522" t="inlineStr">
        <is>
          <t>VÄRMLANDS LÄN</t>
        </is>
      </c>
      <c r="E1522" t="inlineStr">
        <is>
          <t>TORSBY</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22702-2023</t>
        </is>
      </c>
      <c r="B1523" s="1" t="n">
        <v>45071</v>
      </c>
      <c r="C1523" s="1" t="n">
        <v>45828</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22939-2023</t>
        </is>
      </c>
      <c r="B1524" s="1" t="n">
        <v>45072</v>
      </c>
      <c r="C1524" s="1" t="n">
        <v>45828</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22943-2023</t>
        </is>
      </c>
      <c r="B1525" s="1" t="n">
        <v>45072</v>
      </c>
      <c r="C1525" s="1" t="n">
        <v>45828</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23572-2023</t>
        </is>
      </c>
      <c r="B1526" s="1" t="n">
        <v>45077</v>
      </c>
      <c r="C1526" s="1" t="n">
        <v>45828</v>
      </c>
      <c r="D1526" t="inlineStr">
        <is>
          <t>VÄRMLANDS LÄN</t>
        </is>
      </c>
      <c r="E1526" t="inlineStr">
        <is>
          <t>TORSBY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23624-2023</t>
        </is>
      </c>
      <c r="B1527" s="1" t="n">
        <v>45077</v>
      </c>
      <c r="C1527" s="1" t="n">
        <v>45828</v>
      </c>
      <c r="D1527" t="inlineStr">
        <is>
          <t>VÄRMLANDS LÄN</t>
        </is>
      </c>
      <c r="E1527" t="inlineStr">
        <is>
          <t>TORSBY</t>
        </is>
      </c>
      <c r="F1527" t="inlineStr">
        <is>
          <t>Bergvik skog väst AB</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23894-2023</t>
        </is>
      </c>
      <c r="B1528" s="1" t="n">
        <v>45078</v>
      </c>
      <c r="C1528" s="1" t="n">
        <v>45828</v>
      </c>
      <c r="D1528" t="inlineStr">
        <is>
          <t>VÄRMLANDS LÄN</t>
        </is>
      </c>
      <c r="E1528" t="inlineStr">
        <is>
          <t>TORSBY</t>
        </is>
      </c>
      <c r="F1528" t="inlineStr">
        <is>
          <t>Bergvik skog väst AB</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23912-2023</t>
        </is>
      </c>
      <c r="B1529" s="1" t="n">
        <v>45078</v>
      </c>
      <c r="C1529" s="1" t="n">
        <v>45828</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24244-2023</t>
        </is>
      </c>
      <c r="B1530" s="1" t="n">
        <v>45079</v>
      </c>
      <c r="C1530" s="1" t="n">
        <v>45828</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24170-2023</t>
        </is>
      </c>
      <c r="B1531" s="1" t="n">
        <v>45079</v>
      </c>
      <c r="C1531" s="1" t="n">
        <v>45828</v>
      </c>
      <c r="D1531" t="inlineStr">
        <is>
          <t>VÄRMLANDS LÄN</t>
        </is>
      </c>
      <c r="E1531" t="inlineStr">
        <is>
          <t>TORSBY</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24101-2023</t>
        </is>
      </c>
      <c r="B1532" s="1" t="n">
        <v>45079</v>
      </c>
      <c r="C1532" s="1" t="n">
        <v>45828</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24196-2023</t>
        </is>
      </c>
      <c r="B1533" s="1" t="n">
        <v>45079</v>
      </c>
      <c r="C1533" s="1" t="n">
        <v>45828</v>
      </c>
      <c r="D1533" t="inlineStr">
        <is>
          <t>VÄRMLANDS LÄN</t>
        </is>
      </c>
      <c r="E1533" t="inlineStr">
        <is>
          <t>TORSBY</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24518-2023</t>
        </is>
      </c>
      <c r="B1534" s="1" t="n">
        <v>45082</v>
      </c>
      <c r="C1534" s="1" t="n">
        <v>45828</v>
      </c>
      <c r="D1534" t="inlineStr">
        <is>
          <t>VÄRMLANDS LÄN</t>
        </is>
      </c>
      <c r="E1534" t="inlineStr">
        <is>
          <t>TORSBY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24696-2023</t>
        </is>
      </c>
      <c r="B1535" s="1" t="n">
        <v>45084</v>
      </c>
      <c r="C1535" s="1" t="n">
        <v>45828</v>
      </c>
      <c r="D1535" t="inlineStr">
        <is>
          <t>VÄRMLANDS LÄN</t>
        </is>
      </c>
      <c r="E1535" t="inlineStr">
        <is>
          <t>TORSBY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24639-2023</t>
        </is>
      </c>
      <c r="B1536" s="1" t="n">
        <v>45084</v>
      </c>
      <c r="C1536" s="1" t="n">
        <v>45828</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24643-2023</t>
        </is>
      </c>
      <c r="B1537" s="1" t="n">
        <v>45084</v>
      </c>
      <c r="C1537" s="1" t="n">
        <v>45828</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24703-2023</t>
        </is>
      </c>
      <c r="B1538" s="1" t="n">
        <v>45084</v>
      </c>
      <c r="C1538" s="1" t="n">
        <v>45828</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24849-2023</t>
        </is>
      </c>
      <c r="B1539" s="1" t="n">
        <v>45085</v>
      </c>
      <c r="C1539" s="1" t="n">
        <v>45828</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24896-2023</t>
        </is>
      </c>
      <c r="B1540" s="1" t="n">
        <v>45085</v>
      </c>
      <c r="C1540" s="1" t="n">
        <v>45828</v>
      </c>
      <c r="D1540" t="inlineStr">
        <is>
          <t>VÄRMLANDS LÄN</t>
        </is>
      </c>
      <c r="E1540" t="inlineStr">
        <is>
          <t>TORSBY</t>
        </is>
      </c>
      <c r="F1540" t="inlineStr">
        <is>
          <t>Bergvik skog väst AB</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24876-2023</t>
        </is>
      </c>
      <c r="B1541" s="1" t="n">
        <v>45085</v>
      </c>
      <c r="C1541" s="1" t="n">
        <v>45828</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24909-2023</t>
        </is>
      </c>
      <c r="B1542" s="1" t="n">
        <v>45085</v>
      </c>
      <c r="C1542" s="1" t="n">
        <v>45828</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24897-2023</t>
        </is>
      </c>
      <c r="B1543" s="1" t="n">
        <v>45085</v>
      </c>
      <c r="C1543" s="1" t="n">
        <v>45828</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24847-2023</t>
        </is>
      </c>
      <c r="B1544" s="1" t="n">
        <v>45085</v>
      </c>
      <c r="C1544" s="1" t="n">
        <v>45828</v>
      </c>
      <c r="D1544" t="inlineStr">
        <is>
          <t>VÄRMLANDS LÄN</t>
        </is>
      </c>
      <c r="E1544" t="inlineStr">
        <is>
          <t>TORSBY</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24965-2023</t>
        </is>
      </c>
      <c r="B1545" s="1" t="n">
        <v>45085</v>
      </c>
      <c r="C1545" s="1" t="n">
        <v>45828</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24969-2023</t>
        </is>
      </c>
      <c r="B1546" s="1" t="n">
        <v>45085</v>
      </c>
      <c r="C1546" s="1" t="n">
        <v>45828</v>
      </c>
      <c r="D1546" t="inlineStr">
        <is>
          <t>VÄRMLANDS LÄN</t>
        </is>
      </c>
      <c r="E1546" t="inlineStr">
        <is>
          <t>TORSBY</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25001-2023</t>
        </is>
      </c>
      <c r="B1547" s="1" t="n">
        <v>45085</v>
      </c>
      <c r="C1547" s="1" t="n">
        <v>45828</v>
      </c>
      <c r="D1547" t="inlineStr">
        <is>
          <t>VÄRMLANDS LÄN</t>
        </is>
      </c>
      <c r="E1547" t="inlineStr">
        <is>
          <t>TORSBY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25068-2023</t>
        </is>
      </c>
      <c r="B1548" s="1" t="n">
        <v>45085</v>
      </c>
      <c r="C1548" s="1" t="n">
        <v>45828</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25163-2023</t>
        </is>
      </c>
      <c r="B1549" s="1" t="n">
        <v>45086</v>
      </c>
      <c r="C1549" s="1" t="n">
        <v>45828</v>
      </c>
      <c r="D1549" t="inlineStr">
        <is>
          <t>VÄRMLANDS LÄN</t>
        </is>
      </c>
      <c r="E1549" t="inlineStr">
        <is>
          <t>TORSBY</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25088-2023</t>
        </is>
      </c>
      <c r="B1550" s="1" t="n">
        <v>45086</v>
      </c>
      <c r="C1550" s="1" t="n">
        <v>45828</v>
      </c>
      <c r="D1550" t="inlineStr">
        <is>
          <t>VÄRMLANDS LÄN</t>
        </is>
      </c>
      <c r="E1550" t="inlineStr">
        <is>
          <t>TORSBY</t>
        </is>
      </c>
      <c r="F1550" t="inlineStr">
        <is>
          <t>Bergvik skog väst AB</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25090-2023</t>
        </is>
      </c>
      <c r="B1551" s="1" t="n">
        <v>45086</v>
      </c>
      <c r="C1551" s="1" t="n">
        <v>45828</v>
      </c>
      <c r="D1551" t="inlineStr">
        <is>
          <t>VÄRMLANDS LÄN</t>
        </is>
      </c>
      <c r="E1551" t="inlineStr">
        <is>
          <t>TORSBY</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25261-2023</t>
        </is>
      </c>
      <c r="B1552" s="1" t="n">
        <v>45086</v>
      </c>
      <c r="C1552" s="1" t="n">
        <v>45828</v>
      </c>
      <c r="D1552" t="inlineStr">
        <is>
          <t>VÄRMLANDS LÄN</t>
        </is>
      </c>
      <c r="E1552" t="inlineStr">
        <is>
          <t>TORSBY</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25344-2023</t>
        </is>
      </c>
      <c r="B1553" s="1" t="n">
        <v>45087</v>
      </c>
      <c r="C1553" s="1" t="n">
        <v>45828</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25579-2023</t>
        </is>
      </c>
      <c r="B1554" s="1" t="n">
        <v>45089</v>
      </c>
      <c r="C1554" s="1" t="n">
        <v>45828</v>
      </c>
      <c r="D1554" t="inlineStr">
        <is>
          <t>VÄRMLANDS LÄN</t>
        </is>
      </c>
      <c r="E1554" t="inlineStr">
        <is>
          <t>TORSBY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26466-2023</t>
        </is>
      </c>
      <c r="B1555" s="1" t="n">
        <v>45089</v>
      </c>
      <c r="C1555" s="1" t="n">
        <v>45828</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26340-2023</t>
        </is>
      </c>
      <c r="B1556" s="1" t="n">
        <v>45091</v>
      </c>
      <c r="C1556" s="1" t="n">
        <v>45828</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26343-2023</t>
        </is>
      </c>
      <c r="B1557" s="1" t="n">
        <v>45091</v>
      </c>
      <c r="C1557" s="1" t="n">
        <v>45828</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26327-2023</t>
        </is>
      </c>
      <c r="B1558" s="1" t="n">
        <v>45091</v>
      </c>
      <c r="C1558" s="1" t="n">
        <v>45828</v>
      </c>
      <c r="D1558" t="inlineStr">
        <is>
          <t>VÄRMLANDS LÄN</t>
        </is>
      </c>
      <c r="E1558" t="inlineStr">
        <is>
          <t>TORSBY</t>
        </is>
      </c>
      <c r="F1558" t="inlineStr">
        <is>
          <t>Bergvik skog väst AB</t>
        </is>
      </c>
      <c r="G1558" t="n">
        <v>33.4</v>
      </c>
      <c r="H1558" t="n">
        <v>0</v>
      </c>
      <c r="I1558" t="n">
        <v>0</v>
      </c>
      <c r="J1558" t="n">
        <v>0</v>
      </c>
      <c r="K1558" t="n">
        <v>0</v>
      </c>
      <c r="L1558" t="n">
        <v>0</v>
      </c>
      <c r="M1558" t="n">
        <v>0</v>
      </c>
      <c r="N1558" t="n">
        <v>0</v>
      </c>
      <c r="O1558" t="n">
        <v>0</v>
      </c>
      <c r="P1558" t="n">
        <v>0</v>
      </c>
      <c r="Q1558" t="n">
        <v>0</v>
      </c>
      <c r="R1558" s="2" t="inlineStr"/>
    </row>
    <row r="1559" ht="15" customHeight="1">
      <c r="A1559" t="inlineStr">
        <is>
          <t>A 26080-2023</t>
        </is>
      </c>
      <c r="B1559" s="1" t="n">
        <v>45091</v>
      </c>
      <c r="C1559" s="1" t="n">
        <v>45828</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26092-2023</t>
        </is>
      </c>
      <c r="B1560" s="1" t="n">
        <v>45091</v>
      </c>
      <c r="C1560" s="1" t="n">
        <v>45828</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26979-2023</t>
        </is>
      </c>
      <c r="B1561" s="1" t="n">
        <v>45091</v>
      </c>
      <c r="C1561" s="1" t="n">
        <v>45828</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26376-2023</t>
        </is>
      </c>
      <c r="B1562" s="1" t="n">
        <v>45092</v>
      </c>
      <c r="C1562" s="1" t="n">
        <v>45828</v>
      </c>
      <c r="D1562" t="inlineStr">
        <is>
          <t>VÄRMLANDS LÄN</t>
        </is>
      </c>
      <c r="E1562" t="inlineStr">
        <is>
          <t>TORSBY</t>
        </is>
      </c>
      <c r="G1562" t="n">
        <v>9.6</v>
      </c>
      <c r="H1562" t="n">
        <v>0</v>
      </c>
      <c r="I1562" t="n">
        <v>0</v>
      </c>
      <c r="J1562" t="n">
        <v>0</v>
      </c>
      <c r="K1562" t="n">
        <v>0</v>
      </c>
      <c r="L1562" t="n">
        <v>0</v>
      </c>
      <c r="M1562" t="n">
        <v>0</v>
      </c>
      <c r="N1562" t="n">
        <v>0</v>
      </c>
      <c r="O1562" t="n">
        <v>0</v>
      </c>
      <c r="P1562" t="n">
        <v>0</v>
      </c>
      <c r="Q1562" t="n">
        <v>0</v>
      </c>
      <c r="R1562" s="2" t="inlineStr"/>
    </row>
    <row r="1563" ht="15" customHeight="1">
      <c r="A1563" t="inlineStr">
        <is>
          <t>A 26616-2023</t>
        </is>
      </c>
      <c r="B1563" s="1" t="n">
        <v>45092</v>
      </c>
      <c r="C1563" s="1" t="n">
        <v>45828</v>
      </c>
      <c r="D1563" t="inlineStr">
        <is>
          <t>VÄRMLANDS LÄN</t>
        </is>
      </c>
      <c r="E1563" t="inlineStr">
        <is>
          <t>TORSBY</t>
        </is>
      </c>
      <c r="F1563" t="inlineStr">
        <is>
          <t>Bergvik skog väst AB</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26814-2023</t>
        </is>
      </c>
      <c r="B1564" s="1" t="n">
        <v>45093</v>
      </c>
      <c r="C1564" s="1" t="n">
        <v>45828</v>
      </c>
      <c r="D1564" t="inlineStr">
        <is>
          <t>VÄRMLANDS LÄN</t>
        </is>
      </c>
      <c r="E1564" t="inlineStr">
        <is>
          <t>TORSBY</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26753-2023</t>
        </is>
      </c>
      <c r="B1565" s="1" t="n">
        <v>45093</v>
      </c>
      <c r="C1565" s="1" t="n">
        <v>45828</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26855-2023</t>
        </is>
      </c>
      <c r="B1566" s="1" t="n">
        <v>45093</v>
      </c>
      <c r="C1566" s="1" t="n">
        <v>45828</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27195-2023</t>
        </is>
      </c>
      <c r="B1567" s="1" t="n">
        <v>45096</v>
      </c>
      <c r="C1567" s="1" t="n">
        <v>45828</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27332-2023</t>
        </is>
      </c>
      <c r="B1568" s="1" t="n">
        <v>45096</v>
      </c>
      <c r="C1568" s="1" t="n">
        <v>45828</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27472-2023</t>
        </is>
      </c>
      <c r="B1569" s="1" t="n">
        <v>45097</v>
      </c>
      <c r="C1569" s="1" t="n">
        <v>45828</v>
      </c>
      <c r="D1569" t="inlineStr">
        <is>
          <t>VÄRMLANDS LÄN</t>
        </is>
      </c>
      <c r="E1569" t="inlineStr">
        <is>
          <t>TORSBY</t>
        </is>
      </c>
      <c r="F1569" t="inlineStr">
        <is>
          <t>Övriga Aktiebolag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27594-2023</t>
        </is>
      </c>
      <c r="B1570" s="1" t="n">
        <v>45097</v>
      </c>
      <c r="C1570" s="1" t="n">
        <v>45828</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27458-2023</t>
        </is>
      </c>
      <c r="B1571" s="1" t="n">
        <v>45097</v>
      </c>
      <c r="C1571" s="1" t="n">
        <v>45828</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27787-2023</t>
        </is>
      </c>
      <c r="B1572" s="1" t="n">
        <v>45098</v>
      </c>
      <c r="C1572" s="1" t="n">
        <v>45828</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27837-2023</t>
        </is>
      </c>
      <c r="B1573" s="1" t="n">
        <v>45098</v>
      </c>
      <c r="C1573" s="1" t="n">
        <v>45828</v>
      </c>
      <c r="D1573" t="inlineStr">
        <is>
          <t>VÄRMLANDS LÄN</t>
        </is>
      </c>
      <c r="E1573" t="inlineStr">
        <is>
          <t>TORSBY</t>
        </is>
      </c>
      <c r="F1573" t="inlineStr">
        <is>
          <t>Bergvik skog väst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27851-2023</t>
        </is>
      </c>
      <c r="B1574" s="1" t="n">
        <v>45098</v>
      </c>
      <c r="C1574" s="1" t="n">
        <v>45828</v>
      </c>
      <c r="D1574" t="inlineStr">
        <is>
          <t>VÄRMLANDS LÄN</t>
        </is>
      </c>
      <c r="E1574" t="inlineStr">
        <is>
          <t>TORSBY</t>
        </is>
      </c>
      <c r="F1574" t="inlineStr">
        <is>
          <t>Bergvik skog väst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27920-2023</t>
        </is>
      </c>
      <c r="B1575" s="1" t="n">
        <v>45098</v>
      </c>
      <c r="C1575" s="1" t="n">
        <v>45828</v>
      </c>
      <c r="D1575" t="inlineStr">
        <is>
          <t>VÄRMLANDS LÄN</t>
        </is>
      </c>
      <c r="E1575" t="inlineStr">
        <is>
          <t>TORSBY</t>
        </is>
      </c>
      <c r="F1575" t="inlineStr">
        <is>
          <t>Kyrkan</t>
        </is>
      </c>
      <c r="G1575" t="n">
        <v>14.7</v>
      </c>
      <c r="H1575" t="n">
        <v>0</v>
      </c>
      <c r="I1575" t="n">
        <v>0</v>
      </c>
      <c r="J1575" t="n">
        <v>0</v>
      </c>
      <c r="K1575" t="n">
        <v>0</v>
      </c>
      <c r="L1575" t="n">
        <v>0</v>
      </c>
      <c r="M1575" t="n">
        <v>0</v>
      </c>
      <c r="N1575" t="n">
        <v>0</v>
      </c>
      <c r="O1575" t="n">
        <v>0</v>
      </c>
      <c r="P1575" t="n">
        <v>0</v>
      </c>
      <c r="Q1575" t="n">
        <v>0</v>
      </c>
      <c r="R1575" s="2" t="inlineStr"/>
    </row>
    <row r="1576" ht="15" customHeight="1">
      <c r="A1576" t="inlineStr">
        <is>
          <t>A 28045-2023</t>
        </is>
      </c>
      <c r="B1576" s="1" t="n">
        <v>45099</v>
      </c>
      <c r="C1576" s="1" t="n">
        <v>45828</v>
      </c>
      <c r="D1576" t="inlineStr">
        <is>
          <t>VÄRMLANDS LÄN</t>
        </is>
      </c>
      <c r="E1576" t="inlineStr">
        <is>
          <t>TORSBY</t>
        </is>
      </c>
      <c r="F1576" t="inlineStr">
        <is>
          <t>Bergvik skog väst AB</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28074-2023</t>
        </is>
      </c>
      <c r="B1577" s="1" t="n">
        <v>45099</v>
      </c>
      <c r="C1577" s="1" t="n">
        <v>45828</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28092-2023</t>
        </is>
      </c>
      <c r="B1578" s="1" t="n">
        <v>45099</v>
      </c>
      <c r="C1578" s="1" t="n">
        <v>45828</v>
      </c>
      <c r="D1578" t="inlineStr">
        <is>
          <t>VÄRMLANDS LÄN</t>
        </is>
      </c>
      <c r="E1578" t="inlineStr">
        <is>
          <t>TORSBY</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28251-2023</t>
        </is>
      </c>
      <c r="B1579" s="1" t="n">
        <v>45099</v>
      </c>
      <c r="C1579" s="1" t="n">
        <v>45828</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30142-2023</t>
        </is>
      </c>
      <c r="B1580" s="1" t="n">
        <v>45099</v>
      </c>
      <c r="C1580" s="1" t="n">
        <v>45828</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30148-2023</t>
        </is>
      </c>
      <c r="B1581" s="1" t="n">
        <v>45099</v>
      </c>
      <c r="C1581" s="1" t="n">
        <v>45828</v>
      </c>
      <c r="D1581" t="inlineStr">
        <is>
          <t>VÄRMLANDS LÄN</t>
        </is>
      </c>
      <c r="E1581" t="inlineStr">
        <is>
          <t>TORSBY</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30151-2023</t>
        </is>
      </c>
      <c r="B1582" s="1" t="n">
        <v>45099</v>
      </c>
      <c r="C1582" s="1" t="n">
        <v>45828</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28598-2023</t>
        </is>
      </c>
      <c r="B1583" s="1" t="n">
        <v>45103</v>
      </c>
      <c r="C1583" s="1" t="n">
        <v>45828</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28652-2023</t>
        </is>
      </c>
      <c r="B1584" s="1" t="n">
        <v>45103</v>
      </c>
      <c r="C1584" s="1" t="n">
        <v>45828</v>
      </c>
      <c r="D1584" t="inlineStr">
        <is>
          <t>VÄRMLANDS LÄN</t>
        </is>
      </c>
      <c r="E1584" t="inlineStr">
        <is>
          <t>TORSBY</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28818-2023</t>
        </is>
      </c>
      <c r="B1585" s="1" t="n">
        <v>45104</v>
      </c>
      <c r="C1585" s="1" t="n">
        <v>45828</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28869-2023</t>
        </is>
      </c>
      <c r="B1586" s="1" t="n">
        <v>45104</v>
      </c>
      <c r="C1586" s="1" t="n">
        <v>45828</v>
      </c>
      <c r="D1586" t="inlineStr">
        <is>
          <t>VÄRMLANDS LÄN</t>
        </is>
      </c>
      <c r="E1586" t="inlineStr">
        <is>
          <t>TORSBY</t>
        </is>
      </c>
      <c r="F1586" t="inlineStr">
        <is>
          <t>Bergvik skog väst AB</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28948-2023</t>
        </is>
      </c>
      <c r="B1587" s="1" t="n">
        <v>45104</v>
      </c>
      <c r="C1587" s="1" t="n">
        <v>45828</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28814-2023</t>
        </is>
      </c>
      <c r="B1588" s="1" t="n">
        <v>45104</v>
      </c>
      <c r="C1588" s="1" t="n">
        <v>45828</v>
      </c>
      <c r="D1588" t="inlineStr">
        <is>
          <t>VÄRMLANDS LÄN</t>
        </is>
      </c>
      <c r="E1588" t="inlineStr">
        <is>
          <t>TORSBY</t>
        </is>
      </c>
      <c r="G1588" t="n">
        <v>14.3</v>
      </c>
      <c r="H1588" t="n">
        <v>0</v>
      </c>
      <c r="I1588" t="n">
        <v>0</v>
      </c>
      <c r="J1588" t="n">
        <v>0</v>
      </c>
      <c r="K1588" t="n">
        <v>0</v>
      </c>
      <c r="L1588" t="n">
        <v>0</v>
      </c>
      <c r="M1588" t="n">
        <v>0</v>
      </c>
      <c r="N1588" t="n">
        <v>0</v>
      </c>
      <c r="O1588" t="n">
        <v>0</v>
      </c>
      <c r="P1588" t="n">
        <v>0</v>
      </c>
      <c r="Q1588" t="n">
        <v>0</v>
      </c>
      <c r="R1588" s="2" t="inlineStr"/>
    </row>
    <row r="1589" ht="15" customHeight="1">
      <c r="A1589" t="inlineStr">
        <is>
          <t>A 29043-2023</t>
        </is>
      </c>
      <c r="B1589" s="1" t="n">
        <v>45104</v>
      </c>
      <c r="C1589" s="1" t="n">
        <v>45828</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29042-2023</t>
        </is>
      </c>
      <c r="B1590" s="1" t="n">
        <v>45104</v>
      </c>
      <c r="C1590" s="1" t="n">
        <v>45828</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29137-2023</t>
        </is>
      </c>
      <c r="B1591" s="1" t="n">
        <v>45105</v>
      </c>
      <c r="C1591" s="1" t="n">
        <v>45828</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29256-2023</t>
        </is>
      </c>
      <c r="B1592" s="1" t="n">
        <v>45105</v>
      </c>
      <c r="C1592" s="1" t="n">
        <v>45828</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29506-2023</t>
        </is>
      </c>
      <c r="B1593" s="1" t="n">
        <v>45106</v>
      </c>
      <c r="C1593" s="1" t="n">
        <v>45828</v>
      </c>
      <c r="D1593" t="inlineStr">
        <is>
          <t>VÄRMLANDS LÄN</t>
        </is>
      </c>
      <c r="E1593" t="inlineStr">
        <is>
          <t>TORSBY</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29581-2023</t>
        </is>
      </c>
      <c r="B1594" s="1" t="n">
        <v>45106</v>
      </c>
      <c r="C1594" s="1" t="n">
        <v>45828</v>
      </c>
      <c r="D1594" t="inlineStr">
        <is>
          <t>VÄRMLANDS LÄN</t>
        </is>
      </c>
      <c r="E1594" t="inlineStr">
        <is>
          <t>TORSBY</t>
        </is>
      </c>
      <c r="F1594" t="inlineStr">
        <is>
          <t>Bergvik skog väst AB</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29594-2023</t>
        </is>
      </c>
      <c r="B1595" s="1" t="n">
        <v>45107</v>
      </c>
      <c r="C1595" s="1" t="n">
        <v>45828</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29545-2023</t>
        </is>
      </c>
      <c r="B1596" s="1" t="n">
        <v>45106</v>
      </c>
      <c r="C1596" s="1" t="n">
        <v>45828</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31858-2023</t>
        </is>
      </c>
      <c r="B1597" s="1" t="n">
        <v>45106</v>
      </c>
      <c r="C1597" s="1" t="n">
        <v>45828</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29792-2023</t>
        </is>
      </c>
      <c r="B1598" s="1" t="n">
        <v>45107</v>
      </c>
      <c r="C1598" s="1" t="n">
        <v>45828</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29796-2023</t>
        </is>
      </c>
      <c r="B1599" s="1" t="n">
        <v>45107</v>
      </c>
      <c r="C1599" s="1" t="n">
        <v>45828</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29795-2023</t>
        </is>
      </c>
      <c r="B1600" s="1" t="n">
        <v>45107</v>
      </c>
      <c r="C1600" s="1" t="n">
        <v>45828</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31936-2023</t>
        </is>
      </c>
      <c r="B1601" s="1" t="n">
        <v>45107</v>
      </c>
      <c r="C1601" s="1" t="n">
        <v>45828</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30208-2023</t>
        </is>
      </c>
      <c r="B1602" s="1" t="n">
        <v>45110</v>
      </c>
      <c r="C1602" s="1" t="n">
        <v>45828</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30213-2023</t>
        </is>
      </c>
      <c r="B1603" s="1" t="n">
        <v>45110</v>
      </c>
      <c r="C1603" s="1" t="n">
        <v>45828</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30267-2023</t>
        </is>
      </c>
      <c r="B1604" s="1" t="n">
        <v>45110</v>
      </c>
      <c r="C1604" s="1" t="n">
        <v>45828</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30104-2023</t>
        </is>
      </c>
      <c r="B1605" s="1" t="n">
        <v>45110</v>
      </c>
      <c r="C1605" s="1" t="n">
        <v>45828</v>
      </c>
      <c r="D1605" t="inlineStr">
        <is>
          <t>VÄRMLANDS LÄN</t>
        </is>
      </c>
      <c r="E1605" t="inlineStr">
        <is>
          <t>TORSBY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32332-2023</t>
        </is>
      </c>
      <c r="B1606" s="1" t="n">
        <v>45110</v>
      </c>
      <c r="C1606" s="1" t="n">
        <v>45828</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30160-2023</t>
        </is>
      </c>
      <c r="B1607" s="1" t="n">
        <v>45110</v>
      </c>
      <c r="C1607" s="1" t="n">
        <v>45828</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30269-2023</t>
        </is>
      </c>
      <c r="B1608" s="1" t="n">
        <v>45110</v>
      </c>
      <c r="C1608" s="1" t="n">
        <v>45828</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30110-2023</t>
        </is>
      </c>
      <c r="B1609" s="1" t="n">
        <v>45110</v>
      </c>
      <c r="C1609" s="1" t="n">
        <v>45828</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30530-2023</t>
        </is>
      </c>
      <c r="B1610" s="1" t="n">
        <v>45111</v>
      </c>
      <c r="C1610" s="1" t="n">
        <v>45828</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30455-2023</t>
        </is>
      </c>
      <c r="B1611" s="1" t="n">
        <v>45111</v>
      </c>
      <c r="C1611" s="1" t="n">
        <v>45828</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30370-2023</t>
        </is>
      </c>
      <c r="B1612" s="1" t="n">
        <v>45111</v>
      </c>
      <c r="C1612" s="1" t="n">
        <v>45828</v>
      </c>
      <c r="D1612" t="inlineStr">
        <is>
          <t>VÄRMLANDS LÄN</t>
        </is>
      </c>
      <c r="E1612" t="inlineStr">
        <is>
          <t>TORSBY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30531-2023</t>
        </is>
      </c>
      <c r="B1613" s="1" t="n">
        <v>45111</v>
      </c>
      <c r="C1613" s="1" t="n">
        <v>45828</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30344-2023</t>
        </is>
      </c>
      <c r="B1614" s="1" t="n">
        <v>45111</v>
      </c>
      <c r="C1614" s="1" t="n">
        <v>45828</v>
      </c>
      <c r="D1614" t="inlineStr">
        <is>
          <t>VÄRMLANDS LÄN</t>
        </is>
      </c>
      <c r="E1614" t="inlineStr">
        <is>
          <t>TORSBY</t>
        </is>
      </c>
      <c r="F1614" t="inlineStr">
        <is>
          <t>Bergvik skog väst AB</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30670-2023</t>
        </is>
      </c>
      <c r="B1615" s="1" t="n">
        <v>45112</v>
      </c>
      <c r="C1615" s="1" t="n">
        <v>45828</v>
      </c>
      <c r="D1615" t="inlineStr">
        <is>
          <t>VÄRMLANDS LÄN</t>
        </is>
      </c>
      <c r="E1615" t="inlineStr">
        <is>
          <t>TORSBY</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30624-2023</t>
        </is>
      </c>
      <c r="B1616" s="1" t="n">
        <v>45112</v>
      </c>
      <c r="C1616" s="1" t="n">
        <v>45828</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30741-2023</t>
        </is>
      </c>
      <c r="B1617" s="1" t="n">
        <v>45112</v>
      </c>
      <c r="C1617" s="1" t="n">
        <v>45828</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31052-2023</t>
        </is>
      </c>
      <c r="B1618" s="1" t="n">
        <v>45113</v>
      </c>
      <c r="C1618" s="1" t="n">
        <v>45828</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31112-2023</t>
        </is>
      </c>
      <c r="B1619" s="1" t="n">
        <v>45113</v>
      </c>
      <c r="C1619" s="1" t="n">
        <v>45828</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31465-2023</t>
        </is>
      </c>
      <c r="B1620" s="1" t="n">
        <v>45114</v>
      </c>
      <c r="C1620" s="1" t="n">
        <v>45828</v>
      </c>
      <c r="D1620" t="inlineStr">
        <is>
          <t>VÄRMLANDS LÄN</t>
        </is>
      </c>
      <c r="E1620" t="inlineStr">
        <is>
          <t>TORSBY</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31547-2023</t>
        </is>
      </c>
      <c r="B1621" s="1" t="n">
        <v>45117</v>
      </c>
      <c r="C1621" s="1" t="n">
        <v>45828</v>
      </c>
      <c r="D1621" t="inlineStr">
        <is>
          <t>VÄRMLANDS LÄN</t>
        </is>
      </c>
      <c r="E1621" t="inlineStr">
        <is>
          <t>TORSBY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31548-2023</t>
        </is>
      </c>
      <c r="B1622" s="1" t="n">
        <v>45117</v>
      </c>
      <c r="C1622" s="1" t="n">
        <v>45828</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33741-2023</t>
        </is>
      </c>
      <c r="B1623" s="1" t="n">
        <v>45119</v>
      </c>
      <c r="C1623" s="1" t="n">
        <v>45828</v>
      </c>
      <c r="D1623" t="inlineStr">
        <is>
          <t>VÄRMLANDS LÄN</t>
        </is>
      </c>
      <c r="E1623" t="inlineStr">
        <is>
          <t>TORSBY</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33738-2023</t>
        </is>
      </c>
      <c r="B1624" s="1" t="n">
        <v>45119</v>
      </c>
      <c r="C1624" s="1" t="n">
        <v>45828</v>
      </c>
      <c r="D1624" t="inlineStr">
        <is>
          <t>VÄRMLANDS LÄN</t>
        </is>
      </c>
      <c r="E1624" t="inlineStr">
        <is>
          <t>TORSBY</t>
        </is>
      </c>
      <c r="F1624" t="inlineStr">
        <is>
          <t>Övriga Aktiebolag</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33740-2023</t>
        </is>
      </c>
      <c r="B1625" s="1" t="n">
        <v>45119</v>
      </c>
      <c r="C1625" s="1" t="n">
        <v>45828</v>
      </c>
      <c r="D1625" t="inlineStr">
        <is>
          <t>VÄRMLANDS LÄN</t>
        </is>
      </c>
      <c r="E1625" t="inlineStr">
        <is>
          <t>TORSBY</t>
        </is>
      </c>
      <c r="F1625" t="inlineStr">
        <is>
          <t>Övriga Aktiebolag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33782-2023</t>
        </is>
      </c>
      <c r="B1626" s="1" t="n">
        <v>45120</v>
      </c>
      <c r="C1626" s="1" t="n">
        <v>45828</v>
      </c>
      <c r="D1626" t="inlineStr">
        <is>
          <t>VÄRMLANDS LÄN</t>
        </is>
      </c>
      <c r="E1626" t="inlineStr">
        <is>
          <t>TORSBY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32576-2023</t>
        </is>
      </c>
      <c r="B1627" s="1" t="n">
        <v>45121</v>
      </c>
      <c r="C1627" s="1" t="n">
        <v>45828</v>
      </c>
      <c r="D1627" t="inlineStr">
        <is>
          <t>VÄRMLANDS LÄN</t>
        </is>
      </c>
      <c r="E1627" t="inlineStr">
        <is>
          <t>TORSBY</t>
        </is>
      </c>
      <c r="F1627" t="inlineStr">
        <is>
          <t>Bergvik skog väst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32584-2023</t>
        </is>
      </c>
      <c r="B1628" s="1" t="n">
        <v>45121</v>
      </c>
      <c r="C1628" s="1" t="n">
        <v>45828</v>
      </c>
      <c r="D1628" t="inlineStr">
        <is>
          <t>VÄRMLANDS LÄN</t>
        </is>
      </c>
      <c r="E1628" t="inlineStr">
        <is>
          <t>TORSBY</t>
        </is>
      </c>
      <c r="F1628" t="inlineStr">
        <is>
          <t>Bergvik skog väst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32805-2023</t>
        </is>
      </c>
      <c r="B1629" s="1" t="n">
        <v>45124</v>
      </c>
      <c r="C1629" s="1" t="n">
        <v>45828</v>
      </c>
      <c r="D1629" t="inlineStr">
        <is>
          <t>VÄRMLANDS LÄN</t>
        </is>
      </c>
      <c r="E1629" t="inlineStr">
        <is>
          <t>TORSBY</t>
        </is>
      </c>
      <c r="F1629" t="inlineStr">
        <is>
          <t>Bergvik skog väst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32819-2023</t>
        </is>
      </c>
      <c r="B1630" s="1" t="n">
        <v>45124</v>
      </c>
      <c r="C1630" s="1" t="n">
        <v>45828</v>
      </c>
      <c r="D1630" t="inlineStr">
        <is>
          <t>VÄRMLANDS LÄN</t>
        </is>
      </c>
      <c r="E1630" t="inlineStr">
        <is>
          <t>TORSBY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32787-2023</t>
        </is>
      </c>
      <c r="B1631" s="1" t="n">
        <v>45124</v>
      </c>
      <c r="C1631" s="1" t="n">
        <v>45828</v>
      </c>
      <c r="D1631" t="inlineStr">
        <is>
          <t>VÄRMLANDS LÄN</t>
        </is>
      </c>
      <c r="E1631" t="inlineStr">
        <is>
          <t>TORSBY</t>
        </is>
      </c>
      <c r="F1631" t="inlineStr">
        <is>
          <t>Bergvik skog väst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32815-2023</t>
        </is>
      </c>
      <c r="B1632" s="1" t="n">
        <v>45124</v>
      </c>
      <c r="C1632" s="1" t="n">
        <v>45828</v>
      </c>
      <c r="D1632" t="inlineStr">
        <is>
          <t>VÄRMLANDS LÄN</t>
        </is>
      </c>
      <c r="E1632" t="inlineStr">
        <is>
          <t>TORSBY</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33758-2023</t>
        </is>
      </c>
      <c r="B1633" s="1" t="n">
        <v>45125</v>
      </c>
      <c r="C1633" s="1" t="n">
        <v>45828</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33072-2023</t>
        </is>
      </c>
      <c r="B1634" s="1" t="n">
        <v>45126</v>
      </c>
      <c r="C1634" s="1" t="n">
        <v>45828</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34097-2023</t>
        </is>
      </c>
      <c r="B1635" s="1" t="n">
        <v>45126</v>
      </c>
      <c r="C1635" s="1" t="n">
        <v>45828</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34104-2023</t>
        </is>
      </c>
      <c r="B1636" s="1" t="n">
        <v>45126</v>
      </c>
      <c r="C1636" s="1" t="n">
        <v>45828</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34105-2023</t>
        </is>
      </c>
      <c r="B1637" s="1" t="n">
        <v>45126</v>
      </c>
      <c r="C1637" s="1" t="n">
        <v>45828</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33263-2023</t>
        </is>
      </c>
      <c r="B1638" s="1" t="n">
        <v>45127</v>
      </c>
      <c r="C1638" s="1" t="n">
        <v>45828</v>
      </c>
      <c r="D1638" t="inlineStr">
        <is>
          <t>VÄRMLANDS LÄN</t>
        </is>
      </c>
      <c r="E1638" t="inlineStr">
        <is>
          <t>TORSBY</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33249-2023</t>
        </is>
      </c>
      <c r="B1639" s="1" t="n">
        <v>45127</v>
      </c>
      <c r="C1639" s="1" t="n">
        <v>45828</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33253-2023</t>
        </is>
      </c>
      <c r="B1640" s="1" t="n">
        <v>45127</v>
      </c>
      <c r="C1640" s="1" t="n">
        <v>45828</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33264-2023</t>
        </is>
      </c>
      <c r="B1641" s="1" t="n">
        <v>45127</v>
      </c>
      <c r="C1641" s="1" t="n">
        <v>45828</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33268-2023</t>
        </is>
      </c>
      <c r="B1642" s="1" t="n">
        <v>45127</v>
      </c>
      <c r="C1642" s="1" t="n">
        <v>45828</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33574-2023</t>
        </is>
      </c>
      <c r="B1643" s="1" t="n">
        <v>45131</v>
      </c>
      <c r="C1643" s="1" t="n">
        <v>45828</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33645-2023</t>
        </is>
      </c>
      <c r="B1644" s="1" t="n">
        <v>45132</v>
      </c>
      <c r="C1644" s="1" t="n">
        <v>45828</v>
      </c>
      <c r="D1644" t="inlineStr">
        <is>
          <t>VÄRMLANDS LÄN</t>
        </is>
      </c>
      <c r="E1644" t="inlineStr">
        <is>
          <t>TORSBY</t>
        </is>
      </c>
      <c r="F1644" t="inlineStr">
        <is>
          <t>Bergvik skog väst AB</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33656-2023</t>
        </is>
      </c>
      <c r="B1645" s="1" t="n">
        <v>45132</v>
      </c>
      <c r="C1645" s="1" t="n">
        <v>45828</v>
      </c>
      <c r="D1645" t="inlineStr">
        <is>
          <t>VÄRMLANDS LÄN</t>
        </is>
      </c>
      <c r="E1645" t="inlineStr">
        <is>
          <t>TORSBY</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33813-2023</t>
        </is>
      </c>
      <c r="B1646" s="1" t="n">
        <v>45133</v>
      </c>
      <c r="C1646" s="1" t="n">
        <v>45828</v>
      </c>
      <c r="D1646" t="inlineStr">
        <is>
          <t>VÄRMLANDS LÄN</t>
        </is>
      </c>
      <c r="E1646" t="inlineStr">
        <is>
          <t>TORSBY</t>
        </is>
      </c>
      <c r="F1646" t="inlineStr">
        <is>
          <t>Bergvik skog väst AB</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33839-2023</t>
        </is>
      </c>
      <c r="B1647" s="1" t="n">
        <v>45133</v>
      </c>
      <c r="C1647" s="1" t="n">
        <v>45828</v>
      </c>
      <c r="D1647" t="inlineStr">
        <is>
          <t>VÄRMLANDS LÄN</t>
        </is>
      </c>
      <c r="E1647" t="inlineStr">
        <is>
          <t>TORSBY</t>
        </is>
      </c>
      <c r="F1647" t="inlineStr">
        <is>
          <t>Bergvik skog väst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33848-2023</t>
        </is>
      </c>
      <c r="B1648" s="1" t="n">
        <v>45133</v>
      </c>
      <c r="C1648" s="1" t="n">
        <v>45828</v>
      </c>
      <c r="D1648" t="inlineStr">
        <is>
          <t>VÄRMLANDS LÄN</t>
        </is>
      </c>
      <c r="E1648" t="inlineStr">
        <is>
          <t>TORSBY</t>
        </is>
      </c>
      <c r="F1648" t="inlineStr">
        <is>
          <t>Bergvik skog väst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34405-2023</t>
        </is>
      </c>
      <c r="B1649" s="1" t="n">
        <v>45139</v>
      </c>
      <c r="C1649" s="1" t="n">
        <v>45828</v>
      </c>
      <c r="D1649" t="inlineStr">
        <is>
          <t>VÄRMLANDS LÄN</t>
        </is>
      </c>
      <c r="E1649" t="inlineStr">
        <is>
          <t>TORSBY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34427-2023</t>
        </is>
      </c>
      <c r="B1650" s="1" t="n">
        <v>45139</v>
      </c>
      <c r="C1650" s="1" t="n">
        <v>45828</v>
      </c>
      <c r="D1650" t="inlineStr">
        <is>
          <t>VÄRMLANDS LÄN</t>
        </is>
      </c>
      <c r="E1650" t="inlineStr">
        <is>
          <t>TORSBY</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34469-2023</t>
        </is>
      </c>
      <c r="B1651" s="1" t="n">
        <v>45139</v>
      </c>
      <c r="C1651" s="1" t="n">
        <v>45828</v>
      </c>
      <c r="D1651" t="inlineStr">
        <is>
          <t>VÄRMLANDS LÄN</t>
        </is>
      </c>
      <c r="E1651" t="inlineStr">
        <is>
          <t>TORSBY</t>
        </is>
      </c>
      <c r="F1651" t="inlineStr">
        <is>
          <t>Bergvik skog väst AB</t>
        </is>
      </c>
      <c r="G1651" t="n">
        <v>13.2</v>
      </c>
      <c r="H1651" t="n">
        <v>0</v>
      </c>
      <c r="I1651" t="n">
        <v>0</v>
      </c>
      <c r="J1651" t="n">
        <v>0</v>
      </c>
      <c r="K1651" t="n">
        <v>0</v>
      </c>
      <c r="L1651" t="n">
        <v>0</v>
      </c>
      <c r="M1651" t="n">
        <v>0</v>
      </c>
      <c r="N1651" t="n">
        <v>0</v>
      </c>
      <c r="O1651" t="n">
        <v>0</v>
      </c>
      <c r="P1651" t="n">
        <v>0</v>
      </c>
      <c r="Q1651" t="n">
        <v>0</v>
      </c>
      <c r="R1651" s="2" t="inlineStr"/>
    </row>
    <row r="1652" ht="15" customHeight="1">
      <c r="A1652" t="inlineStr">
        <is>
          <t>A 34430-2023</t>
        </is>
      </c>
      <c r="B1652" s="1" t="n">
        <v>45139</v>
      </c>
      <c r="C1652" s="1" t="n">
        <v>45828</v>
      </c>
      <c r="D1652" t="inlineStr">
        <is>
          <t>VÄRMLANDS LÄN</t>
        </is>
      </c>
      <c r="E1652" t="inlineStr">
        <is>
          <t>TORSBY</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34658-2023</t>
        </is>
      </c>
      <c r="B1653" s="1" t="n">
        <v>45140</v>
      </c>
      <c r="C1653" s="1" t="n">
        <v>45828</v>
      </c>
      <c r="D1653" t="inlineStr">
        <is>
          <t>VÄRMLANDS LÄN</t>
        </is>
      </c>
      <c r="E1653" t="inlineStr">
        <is>
          <t>TORSBY</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34955-2023</t>
        </is>
      </c>
      <c r="B1654" s="1" t="n">
        <v>45142</v>
      </c>
      <c r="C1654" s="1" t="n">
        <v>45828</v>
      </c>
      <c r="D1654" t="inlineStr">
        <is>
          <t>VÄRMLANDS LÄN</t>
        </is>
      </c>
      <c r="E1654" t="inlineStr">
        <is>
          <t>TORSBY</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35055-2023</t>
        </is>
      </c>
      <c r="B1655" s="1" t="n">
        <v>45145</v>
      </c>
      <c r="C1655" s="1" t="n">
        <v>45828</v>
      </c>
      <c r="D1655" t="inlineStr">
        <is>
          <t>VÄRMLANDS LÄN</t>
        </is>
      </c>
      <c r="E1655" t="inlineStr">
        <is>
          <t>TORSBY</t>
        </is>
      </c>
      <c r="F1655" t="inlineStr">
        <is>
          <t>Bergvik skog väst AB</t>
        </is>
      </c>
      <c r="G1655" t="n">
        <v>16.4</v>
      </c>
      <c r="H1655" t="n">
        <v>0</v>
      </c>
      <c r="I1655" t="n">
        <v>0</v>
      </c>
      <c r="J1655" t="n">
        <v>0</v>
      </c>
      <c r="K1655" t="n">
        <v>0</v>
      </c>
      <c r="L1655" t="n">
        <v>0</v>
      </c>
      <c r="M1655" t="n">
        <v>0</v>
      </c>
      <c r="N1655" t="n">
        <v>0</v>
      </c>
      <c r="O1655" t="n">
        <v>0</v>
      </c>
      <c r="P1655" t="n">
        <v>0</v>
      </c>
      <c r="Q1655" t="n">
        <v>0</v>
      </c>
      <c r="R1655" s="2" t="inlineStr"/>
    </row>
    <row r="1656" ht="15" customHeight="1">
      <c r="A1656" t="inlineStr">
        <is>
          <t>A 35057-2023</t>
        </is>
      </c>
      <c r="B1656" s="1" t="n">
        <v>45145</v>
      </c>
      <c r="C1656" s="1" t="n">
        <v>45828</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35186-2023</t>
        </is>
      </c>
      <c r="B1657" s="1" t="n">
        <v>45145</v>
      </c>
      <c r="C1657" s="1" t="n">
        <v>45828</v>
      </c>
      <c r="D1657" t="inlineStr">
        <is>
          <t>VÄRMLANDS LÄN</t>
        </is>
      </c>
      <c r="E1657" t="inlineStr">
        <is>
          <t>TORSBY</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35115-2023</t>
        </is>
      </c>
      <c r="B1658" s="1" t="n">
        <v>45145</v>
      </c>
      <c r="C1658" s="1" t="n">
        <v>45828</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35120-2023</t>
        </is>
      </c>
      <c r="B1659" s="1" t="n">
        <v>45145</v>
      </c>
      <c r="C1659" s="1" t="n">
        <v>45828</v>
      </c>
      <c r="D1659" t="inlineStr">
        <is>
          <t>VÄRMLANDS LÄN</t>
        </is>
      </c>
      <c r="E1659" t="inlineStr">
        <is>
          <t>TORSBY</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35415-2023</t>
        </is>
      </c>
      <c r="B1660" s="1" t="n">
        <v>45146</v>
      </c>
      <c r="C1660" s="1" t="n">
        <v>45828</v>
      </c>
      <c r="D1660" t="inlineStr">
        <is>
          <t>VÄRMLANDS LÄN</t>
        </is>
      </c>
      <c r="E1660" t="inlineStr">
        <is>
          <t>TORSBY</t>
        </is>
      </c>
      <c r="F1660" t="inlineStr">
        <is>
          <t>Bergvik skog väst AB</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35629-2023</t>
        </is>
      </c>
      <c r="B1661" s="1" t="n">
        <v>45147</v>
      </c>
      <c r="C1661" s="1" t="n">
        <v>45828</v>
      </c>
      <c r="D1661" t="inlineStr">
        <is>
          <t>VÄRMLANDS LÄN</t>
        </is>
      </c>
      <c r="E1661" t="inlineStr">
        <is>
          <t>TORSBY</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35674-2023</t>
        </is>
      </c>
      <c r="B1662" s="1" t="n">
        <v>45147</v>
      </c>
      <c r="C1662" s="1" t="n">
        <v>45828</v>
      </c>
      <c r="D1662" t="inlineStr">
        <is>
          <t>VÄRMLANDS LÄN</t>
        </is>
      </c>
      <c r="E1662" t="inlineStr">
        <is>
          <t>TORSBY</t>
        </is>
      </c>
      <c r="G1662" t="n">
        <v>25.4</v>
      </c>
      <c r="H1662" t="n">
        <v>0</v>
      </c>
      <c r="I1662" t="n">
        <v>0</v>
      </c>
      <c r="J1662" t="n">
        <v>0</v>
      </c>
      <c r="K1662" t="n">
        <v>0</v>
      </c>
      <c r="L1662" t="n">
        <v>0</v>
      </c>
      <c r="M1662" t="n">
        <v>0</v>
      </c>
      <c r="N1662" t="n">
        <v>0</v>
      </c>
      <c r="O1662" t="n">
        <v>0</v>
      </c>
      <c r="P1662" t="n">
        <v>0</v>
      </c>
      <c r="Q1662" t="n">
        <v>0</v>
      </c>
      <c r="R1662" s="2" t="inlineStr"/>
    </row>
    <row r="1663" ht="15" customHeight="1">
      <c r="A1663" t="inlineStr">
        <is>
          <t>A 35553-2023</t>
        </is>
      </c>
      <c r="B1663" s="1" t="n">
        <v>45147</v>
      </c>
      <c r="C1663" s="1" t="n">
        <v>45828</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35934-2023</t>
        </is>
      </c>
      <c r="B1664" s="1" t="n">
        <v>45148</v>
      </c>
      <c r="C1664" s="1" t="n">
        <v>45828</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35938-2023</t>
        </is>
      </c>
      <c r="B1665" s="1" t="n">
        <v>45148</v>
      </c>
      <c r="C1665" s="1" t="n">
        <v>45828</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36043-2023</t>
        </is>
      </c>
      <c r="B1666" s="1" t="n">
        <v>45148</v>
      </c>
      <c r="C1666" s="1" t="n">
        <v>45828</v>
      </c>
      <c r="D1666" t="inlineStr">
        <is>
          <t>VÄRMLANDS LÄN</t>
        </is>
      </c>
      <c r="E1666" t="inlineStr">
        <is>
          <t>TORSBY</t>
        </is>
      </c>
      <c r="G1666" t="n">
        <v>10.5</v>
      </c>
      <c r="H1666" t="n">
        <v>0</v>
      </c>
      <c r="I1666" t="n">
        <v>0</v>
      </c>
      <c r="J1666" t="n">
        <v>0</v>
      </c>
      <c r="K1666" t="n">
        <v>0</v>
      </c>
      <c r="L1666" t="n">
        <v>0</v>
      </c>
      <c r="M1666" t="n">
        <v>0</v>
      </c>
      <c r="N1666" t="n">
        <v>0</v>
      </c>
      <c r="O1666" t="n">
        <v>0</v>
      </c>
      <c r="P1666" t="n">
        <v>0</v>
      </c>
      <c r="Q1666" t="n">
        <v>0</v>
      </c>
      <c r="R1666" s="2" t="inlineStr"/>
    </row>
    <row r="1667" ht="15" customHeight="1">
      <c r="A1667" t="inlineStr">
        <is>
          <t>A 36050-2023</t>
        </is>
      </c>
      <c r="B1667" s="1" t="n">
        <v>45149</v>
      </c>
      <c r="C1667" s="1" t="n">
        <v>45828</v>
      </c>
      <c r="D1667" t="inlineStr">
        <is>
          <t>VÄRMLANDS LÄN</t>
        </is>
      </c>
      <c r="E1667" t="inlineStr">
        <is>
          <t>TORSBY</t>
        </is>
      </c>
      <c r="F1667" t="inlineStr">
        <is>
          <t>Kommuner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36062-2023</t>
        </is>
      </c>
      <c r="B1668" s="1" t="n">
        <v>45149</v>
      </c>
      <c r="C1668" s="1" t="n">
        <v>45828</v>
      </c>
      <c r="D1668" t="inlineStr">
        <is>
          <t>VÄRMLANDS LÄN</t>
        </is>
      </c>
      <c r="E1668" t="inlineStr">
        <is>
          <t>TORSBY</t>
        </is>
      </c>
      <c r="F1668" t="inlineStr">
        <is>
          <t>Bergvik skog väst AB</t>
        </is>
      </c>
      <c r="G1668" t="n">
        <v>21.3</v>
      </c>
      <c r="H1668" t="n">
        <v>0</v>
      </c>
      <c r="I1668" t="n">
        <v>0</v>
      </c>
      <c r="J1668" t="n">
        <v>0</v>
      </c>
      <c r="K1668" t="n">
        <v>0</v>
      </c>
      <c r="L1668" t="n">
        <v>0</v>
      </c>
      <c r="M1668" t="n">
        <v>0</v>
      </c>
      <c r="N1668" t="n">
        <v>0</v>
      </c>
      <c r="O1668" t="n">
        <v>0</v>
      </c>
      <c r="P1668" t="n">
        <v>0</v>
      </c>
      <c r="Q1668" t="n">
        <v>0</v>
      </c>
      <c r="R1668" s="2" t="inlineStr"/>
    </row>
    <row r="1669" ht="15" customHeight="1">
      <c r="A1669" t="inlineStr">
        <is>
          <t>A 36239-2023</t>
        </is>
      </c>
      <c r="B1669" s="1" t="n">
        <v>45150</v>
      </c>
      <c r="C1669" s="1" t="n">
        <v>45828</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36462-2023</t>
        </is>
      </c>
      <c r="B1670" s="1" t="n">
        <v>45152</v>
      </c>
      <c r="C1670" s="1" t="n">
        <v>45828</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36582-2023</t>
        </is>
      </c>
      <c r="B1671" s="1" t="n">
        <v>45153</v>
      </c>
      <c r="C1671" s="1" t="n">
        <v>45828</v>
      </c>
      <c r="D1671" t="inlineStr">
        <is>
          <t>VÄRMLANDS LÄN</t>
        </is>
      </c>
      <c r="E1671" t="inlineStr">
        <is>
          <t>TORSBY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36598-2023</t>
        </is>
      </c>
      <c r="B1672" s="1" t="n">
        <v>45153</v>
      </c>
      <c r="C1672" s="1" t="n">
        <v>45828</v>
      </c>
      <c r="D1672" t="inlineStr">
        <is>
          <t>VÄRMLANDS LÄN</t>
        </is>
      </c>
      <c r="E1672" t="inlineStr">
        <is>
          <t>TORSBY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36552-2023</t>
        </is>
      </c>
      <c r="B1673" s="1" t="n">
        <v>45153</v>
      </c>
      <c r="C1673" s="1" t="n">
        <v>45828</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36674-2023</t>
        </is>
      </c>
      <c r="B1674" s="1" t="n">
        <v>45153</v>
      </c>
      <c r="C1674" s="1" t="n">
        <v>45828</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36736-2023</t>
        </is>
      </c>
      <c r="B1675" s="1" t="n">
        <v>45153</v>
      </c>
      <c r="C1675" s="1" t="n">
        <v>45828</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36729-2023</t>
        </is>
      </c>
      <c r="B1676" s="1" t="n">
        <v>45153</v>
      </c>
      <c r="C1676" s="1" t="n">
        <v>45828</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36827-2023</t>
        </is>
      </c>
      <c r="B1677" s="1" t="n">
        <v>45154</v>
      </c>
      <c r="C1677" s="1" t="n">
        <v>45828</v>
      </c>
      <c r="D1677" t="inlineStr">
        <is>
          <t>VÄRMLANDS LÄN</t>
        </is>
      </c>
      <c r="E1677" t="inlineStr">
        <is>
          <t>TORSBY</t>
        </is>
      </c>
      <c r="F1677" t="inlineStr">
        <is>
          <t>Bergvik skog väst AB</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36897-2023</t>
        </is>
      </c>
      <c r="B1678" s="1" t="n">
        <v>45154</v>
      </c>
      <c r="C1678" s="1" t="n">
        <v>45828</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36947-2023</t>
        </is>
      </c>
      <c r="B1679" s="1" t="n">
        <v>45154</v>
      </c>
      <c r="C1679" s="1" t="n">
        <v>45828</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37081-2023</t>
        </is>
      </c>
      <c r="B1680" s="1" t="n">
        <v>45155</v>
      </c>
      <c r="C1680" s="1" t="n">
        <v>45828</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37188-2023</t>
        </is>
      </c>
      <c r="B1681" s="1" t="n">
        <v>45155</v>
      </c>
      <c r="C1681" s="1" t="n">
        <v>45828</v>
      </c>
      <c r="D1681" t="inlineStr">
        <is>
          <t>VÄRMLANDS LÄN</t>
        </is>
      </c>
      <c r="E1681" t="inlineStr">
        <is>
          <t>TORSBY</t>
        </is>
      </c>
      <c r="F1681" t="inlineStr">
        <is>
          <t>Bergvik skog väst AB</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37346-2023</t>
        </is>
      </c>
      <c r="B1682" s="1" t="n">
        <v>45156</v>
      </c>
      <c r="C1682" s="1" t="n">
        <v>45828</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37357-2023</t>
        </is>
      </c>
      <c r="B1683" s="1" t="n">
        <v>45156</v>
      </c>
      <c r="C1683" s="1" t="n">
        <v>45828</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37305-2023</t>
        </is>
      </c>
      <c r="B1684" s="1" t="n">
        <v>45156</v>
      </c>
      <c r="C1684" s="1" t="n">
        <v>45828</v>
      </c>
      <c r="D1684" t="inlineStr">
        <is>
          <t>VÄRMLANDS LÄN</t>
        </is>
      </c>
      <c r="E1684" t="inlineStr">
        <is>
          <t>TORSBY</t>
        </is>
      </c>
      <c r="F1684" t="inlineStr">
        <is>
          <t>Bergvik skog väst AB</t>
        </is>
      </c>
      <c r="G1684" t="n">
        <v>28.8</v>
      </c>
      <c r="H1684" t="n">
        <v>0</v>
      </c>
      <c r="I1684" t="n">
        <v>0</v>
      </c>
      <c r="J1684" t="n">
        <v>0</v>
      </c>
      <c r="K1684" t="n">
        <v>0</v>
      </c>
      <c r="L1684" t="n">
        <v>0</v>
      </c>
      <c r="M1684" t="n">
        <v>0</v>
      </c>
      <c r="N1684" t="n">
        <v>0</v>
      </c>
      <c r="O1684" t="n">
        <v>0</v>
      </c>
      <c r="P1684" t="n">
        <v>0</v>
      </c>
      <c r="Q1684" t="n">
        <v>0</v>
      </c>
      <c r="R1684" s="2" t="inlineStr"/>
    </row>
    <row r="1685" ht="15" customHeight="1">
      <c r="A1685" t="inlineStr">
        <is>
          <t>A 37314-2023</t>
        </is>
      </c>
      <c r="B1685" s="1" t="n">
        <v>45156</v>
      </c>
      <c r="C1685" s="1" t="n">
        <v>45828</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37359-2023</t>
        </is>
      </c>
      <c r="B1686" s="1" t="n">
        <v>45156</v>
      </c>
      <c r="C1686" s="1" t="n">
        <v>45828</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37705-2023</t>
        </is>
      </c>
      <c r="B1687" s="1" t="n">
        <v>45159</v>
      </c>
      <c r="C1687" s="1" t="n">
        <v>45828</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37604-2023</t>
        </is>
      </c>
      <c r="B1688" s="1" t="n">
        <v>45159</v>
      </c>
      <c r="C1688" s="1" t="n">
        <v>45828</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37623-2023</t>
        </is>
      </c>
      <c r="B1689" s="1" t="n">
        <v>45159</v>
      </c>
      <c r="C1689" s="1" t="n">
        <v>45828</v>
      </c>
      <c r="D1689" t="inlineStr">
        <is>
          <t>VÄRMLANDS LÄN</t>
        </is>
      </c>
      <c r="E1689" t="inlineStr">
        <is>
          <t>TORSBY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37822-2023</t>
        </is>
      </c>
      <c r="B1690" s="1" t="n">
        <v>45160</v>
      </c>
      <c r="C1690" s="1" t="n">
        <v>45828</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38085-2023</t>
        </is>
      </c>
      <c r="B1691" s="1" t="n">
        <v>45160</v>
      </c>
      <c r="C1691" s="1" t="n">
        <v>45828</v>
      </c>
      <c r="D1691" t="inlineStr">
        <is>
          <t>VÄRMLANDS LÄN</t>
        </is>
      </c>
      <c r="E1691" t="inlineStr">
        <is>
          <t>TORSBY</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37936-2023</t>
        </is>
      </c>
      <c r="B1692" s="1" t="n">
        <v>45160</v>
      </c>
      <c r="C1692" s="1" t="n">
        <v>45828</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38084-2023</t>
        </is>
      </c>
      <c r="B1693" s="1" t="n">
        <v>45160</v>
      </c>
      <c r="C1693" s="1" t="n">
        <v>45828</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38044-2023</t>
        </is>
      </c>
      <c r="B1694" s="1" t="n">
        <v>45160</v>
      </c>
      <c r="C1694" s="1" t="n">
        <v>45828</v>
      </c>
      <c r="D1694" t="inlineStr">
        <is>
          <t>VÄRMLANDS LÄN</t>
        </is>
      </c>
      <c r="E1694" t="inlineStr">
        <is>
          <t>TORSBY</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38086-2023</t>
        </is>
      </c>
      <c r="B1695" s="1" t="n">
        <v>45160</v>
      </c>
      <c r="C1695" s="1" t="n">
        <v>45828</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38252-2023</t>
        </is>
      </c>
      <c r="B1696" s="1" t="n">
        <v>45161</v>
      </c>
      <c r="C1696" s="1" t="n">
        <v>45828</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38232-2023</t>
        </is>
      </c>
      <c r="B1697" s="1" t="n">
        <v>45161</v>
      </c>
      <c r="C1697" s="1" t="n">
        <v>45828</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38257-2023</t>
        </is>
      </c>
      <c r="B1698" s="1" t="n">
        <v>45161</v>
      </c>
      <c r="C1698" s="1" t="n">
        <v>45828</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38263-2023</t>
        </is>
      </c>
      <c r="B1699" s="1" t="n">
        <v>45161</v>
      </c>
      <c r="C1699" s="1" t="n">
        <v>45828</v>
      </c>
      <c r="D1699" t="inlineStr">
        <is>
          <t>VÄRMLANDS LÄN</t>
        </is>
      </c>
      <c r="E1699" t="inlineStr">
        <is>
          <t>TORSBY</t>
        </is>
      </c>
      <c r="F1699" t="inlineStr">
        <is>
          <t>Kyrkan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38286-2023</t>
        </is>
      </c>
      <c r="B1700" s="1" t="n">
        <v>45161</v>
      </c>
      <c r="C1700" s="1" t="n">
        <v>45828</v>
      </c>
      <c r="D1700" t="inlineStr">
        <is>
          <t>VÄRMLANDS LÄN</t>
        </is>
      </c>
      <c r="E1700" t="inlineStr">
        <is>
          <t>TORSBY</t>
        </is>
      </c>
      <c r="F1700" t="inlineStr">
        <is>
          <t>Kyrkan</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38541-2023</t>
        </is>
      </c>
      <c r="B1701" s="1" t="n">
        <v>45162</v>
      </c>
      <c r="C1701" s="1" t="n">
        <v>45828</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38641-2023</t>
        </is>
      </c>
      <c r="B1702" s="1" t="n">
        <v>45162</v>
      </c>
      <c r="C1702" s="1" t="n">
        <v>45828</v>
      </c>
      <c r="D1702" t="inlineStr">
        <is>
          <t>VÄRMLANDS LÄN</t>
        </is>
      </c>
      <c r="E1702" t="inlineStr">
        <is>
          <t>TORSBY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38637-2023</t>
        </is>
      </c>
      <c r="B1703" s="1" t="n">
        <v>45162</v>
      </c>
      <c r="C1703" s="1" t="n">
        <v>45828</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38668-2023</t>
        </is>
      </c>
      <c r="B1704" s="1" t="n">
        <v>45162</v>
      </c>
      <c r="C1704" s="1" t="n">
        <v>45828</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39408-2023</t>
        </is>
      </c>
      <c r="B1705" s="1" t="n">
        <v>45163</v>
      </c>
      <c r="C1705" s="1" t="n">
        <v>45828</v>
      </c>
      <c r="D1705" t="inlineStr">
        <is>
          <t>VÄRMLANDS LÄN</t>
        </is>
      </c>
      <c r="E1705" t="inlineStr">
        <is>
          <t>TORSBY</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38991-2023</t>
        </is>
      </c>
      <c r="B1706" s="1" t="n">
        <v>45163</v>
      </c>
      <c r="C1706" s="1" t="n">
        <v>45828</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38722-2023</t>
        </is>
      </c>
      <c r="B1707" s="1" t="n">
        <v>45163</v>
      </c>
      <c r="C1707" s="1" t="n">
        <v>45828</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38979-2023</t>
        </is>
      </c>
      <c r="B1708" s="1" t="n">
        <v>45163</v>
      </c>
      <c r="C1708" s="1" t="n">
        <v>45828</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39131-2023</t>
        </is>
      </c>
      <c r="B1709" s="1" t="n">
        <v>45165</v>
      </c>
      <c r="C1709" s="1" t="n">
        <v>45828</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39134-2023</t>
        </is>
      </c>
      <c r="B1710" s="1" t="n">
        <v>45165</v>
      </c>
      <c r="C1710" s="1" t="n">
        <v>45828</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39390-2023</t>
        </is>
      </c>
      <c r="B1711" s="1" t="n">
        <v>45166</v>
      </c>
      <c r="C1711" s="1" t="n">
        <v>45828</v>
      </c>
      <c r="D1711" t="inlineStr">
        <is>
          <t>VÄRMLANDS LÄN</t>
        </is>
      </c>
      <c r="E1711" t="inlineStr">
        <is>
          <t>TORSBY</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39339-2023</t>
        </is>
      </c>
      <c r="B1712" s="1" t="n">
        <v>45166</v>
      </c>
      <c r="C1712" s="1" t="n">
        <v>45828</v>
      </c>
      <c r="D1712" t="inlineStr">
        <is>
          <t>VÄRMLANDS LÄN</t>
        </is>
      </c>
      <c r="E1712" t="inlineStr">
        <is>
          <t>TORSBY</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39374-2023</t>
        </is>
      </c>
      <c r="B1713" s="1" t="n">
        <v>45166</v>
      </c>
      <c r="C1713" s="1" t="n">
        <v>45828</v>
      </c>
      <c r="D1713" t="inlineStr">
        <is>
          <t>VÄRMLANDS LÄN</t>
        </is>
      </c>
      <c r="E1713" t="inlineStr">
        <is>
          <t>TORSBY</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39677-2023</t>
        </is>
      </c>
      <c r="B1714" s="1" t="n">
        <v>45166</v>
      </c>
      <c r="C1714" s="1" t="n">
        <v>45828</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39648-2023</t>
        </is>
      </c>
      <c r="B1715" s="1" t="n">
        <v>45167</v>
      </c>
      <c r="C1715" s="1" t="n">
        <v>45828</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39732-2023</t>
        </is>
      </c>
      <c r="B1716" s="1" t="n">
        <v>45167</v>
      </c>
      <c r="C1716" s="1" t="n">
        <v>45828</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39921-2023</t>
        </is>
      </c>
      <c r="B1717" s="1" t="n">
        <v>45168</v>
      </c>
      <c r="C1717" s="1" t="n">
        <v>45828</v>
      </c>
      <c r="D1717" t="inlineStr">
        <is>
          <t>VÄRMLANDS LÄN</t>
        </is>
      </c>
      <c r="E1717" t="inlineStr">
        <is>
          <t>TORSBY</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39910-2023</t>
        </is>
      </c>
      <c r="B1718" s="1" t="n">
        <v>45168</v>
      </c>
      <c r="C1718" s="1" t="n">
        <v>45828</v>
      </c>
      <c r="D1718" t="inlineStr">
        <is>
          <t>VÄRMLANDS LÄN</t>
        </is>
      </c>
      <c r="E1718" t="inlineStr">
        <is>
          <t>TORSBY</t>
        </is>
      </c>
      <c r="F1718" t="inlineStr">
        <is>
          <t>Kyrkan</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40007-2023</t>
        </is>
      </c>
      <c r="B1719" s="1" t="n">
        <v>45168</v>
      </c>
      <c r="C1719" s="1" t="n">
        <v>45828</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39969-2023</t>
        </is>
      </c>
      <c r="B1720" s="1" t="n">
        <v>45168</v>
      </c>
      <c r="C1720" s="1" t="n">
        <v>45828</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40207-2023</t>
        </is>
      </c>
      <c r="B1721" s="1" t="n">
        <v>45169</v>
      </c>
      <c r="C1721" s="1" t="n">
        <v>45828</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40228-2023</t>
        </is>
      </c>
      <c r="B1722" s="1" t="n">
        <v>45169</v>
      </c>
      <c r="C1722" s="1" t="n">
        <v>45828</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40222-2023</t>
        </is>
      </c>
      <c r="B1723" s="1" t="n">
        <v>45169</v>
      </c>
      <c r="C1723" s="1" t="n">
        <v>45828</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40468-2023</t>
        </is>
      </c>
      <c r="B1724" s="1" t="n">
        <v>45170</v>
      </c>
      <c r="C1724" s="1" t="n">
        <v>45828</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40512-2023</t>
        </is>
      </c>
      <c r="B1725" s="1" t="n">
        <v>45170</v>
      </c>
      <c r="C1725" s="1" t="n">
        <v>45828</v>
      </c>
      <c r="D1725" t="inlineStr">
        <is>
          <t>VÄRMLANDS LÄN</t>
        </is>
      </c>
      <c r="E1725" t="inlineStr">
        <is>
          <t>TORSBY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40470-2023</t>
        </is>
      </c>
      <c r="B1726" s="1" t="n">
        <v>45170</v>
      </c>
      <c r="C1726" s="1" t="n">
        <v>45828</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40538-2023</t>
        </is>
      </c>
      <c r="B1727" s="1" t="n">
        <v>45170</v>
      </c>
      <c r="C1727" s="1" t="n">
        <v>45828</v>
      </c>
      <c r="D1727" t="inlineStr">
        <is>
          <t>VÄRMLANDS LÄN</t>
        </is>
      </c>
      <c r="E1727" t="inlineStr">
        <is>
          <t>TORSBY</t>
        </is>
      </c>
      <c r="F1727" t="inlineStr">
        <is>
          <t>Bergvik skog väst AB</t>
        </is>
      </c>
      <c r="G1727" t="n">
        <v>31.4</v>
      </c>
      <c r="H1727" t="n">
        <v>0</v>
      </c>
      <c r="I1727" t="n">
        <v>0</v>
      </c>
      <c r="J1727" t="n">
        <v>0</v>
      </c>
      <c r="K1727" t="n">
        <v>0</v>
      </c>
      <c r="L1727" t="n">
        <v>0</v>
      </c>
      <c r="M1727" t="n">
        <v>0</v>
      </c>
      <c r="N1727" t="n">
        <v>0</v>
      </c>
      <c r="O1727" t="n">
        <v>0</v>
      </c>
      <c r="P1727" t="n">
        <v>0</v>
      </c>
      <c r="Q1727" t="n">
        <v>0</v>
      </c>
      <c r="R1727" s="2" t="inlineStr"/>
    </row>
    <row r="1728" ht="15" customHeight="1">
      <c r="A1728" t="inlineStr">
        <is>
          <t>A 41469-2023</t>
        </is>
      </c>
      <c r="B1728" s="1" t="n">
        <v>45170</v>
      </c>
      <c r="C1728" s="1" t="n">
        <v>45828</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40858-2023</t>
        </is>
      </c>
      <c r="B1729" s="1" t="n">
        <v>45173</v>
      </c>
      <c r="C1729" s="1" t="n">
        <v>45828</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40971-2023</t>
        </is>
      </c>
      <c r="B1730" s="1" t="n">
        <v>45173</v>
      </c>
      <c r="C1730" s="1" t="n">
        <v>45828</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41096-2023</t>
        </is>
      </c>
      <c r="B1731" s="1" t="n">
        <v>45173</v>
      </c>
      <c r="C1731" s="1" t="n">
        <v>45828</v>
      </c>
      <c r="D1731" t="inlineStr">
        <is>
          <t>VÄRMLANDS LÄN</t>
        </is>
      </c>
      <c r="E1731" t="inlineStr">
        <is>
          <t>TORSBY</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41056-2023</t>
        </is>
      </c>
      <c r="B1732" s="1" t="n">
        <v>45173</v>
      </c>
      <c r="C1732" s="1" t="n">
        <v>45828</v>
      </c>
      <c r="D1732" t="inlineStr">
        <is>
          <t>VÄRMLANDS LÄN</t>
        </is>
      </c>
      <c r="E1732" t="inlineStr">
        <is>
          <t>TORSBY</t>
        </is>
      </c>
      <c r="F1732" t="inlineStr">
        <is>
          <t>Bergvik skog väst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41022-2023</t>
        </is>
      </c>
      <c r="B1733" s="1" t="n">
        <v>45173</v>
      </c>
      <c r="C1733" s="1" t="n">
        <v>45828</v>
      </c>
      <c r="D1733" t="inlineStr">
        <is>
          <t>VÄRMLANDS LÄN</t>
        </is>
      </c>
      <c r="E1733" t="inlineStr">
        <is>
          <t>TORSBY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41050-2023</t>
        </is>
      </c>
      <c r="B1734" s="1" t="n">
        <v>45173</v>
      </c>
      <c r="C1734" s="1" t="n">
        <v>45828</v>
      </c>
      <c r="D1734" t="inlineStr">
        <is>
          <t>VÄRMLANDS LÄN</t>
        </is>
      </c>
      <c r="E1734" t="inlineStr">
        <is>
          <t>TORSBY</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41059-2023</t>
        </is>
      </c>
      <c r="B1735" s="1" t="n">
        <v>45173</v>
      </c>
      <c r="C1735" s="1" t="n">
        <v>45828</v>
      </c>
      <c r="D1735" t="inlineStr">
        <is>
          <t>VÄRMLANDS LÄN</t>
        </is>
      </c>
      <c r="E1735" t="inlineStr">
        <is>
          <t>TORSBY</t>
        </is>
      </c>
      <c r="F1735" t="inlineStr">
        <is>
          <t>Bergvik skog väst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41156-2023</t>
        </is>
      </c>
      <c r="B1736" s="1" t="n">
        <v>45174</v>
      </c>
      <c r="C1736" s="1" t="n">
        <v>45828</v>
      </c>
      <c r="D1736" t="inlineStr">
        <is>
          <t>VÄRMLANDS LÄN</t>
        </is>
      </c>
      <c r="E1736" t="inlineStr">
        <is>
          <t>TORSBY</t>
        </is>
      </c>
      <c r="F1736" t="inlineStr">
        <is>
          <t>Kyrkan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41160-2023</t>
        </is>
      </c>
      <c r="B1737" s="1" t="n">
        <v>45174</v>
      </c>
      <c r="C1737" s="1" t="n">
        <v>45828</v>
      </c>
      <c r="D1737" t="inlineStr">
        <is>
          <t>VÄRMLANDS LÄN</t>
        </is>
      </c>
      <c r="E1737" t="inlineStr">
        <is>
          <t>TORSBY</t>
        </is>
      </c>
      <c r="F1737" t="inlineStr">
        <is>
          <t>Kyrkan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41246-2023</t>
        </is>
      </c>
      <c r="B1738" s="1" t="n">
        <v>45174</v>
      </c>
      <c r="C1738" s="1" t="n">
        <v>45828</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41270-2023</t>
        </is>
      </c>
      <c r="B1739" s="1" t="n">
        <v>45174</v>
      </c>
      <c r="C1739" s="1" t="n">
        <v>45828</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42069-2023</t>
        </is>
      </c>
      <c r="B1740" s="1" t="n">
        <v>45174</v>
      </c>
      <c r="C1740" s="1" t="n">
        <v>45828</v>
      </c>
      <c r="D1740" t="inlineStr">
        <is>
          <t>VÄRMLANDS LÄN</t>
        </is>
      </c>
      <c r="E1740" t="inlineStr">
        <is>
          <t>TORSBY</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42060-2023</t>
        </is>
      </c>
      <c r="B1741" s="1" t="n">
        <v>45174</v>
      </c>
      <c r="C1741" s="1" t="n">
        <v>45828</v>
      </c>
      <c r="D1741" t="inlineStr">
        <is>
          <t>VÄRMLANDS LÄN</t>
        </is>
      </c>
      <c r="E1741" t="inlineStr">
        <is>
          <t>TORSBY</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41488-2023</t>
        </is>
      </c>
      <c r="B1742" s="1" t="n">
        <v>45175</v>
      </c>
      <c r="C1742" s="1" t="n">
        <v>45828</v>
      </c>
      <c r="D1742" t="inlineStr">
        <is>
          <t>VÄRMLANDS LÄN</t>
        </is>
      </c>
      <c r="E1742" t="inlineStr">
        <is>
          <t>TORSBY</t>
        </is>
      </c>
      <c r="F1742" t="inlineStr">
        <is>
          <t>Kyrkan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41438-2023</t>
        </is>
      </c>
      <c r="B1743" s="1" t="n">
        <v>45175</v>
      </c>
      <c r="C1743" s="1" t="n">
        <v>45828</v>
      </c>
      <c r="D1743" t="inlineStr">
        <is>
          <t>VÄRMLANDS LÄN</t>
        </is>
      </c>
      <c r="E1743" t="inlineStr">
        <is>
          <t>TORSBY</t>
        </is>
      </c>
      <c r="F1743" t="inlineStr">
        <is>
          <t>Kyrkan</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41431-2023</t>
        </is>
      </c>
      <c r="B1744" s="1" t="n">
        <v>45175</v>
      </c>
      <c r="C1744" s="1" t="n">
        <v>45828</v>
      </c>
      <c r="D1744" t="inlineStr">
        <is>
          <t>VÄRMLANDS LÄN</t>
        </is>
      </c>
      <c r="E1744" t="inlineStr">
        <is>
          <t>TORSBY</t>
        </is>
      </c>
      <c r="F1744" t="inlineStr">
        <is>
          <t>Bergvik skog väst AB</t>
        </is>
      </c>
      <c r="G1744" t="n">
        <v>14.7</v>
      </c>
      <c r="H1744" t="n">
        <v>0</v>
      </c>
      <c r="I1744" t="n">
        <v>0</v>
      </c>
      <c r="J1744" t="n">
        <v>0</v>
      </c>
      <c r="K1744" t="n">
        <v>0</v>
      </c>
      <c r="L1744" t="n">
        <v>0</v>
      </c>
      <c r="M1744" t="n">
        <v>0</v>
      </c>
      <c r="N1744" t="n">
        <v>0</v>
      </c>
      <c r="O1744" t="n">
        <v>0</v>
      </c>
      <c r="P1744" t="n">
        <v>0</v>
      </c>
      <c r="Q1744" t="n">
        <v>0</v>
      </c>
      <c r="R1744" s="2" t="inlineStr"/>
    </row>
    <row r="1745" ht="15" customHeight="1">
      <c r="A1745" t="inlineStr">
        <is>
          <t>A 41867-2023</t>
        </is>
      </c>
      <c r="B1745" s="1" t="n">
        <v>45176</v>
      </c>
      <c r="C1745" s="1" t="n">
        <v>45828</v>
      </c>
      <c r="D1745" t="inlineStr">
        <is>
          <t>VÄRMLANDS LÄN</t>
        </is>
      </c>
      <c r="E1745" t="inlineStr">
        <is>
          <t>TORSBY</t>
        </is>
      </c>
      <c r="F1745" t="inlineStr">
        <is>
          <t>Bergvik skog väst AB</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41833-2023</t>
        </is>
      </c>
      <c r="B1746" s="1" t="n">
        <v>45176</v>
      </c>
      <c r="C1746" s="1" t="n">
        <v>45828</v>
      </c>
      <c r="D1746" t="inlineStr">
        <is>
          <t>VÄRMLANDS LÄN</t>
        </is>
      </c>
      <c r="E1746" t="inlineStr">
        <is>
          <t>TORSBY</t>
        </is>
      </c>
      <c r="F1746" t="inlineStr">
        <is>
          <t>Bergvik skog väst AB</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41841-2023</t>
        </is>
      </c>
      <c r="B1747" s="1" t="n">
        <v>45176</v>
      </c>
      <c r="C1747" s="1" t="n">
        <v>45828</v>
      </c>
      <c r="D1747" t="inlineStr">
        <is>
          <t>VÄRMLANDS LÄN</t>
        </is>
      </c>
      <c r="E1747" t="inlineStr">
        <is>
          <t>TORSBY</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41885-2023</t>
        </is>
      </c>
      <c r="B1748" s="1" t="n">
        <v>45176</v>
      </c>
      <c r="C1748" s="1" t="n">
        <v>45828</v>
      </c>
      <c r="D1748" t="inlineStr">
        <is>
          <t>VÄRMLANDS LÄN</t>
        </is>
      </c>
      <c r="E1748" t="inlineStr">
        <is>
          <t>TORSBY</t>
        </is>
      </c>
      <c r="F1748" t="inlineStr">
        <is>
          <t>Bergvik skog väst AB</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41843-2023</t>
        </is>
      </c>
      <c r="B1749" s="1" t="n">
        <v>45176</v>
      </c>
      <c r="C1749" s="1" t="n">
        <v>45828</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41868-2023</t>
        </is>
      </c>
      <c r="B1750" s="1" t="n">
        <v>45176</v>
      </c>
      <c r="C1750" s="1" t="n">
        <v>45828</v>
      </c>
      <c r="D1750" t="inlineStr">
        <is>
          <t>VÄRMLANDS LÄN</t>
        </is>
      </c>
      <c r="E1750" t="inlineStr">
        <is>
          <t>TORSBY</t>
        </is>
      </c>
      <c r="F1750" t="inlineStr">
        <is>
          <t>Bergvik skog väst AB</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42062-2023</t>
        </is>
      </c>
      <c r="B1751" s="1" t="n">
        <v>45177</v>
      </c>
      <c r="C1751" s="1" t="n">
        <v>45828</v>
      </c>
      <c r="D1751" t="inlineStr">
        <is>
          <t>VÄRMLANDS LÄN</t>
        </is>
      </c>
      <c r="E1751" t="inlineStr">
        <is>
          <t>TORSBY</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42245-2023</t>
        </is>
      </c>
      <c r="B1752" s="1" t="n">
        <v>45180</v>
      </c>
      <c r="C1752" s="1" t="n">
        <v>45828</v>
      </c>
      <c r="D1752" t="inlineStr">
        <is>
          <t>VÄRMLANDS LÄN</t>
        </is>
      </c>
      <c r="E1752" t="inlineStr">
        <is>
          <t>TORSBY</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42473-2023</t>
        </is>
      </c>
      <c r="B1753" s="1" t="n">
        <v>45180</v>
      </c>
      <c r="C1753" s="1" t="n">
        <v>45828</v>
      </c>
      <c r="D1753" t="inlineStr">
        <is>
          <t>VÄRMLANDS LÄN</t>
        </is>
      </c>
      <c r="E1753" t="inlineStr">
        <is>
          <t>TORSBY</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42403-2023</t>
        </is>
      </c>
      <c r="B1754" s="1" t="n">
        <v>45180</v>
      </c>
      <c r="C1754" s="1" t="n">
        <v>45828</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42420-2023</t>
        </is>
      </c>
      <c r="B1755" s="1" t="n">
        <v>45180</v>
      </c>
      <c r="C1755" s="1" t="n">
        <v>45828</v>
      </c>
      <c r="D1755" t="inlineStr">
        <is>
          <t>VÄRMLANDS LÄN</t>
        </is>
      </c>
      <c r="E1755" t="inlineStr">
        <is>
          <t>TORSBY</t>
        </is>
      </c>
      <c r="F1755" t="inlineStr">
        <is>
          <t>Bergvik skog väst AB</t>
        </is>
      </c>
      <c r="G1755" t="n">
        <v>19.9</v>
      </c>
      <c r="H1755" t="n">
        <v>0</v>
      </c>
      <c r="I1755" t="n">
        <v>0</v>
      </c>
      <c r="J1755" t="n">
        <v>0</v>
      </c>
      <c r="K1755" t="n">
        <v>0</v>
      </c>
      <c r="L1755" t="n">
        <v>0</v>
      </c>
      <c r="M1755" t="n">
        <v>0</v>
      </c>
      <c r="N1755" t="n">
        <v>0</v>
      </c>
      <c r="O1755" t="n">
        <v>0</v>
      </c>
      <c r="P1755" t="n">
        <v>0</v>
      </c>
      <c r="Q1755" t="n">
        <v>0</v>
      </c>
      <c r="R1755" s="2" t="inlineStr"/>
    </row>
    <row r="1756" ht="15" customHeight="1">
      <c r="A1756" t="inlineStr">
        <is>
          <t>A 43532-2023</t>
        </is>
      </c>
      <c r="B1756" s="1" t="n">
        <v>45181</v>
      </c>
      <c r="C1756" s="1" t="n">
        <v>45828</v>
      </c>
      <c r="D1756" t="inlineStr">
        <is>
          <t>VÄRMLANDS LÄN</t>
        </is>
      </c>
      <c r="E1756" t="inlineStr">
        <is>
          <t>TORSBY</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43529-2023</t>
        </is>
      </c>
      <c r="B1757" s="1" t="n">
        <v>45181</v>
      </c>
      <c r="C1757" s="1" t="n">
        <v>45828</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43527-2023</t>
        </is>
      </c>
      <c r="B1758" s="1" t="n">
        <v>45181</v>
      </c>
      <c r="C1758" s="1" t="n">
        <v>45828</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43536-2023</t>
        </is>
      </c>
      <c r="B1759" s="1" t="n">
        <v>45181</v>
      </c>
      <c r="C1759" s="1" t="n">
        <v>45828</v>
      </c>
      <c r="D1759" t="inlineStr">
        <is>
          <t>VÄRMLANDS LÄN</t>
        </is>
      </c>
      <c r="E1759" t="inlineStr">
        <is>
          <t>TORSBY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43528-2023</t>
        </is>
      </c>
      <c r="B1760" s="1" t="n">
        <v>45181</v>
      </c>
      <c r="C1760" s="1" t="n">
        <v>45828</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42645-2023</t>
        </is>
      </c>
      <c r="B1761" s="1" t="n">
        <v>45181</v>
      </c>
      <c r="C1761" s="1" t="n">
        <v>45828</v>
      </c>
      <c r="D1761" t="inlineStr">
        <is>
          <t>VÄRMLANDS LÄN</t>
        </is>
      </c>
      <c r="E1761" t="inlineStr">
        <is>
          <t>TORSBY</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42652-2023</t>
        </is>
      </c>
      <c r="B1762" s="1" t="n">
        <v>45181</v>
      </c>
      <c r="C1762" s="1" t="n">
        <v>45828</v>
      </c>
      <c r="D1762" t="inlineStr">
        <is>
          <t>VÄRMLANDS LÄN</t>
        </is>
      </c>
      <c r="E1762" t="inlineStr">
        <is>
          <t>TORSBY</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42656-2023</t>
        </is>
      </c>
      <c r="B1763" s="1" t="n">
        <v>45181</v>
      </c>
      <c r="C1763" s="1" t="n">
        <v>45828</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42581-2023</t>
        </is>
      </c>
      <c r="B1764" s="1" t="n">
        <v>45181</v>
      </c>
      <c r="C1764" s="1" t="n">
        <v>45828</v>
      </c>
      <c r="D1764" t="inlineStr">
        <is>
          <t>VÄRMLANDS LÄN</t>
        </is>
      </c>
      <c r="E1764" t="inlineStr">
        <is>
          <t>TORSBY</t>
        </is>
      </c>
      <c r="G1764" t="n">
        <v>17.6</v>
      </c>
      <c r="H1764" t="n">
        <v>0</v>
      </c>
      <c r="I1764" t="n">
        <v>0</v>
      </c>
      <c r="J1764" t="n">
        <v>0</v>
      </c>
      <c r="K1764" t="n">
        <v>0</v>
      </c>
      <c r="L1764" t="n">
        <v>0</v>
      </c>
      <c r="M1764" t="n">
        <v>0</v>
      </c>
      <c r="N1764" t="n">
        <v>0</v>
      </c>
      <c r="O1764" t="n">
        <v>0</v>
      </c>
      <c r="P1764" t="n">
        <v>0</v>
      </c>
      <c r="Q1764" t="n">
        <v>0</v>
      </c>
      <c r="R1764" s="2" t="inlineStr"/>
    </row>
    <row r="1765" ht="15" customHeight="1">
      <c r="A1765" t="inlineStr">
        <is>
          <t>A 42613-2023</t>
        </is>
      </c>
      <c r="B1765" s="1" t="n">
        <v>45181</v>
      </c>
      <c r="C1765" s="1" t="n">
        <v>45828</v>
      </c>
      <c r="D1765" t="inlineStr">
        <is>
          <t>VÄRMLANDS LÄN</t>
        </is>
      </c>
      <c r="E1765" t="inlineStr">
        <is>
          <t>TORSBY</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42635-2023</t>
        </is>
      </c>
      <c r="B1766" s="1" t="n">
        <v>45181</v>
      </c>
      <c r="C1766" s="1" t="n">
        <v>45828</v>
      </c>
      <c r="D1766" t="inlineStr">
        <is>
          <t>VÄRMLANDS LÄN</t>
        </is>
      </c>
      <c r="E1766" t="inlineStr">
        <is>
          <t>TORSBY</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42658-2023</t>
        </is>
      </c>
      <c r="B1767" s="1" t="n">
        <v>45181</v>
      </c>
      <c r="C1767" s="1" t="n">
        <v>45828</v>
      </c>
      <c r="D1767" t="inlineStr">
        <is>
          <t>VÄRMLANDS LÄN</t>
        </is>
      </c>
      <c r="E1767" t="inlineStr">
        <is>
          <t>TORSBY</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42710-2023</t>
        </is>
      </c>
      <c r="B1768" s="1" t="n">
        <v>45181</v>
      </c>
      <c r="C1768" s="1" t="n">
        <v>45828</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42632-2023</t>
        </is>
      </c>
      <c r="B1769" s="1" t="n">
        <v>45181</v>
      </c>
      <c r="C1769" s="1" t="n">
        <v>45828</v>
      </c>
      <c r="D1769" t="inlineStr">
        <is>
          <t>VÄRMLANDS LÄN</t>
        </is>
      </c>
      <c r="E1769" t="inlineStr">
        <is>
          <t>TORSBY</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42944-2023</t>
        </is>
      </c>
      <c r="B1770" s="1" t="n">
        <v>45182</v>
      </c>
      <c r="C1770" s="1" t="n">
        <v>45828</v>
      </c>
      <c r="D1770" t="inlineStr">
        <is>
          <t>VÄRMLANDS LÄN</t>
        </is>
      </c>
      <c r="E1770" t="inlineStr">
        <is>
          <t>TORSBY</t>
        </is>
      </c>
      <c r="F1770" t="inlineStr">
        <is>
          <t>Bergvik skog väst AB</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43084-2023</t>
        </is>
      </c>
      <c r="B1771" s="1" t="n">
        <v>45182</v>
      </c>
      <c r="C1771" s="1" t="n">
        <v>45828</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44083-2023</t>
        </is>
      </c>
      <c r="B1772" s="1" t="n">
        <v>45182</v>
      </c>
      <c r="C1772" s="1" t="n">
        <v>45828</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44094-2023</t>
        </is>
      </c>
      <c r="B1773" s="1" t="n">
        <v>45182</v>
      </c>
      <c r="C1773" s="1" t="n">
        <v>45828</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43179-2023</t>
        </is>
      </c>
      <c r="B1774" s="1" t="n">
        <v>45183</v>
      </c>
      <c r="C1774" s="1" t="n">
        <v>45828</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43361-2023</t>
        </is>
      </c>
      <c r="B1775" s="1" t="n">
        <v>45183</v>
      </c>
      <c r="C1775" s="1" t="n">
        <v>45828</v>
      </c>
      <c r="D1775" t="inlineStr">
        <is>
          <t>VÄRMLANDS LÄN</t>
        </is>
      </c>
      <c r="E1775" t="inlineStr">
        <is>
          <t>TORSBY</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43540-2023</t>
        </is>
      </c>
      <c r="B1776" s="1" t="n">
        <v>45184</v>
      </c>
      <c r="C1776" s="1" t="n">
        <v>45828</v>
      </c>
      <c r="D1776" t="inlineStr">
        <is>
          <t>VÄRMLANDS LÄN</t>
        </is>
      </c>
      <c r="E1776" t="inlineStr">
        <is>
          <t>TORSBY</t>
        </is>
      </c>
      <c r="F1776" t="inlineStr">
        <is>
          <t>Bergvik skog väst AB</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43562-2023</t>
        </is>
      </c>
      <c r="B1777" s="1" t="n">
        <v>45184</v>
      </c>
      <c r="C1777" s="1" t="n">
        <v>45828</v>
      </c>
      <c r="D1777" t="inlineStr">
        <is>
          <t>VÄRMLANDS LÄN</t>
        </is>
      </c>
      <c r="E1777" t="inlineStr">
        <is>
          <t>TORSBY</t>
        </is>
      </c>
      <c r="F1777" t="inlineStr">
        <is>
          <t>Kommuner</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43599-2023</t>
        </is>
      </c>
      <c r="B1778" s="1" t="n">
        <v>45184</v>
      </c>
      <c r="C1778" s="1" t="n">
        <v>45828</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43663-2023</t>
        </is>
      </c>
      <c r="B1779" s="1" t="n">
        <v>45187</v>
      </c>
      <c r="C1779" s="1" t="n">
        <v>45828</v>
      </c>
      <c r="D1779" t="inlineStr">
        <is>
          <t>VÄRMLANDS LÄN</t>
        </is>
      </c>
      <c r="E1779" t="inlineStr">
        <is>
          <t>TORSBY</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43670-2023</t>
        </is>
      </c>
      <c r="B1780" s="1" t="n">
        <v>45187</v>
      </c>
      <c r="C1780" s="1" t="n">
        <v>45828</v>
      </c>
      <c r="D1780" t="inlineStr">
        <is>
          <t>VÄRMLANDS LÄN</t>
        </is>
      </c>
      <c r="E1780" t="inlineStr">
        <is>
          <t>TORSBY</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44047-2023</t>
        </is>
      </c>
      <c r="B1781" s="1" t="n">
        <v>45188</v>
      </c>
      <c r="C1781" s="1" t="n">
        <v>45828</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44150-2023</t>
        </is>
      </c>
      <c r="B1782" s="1" t="n">
        <v>45188</v>
      </c>
      <c r="C1782" s="1" t="n">
        <v>45828</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44044-2023</t>
        </is>
      </c>
      <c r="B1783" s="1" t="n">
        <v>45188</v>
      </c>
      <c r="C1783" s="1" t="n">
        <v>45828</v>
      </c>
      <c r="D1783" t="inlineStr">
        <is>
          <t>VÄRMLANDS LÄN</t>
        </is>
      </c>
      <c r="E1783" t="inlineStr">
        <is>
          <t>TORSBY</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44127-2023</t>
        </is>
      </c>
      <c r="B1784" s="1" t="n">
        <v>45188</v>
      </c>
      <c r="C1784" s="1" t="n">
        <v>45828</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v>
      </c>
      <c r="C1785" s="1" t="n">
        <v>45828</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44113-2023</t>
        </is>
      </c>
      <c r="B1786" s="1" t="n">
        <v>45188</v>
      </c>
      <c r="C1786" s="1" t="n">
        <v>45828</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44424-2023</t>
        </is>
      </c>
      <c r="B1787" s="1" t="n">
        <v>45189</v>
      </c>
      <c r="C1787" s="1" t="n">
        <v>45828</v>
      </c>
      <c r="D1787" t="inlineStr">
        <is>
          <t>VÄRMLANDS LÄN</t>
        </is>
      </c>
      <c r="E1787" t="inlineStr">
        <is>
          <t>TORSBY</t>
        </is>
      </c>
      <c r="F1787" t="inlineStr">
        <is>
          <t>Kyrkan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44497-2023</t>
        </is>
      </c>
      <c r="B1788" s="1" t="n">
        <v>45189</v>
      </c>
      <c r="C1788" s="1" t="n">
        <v>45828</v>
      </c>
      <c r="D1788" t="inlineStr">
        <is>
          <t>VÄRMLANDS LÄN</t>
        </is>
      </c>
      <c r="E1788" t="inlineStr">
        <is>
          <t>TORSBY</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44641-2023</t>
        </is>
      </c>
      <c r="B1789" s="1" t="n">
        <v>45189</v>
      </c>
      <c r="C1789" s="1" t="n">
        <v>45828</v>
      </c>
      <c r="D1789" t="inlineStr">
        <is>
          <t>VÄRMLANDS LÄN</t>
        </is>
      </c>
      <c r="E1789" t="inlineStr">
        <is>
          <t>TORSBY</t>
        </is>
      </c>
      <c r="F1789" t="inlineStr">
        <is>
          <t>Bergvik skog väst AB</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44645-2023</t>
        </is>
      </c>
      <c r="B1790" s="1" t="n">
        <v>45189</v>
      </c>
      <c r="C1790" s="1" t="n">
        <v>45828</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44670-2023</t>
        </is>
      </c>
      <c r="B1791" s="1" t="n">
        <v>45189</v>
      </c>
      <c r="C1791" s="1" t="n">
        <v>45828</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44710-2023</t>
        </is>
      </c>
      <c r="B1792" s="1" t="n">
        <v>45190</v>
      </c>
      <c r="C1792" s="1" t="n">
        <v>45828</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44730-2023</t>
        </is>
      </c>
      <c r="B1793" s="1" t="n">
        <v>45190</v>
      </c>
      <c r="C1793" s="1" t="n">
        <v>45828</v>
      </c>
      <c r="D1793" t="inlineStr">
        <is>
          <t>VÄRMLANDS LÄN</t>
        </is>
      </c>
      <c r="E1793" t="inlineStr">
        <is>
          <t>TORSBY</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45224-2023</t>
        </is>
      </c>
      <c r="B1794" s="1" t="n">
        <v>45191</v>
      </c>
      <c r="C1794" s="1" t="n">
        <v>45828</v>
      </c>
      <c r="D1794" t="inlineStr">
        <is>
          <t>VÄRMLANDS LÄN</t>
        </is>
      </c>
      <c r="E1794" t="inlineStr">
        <is>
          <t>TORSBY</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45041-2023</t>
        </is>
      </c>
      <c r="B1795" s="1" t="n">
        <v>45191</v>
      </c>
      <c r="C1795" s="1" t="n">
        <v>45828</v>
      </c>
      <c r="D1795" t="inlineStr">
        <is>
          <t>VÄRMLANDS LÄN</t>
        </is>
      </c>
      <c r="E1795" t="inlineStr">
        <is>
          <t>TORSBY</t>
        </is>
      </c>
      <c r="F1795" t="inlineStr">
        <is>
          <t>Kyrkan</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45152-2023</t>
        </is>
      </c>
      <c r="B1796" s="1" t="n">
        <v>45191</v>
      </c>
      <c r="C1796" s="1" t="n">
        <v>45828</v>
      </c>
      <c r="D1796" t="inlineStr">
        <is>
          <t>VÄRMLANDS LÄN</t>
        </is>
      </c>
      <c r="E1796" t="inlineStr">
        <is>
          <t>TORSBY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45169-2023</t>
        </is>
      </c>
      <c r="B1797" s="1" t="n">
        <v>45191</v>
      </c>
      <c r="C1797" s="1" t="n">
        <v>45828</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45231-2023</t>
        </is>
      </c>
      <c r="B1798" s="1" t="n">
        <v>45191</v>
      </c>
      <c r="C1798" s="1" t="n">
        <v>45828</v>
      </c>
      <c r="D1798" t="inlineStr">
        <is>
          <t>VÄRMLANDS LÄN</t>
        </is>
      </c>
      <c r="E1798" t="inlineStr">
        <is>
          <t>TORSBY</t>
        </is>
      </c>
      <c r="F1798" t="inlineStr">
        <is>
          <t>Bergvik skog väst AB</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45228-2023</t>
        </is>
      </c>
      <c r="B1799" s="1" t="n">
        <v>45191</v>
      </c>
      <c r="C1799" s="1" t="n">
        <v>45828</v>
      </c>
      <c r="D1799" t="inlineStr">
        <is>
          <t>VÄRMLANDS LÄN</t>
        </is>
      </c>
      <c r="E1799" t="inlineStr">
        <is>
          <t>TORSBY</t>
        </is>
      </c>
      <c r="F1799" t="inlineStr">
        <is>
          <t>Bergvik skog väst AB</t>
        </is>
      </c>
      <c r="G1799" t="n">
        <v>26.8</v>
      </c>
      <c r="H1799" t="n">
        <v>0</v>
      </c>
      <c r="I1799" t="n">
        <v>0</v>
      </c>
      <c r="J1799" t="n">
        <v>0</v>
      </c>
      <c r="K1799" t="n">
        <v>0</v>
      </c>
      <c r="L1799" t="n">
        <v>0</v>
      </c>
      <c r="M1799" t="n">
        <v>0</v>
      </c>
      <c r="N1799" t="n">
        <v>0</v>
      </c>
      <c r="O1799" t="n">
        <v>0</v>
      </c>
      <c r="P1799" t="n">
        <v>0</v>
      </c>
      <c r="Q1799" t="n">
        <v>0</v>
      </c>
      <c r="R1799" s="2" t="inlineStr"/>
    </row>
    <row r="1800" ht="15" customHeight="1">
      <c r="A1800" t="inlineStr">
        <is>
          <t>A 45587-2023</t>
        </is>
      </c>
      <c r="B1800" s="1" t="n">
        <v>45194</v>
      </c>
      <c r="C1800" s="1" t="n">
        <v>45828</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45399-2023</t>
        </is>
      </c>
      <c r="B1801" s="1" t="n">
        <v>45194</v>
      </c>
      <c r="C1801" s="1" t="n">
        <v>45828</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45563-2023</t>
        </is>
      </c>
      <c r="B1802" s="1" t="n">
        <v>45194</v>
      </c>
      <c r="C1802" s="1" t="n">
        <v>45828</v>
      </c>
      <c r="D1802" t="inlineStr">
        <is>
          <t>VÄRMLANDS LÄN</t>
        </is>
      </c>
      <c r="E1802" t="inlineStr">
        <is>
          <t>TORSBY</t>
        </is>
      </c>
      <c r="F1802" t="inlineStr">
        <is>
          <t>Bergvik skog väst AB</t>
        </is>
      </c>
      <c r="G1802" t="n">
        <v>22.6</v>
      </c>
      <c r="H1802" t="n">
        <v>0</v>
      </c>
      <c r="I1802" t="n">
        <v>0</v>
      </c>
      <c r="J1802" t="n">
        <v>0</v>
      </c>
      <c r="K1802" t="n">
        <v>0</v>
      </c>
      <c r="L1802" t="n">
        <v>0</v>
      </c>
      <c r="M1802" t="n">
        <v>0</v>
      </c>
      <c r="N1802" t="n">
        <v>0</v>
      </c>
      <c r="O1802" t="n">
        <v>0</v>
      </c>
      <c r="P1802" t="n">
        <v>0</v>
      </c>
      <c r="Q1802" t="n">
        <v>0</v>
      </c>
      <c r="R1802" s="2" t="inlineStr"/>
    </row>
    <row r="1803" ht="15" customHeight="1">
      <c r="A1803" t="inlineStr">
        <is>
          <t>A 45765-2023</t>
        </is>
      </c>
      <c r="B1803" s="1" t="n">
        <v>45195</v>
      </c>
      <c r="C1803" s="1" t="n">
        <v>45828</v>
      </c>
      <c r="D1803" t="inlineStr">
        <is>
          <t>VÄRMLANDS LÄN</t>
        </is>
      </c>
      <c r="E1803" t="inlineStr">
        <is>
          <t>TORSBY</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45872-2023</t>
        </is>
      </c>
      <c r="B1804" s="1" t="n">
        <v>45195</v>
      </c>
      <c r="C1804" s="1" t="n">
        <v>45828</v>
      </c>
      <c r="D1804" t="inlineStr">
        <is>
          <t>VÄRMLANDS LÄN</t>
        </is>
      </c>
      <c r="E1804" t="inlineStr">
        <is>
          <t>TORSBY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45775-2023</t>
        </is>
      </c>
      <c r="B1805" s="1" t="n">
        <v>45195</v>
      </c>
      <c r="C1805" s="1" t="n">
        <v>45828</v>
      </c>
      <c r="D1805" t="inlineStr">
        <is>
          <t>VÄRMLANDS LÄN</t>
        </is>
      </c>
      <c r="E1805" t="inlineStr">
        <is>
          <t>TORSBY</t>
        </is>
      </c>
      <c r="F1805" t="inlineStr">
        <is>
          <t>Bergvik skog väst AB</t>
        </is>
      </c>
      <c r="G1805" t="n">
        <v>34.2</v>
      </c>
      <c r="H1805" t="n">
        <v>0</v>
      </c>
      <c r="I1805" t="n">
        <v>0</v>
      </c>
      <c r="J1805" t="n">
        <v>0</v>
      </c>
      <c r="K1805" t="n">
        <v>0</v>
      </c>
      <c r="L1805" t="n">
        <v>0</v>
      </c>
      <c r="M1805" t="n">
        <v>0</v>
      </c>
      <c r="N1805" t="n">
        <v>0</v>
      </c>
      <c r="O1805" t="n">
        <v>0</v>
      </c>
      <c r="P1805" t="n">
        <v>0</v>
      </c>
      <c r="Q1805" t="n">
        <v>0</v>
      </c>
      <c r="R1805" s="2" t="inlineStr"/>
    </row>
    <row r="1806" ht="15" customHeight="1">
      <c r="A1806" t="inlineStr">
        <is>
          <t>A 46003-2023</t>
        </is>
      </c>
      <c r="B1806" s="1" t="n">
        <v>45196</v>
      </c>
      <c r="C1806" s="1" t="n">
        <v>45828</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46048-2023</t>
        </is>
      </c>
      <c r="B1807" s="1" t="n">
        <v>45196</v>
      </c>
      <c r="C1807" s="1" t="n">
        <v>45828</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46001-2023</t>
        </is>
      </c>
      <c r="B1808" s="1" t="n">
        <v>45196</v>
      </c>
      <c r="C1808" s="1" t="n">
        <v>45828</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46202-2023</t>
        </is>
      </c>
      <c r="B1809" s="1" t="n">
        <v>45196</v>
      </c>
      <c r="C1809" s="1" t="n">
        <v>45828</v>
      </c>
      <c r="D1809" t="inlineStr">
        <is>
          <t>VÄRMLANDS LÄN</t>
        </is>
      </c>
      <c r="E1809" t="inlineStr">
        <is>
          <t>TORSBY</t>
        </is>
      </c>
      <c r="F1809" t="inlineStr">
        <is>
          <t>Bergvik skog väst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46233-2023</t>
        </is>
      </c>
      <c r="B1810" s="1" t="n">
        <v>45196</v>
      </c>
      <c r="C1810" s="1" t="n">
        <v>45828</v>
      </c>
      <c r="D1810" t="inlineStr">
        <is>
          <t>VÄRMLANDS LÄN</t>
        </is>
      </c>
      <c r="E1810" t="inlineStr">
        <is>
          <t>TORSBY</t>
        </is>
      </c>
      <c r="F1810" t="inlineStr">
        <is>
          <t>Kyrkan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46127-2023</t>
        </is>
      </c>
      <c r="B1811" s="1" t="n">
        <v>45196</v>
      </c>
      <c r="C1811" s="1" t="n">
        <v>45828</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46199-2023</t>
        </is>
      </c>
      <c r="B1812" s="1" t="n">
        <v>45196</v>
      </c>
      <c r="C1812" s="1" t="n">
        <v>45828</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46220-2023</t>
        </is>
      </c>
      <c r="B1813" s="1" t="n">
        <v>45196</v>
      </c>
      <c r="C1813" s="1" t="n">
        <v>45828</v>
      </c>
      <c r="D1813" t="inlineStr">
        <is>
          <t>VÄRMLANDS LÄN</t>
        </is>
      </c>
      <c r="E1813" t="inlineStr">
        <is>
          <t>TORSBY</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46156-2023</t>
        </is>
      </c>
      <c r="B1814" s="1" t="n">
        <v>45196</v>
      </c>
      <c r="C1814" s="1" t="n">
        <v>45828</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46180-2023</t>
        </is>
      </c>
      <c r="B1815" s="1" t="n">
        <v>45196</v>
      </c>
      <c r="C1815" s="1" t="n">
        <v>45828</v>
      </c>
      <c r="D1815" t="inlineStr">
        <is>
          <t>VÄRMLANDS LÄN</t>
        </is>
      </c>
      <c r="E1815" t="inlineStr">
        <is>
          <t>TORSBY</t>
        </is>
      </c>
      <c r="F1815" t="inlineStr">
        <is>
          <t>Bergvik skog väst AB</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46195-2023</t>
        </is>
      </c>
      <c r="B1816" s="1" t="n">
        <v>45196</v>
      </c>
      <c r="C1816" s="1" t="n">
        <v>45828</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46221-2023</t>
        </is>
      </c>
      <c r="B1817" s="1" t="n">
        <v>45196</v>
      </c>
      <c r="C1817" s="1" t="n">
        <v>45828</v>
      </c>
      <c r="D1817" t="inlineStr">
        <is>
          <t>VÄRMLANDS LÄN</t>
        </is>
      </c>
      <c r="E1817" t="inlineStr">
        <is>
          <t>TORSBY</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47227-2023</t>
        </is>
      </c>
      <c r="B1818" s="1" t="n">
        <v>45196</v>
      </c>
      <c r="C1818" s="1" t="n">
        <v>45828</v>
      </c>
      <c r="D1818" t="inlineStr">
        <is>
          <t>VÄRMLANDS LÄN</t>
        </is>
      </c>
      <c r="E1818" t="inlineStr">
        <is>
          <t>TORSBY</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46424-2023</t>
        </is>
      </c>
      <c r="B1819" s="1" t="n">
        <v>45197</v>
      </c>
      <c r="C1819" s="1" t="n">
        <v>45828</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46449-2023</t>
        </is>
      </c>
      <c r="B1820" s="1" t="n">
        <v>45197</v>
      </c>
      <c r="C1820" s="1" t="n">
        <v>45828</v>
      </c>
      <c r="D1820" t="inlineStr">
        <is>
          <t>VÄRMLANDS LÄN</t>
        </is>
      </c>
      <c r="E1820" t="inlineStr">
        <is>
          <t>TORSBY</t>
        </is>
      </c>
      <c r="F1820" t="inlineStr">
        <is>
          <t>Bergvik skog väst AB</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46509-2023</t>
        </is>
      </c>
      <c r="B1821" s="1" t="n">
        <v>45197</v>
      </c>
      <c r="C1821" s="1" t="n">
        <v>45828</v>
      </c>
      <c r="D1821" t="inlineStr">
        <is>
          <t>VÄRMLANDS LÄN</t>
        </is>
      </c>
      <c r="E1821" t="inlineStr">
        <is>
          <t>TORSBY</t>
        </is>
      </c>
      <c r="F1821" t="inlineStr">
        <is>
          <t>Bergvik skog väst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46489-2023</t>
        </is>
      </c>
      <c r="B1822" s="1" t="n">
        <v>45197</v>
      </c>
      <c r="C1822" s="1" t="n">
        <v>45828</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47119-2023</t>
        </is>
      </c>
      <c r="B1823" s="1" t="n">
        <v>45201</v>
      </c>
      <c r="C1823" s="1" t="n">
        <v>45828</v>
      </c>
      <c r="D1823" t="inlineStr">
        <is>
          <t>VÄRMLANDS LÄN</t>
        </is>
      </c>
      <c r="E1823" t="inlineStr">
        <is>
          <t>TORSBY</t>
        </is>
      </c>
      <c r="F1823" t="inlineStr">
        <is>
          <t>Bergvik skog väst AB</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46880-2023</t>
        </is>
      </c>
      <c r="B1824" s="1" t="n">
        <v>45201</v>
      </c>
      <c r="C1824" s="1" t="n">
        <v>45828</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46938-2023</t>
        </is>
      </c>
      <c r="B1825" s="1" t="n">
        <v>45201</v>
      </c>
      <c r="C1825" s="1" t="n">
        <v>45828</v>
      </c>
      <c r="D1825" t="inlineStr">
        <is>
          <t>VÄRMLANDS LÄN</t>
        </is>
      </c>
      <c r="E1825" t="inlineStr">
        <is>
          <t>TORSBY</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47077-2023</t>
        </is>
      </c>
      <c r="B1826" s="1" t="n">
        <v>45201</v>
      </c>
      <c r="C1826" s="1" t="n">
        <v>45828</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47275-2023</t>
        </is>
      </c>
      <c r="B1827" s="1" t="n">
        <v>45202</v>
      </c>
      <c r="C1827" s="1" t="n">
        <v>45828</v>
      </c>
      <c r="D1827" t="inlineStr">
        <is>
          <t>VÄRMLANDS LÄN</t>
        </is>
      </c>
      <c r="E1827" t="inlineStr">
        <is>
          <t>TORSBY</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47241-2023</t>
        </is>
      </c>
      <c r="B1828" s="1" t="n">
        <v>45202</v>
      </c>
      <c r="C1828" s="1" t="n">
        <v>45828</v>
      </c>
      <c r="D1828" t="inlineStr">
        <is>
          <t>VÄRMLANDS LÄN</t>
        </is>
      </c>
      <c r="E1828" t="inlineStr">
        <is>
          <t>TORSBY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47355-2023</t>
        </is>
      </c>
      <c r="B1829" s="1" t="n">
        <v>45202</v>
      </c>
      <c r="C1829" s="1" t="n">
        <v>45828</v>
      </c>
      <c r="D1829" t="inlineStr">
        <is>
          <t>VÄRMLANDS LÄN</t>
        </is>
      </c>
      <c r="E1829" t="inlineStr">
        <is>
          <t>TORSBY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47401-2023</t>
        </is>
      </c>
      <c r="B1830" s="1" t="n">
        <v>45202</v>
      </c>
      <c r="C1830" s="1" t="n">
        <v>45828</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47737-2023</t>
        </is>
      </c>
      <c r="B1831" s="1" t="n">
        <v>45203</v>
      </c>
      <c r="C1831" s="1" t="n">
        <v>45828</v>
      </c>
      <c r="D1831" t="inlineStr">
        <is>
          <t>VÄRMLANDS LÄN</t>
        </is>
      </c>
      <c r="E1831" t="inlineStr">
        <is>
          <t>TORSBY</t>
        </is>
      </c>
      <c r="F1831" t="inlineStr">
        <is>
          <t>Bergvik skog väst AB</t>
        </is>
      </c>
      <c r="G1831" t="n">
        <v>24.4</v>
      </c>
      <c r="H1831" t="n">
        <v>0</v>
      </c>
      <c r="I1831" t="n">
        <v>0</v>
      </c>
      <c r="J1831" t="n">
        <v>0</v>
      </c>
      <c r="K1831" t="n">
        <v>0</v>
      </c>
      <c r="L1831" t="n">
        <v>0</v>
      </c>
      <c r="M1831" t="n">
        <v>0</v>
      </c>
      <c r="N1831" t="n">
        <v>0</v>
      </c>
      <c r="O1831" t="n">
        <v>0</v>
      </c>
      <c r="P1831" t="n">
        <v>0</v>
      </c>
      <c r="Q1831" t="n">
        <v>0</v>
      </c>
      <c r="R1831" s="2" t="inlineStr"/>
    </row>
    <row r="1832" ht="15" customHeight="1">
      <c r="A1832" t="inlineStr">
        <is>
          <t>A 47615-2023</t>
        </is>
      </c>
      <c r="B1832" s="1" t="n">
        <v>45203</v>
      </c>
      <c r="C1832" s="1" t="n">
        <v>45828</v>
      </c>
      <c r="D1832" t="inlineStr">
        <is>
          <t>VÄRMLANDS LÄN</t>
        </is>
      </c>
      <c r="E1832" t="inlineStr">
        <is>
          <t>TORSBY</t>
        </is>
      </c>
      <c r="F1832" t="inlineStr">
        <is>
          <t>Bergvik skog väst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47730-2023</t>
        </is>
      </c>
      <c r="B1833" s="1" t="n">
        <v>45203</v>
      </c>
      <c r="C1833" s="1" t="n">
        <v>45828</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47734-2023</t>
        </is>
      </c>
      <c r="B1834" s="1" t="n">
        <v>45203</v>
      </c>
      <c r="C1834" s="1" t="n">
        <v>45828</v>
      </c>
      <c r="D1834" t="inlineStr">
        <is>
          <t>VÄRMLANDS LÄN</t>
        </is>
      </c>
      <c r="E1834" t="inlineStr">
        <is>
          <t>TORSBY</t>
        </is>
      </c>
      <c r="F1834" t="inlineStr">
        <is>
          <t>Bergvik skog väst AB</t>
        </is>
      </c>
      <c r="G1834" t="n">
        <v>23.3</v>
      </c>
      <c r="H1834" t="n">
        <v>0</v>
      </c>
      <c r="I1834" t="n">
        <v>0</v>
      </c>
      <c r="J1834" t="n">
        <v>0</v>
      </c>
      <c r="K1834" t="n">
        <v>0</v>
      </c>
      <c r="L1834" t="n">
        <v>0</v>
      </c>
      <c r="M1834" t="n">
        <v>0</v>
      </c>
      <c r="N1834" t="n">
        <v>0</v>
      </c>
      <c r="O1834" t="n">
        <v>0</v>
      </c>
      <c r="P1834" t="n">
        <v>0</v>
      </c>
      <c r="Q1834" t="n">
        <v>0</v>
      </c>
      <c r="R1834" s="2" t="inlineStr"/>
    </row>
    <row r="1835" ht="15" customHeight="1">
      <c r="A1835" t="inlineStr">
        <is>
          <t>A 48724-2023</t>
        </is>
      </c>
      <c r="B1835" s="1" t="n">
        <v>45203</v>
      </c>
      <c r="C1835" s="1" t="n">
        <v>45828</v>
      </c>
      <c r="D1835" t="inlineStr">
        <is>
          <t>VÄRMLANDS LÄN</t>
        </is>
      </c>
      <c r="E1835" t="inlineStr">
        <is>
          <t>TORSBY</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47842-2023</t>
        </is>
      </c>
      <c r="B1836" s="1" t="n">
        <v>45204</v>
      </c>
      <c r="C1836" s="1" t="n">
        <v>45828</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48106-2023</t>
        </is>
      </c>
      <c r="B1837" s="1" t="n">
        <v>45205</v>
      </c>
      <c r="C1837" s="1" t="n">
        <v>45828</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48145-2023</t>
        </is>
      </c>
      <c r="B1838" s="1" t="n">
        <v>45205</v>
      </c>
      <c r="C1838" s="1" t="n">
        <v>45828</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48236-2023</t>
        </is>
      </c>
      <c r="B1839" s="1" t="n">
        <v>45205</v>
      </c>
      <c r="C1839" s="1" t="n">
        <v>45828</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48155-2023</t>
        </is>
      </c>
      <c r="B1840" s="1" t="n">
        <v>45205</v>
      </c>
      <c r="C1840" s="1" t="n">
        <v>45828</v>
      </c>
      <c r="D1840" t="inlineStr">
        <is>
          <t>VÄRMLANDS LÄN</t>
        </is>
      </c>
      <c r="E1840" t="inlineStr">
        <is>
          <t>TORSBY</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48170-2023</t>
        </is>
      </c>
      <c r="B1841" s="1" t="n">
        <v>45205</v>
      </c>
      <c r="C1841" s="1" t="n">
        <v>45828</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48324-2023</t>
        </is>
      </c>
      <c r="B1842" s="1" t="n">
        <v>45205</v>
      </c>
      <c r="C1842" s="1" t="n">
        <v>45828</v>
      </c>
      <c r="D1842" t="inlineStr">
        <is>
          <t>VÄRMLANDS LÄN</t>
        </is>
      </c>
      <c r="E1842" t="inlineStr">
        <is>
          <t>TORSBY</t>
        </is>
      </c>
      <c r="F1842" t="inlineStr">
        <is>
          <t>Bergvik skog väst AB</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48381-2023</t>
        </is>
      </c>
      <c r="B1843" s="1" t="n">
        <v>45205</v>
      </c>
      <c r="C1843" s="1" t="n">
        <v>45828</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48384-2023</t>
        </is>
      </c>
      <c r="B1844" s="1" t="n">
        <v>45205</v>
      </c>
      <c r="C1844" s="1" t="n">
        <v>45828</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48383-2023</t>
        </is>
      </c>
      <c r="B1845" s="1" t="n">
        <v>45205</v>
      </c>
      <c r="C1845" s="1" t="n">
        <v>45828</v>
      </c>
      <c r="D1845" t="inlineStr">
        <is>
          <t>VÄRMLANDS LÄN</t>
        </is>
      </c>
      <c r="E1845" t="inlineStr">
        <is>
          <t>TORSBY</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48456-2023</t>
        </is>
      </c>
      <c r="B1846" s="1" t="n">
        <v>45206</v>
      </c>
      <c r="C1846" s="1" t="n">
        <v>45828</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48625-2023</t>
        </is>
      </c>
      <c r="B1847" s="1" t="n">
        <v>45208</v>
      </c>
      <c r="C1847" s="1" t="n">
        <v>45828</v>
      </c>
      <c r="D1847" t="inlineStr">
        <is>
          <t>VÄRMLANDS LÄN</t>
        </is>
      </c>
      <c r="E1847" t="inlineStr">
        <is>
          <t>TORSBY</t>
        </is>
      </c>
      <c r="F1847" t="inlineStr">
        <is>
          <t>Bergvik skog väst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48727-2023</t>
        </is>
      </c>
      <c r="B1848" s="1" t="n">
        <v>45208</v>
      </c>
      <c r="C1848" s="1" t="n">
        <v>45828</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48753-2023</t>
        </is>
      </c>
      <c r="B1849" s="1" t="n">
        <v>45208</v>
      </c>
      <c r="C1849" s="1" t="n">
        <v>45828</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48762-2023</t>
        </is>
      </c>
      <c r="B1850" s="1" t="n">
        <v>45208</v>
      </c>
      <c r="C1850" s="1" t="n">
        <v>45828</v>
      </c>
      <c r="D1850" t="inlineStr">
        <is>
          <t>VÄRMLANDS LÄN</t>
        </is>
      </c>
      <c r="E1850" t="inlineStr">
        <is>
          <t>TORSBY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49717-2023</t>
        </is>
      </c>
      <c r="B1851" s="1" t="n">
        <v>45208</v>
      </c>
      <c r="C1851" s="1" t="n">
        <v>45828</v>
      </c>
      <c r="D1851" t="inlineStr">
        <is>
          <t>VÄRMLANDS LÄN</t>
        </is>
      </c>
      <c r="E1851" t="inlineStr">
        <is>
          <t>TORSBY</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50166-2023</t>
        </is>
      </c>
      <c r="B1852" s="1" t="n">
        <v>45208</v>
      </c>
      <c r="C1852" s="1" t="n">
        <v>45828</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50149-2023</t>
        </is>
      </c>
      <c r="B1853" s="1" t="n">
        <v>45208</v>
      </c>
      <c r="C1853" s="1" t="n">
        <v>45828</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48805-2023</t>
        </is>
      </c>
      <c r="B1854" s="1" t="n">
        <v>45209</v>
      </c>
      <c r="C1854" s="1" t="n">
        <v>45828</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48842-2023</t>
        </is>
      </c>
      <c r="B1855" s="1" t="n">
        <v>45209</v>
      </c>
      <c r="C1855" s="1" t="n">
        <v>45828</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49170-2023</t>
        </is>
      </c>
      <c r="B1856" s="1" t="n">
        <v>45210</v>
      </c>
      <c r="C1856" s="1" t="n">
        <v>45828</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49179-2023</t>
        </is>
      </c>
      <c r="B1857" s="1" t="n">
        <v>45210</v>
      </c>
      <c r="C1857" s="1" t="n">
        <v>45828</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49296-2023</t>
        </is>
      </c>
      <c r="B1858" s="1" t="n">
        <v>45210</v>
      </c>
      <c r="C1858" s="1" t="n">
        <v>45828</v>
      </c>
      <c r="D1858" t="inlineStr">
        <is>
          <t>VÄRMLANDS LÄN</t>
        </is>
      </c>
      <c r="E1858" t="inlineStr">
        <is>
          <t>TORSBY</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51079-2023</t>
        </is>
      </c>
      <c r="B1859" s="1" t="n">
        <v>45211</v>
      </c>
      <c r="C1859" s="1" t="n">
        <v>45828</v>
      </c>
      <c r="D1859" t="inlineStr">
        <is>
          <t>VÄRMLANDS LÄN</t>
        </is>
      </c>
      <c r="E1859" t="inlineStr">
        <is>
          <t>TORSBY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49755-2023</t>
        </is>
      </c>
      <c r="B1860" s="1" t="n">
        <v>45212</v>
      </c>
      <c r="C1860" s="1" t="n">
        <v>45828</v>
      </c>
      <c r="D1860" t="inlineStr">
        <is>
          <t>VÄRMLANDS LÄN</t>
        </is>
      </c>
      <c r="E1860" t="inlineStr">
        <is>
          <t>TORSBY</t>
        </is>
      </c>
      <c r="F1860" t="inlineStr">
        <is>
          <t>Bergvik skog väst AB</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49777-2023</t>
        </is>
      </c>
      <c r="B1861" s="1" t="n">
        <v>45212</v>
      </c>
      <c r="C1861" s="1" t="n">
        <v>45828</v>
      </c>
      <c r="D1861" t="inlineStr">
        <is>
          <t>VÄRMLANDS LÄN</t>
        </is>
      </c>
      <c r="E1861" t="inlineStr">
        <is>
          <t>TORSBY</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49815-2023</t>
        </is>
      </c>
      <c r="B1862" s="1" t="n">
        <v>45212</v>
      </c>
      <c r="C1862" s="1" t="n">
        <v>45828</v>
      </c>
      <c r="D1862" t="inlineStr">
        <is>
          <t>VÄRMLANDS LÄN</t>
        </is>
      </c>
      <c r="E1862" t="inlineStr">
        <is>
          <t>TORSBY</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49745-2023</t>
        </is>
      </c>
      <c r="B1863" s="1" t="n">
        <v>45212</v>
      </c>
      <c r="C1863" s="1" t="n">
        <v>45828</v>
      </c>
      <c r="D1863" t="inlineStr">
        <is>
          <t>VÄRMLANDS LÄN</t>
        </is>
      </c>
      <c r="E1863" t="inlineStr">
        <is>
          <t>TORSBY</t>
        </is>
      </c>
      <c r="F1863" t="inlineStr">
        <is>
          <t>Bergvik skog väst AB</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51144-2023</t>
        </is>
      </c>
      <c r="B1864" s="1" t="n">
        <v>45212</v>
      </c>
      <c r="C1864" s="1" t="n">
        <v>45828</v>
      </c>
      <c r="D1864" t="inlineStr">
        <is>
          <t>VÄRMLANDS LÄN</t>
        </is>
      </c>
      <c r="E1864" t="inlineStr">
        <is>
          <t>TORSBY</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49982-2023</t>
        </is>
      </c>
      <c r="B1865" s="1" t="n">
        <v>45215</v>
      </c>
      <c r="C1865" s="1" t="n">
        <v>45828</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50147-2023</t>
        </is>
      </c>
      <c r="B1866" s="1" t="n">
        <v>45215</v>
      </c>
      <c r="C1866" s="1" t="n">
        <v>45828</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50138-2023</t>
        </is>
      </c>
      <c r="B1867" s="1" t="n">
        <v>45215</v>
      </c>
      <c r="C1867" s="1" t="n">
        <v>45828</v>
      </c>
      <c r="D1867" t="inlineStr">
        <is>
          <t>VÄRMLANDS LÄN</t>
        </is>
      </c>
      <c r="E1867" t="inlineStr">
        <is>
          <t>TORSBY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50144-2023</t>
        </is>
      </c>
      <c r="B1868" s="1" t="n">
        <v>45215</v>
      </c>
      <c r="C1868" s="1" t="n">
        <v>45828</v>
      </c>
      <c r="D1868" t="inlineStr">
        <is>
          <t>VÄRMLANDS LÄN</t>
        </is>
      </c>
      <c r="E1868" t="inlineStr">
        <is>
          <t>TORSBY</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50171-2023</t>
        </is>
      </c>
      <c r="B1869" s="1" t="n">
        <v>45215</v>
      </c>
      <c r="C1869" s="1" t="n">
        <v>45828</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50445-2023</t>
        </is>
      </c>
      <c r="B1870" s="1" t="n">
        <v>45216</v>
      </c>
      <c r="C1870" s="1" t="n">
        <v>45828</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50429-2023</t>
        </is>
      </c>
      <c r="B1871" s="1" t="n">
        <v>45216</v>
      </c>
      <c r="C1871" s="1" t="n">
        <v>45828</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50439-2023</t>
        </is>
      </c>
      <c r="B1872" s="1" t="n">
        <v>45216</v>
      </c>
      <c r="C1872" s="1" t="n">
        <v>45828</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50660-2023</t>
        </is>
      </c>
      <c r="B1873" s="1" t="n">
        <v>45217</v>
      </c>
      <c r="C1873" s="1" t="n">
        <v>45828</v>
      </c>
      <c r="D1873" t="inlineStr">
        <is>
          <t>VÄRMLANDS LÄN</t>
        </is>
      </c>
      <c r="E1873" t="inlineStr">
        <is>
          <t>TORSBY</t>
        </is>
      </c>
      <c r="F1873" t="inlineStr">
        <is>
          <t>Bergvik skog väst AB</t>
        </is>
      </c>
      <c r="G1873" t="n">
        <v>26.5</v>
      </c>
      <c r="H1873" t="n">
        <v>0</v>
      </c>
      <c r="I1873" t="n">
        <v>0</v>
      </c>
      <c r="J1873" t="n">
        <v>0</v>
      </c>
      <c r="K1873" t="n">
        <v>0</v>
      </c>
      <c r="L1873" t="n">
        <v>0</v>
      </c>
      <c r="M1873" t="n">
        <v>0</v>
      </c>
      <c r="N1873" t="n">
        <v>0</v>
      </c>
      <c r="O1873" t="n">
        <v>0</v>
      </c>
      <c r="P1873" t="n">
        <v>0</v>
      </c>
      <c r="Q1873" t="n">
        <v>0</v>
      </c>
      <c r="R1873" s="2" t="inlineStr"/>
    </row>
    <row r="1874" ht="15" customHeight="1">
      <c r="A1874" t="inlineStr">
        <is>
          <t>A 50523-2023</t>
        </is>
      </c>
      <c r="B1874" s="1" t="n">
        <v>45217</v>
      </c>
      <c r="C1874" s="1" t="n">
        <v>45828</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50608-2023</t>
        </is>
      </c>
      <c r="B1875" s="1" t="n">
        <v>45217</v>
      </c>
      <c r="C1875" s="1" t="n">
        <v>45828</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v>
      </c>
      <c r="C1876" s="1" t="n">
        <v>45828</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50852-2023</t>
        </is>
      </c>
      <c r="B1877" s="1" t="n">
        <v>45218</v>
      </c>
      <c r="C1877" s="1" t="n">
        <v>45828</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50973-2023</t>
        </is>
      </c>
      <c r="B1878" s="1" t="n">
        <v>45218</v>
      </c>
      <c r="C1878" s="1" t="n">
        <v>45828</v>
      </c>
      <c r="D1878" t="inlineStr">
        <is>
          <t>VÄRMLANDS LÄN</t>
        </is>
      </c>
      <c r="E1878" t="inlineStr">
        <is>
          <t>TORSBY</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51199-2023</t>
        </is>
      </c>
      <c r="B1879" s="1" t="n">
        <v>45219</v>
      </c>
      <c r="C1879" s="1" t="n">
        <v>45828</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51215-2023</t>
        </is>
      </c>
      <c r="B1880" s="1" t="n">
        <v>45219</v>
      </c>
      <c r="C1880" s="1" t="n">
        <v>45828</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51343-2023</t>
        </is>
      </c>
      <c r="B1881" s="1" t="n">
        <v>45219</v>
      </c>
      <c r="C1881" s="1" t="n">
        <v>45828</v>
      </c>
      <c r="D1881" t="inlineStr">
        <is>
          <t>VÄRMLANDS LÄN</t>
        </is>
      </c>
      <c r="E1881" t="inlineStr">
        <is>
          <t>TORSBY</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51386-2023</t>
        </is>
      </c>
      <c r="B1882" s="1" t="n">
        <v>45219</v>
      </c>
      <c r="C1882" s="1" t="n">
        <v>45828</v>
      </c>
      <c r="D1882" t="inlineStr">
        <is>
          <t>VÄRMLANDS LÄN</t>
        </is>
      </c>
      <c r="E1882" t="inlineStr">
        <is>
          <t>TORSBY</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51309-2023</t>
        </is>
      </c>
      <c r="B1883" s="1" t="n">
        <v>45219</v>
      </c>
      <c r="C1883" s="1" t="n">
        <v>45828</v>
      </c>
      <c r="D1883" t="inlineStr">
        <is>
          <t>VÄRMLANDS LÄN</t>
        </is>
      </c>
      <c r="E1883" t="inlineStr">
        <is>
          <t>TORSBY</t>
        </is>
      </c>
      <c r="F1883" t="inlineStr">
        <is>
          <t>Bergvik skog väst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51751-2023</t>
        </is>
      </c>
      <c r="B1884" s="1" t="n">
        <v>45222</v>
      </c>
      <c r="C1884" s="1" t="n">
        <v>45828</v>
      </c>
      <c r="D1884" t="inlineStr">
        <is>
          <t>VÄRMLANDS LÄN</t>
        </is>
      </c>
      <c r="E1884" t="inlineStr">
        <is>
          <t>TORSBY</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51788-2023</t>
        </is>
      </c>
      <c r="B1885" s="1" t="n">
        <v>45222</v>
      </c>
      <c r="C1885" s="1" t="n">
        <v>45828</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51753-2023</t>
        </is>
      </c>
      <c r="B1886" s="1" t="n">
        <v>45222</v>
      </c>
      <c r="C1886" s="1" t="n">
        <v>45828</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52078-2023</t>
        </is>
      </c>
      <c r="B1887" s="1" t="n">
        <v>45223</v>
      </c>
      <c r="C1887" s="1" t="n">
        <v>45828</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52050-2023</t>
        </is>
      </c>
      <c r="B1888" s="1" t="n">
        <v>45223</v>
      </c>
      <c r="C1888" s="1" t="n">
        <v>45828</v>
      </c>
      <c r="D1888" t="inlineStr">
        <is>
          <t>VÄRMLANDS LÄN</t>
        </is>
      </c>
      <c r="E1888" t="inlineStr">
        <is>
          <t>TORSBY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52067-2023</t>
        </is>
      </c>
      <c r="B1889" s="1" t="n">
        <v>45223</v>
      </c>
      <c r="C1889" s="1" t="n">
        <v>45828</v>
      </c>
      <c r="D1889" t="inlineStr">
        <is>
          <t>VÄRMLANDS LÄN</t>
        </is>
      </c>
      <c r="E1889" t="inlineStr">
        <is>
          <t>TORSBY</t>
        </is>
      </c>
      <c r="F1889" t="inlineStr">
        <is>
          <t>Bergvik skog väst AB</t>
        </is>
      </c>
      <c r="G1889" t="n">
        <v>40.4</v>
      </c>
      <c r="H1889" t="n">
        <v>0</v>
      </c>
      <c r="I1889" t="n">
        <v>0</v>
      </c>
      <c r="J1889" t="n">
        <v>0</v>
      </c>
      <c r="K1889" t="n">
        <v>0</v>
      </c>
      <c r="L1889" t="n">
        <v>0</v>
      </c>
      <c r="M1889" t="n">
        <v>0</v>
      </c>
      <c r="N1889" t="n">
        <v>0</v>
      </c>
      <c r="O1889" t="n">
        <v>0</v>
      </c>
      <c r="P1889" t="n">
        <v>0</v>
      </c>
      <c r="Q1889" t="n">
        <v>0</v>
      </c>
      <c r="R1889" s="2" t="inlineStr"/>
    </row>
    <row r="1890" ht="15" customHeight="1">
      <c r="A1890" t="inlineStr">
        <is>
          <t>A 53499-2023</t>
        </is>
      </c>
      <c r="B1890" s="1" t="n">
        <v>45223</v>
      </c>
      <c r="C1890" s="1" t="n">
        <v>45828</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52275-2023</t>
        </is>
      </c>
      <c r="B1891" s="1" t="n">
        <v>45224</v>
      </c>
      <c r="C1891" s="1" t="n">
        <v>45828</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52385-2023</t>
        </is>
      </c>
      <c r="B1892" s="1" t="n">
        <v>45224</v>
      </c>
      <c r="C1892" s="1" t="n">
        <v>45828</v>
      </c>
      <c r="D1892" t="inlineStr">
        <is>
          <t>VÄRMLANDS LÄN</t>
        </is>
      </c>
      <c r="E1892" t="inlineStr">
        <is>
          <t>TORSBY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45828</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52541-2023</t>
        </is>
      </c>
      <c r="B1894" s="1" t="n">
        <v>45225</v>
      </c>
      <c r="C1894" s="1" t="n">
        <v>45828</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52580-2023</t>
        </is>
      </c>
      <c r="B1895" s="1" t="n">
        <v>45225</v>
      </c>
      <c r="C1895" s="1" t="n">
        <v>45828</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52555-2023</t>
        </is>
      </c>
      <c r="B1896" s="1" t="n">
        <v>45225</v>
      </c>
      <c r="C1896" s="1" t="n">
        <v>45828</v>
      </c>
      <c r="D1896" t="inlineStr">
        <is>
          <t>VÄRMLANDS LÄN</t>
        </is>
      </c>
      <c r="E1896" t="inlineStr">
        <is>
          <t>TORSBY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52532-2023</t>
        </is>
      </c>
      <c r="B1897" s="1" t="n">
        <v>45225</v>
      </c>
      <c r="C1897" s="1" t="n">
        <v>45828</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52591-2023</t>
        </is>
      </c>
      <c r="B1898" s="1" t="n">
        <v>45225</v>
      </c>
      <c r="C1898" s="1" t="n">
        <v>45828</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52984-2023</t>
        </is>
      </c>
      <c r="B1899" s="1" t="n">
        <v>45226</v>
      </c>
      <c r="C1899" s="1" t="n">
        <v>45828</v>
      </c>
      <c r="D1899" t="inlineStr">
        <is>
          <t>VÄRMLANDS LÄN</t>
        </is>
      </c>
      <c r="E1899" t="inlineStr">
        <is>
          <t>TORSBY</t>
        </is>
      </c>
      <c r="F1899" t="inlineStr">
        <is>
          <t>Bergvik skog väst AB</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52982-2023</t>
        </is>
      </c>
      <c r="B1900" s="1" t="n">
        <v>45226</v>
      </c>
      <c r="C1900" s="1" t="n">
        <v>45828</v>
      </c>
      <c r="D1900" t="inlineStr">
        <is>
          <t>VÄRMLANDS LÄN</t>
        </is>
      </c>
      <c r="E1900" t="inlineStr">
        <is>
          <t>TORSBY</t>
        </is>
      </c>
      <c r="G1900" t="n">
        <v>35.5</v>
      </c>
      <c r="H1900" t="n">
        <v>0</v>
      </c>
      <c r="I1900" t="n">
        <v>0</v>
      </c>
      <c r="J1900" t="n">
        <v>0</v>
      </c>
      <c r="K1900" t="n">
        <v>0</v>
      </c>
      <c r="L1900" t="n">
        <v>0</v>
      </c>
      <c r="M1900" t="n">
        <v>0</v>
      </c>
      <c r="N1900" t="n">
        <v>0</v>
      </c>
      <c r="O1900" t="n">
        <v>0</v>
      </c>
      <c r="P1900" t="n">
        <v>0</v>
      </c>
      <c r="Q1900" t="n">
        <v>0</v>
      </c>
      <c r="R1900" s="2" t="inlineStr"/>
    </row>
    <row r="1901" ht="15" customHeight="1">
      <c r="A1901" t="inlineStr">
        <is>
          <t>A 52810-2023</t>
        </is>
      </c>
      <c r="B1901" s="1" t="n">
        <v>45226</v>
      </c>
      <c r="C1901" s="1" t="n">
        <v>45828</v>
      </c>
      <c r="D1901" t="inlineStr">
        <is>
          <t>VÄRMLANDS LÄN</t>
        </is>
      </c>
      <c r="E1901" t="inlineStr">
        <is>
          <t>TORSBY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53103-2023</t>
        </is>
      </c>
      <c r="B1902" s="1" t="n">
        <v>45228</v>
      </c>
      <c r="C1902" s="1" t="n">
        <v>45828</v>
      </c>
      <c r="D1902" t="inlineStr">
        <is>
          <t>VÄRMLANDS LÄN</t>
        </is>
      </c>
      <c r="E1902" t="inlineStr">
        <is>
          <t>TORSBY</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53116-2023</t>
        </is>
      </c>
      <c r="B1903" s="1" t="n">
        <v>45228</v>
      </c>
      <c r="C1903" s="1" t="n">
        <v>45828</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53346-2023</t>
        </is>
      </c>
      <c r="B1904" s="1" t="n">
        <v>45229</v>
      </c>
      <c r="C1904" s="1" t="n">
        <v>45828</v>
      </c>
      <c r="D1904" t="inlineStr">
        <is>
          <t>VÄRMLANDS LÄN</t>
        </is>
      </c>
      <c r="E1904" t="inlineStr">
        <is>
          <t>TORSBY</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54879-2023</t>
        </is>
      </c>
      <c r="B1905" s="1" t="n">
        <v>45229</v>
      </c>
      <c r="C1905" s="1" t="n">
        <v>45828</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54822-2023</t>
        </is>
      </c>
      <c r="B1906" s="1" t="n">
        <v>45229</v>
      </c>
      <c r="C1906" s="1" t="n">
        <v>45828</v>
      </c>
      <c r="D1906" t="inlineStr">
        <is>
          <t>VÄRMLANDS LÄN</t>
        </is>
      </c>
      <c r="E1906" t="inlineStr">
        <is>
          <t>TORSBY</t>
        </is>
      </c>
      <c r="F1906" t="inlineStr">
        <is>
          <t>Övriga Aktiebolag</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53557-2023</t>
        </is>
      </c>
      <c r="B1907" s="1" t="n">
        <v>45230</v>
      </c>
      <c r="C1907" s="1" t="n">
        <v>45828</v>
      </c>
      <c r="D1907" t="inlineStr">
        <is>
          <t>VÄRMLANDS LÄN</t>
        </is>
      </c>
      <c r="E1907" t="inlineStr">
        <is>
          <t>TORSBY</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53495-2023</t>
        </is>
      </c>
      <c r="B1908" s="1" t="n">
        <v>45230</v>
      </c>
      <c r="C1908" s="1" t="n">
        <v>45828</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53794-2023</t>
        </is>
      </c>
      <c r="B1909" s="1" t="n">
        <v>45231</v>
      </c>
      <c r="C1909" s="1" t="n">
        <v>45828</v>
      </c>
      <c r="D1909" t="inlineStr">
        <is>
          <t>VÄRMLANDS LÄN</t>
        </is>
      </c>
      <c r="E1909" t="inlineStr">
        <is>
          <t>TORSBY</t>
        </is>
      </c>
      <c r="G1909" t="n">
        <v>17.3</v>
      </c>
      <c r="H1909" t="n">
        <v>0</v>
      </c>
      <c r="I1909" t="n">
        <v>0</v>
      </c>
      <c r="J1909" t="n">
        <v>0</v>
      </c>
      <c r="K1909" t="n">
        <v>0</v>
      </c>
      <c r="L1909" t="n">
        <v>0</v>
      </c>
      <c r="M1909" t="n">
        <v>0</v>
      </c>
      <c r="N1909" t="n">
        <v>0</v>
      </c>
      <c r="O1909" t="n">
        <v>0</v>
      </c>
      <c r="P1909" t="n">
        <v>0</v>
      </c>
      <c r="Q1909" t="n">
        <v>0</v>
      </c>
      <c r="R1909" s="2" t="inlineStr"/>
    </row>
    <row r="1910" ht="15" customHeight="1">
      <c r="A1910" t="inlineStr">
        <is>
          <t>A 53921-2023</t>
        </is>
      </c>
      <c r="B1910" s="1" t="n">
        <v>45231</v>
      </c>
      <c r="C1910" s="1" t="n">
        <v>45828</v>
      </c>
      <c r="D1910" t="inlineStr">
        <is>
          <t>VÄRMLANDS LÄN</t>
        </is>
      </c>
      <c r="E1910" t="inlineStr">
        <is>
          <t>TORSBY</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53945-2023</t>
        </is>
      </c>
      <c r="B1911" s="1" t="n">
        <v>45231</v>
      </c>
      <c r="C1911" s="1" t="n">
        <v>45828</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53922-2023</t>
        </is>
      </c>
      <c r="B1912" s="1" t="n">
        <v>45231</v>
      </c>
      <c r="C1912" s="1" t="n">
        <v>45828</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54162-2023</t>
        </is>
      </c>
      <c r="B1913" s="1" t="n">
        <v>45232</v>
      </c>
      <c r="C1913" s="1" t="n">
        <v>45828</v>
      </c>
      <c r="D1913" t="inlineStr">
        <is>
          <t>VÄRMLANDS LÄN</t>
        </is>
      </c>
      <c r="E1913" t="inlineStr">
        <is>
          <t>TORSBY</t>
        </is>
      </c>
      <c r="F1913" t="inlineStr">
        <is>
          <t>Bergvik skog väst AB</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54262-2023</t>
        </is>
      </c>
      <c r="B1914" s="1" t="n">
        <v>45232</v>
      </c>
      <c r="C1914" s="1" t="n">
        <v>45828</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54223-2023</t>
        </is>
      </c>
      <c r="B1915" s="1" t="n">
        <v>45232</v>
      </c>
      <c r="C1915" s="1" t="n">
        <v>45828</v>
      </c>
      <c r="D1915" t="inlineStr">
        <is>
          <t>VÄRMLANDS LÄN</t>
        </is>
      </c>
      <c r="E1915" t="inlineStr">
        <is>
          <t>TORSBY</t>
        </is>
      </c>
      <c r="F1915" t="inlineStr">
        <is>
          <t>Bergvik skog väst AB</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54191-2023</t>
        </is>
      </c>
      <c r="B1916" s="1" t="n">
        <v>45232</v>
      </c>
      <c r="C1916" s="1" t="n">
        <v>45828</v>
      </c>
      <c r="D1916" t="inlineStr">
        <is>
          <t>VÄRMLANDS LÄN</t>
        </is>
      </c>
      <c r="E1916" t="inlineStr">
        <is>
          <t>TORSBY</t>
        </is>
      </c>
      <c r="F1916" t="inlineStr">
        <is>
          <t>Bergvik skog väst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54204-2023</t>
        </is>
      </c>
      <c r="B1917" s="1" t="n">
        <v>45232</v>
      </c>
      <c r="C1917" s="1" t="n">
        <v>45828</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54556-2023</t>
        </is>
      </c>
      <c r="B1918" s="1" t="n">
        <v>45233</v>
      </c>
      <c r="C1918" s="1" t="n">
        <v>45828</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54551-2023</t>
        </is>
      </c>
      <c r="B1919" s="1" t="n">
        <v>45233</v>
      </c>
      <c r="C1919" s="1" t="n">
        <v>45828</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54442-2023</t>
        </is>
      </c>
      <c r="B1920" s="1" t="n">
        <v>45233</v>
      </c>
      <c r="C1920" s="1" t="n">
        <v>45828</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54386-2023</t>
        </is>
      </c>
      <c r="B1921" s="1" t="n">
        <v>45233</v>
      </c>
      <c r="C1921" s="1" t="n">
        <v>45828</v>
      </c>
      <c r="D1921" t="inlineStr">
        <is>
          <t>VÄRMLANDS LÄN</t>
        </is>
      </c>
      <c r="E1921" t="inlineStr">
        <is>
          <t>TORSBY</t>
        </is>
      </c>
      <c r="F1921" t="inlineStr">
        <is>
          <t>Bergvik skog väst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54528-2023</t>
        </is>
      </c>
      <c r="B1922" s="1" t="n">
        <v>45233</v>
      </c>
      <c r="C1922" s="1" t="n">
        <v>45828</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54562-2023</t>
        </is>
      </c>
      <c r="B1923" s="1" t="n">
        <v>45233</v>
      </c>
      <c r="C1923" s="1" t="n">
        <v>45828</v>
      </c>
      <c r="D1923" t="inlineStr">
        <is>
          <t>VÄRMLANDS LÄN</t>
        </is>
      </c>
      <c r="E1923" t="inlineStr">
        <is>
          <t>TORSBY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54532-2023</t>
        </is>
      </c>
      <c r="B1924" s="1" t="n">
        <v>45233</v>
      </c>
      <c r="C1924" s="1" t="n">
        <v>45828</v>
      </c>
      <c r="D1924" t="inlineStr">
        <is>
          <t>VÄRMLANDS LÄN</t>
        </is>
      </c>
      <c r="E1924" t="inlineStr">
        <is>
          <t>TORSBY</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54525-2023</t>
        </is>
      </c>
      <c r="B1925" s="1" t="n">
        <v>45233</v>
      </c>
      <c r="C1925" s="1" t="n">
        <v>45828</v>
      </c>
      <c r="D1925" t="inlineStr">
        <is>
          <t>VÄRMLANDS LÄN</t>
        </is>
      </c>
      <c r="E1925" t="inlineStr">
        <is>
          <t>TORSBY</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54487-2023</t>
        </is>
      </c>
      <c r="B1926" s="1" t="n">
        <v>45233</v>
      </c>
      <c r="C1926" s="1" t="n">
        <v>45828</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54409-2023</t>
        </is>
      </c>
      <c r="B1927" s="1" t="n">
        <v>45233</v>
      </c>
      <c r="C1927" s="1" t="n">
        <v>45828</v>
      </c>
      <c r="D1927" t="inlineStr">
        <is>
          <t>VÄRMLANDS LÄN</t>
        </is>
      </c>
      <c r="E1927" t="inlineStr">
        <is>
          <t>TORSBY</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54714-2023</t>
        </is>
      </c>
      <c r="B1928" s="1" t="n">
        <v>45236</v>
      </c>
      <c r="C1928" s="1" t="n">
        <v>45828</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54766-2023</t>
        </is>
      </c>
      <c r="B1929" s="1" t="n">
        <v>45236</v>
      </c>
      <c r="C1929" s="1" t="n">
        <v>45828</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54777-2023</t>
        </is>
      </c>
      <c r="B1930" s="1" t="n">
        <v>45236</v>
      </c>
      <c r="C1930" s="1" t="n">
        <v>45828</v>
      </c>
      <c r="D1930" t="inlineStr">
        <is>
          <t>VÄRMLANDS LÄN</t>
        </is>
      </c>
      <c r="E1930" t="inlineStr">
        <is>
          <t>TORSBY</t>
        </is>
      </c>
      <c r="F1930" t="inlineStr">
        <is>
          <t>Bergvik skog väst AB</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54876-2023</t>
        </is>
      </c>
      <c r="B1931" s="1" t="n">
        <v>45236</v>
      </c>
      <c r="C1931" s="1" t="n">
        <v>45828</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54708-2023</t>
        </is>
      </c>
      <c r="B1932" s="1" t="n">
        <v>45236</v>
      </c>
      <c r="C1932" s="1" t="n">
        <v>45828</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55031-2023</t>
        </is>
      </c>
      <c r="B1933" s="1" t="n">
        <v>45237</v>
      </c>
      <c r="C1933" s="1" t="n">
        <v>45828</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55100-2023</t>
        </is>
      </c>
      <c r="B1934" s="1" t="n">
        <v>45237</v>
      </c>
      <c r="C1934" s="1" t="n">
        <v>45828</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55401-2023</t>
        </is>
      </c>
      <c r="B1935" s="1" t="n">
        <v>45238</v>
      </c>
      <c r="C1935" s="1" t="n">
        <v>45828</v>
      </c>
      <c r="D1935" t="inlineStr">
        <is>
          <t>VÄRMLANDS LÄN</t>
        </is>
      </c>
      <c r="E1935" t="inlineStr">
        <is>
          <t>TORSBY</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55461-2023</t>
        </is>
      </c>
      <c r="B1936" s="1" t="n">
        <v>45238</v>
      </c>
      <c r="C1936" s="1" t="n">
        <v>45828</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55480-2023</t>
        </is>
      </c>
      <c r="B1937" s="1" t="n">
        <v>45238</v>
      </c>
      <c r="C1937" s="1" t="n">
        <v>45828</v>
      </c>
      <c r="D1937" t="inlineStr">
        <is>
          <t>VÄRMLANDS LÄN</t>
        </is>
      </c>
      <c r="E1937" t="inlineStr">
        <is>
          <t>TORSBY</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55485-2023</t>
        </is>
      </c>
      <c r="B1938" s="1" t="n">
        <v>45238</v>
      </c>
      <c r="C1938" s="1" t="n">
        <v>45828</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55478-2023</t>
        </is>
      </c>
      <c r="B1939" s="1" t="n">
        <v>45238</v>
      </c>
      <c r="C1939" s="1" t="n">
        <v>45828</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55522-2023</t>
        </is>
      </c>
      <c r="B1940" s="1" t="n">
        <v>45238</v>
      </c>
      <c r="C1940" s="1" t="n">
        <v>45828</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55527-2023</t>
        </is>
      </c>
      <c r="B1941" s="1" t="n">
        <v>45238</v>
      </c>
      <c r="C1941" s="1" t="n">
        <v>45828</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56716-2023</t>
        </is>
      </c>
      <c r="B1942" s="1" t="n">
        <v>45238</v>
      </c>
      <c r="C1942" s="1" t="n">
        <v>45828</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56712-2023</t>
        </is>
      </c>
      <c r="B1943" s="1" t="n">
        <v>45238</v>
      </c>
      <c r="C1943" s="1" t="n">
        <v>45828</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55447-2023</t>
        </is>
      </c>
      <c r="B1944" s="1" t="n">
        <v>45238</v>
      </c>
      <c r="C1944" s="1" t="n">
        <v>45828</v>
      </c>
      <c r="D1944" t="inlineStr">
        <is>
          <t>VÄRMLANDS LÄN</t>
        </is>
      </c>
      <c r="E1944" t="inlineStr">
        <is>
          <t>TORSBY</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56714-2023</t>
        </is>
      </c>
      <c r="B1945" s="1" t="n">
        <v>45238</v>
      </c>
      <c r="C1945" s="1" t="n">
        <v>45828</v>
      </c>
      <c r="D1945" t="inlineStr">
        <is>
          <t>VÄRMLANDS LÄN</t>
        </is>
      </c>
      <c r="E1945" t="inlineStr">
        <is>
          <t>TORSBY</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55759-2023</t>
        </is>
      </c>
      <c r="B1946" s="1" t="n">
        <v>45239</v>
      </c>
      <c r="C1946" s="1" t="n">
        <v>45828</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57092-2023</t>
        </is>
      </c>
      <c r="B1947" s="1" t="n">
        <v>45239</v>
      </c>
      <c r="C1947" s="1" t="n">
        <v>45828</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57091-2023</t>
        </is>
      </c>
      <c r="B1948" s="1" t="n">
        <v>45239</v>
      </c>
      <c r="C1948" s="1" t="n">
        <v>45828</v>
      </c>
      <c r="D1948" t="inlineStr">
        <is>
          <t>VÄRMLANDS LÄN</t>
        </is>
      </c>
      <c r="E1948" t="inlineStr">
        <is>
          <t>TORSBY</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56889-2023</t>
        </is>
      </c>
      <c r="B1949" s="1" t="n">
        <v>45239</v>
      </c>
      <c r="C1949" s="1" t="n">
        <v>45828</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55727-2023</t>
        </is>
      </c>
      <c r="B1950" s="1" t="n">
        <v>45239</v>
      </c>
      <c r="C1950" s="1" t="n">
        <v>45828</v>
      </c>
      <c r="D1950" t="inlineStr">
        <is>
          <t>VÄRMLANDS LÄN</t>
        </is>
      </c>
      <c r="E1950" t="inlineStr">
        <is>
          <t>TORSBY</t>
        </is>
      </c>
      <c r="F1950" t="inlineStr">
        <is>
          <t>Bergvik skog väst AB</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56164-2023</t>
        </is>
      </c>
      <c r="B1951" s="1" t="n">
        <v>45240</v>
      </c>
      <c r="C1951" s="1" t="n">
        <v>45828</v>
      </c>
      <c r="D1951" t="inlineStr">
        <is>
          <t>VÄRMLANDS LÄN</t>
        </is>
      </c>
      <c r="E1951" t="inlineStr">
        <is>
          <t>TORSBY</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56170-2023</t>
        </is>
      </c>
      <c r="B1952" s="1" t="n">
        <v>45240</v>
      </c>
      <c r="C1952" s="1" t="n">
        <v>45828</v>
      </c>
      <c r="D1952" t="inlineStr">
        <is>
          <t>VÄRMLANDS LÄN</t>
        </is>
      </c>
      <c r="E1952" t="inlineStr">
        <is>
          <t>TORSBY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56116-2023</t>
        </is>
      </c>
      <c r="B1953" s="1" t="n">
        <v>45240</v>
      </c>
      <c r="C1953" s="1" t="n">
        <v>45828</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56021-2023</t>
        </is>
      </c>
      <c r="B1954" s="1" t="n">
        <v>45240</v>
      </c>
      <c r="C1954" s="1" t="n">
        <v>45828</v>
      </c>
      <c r="D1954" t="inlineStr">
        <is>
          <t>VÄRMLANDS LÄN</t>
        </is>
      </c>
      <c r="E1954" t="inlineStr">
        <is>
          <t>TORSBY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56426-2023</t>
        </is>
      </c>
      <c r="B1955" s="1" t="n">
        <v>45243</v>
      </c>
      <c r="C1955" s="1" t="n">
        <v>45828</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56724-2023</t>
        </is>
      </c>
      <c r="B1956" s="1" t="n">
        <v>45244</v>
      </c>
      <c r="C1956" s="1" t="n">
        <v>45828</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56880-2023</t>
        </is>
      </c>
      <c r="B1957" s="1" t="n">
        <v>45244</v>
      </c>
      <c r="C1957" s="1" t="n">
        <v>45828</v>
      </c>
      <c r="D1957" t="inlineStr">
        <is>
          <t>VÄRMLANDS LÄN</t>
        </is>
      </c>
      <c r="E1957" t="inlineStr">
        <is>
          <t>TORSBY</t>
        </is>
      </c>
      <c r="F1957" t="inlineStr">
        <is>
          <t>Övriga Aktiebolag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56881-2023</t>
        </is>
      </c>
      <c r="B1958" s="1" t="n">
        <v>45244</v>
      </c>
      <c r="C1958" s="1" t="n">
        <v>45828</v>
      </c>
      <c r="D1958" t="inlineStr">
        <is>
          <t>VÄRMLANDS LÄN</t>
        </is>
      </c>
      <c r="E1958" t="inlineStr">
        <is>
          <t>TORSBY</t>
        </is>
      </c>
      <c r="F1958" t="inlineStr">
        <is>
          <t>Övriga Aktiebolag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56875-2023</t>
        </is>
      </c>
      <c r="B1959" s="1" t="n">
        <v>45244</v>
      </c>
      <c r="C1959" s="1" t="n">
        <v>45828</v>
      </c>
      <c r="D1959" t="inlineStr">
        <is>
          <t>VÄRMLANDS LÄN</t>
        </is>
      </c>
      <c r="E1959" t="inlineStr">
        <is>
          <t>TORSBY</t>
        </is>
      </c>
      <c r="F1959" t="inlineStr">
        <is>
          <t>Övriga Aktiebolag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56811-2023</t>
        </is>
      </c>
      <c r="B1960" s="1" t="n">
        <v>45244</v>
      </c>
      <c r="C1960" s="1" t="n">
        <v>45828</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56815-2023</t>
        </is>
      </c>
      <c r="B1961" s="1" t="n">
        <v>45244</v>
      </c>
      <c r="C1961" s="1" t="n">
        <v>45828</v>
      </c>
      <c r="D1961" t="inlineStr">
        <is>
          <t>VÄRMLANDS LÄN</t>
        </is>
      </c>
      <c r="E1961" t="inlineStr">
        <is>
          <t>TORSBY</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56902-2023</t>
        </is>
      </c>
      <c r="B1962" s="1" t="n">
        <v>45244</v>
      </c>
      <c r="C1962" s="1" t="n">
        <v>45828</v>
      </c>
      <c r="D1962" t="inlineStr">
        <is>
          <t>VÄRMLANDS LÄN</t>
        </is>
      </c>
      <c r="E1962" t="inlineStr">
        <is>
          <t>TORSBY</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56970-2023</t>
        </is>
      </c>
      <c r="B1963" s="1" t="n">
        <v>45244</v>
      </c>
      <c r="C1963" s="1" t="n">
        <v>45828</v>
      </c>
      <c r="D1963" t="inlineStr">
        <is>
          <t>VÄRMLANDS LÄN</t>
        </is>
      </c>
      <c r="E1963" t="inlineStr">
        <is>
          <t>TORSBY</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57017-2023</t>
        </is>
      </c>
      <c r="B1964" s="1" t="n">
        <v>45244</v>
      </c>
      <c r="C1964" s="1" t="n">
        <v>45828</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57117-2023</t>
        </is>
      </c>
      <c r="B1965" s="1" t="n">
        <v>45245</v>
      </c>
      <c r="C1965" s="1" t="n">
        <v>45828</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57143-2023</t>
        </is>
      </c>
      <c r="B1966" s="1" t="n">
        <v>45245</v>
      </c>
      <c r="C1966" s="1" t="n">
        <v>45828</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57345-2023</t>
        </is>
      </c>
      <c r="B1967" s="1" t="n">
        <v>45245</v>
      </c>
      <c r="C1967" s="1" t="n">
        <v>45828</v>
      </c>
      <c r="D1967" t="inlineStr">
        <is>
          <t>VÄRMLANDS LÄN</t>
        </is>
      </c>
      <c r="E1967" t="inlineStr">
        <is>
          <t>TORSBY</t>
        </is>
      </c>
      <c r="F1967" t="inlineStr">
        <is>
          <t>Bergvik skog väst AB</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57135-2023</t>
        </is>
      </c>
      <c r="B1968" s="1" t="n">
        <v>45245</v>
      </c>
      <c r="C1968" s="1" t="n">
        <v>45828</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57216-2023</t>
        </is>
      </c>
      <c r="B1969" s="1" t="n">
        <v>45245</v>
      </c>
      <c r="C1969" s="1" t="n">
        <v>45828</v>
      </c>
      <c r="D1969" t="inlineStr">
        <is>
          <t>VÄRMLANDS LÄN</t>
        </is>
      </c>
      <c r="E1969" t="inlineStr">
        <is>
          <t>TORSBY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57538-2023</t>
        </is>
      </c>
      <c r="B1970" s="1" t="n">
        <v>45246</v>
      </c>
      <c r="C1970" s="1" t="n">
        <v>45828</v>
      </c>
      <c r="D1970" t="inlineStr">
        <is>
          <t>VÄRMLANDS LÄN</t>
        </is>
      </c>
      <c r="E1970" t="inlineStr">
        <is>
          <t>TORSBY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57547-2023</t>
        </is>
      </c>
      <c r="B1971" s="1" t="n">
        <v>45246</v>
      </c>
      <c r="C1971" s="1" t="n">
        <v>45828</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57569-2023</t>
        </is>
      </c>
      <c r="B1972" s="1" t="n">
        <v>45246</v>
      </c>
      <c r="C1972" s="1" t="n">
        <v>45828</v>
      </c>
      <c r="D1972" t="inlineStr">
        <is>
          <t>VÄRMLANDS LÄN</t>
        </is>
      </c>
      <c r="E1972" t="inlineStr">
        <is>
          <t>TORSBY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57647-2023</t>
        </is>
      </c>
      <c r="B1973" s="1" t="n">
        <v>45246</v>
      </c>
      <c r="C1973" s="1" t="n">
        <v>45828</v>
      </c>
      <c r="D1973" t="inlineStr">
        <is>
          <t>VÄRMLANDS LÄN</t>
        </is>
      </c>
      <c r="E1973" t="inlineStr">
        <is>
          <t>TORSBY</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57642-2023</t>
        </is>
      </c>
      <c r="B1974" s="1" t="n">
        <v>45246</v>
      </c>
      <c r="C1974" s="1" t="n">
        <v>45828</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57921-2023</t>
        </is>
      </c>
      <c r="B1975" s="1" t="n">
        <v>45247</v>
      </c>
      <c r="C1975" s="1" t="n">
        <v>45828</v>
      </c>
      <c r="D1975" t="inlineStr">
        <is>
          <t>VÄRMLANDS LÄN</t>
        </is>
      </c>
      <c r="E1975" t="inlineStr">
        <is>
          <t>TORSBY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58013-2023</t>
        </is>
      </c>
      <c r="B1976" s="1" t="n">
        <v>45247</v>
      </c>
      <c r="C1976" s="1" t="n">
        <v>45828</v>
      </c>
      <c r="D1976" t="inlineStr">
        <is>
          <t>VÄRMLANDS LÄN</t>
        </is>
      </c>
      <c r="E1976" t="inlineStr">
        <is>
          <t>TORSBY</t>
        </is>
      </c>
      <c r="F1976" t="inlineStr">
        <is>
          <t>Bergvik skog väst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57980-2023</t>
        </is>
      </c>
      <c r="B1977" s="1" t="n">
        <v>45247</v>
      </c>
      <c r="C1977" s="1" t="n">
        <v>45828</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57990-2023</t>
        </is>
      </c>
      <c r="B1978" s="1" t="n">
        <v>45247</v>
      </c>
      <c r="C1978" s="1" t="n">
        <v>45828</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58037-2023</t>
        </is>
      </c>
      <c r="B1979" s="1" t="n">
        <v>45247</v>
      </c>
      <c r="C1979" s="1" t="n">
        <v>45828</v>
      </c>
      <c r="D1979" t="inlineStr">
        <is>
          <t>VÄRMLANDS LÄN</t>
        </is>
      </c>
      <c r="E1979" t="inlineStr">
        <is>
          <t>TORSBY</t>
        </is>
      </c>
      <c r="F1979" t="inlineStr">
        <is>
          <t>Bergvik skog väst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58600-2023</t>
        </is>
      </c>
      <c r="B1980" s="1" t="n">
        <v>45247</v>
      </c>
      <c r="C1980" s="1" t="n">
        <v>45828</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58185-2023</t>
        </is>
      </c>
      <c r="B1981" s="1" t="n">
        <v>45250</v>
      </c>
      <c r="C1981" s="1" t="n">
        <v>45828</v>
      </c>
      <c r="D1981" t="inlineStr">
        <is>
          <t>VÄRMLANDS LÄN</t>
        </is>
      </c>
      <c r="E1981" t="inlineStr">
        <is>
          <t>TORSBY</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58386-2023</t>
        </is>
      </c>
      <c r="B1982" s="1" t="n">
        <v>45250</v>
      </c>
      <c r="C1982" s="1" t="n">
        <v>45828</v>
      </c>
      <c r="D1982" t="inlineStr">
        <is>
          <t>VÄRMLANDS LÄN</t>
        </is>
      </c>
      <c r="E1982" t="inlineStr">
        <is>
          <t>TORSBY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58430-2023</t>
        </is>
      </c>
      <c r="B1983" s="1" t="n">
        <v>45250</v>
      </c>
      <c r="C1983" s="1" t="n">
        <v>45828</v>
      </c>
      <c r="D1983" t="inlineStr">
        <is>
          <t>VÄRMLANDS LÄN</t>
        </is>
      </c>
      <c r="E1983" t="inlineStr">
        <is>
          <t>TORSBY</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58438-2023</t>
        </is>
      </c>
      <c r="B1984" s="1" t="n">
        <v>45250</v>
      </c>
      <c r="C1984" s="1" t="n">
        <v>45828</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58394-2023</t>
        </is>
      </c>
      <c r="B1985" s="1" t="n">
        <v>45250</v>
      </c>
      <c r="C1985" s="1" t="n">
        <v>45828</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58235-2023</t>
        </is>
      </c>
      <c r="B1986" s="1" t="n">
        <v>45250</v>
      </c>
      <c r="C1986" s="1" t="n">
        <v>45828</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58429-2023</t>
        </is>
      </c>
      <c r="B1987" s="1" t="n">
        <v>45250</v>
      </c>
      <c r="C1987" s="1" t="n">
        <v>45828</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58378-2023</t>
        </is>
      </c>
      <c r="B1988" s="1" t="n">
        <v>45250</v>
      </c>
      <c r="C1988" s="1" t="n">
        <v>45828</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58383-2023</t>
        </is>
      </c>
      <c r="B1989" s="1" t="n">
        <v>45250</v>
      </c>
      <c r="C1989" s="1" t="n">
        <v>45828</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59256-2023</t>
        </is>
      </c>
      <c r="B1990" s="1" t="n">
        <v>45251</v>
      </c>
      <c r="C1990" s="1" t="n">
        <v>45828</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59239-2023</t>
        </is>
      </c>
      <c r="B1991" s="1" t="n">
        <v>45253</v>
      </c>
      <c r="C1991" s="1" t="n">
        <v>45828</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59236-2023</t>
        </is>
      </c>
      <c r="B1992" s="1" t="n">
        <v>45253</v>
      </c>
      <c r="C1992" s="1" t="n">
        <v>45828</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59488-2023</t>
        </is>
      </c>
      <c r="B1993" s="1" t="n">
        <v>45254</v>
      </c>
      <c r="C1993" s="1" t="n">
        <v>45828</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59781-2023</t>
        </is>
      </c>
      <c r="B1994" s="1" t="n">
        <v>45257</v>
      </c>
      <c r="C1994" s="1" t="n">
        <v>45828</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59941-2023</t>
        </is>
      </c>
      <c r="B1995" s="1" t="n">
        <v>45257</v>
      </c>
      <c r="C1995" s="1" t="n">
        <v>45828</v>
      </c>
      <c r="D1995" t="inlineStr">
        <is>
          <t>VÄRMLANDS LÄN</t>
        </is>
      </c>
      <c r="E1995" t="inlineStr">
        <is>
          <t>TORSBY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59872-2023</t>
        </is>
      </c>
      <c r="B1996" s="1" t="n">
        <v>45257</v>
      </c>
      <c r="C1996" s="1" t="n">
        <v>45828</v>
      </c>
      <c r="D1996" t="inlineStr">
        <is>
          <t>VÄRMLANDS LÄN</t>
        </is>
      </c>
      <c r="E1996" t="inlineStr">
        <is>
          <t>TORSBY</t>
        </is>
      </c>
      <c r="F1996" t="inlineStr">
        <is>
          <t>Bergvik skog väst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60058-2023</t>
        </is>
      </c>
      <c r="B1997" s="1" t="n">
        <v>45258</v>
      </c>
      <c r="C1997" s="1" t="n">
        <v>45828</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60046-2023</t>
        </is>
      </c>
      <c r="B1998" s="1" t="n">
        <v>45258</v>
      </c>
      <c r="C1998" s="1" t="n">
        <v>45828</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60100-2023</t>
        </is>
      </c>
      <c r="B1999" s="1" t="n">
        <v>45258</v>
      </c>
      <c r="C1999" s="1" t="n">
        <v>45828</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60088-2023</t>
        </is>
      </c>
      <c r="B2000" s="1" t="n">
        <v>45258</v>
      </c>
      <c r="C2000" s="1" t="n">
        <v>45828</v>
      </c>
      <c r="D2000" t="inlineStr">
        <is>
          <t>VÄRMLANDS LÄN</t>
        </is>
      </c>
      <c r="E2000" t="inlineStr">
        <is>
          <t>TORSBY</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60133-2023</t>
        </is>
      </c>
      <c r="B2001" s="1" t="n">
        <v>45258</v>
      </c>
      <c r="C2001" s="1" t="n">
        <v>45828</v>
      </c>
      <c r="D2001" t="inlineStr">
        <is>
          <t>VÄRMLANDS LÄN</t>
        </is>
      </c>
      <c r="E2001" t="inlineStr">
        <is>
          <t>TORSBY</t>
        </is>
      </c>
      <c r="F2001" t="inlineStr">
        <is>
          <t>Bergvik skog väst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60314-2023</t>
        </is>
      </c>
      <c r="B2002" s="1" t="n">
        <v>45258</v>
      </c>
      <c r="C2002" s="1" t="n">
        <v>45828</v>
      </c>
      <c r="D2002" t="inlineStr">
        <is>
          <t>VÄRMLANDS LÄN</t>
        </is>
      </c>
      <c r="E2002" t="inlineStr">
        <is>
          <t>TORSBY</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60523-2023</t>
        </is>
      </c>
      <c r="B2003" s="1" t="n">
        <v>45259</v>
      </c>
      <c r="C2003" s="1" t="n">
        <v>45828</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60486-2023</t>
        </is>
      </c>
      <c r="B2004" s="1" t="n">
        <v>45259</v>
      </c>
      <c r="C2004" s="1" t="n">
        <v>45828</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60525-2023</t>
        </is>
      </c>
      <c r="B2005" s="1" t="n">
        <v>45259</v>
      </c>
      <c r="C2005" s="1" t="n">
        <v>45828</v>
      </c>
      <c r="D2005" t="inlineStr">
        <is>
          <t>VÄRMLANDS LÄN</t>
        </is>
      </c>
      <c r="E2005" t="inlineStr">
        <is>
          <t>TORSBY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61157-2023</t>
        </is>
      </c>
      <c r="B2006" s="1" t="n">
        <v>45262</v>
      </c>
      <c r="C2006" s="1" t="n">
        <v>45828</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61164-2023</t>
        </is>
      </c>
      <c r="B2007" s="1" t="n">
        <v>45262</v>
      </c>
      <c r="C2007" s="1" t="n">
        <v>45828</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61229-2023</t>
        </is>
      </c>
      <c r="B2008" s="1" t="n">
        <v>45264</v>
      </c>
      <c r="C2008" s="1" t="n">
        <v>45828</v>
      </c>
      <c r="D2008" t="inlineStr">
        <is>
          <t>VÄRMLANDS LÄN</t>
        </is>
      </c>
      <c r="E2008" t="inlineStr">
        <is>
          <t>TORSBY</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61256-2023</t>
        </is>
      </c>
      <c r="B2009" s="1" t="n">
        <v>45264</v>
      </c>
      <c r="C2009" s="1" t="n">
        <v>45828</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61370-2023</t>
        </is>
      </c>
      <c r="B2010" s="1" t="n">
        <v>45264</v>
      </c>
      <c r="C2010" s="1" t="n">
        <v>45828</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61923-2023</t>
        </is>
      </c>
      <c r="B2011" s="1" t="n">
        <v>45266</v>
      </c>
      <c r="C2011" s="1" t="n">
        <v>45828</v>
      </c>
      <c r="D2011" t="inlineStr">
        <is>
          <t>VÄRMLANDS LÄN</t>
        </is>
      </c>
      <c r="E2011" t="inlineStr">
        <is>
          <t>TORSBY</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61921-2023</t>
        </is>
      </c>
      <c r="B2012" s="1" t="n">
        <v>45266</v>
      </c>
      <c r="C2012" s="1" t="n">
        <v>45828</v>
      </c>
      <c r="D2012" t="inlineStr">
        <is>
          <t>VÄRMLANDS LÄN</t>
        </is>
      </c>
      <c r="E2012" t="inlineStr">
        <is>
          <t>TORSBY</t>
        </is>
      </c>
      <c r="F2012" t="inlineStr">
        <is>
          <t>Kommuner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62037-2023</t>
        </is>
      </c>
      <c r="B2013" s="1" t="n">
        <v>45266</v>
      </c>
      <c r="C2013" s="1" t="n">
        <v>45828</v>
      </c>
      <c r="D2013" t="inlineStr">
        <is>
          <t>VÄRMLANDS LÄN</t>
        </is>
      </c>
      <c r="E2013" t="inlineStr">
        <is>
          <t>TORSBY</t>
        </is>
      </c>
      <c r="F2013" t="inlineStr">
        <is>
          <t>Bergvik skog väst AB</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62258-2023</t>
        </is>
      </c>
      <c r="B2014" s="1" t="n">
        <v>45266</v>
      </c>
      <c r="C2014" s="1" t="n">
        <v>45828</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62250-2023</t>
        </is>
      </c>
      <c r="B2015" s="1" t="n">
        <v>45266</v>
      </c>
      <c r="C2015" s="1" t="n">
        <v>45828</v>
      </c>
      <c r="D2015" t="inlineStr">
        <is>
          <t>VÄRMLANDS LÄN</t>
        </is>
      </c>
      <c r="E2015" t="inlineStr">
        <is>
          <t>TORSBY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62274-2023</t>
        </is>
      </c>
      <c r="B2016" s="1" t="n">
        <v>45267</v>
      </c>
      <c r="C2016" s="1" t="n">
        <v>45828</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62168-2023</t>
        </is>
      </c>
      <c r="B2017" s="1" t="n">
        <v>45267</v>
      </c>
      <c r="C2017" s="1" t="n">
        <v>45828</v>
      </c>
      <c r="D2017" t="inlineStr">
        <is>
          <t>VÄRMLANDS LÄN</t>
        </is>
      </c>
      <c r="E2017" t="inlineStr">
        <is>
          <t>TORSBY</t>
        </is>
      </c>
      <c r="F2017" t="inlineStr">
        <is>
          <t>Kommuner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62210-2023</t>
        </is>
      </c>
      <c r="B2018" s="1" t="n">
        <v>45267</v>
      </c>
      <c r="C2018" s="1" t="n">
        <v>45828</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62236-2023</t>
        </is>
      </c>
      <c r="B2019" s="1" t="n">
        <v>45267</v>
      </c>
      <c r="C2019" s="1" t="n">
        <v>45828</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62240-2023</t>
        </is>
      </c>
      <c r="B2020" s="1" t="n">
        <v>45267</v>
      </c>
      <c r="C2020" s="1" t="n">
        <v>45828</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62317-2023</t>
        </is>
      </c>
      <c r="B2021" s="1" t="n">
        <v>45267</v>
      </c>
      <c r="C2021" s="1" t="n">
        <v>45828</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62507-2023</t>
        </is>
      </c>
      <c r="B2022" s="1" t="n">
        <v>45267</v>
      </c>
      <c r="C2022" s="1" t="n">
        <v>45828</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62387-2023</t>
        </is>
      </c>
      <c r="B2023" s="1" t="n">
        <v>45268</v>
      </c>
      <c r="C2023" s="1" t="n">
        <v>45828</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62445-2023</t>
        </is>
      </c>
      <c r="B2024" s="1" t="n">
        <v>45268</v>
      </c>
      <c r="C2024" s="1" t="n">
        <v>45828</v>
      </c>
      <c r="D2024" t="inlineStr">
        <is>
          <t>VÄRMLANDS LÄN</t>
        </is>
      </c>
      <c r="E2024" t="inlineStr">
        <is>
          <t>TORSBY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62510-2023</t>
        </is>
      </c>
      <c r="B2025" s="1" t="n">
        <v>45268</v>
      </c>
      <c r="C2025" s="1" t="n">
        <v>45828</v>
      </c>
      <c r="D2025" t="inlineStr">
        <is>
          <t>VÄRMLANDS LÄN</t>
        </is>
      </c>
      <c r="E2025" t="inlineStr">
        <is>
          <t>TORSBY</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62618-2023</t>
        </is>
      </c>
      <c r="B2026" s="1" t="n">
        <v>45271</v>
      </c>
      <c r="C2026" s="1" t="n">
        <v>45828</v>
      </c>
      <c r="D2026" t="inlineStr">
        <is>
          <t>VÄRMLANDS LÄN</t>
        </is>
      </c>
      <c r="E2026" t="inlineStr">
        <is>
          <t>TORSBY</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62957-2023</t>
        </is>
      </c>
      <c r="B2027" s="1" t="n">
        <v>45271</v>
      </c>
      <c r="C2027" s="1" t="n">
        <v>45828</v>
      </c>
      <c r="D2027" t="inlineStr">
        <is>
          <t>VÄRMLANDS LÄN</t>
        </is>
      </c>
      <c r="E2027" t="inlineStr">
        <is>
          <t>TORSBY</t>
        </is>
      </c>
      <c r="F2027" t="inlineStr">
        <is>
          <t>Övriga statliga verk och myndigheter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62950-2023</t>
        </is>
      </c>
      <c r="B2028" s="1" t="n">
        <v>45271</v>
      </c>
      <c r="C2028" s="1" t="n">
        <v>45828</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63030-2023</t>
        </is>
      </c>
      <c r="B2029" s="1" t="n">
        <v>45272</v>
      </c>
      <c r="C2029" s="1" t="n">
        <v>45828</v>
      </c>
      <c r="D2029" t="inlineStr">
        <is>
          <t>VÄRMLANDS LÄN</t>
        </is>
      </c>
      <c r="E2029" t="inlineStr">
        <is>
          <t>TORSBY</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63031-2023</t>
        </is>
      </c>
      <c r="B2030" s="1" t="n">
        <v>45272</v>
      </c>
      <c r="C2030" s="1" t="n">
        <v>45828</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63028-2023</t>
        </is>
      </c>
      <c r="B2031" s="1" t="n">
        <v>45272</v>
      </c>
      <c r="C2031" s="1" t="n">
        <v>45828</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63032-2023</t>
        </is>
      </c>
      <c r="B2032" s="1" t="n">
        <v>45272</v>
      </c>
      <c r="C2032" s="1" t="n">
        <v>45828</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63177-2023</t>
        </is>
      </c>
      <c r="B2033" s="1" t="n">
        <v>45272</v>
      </c>
      <c r="C2033" s="1" t="n">
        <v>45828</v>
      </c>
      <c r="D2033" t="inlineStr">
        <is>
          <t>VÄRMLANDS LÄN</t>
        </is>
      </c>
      <c r="E2033" t="inlineStr">
        <is>
          <t>TORSBY</t>
        </is>
      </c>
      <c r="G2033" t="n">
        <v>14.9</v>
      </c>
      <c r="H2033" t="n">
        <v>0</v>
      </c>
      <c r="I2033" t="n">
        <v>0</v>
      </c>
      <c r="J2033" t="n">
        <v>0</v>
      </c>
      <c r="K2033" t="n">
        <v>0</v>
      </c>
      <c r="L2033" t="n">
        <v>0</v>
      </c>
      <c r="M2033" t="n">
        <v>0</v>
      </c>
      <c r="N2033" t="n">
        <v>0</v>
      </c>
      <c r="O2033" t="n">
        <v>0</v>
      </c>
      <c r="P2033" t="n">
        <v>0</v>
      </c>
      <c r="Q2033" t="n">
        <v>0</v>
      </c>
      <c r="R2033" s="2" t="inlineStr"/>
    </row>
    <row r="2034" ht="15" customHeight="1">
      <c r="A2034" t="inlineStr">
        <is>
          <t>A 63160-2023</t>
        </is>
      </c>
      <c r="B2034" s="1" t="n">
        <v>45273</v>
      </c>
      <c r="C2034" s="1" t="n">
        <v>45828</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63146-2023</t>
        </is>
      </c>
      <c r="B2035" s="1" t="n">
        <v>45273</v>
      </c>
      <c r="C2035" s="1" t="n">
        <v>45828</v>
      </c>
      <c r="D2035" t="inlineStr">
        <is>
          <t>VÄRMLANDS LÄN</t>
        </is>
      </c>
      <c r="E2035" t="inlineStr">
        <is>
          <t>TORSBY</t>
        </is>
      </c>
      <c r="F2035" t="inlineStr">
        <is>
          <t>Bergvik skog väst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63266-2023</t>
        </is>
      </c>
      <c r="B2036" s="1" t="n">
        <v>45273</v>
      </c>
      <c r="C2036" s="1" t="n">
        <v>45828</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63083-2023</t>
        </is>
      </c>
      <c r="B2037" s="1" t="n">
        <v>45273</v>
      </c>
      <c r="C2037" s="1" t="n">
        <v>45828</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63244-2023</t>
        </is>
      </c>
      <c r="B2038" s="1" t="n">
        <v>45273</v>
      </c>
      <c r="C2038" s="1" t="n">
        <v>45828</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63158-2023</t>
        </is>
      </c>
      <c r="B2039" s="1" t="n">
        <v>45273</v>
      </c>
      <c r="C2039" s="1" t="n">
        <v>45828</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63363-2023</t>
        </is>
      </c>
      <c r="B2040" s="1" t="n">
        <v>45273</v>
      </c>
      <c r="C2040" s="1" t="n">
        <v>45828</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63399-2023</t>
        </is>
      </c>
      <c r="B2041" s="1" t="n">
        <v>45274</v>
      </c>
      <c r="C2041" s="1" t="n">
        <v>45828</v>
      </c>
      <c r="D2041" t="inlineStr">
        <is>
          <t>VÄRMLANDS LÄN</t>
        </is>
      </c>
      <c r="E2041" t="inlineStr">
        <is>
          <t>TORSBY</t>
        </is>
      </c>
      <c r="F2041" t="inlineStr">
        <is>
          <t>Bergvik skog väst AB</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63409-2023</t>
        </is>
      </c>
      <c r="B2042" s="1" t="n">
        <v>45274</v>
      </c>
      <c r="C2042" s="1" t="n">
        <v>45828</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63821-2023</t>
        </is>
      </c>
      <c r="B2043" s="1" t="n">
        <v>45275</v>
      </c>
      <c r="C2043" s="1" t="n">
        <v>45828</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63820-2023</t>
        </is>
      </c>
      <c r="B2044" s="1" t="n">
        <v>45278</v>
      </c>
      <c r="C2044" s="1" t="n">
        <v>45828</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63866-2023</t>
        </is>
      </c>
      <c r="B2045" s="1" t="n">
        <v>45278</v>
      </c>
      <c r="C2045" s="1" t="n">
        <v>45828</v>
      </c>
      <c r="D2045" t="inlineStr">
        <is>
          <t>VÄRMLANDS LÄN</t>
        </is>
      </c>
      <c r="E2045" t="inlineStr">
        <is>
          <t>TORSBY</t>
        </is>
      </c>
      <c r="F2045" t="inlineStr">
        <is>
          <t>Bergvik skog väst AB</t>
        </is>
      </c>
      <c r="G2045" t="n">
        <v>58.2</v>
      </c>
      <c r="H2045" t="n">
        <v>0</v>
      </c>
      <c r="I2045" t="n">
        <v>0</v>
      </c>
      <c r="J2045" t="n">
        <v>0</v>
      </c>
      <c r="K2045" t="n">
        <v>0</v>
      </c>
      <c r="L2045" t="n">
        <v>0</v>
      </c>
      <c r="M2045" t="n">
        <v>0</v>
      </c>
      <c r="N2045" t="n">
        <v>0</v>
      </c>
      <c r="O2045" t="n">
        <v>0</v>
      </c>
      <c r="P2045" t="n">
        <v>0</v>
      </c>
      <c r="Q2045" t="n">
        <v>0</v>
      </c>
      <c r="R2045" s="2" t="inlineStr"/>
    </row>
    <row r="2046" ht="15" customHeight="1">
      <c r="A2046" t="inlineStr">
        <is>
          <t>A 63955-2023</t>
        </is>
      </c>
      <c r="B2046" s="1" t="n">
        <v>45278</v>
      </c>
      <c r="C2046" s="1" t="n">
        <v>45828</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63967-2023</t>
        </is>
      </c>
      <c r="B2047" s="1" t="n">
        <v>45278</v>
      </c>
      <c r="C2047" s="1" t="n">
        <v>45828</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64162-2023</t>
        </is>
      </c>
      <c r="B2048" s="1" t="n">
        <v>45279</v>
      </c>
      <c r="C2048" s="1" t="n">
        <v>45828</v>
      </c>
      <c r="D2048" t="inlineStr">
        <is>
          <t>VÄRMLANDS LÄN</t>
        </is>
      </c>
      <c r="E2048" t="inlineStr">
        <is>
          <t>TORSBY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64432-2023</t>
        </is>
      </c>
      <c r="B2049" s="1" t="n">
        <v>45280</v>
      </c>
      <c r="C2049" s="1" t="n">
        <v>45828</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64389-2023</t>
        </is>
      </c>
      <c r="B2050" s="1" t="n">
        <v>45280</v>
      </c>
      <c r="C2050" s="1" t="n">
        <v>45828</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64454-2023</t>
        </is>
      </c>
      <c r="B2051" s="1" t="n">
        <v>45280</v>
      </c>
      <c r="C2051" s="1" t="n">
        <v>45828</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64395-2023</t>
        </is>
      </c>
      <c r="B2052" s="1" t="n">
        <v>45280</v>
      </c>
      <c r="C2052" s="1" t="n">
        <v>45828</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64400-2023</t>
        </is>
      </c>
      <c r="B2053" s="1" t="n">
        <v>45280</v>
      </c>
      <c r="C2053" s="1" t="n">
        <v>45828</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64429-2023</t>
        </is>
      </c>
      <c r="B2054" s="1" t="n">
        <v>45280</v>
      </c>
      <c r="C2054" s="1" t="n">
        <v>45828</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64590-2023</t>
        </is>
      </c>
      <c r="B2055" s="1" t="n">
        <v>45281</v>
      </c>
      <c r="C2055" s="1" t="n">
        <v>45828</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64602-2023</t>
        </is>
      </c>
      <c r="B2056" s="1" t="n">
        <v>45281</v>
      </c>
      <c r="C2056" s="1" t="n">
        <v>45828</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64641-2023</t>
        </is>
      </c>
      <c r="B2057" s="1" t="n">
        <v>45281</v>
      </c>
      <c r="C2057" s="1" t="n">
        <v>45828</v>
      </c>
      <c r="D2057" t="inlineStr">
        <is>
          <t>VÄRMLANDS LÄN</t>
        </is>
      </c>
      <c r="E2057" t="inlineStr">
        <is>
          <t>TORSBY</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64671-2023</t>
        </is>
      </c>
      <c r="B2058" s="1" t="n">
        <v>45281</v>
      </c>
      <c r="C2058" s="1" t="n">
        <v>45828</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64664-2023</t>
        </is>
      </c>
      <c r="B2059" s="1" t="n">
        <v>45281</v>
      </c>
      <c r="C2059" s="1" t="n">
        <v>45828</v>
      </c>
      <c r="D2059" t="inlineStr">
        <is>
          <t>VÄRMLANDS LÄN</t>
        </is>
      </c>
      <c r="E2059" t="inlineStr">
        <is>
          <t>TORSBY</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64672-2023</t>
        </is>
      </c>
      <c r="B2060" s="1" t="n">
        <v>45281</v>
      </c>
      <c r="C2060" s="1" t="n">
        <v>45828</v>
      </c>
      <c r="D2060" t="inlineStr">
        <is>
          <t>VÄRMLANDS LÄN</t>
        </is>
      </c>
      <c r="E2060" t="inlineStr">
        <is>
          <t>TORSBY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64640-2023</t>
        </is>
      </c>
      <c r="B2061" s="1" t="n">
        <v>45281</v>
      </c>
      <c r="C2061" s="1" t="n">
        <v>45828</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65081-2023</t>
        </is>
      </c>
      <c r="B2062" s="1" t="n">
        <v>45288</v>
      </c>
      <c r="C2062" s="1" t="n">
        <v>45828</v>
      </c>
      <c r="D2062" t="inlineStr">
        <is>
          <t>VÄRMLANDS LÄN</t>
        </is>
      </c>
      <c r="E2062" t="inlineStr">
        <is>
          <t>TORSBY</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65134-2023</t>
        </is>
      </c>
      <c r="B2063" s="1" t="n">
        <v>45288</v>
      </c>
      <c r="C2063" s="1" t="n">
        <v>45828</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65204-2023</t>
        </is>
      </c>
      <c r="B2064" s="1" t="n">
        <v>45289</v>
      </c>
      <c r="C2064" s="1" t="n">
        <v>45828</v>
      </c>
      <c r="D2064" t="inlineStr">
        <is>
          <t>VÄRMLANDS LÄN</t>
        </is>
      </c>
      <c r="E2064" t="inlineStr">
        <is>
          <t>TORSBY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173-2024</t>
        </is>
      </c>
      <c r="B2065" s="1" t="n">
        <v>45294</v>
      </c>
      <c r="C2065" s="1" t="n">
        <v>45828</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119-2024</t>
        </is>
      </c>
      <c r="B2066" s="1" t="n">
        <v>45294</v>
      </c>
      <c r="C2066" s="1" t="n">
        <v>45828</v>
      </c>
      <c r="D2066" t="inlineStr">
        <is>
          <t>VÄRMLANDS LÄN</t>
        </is>
      </c>
      <c r="E2066" t="inlineStr">
        <is>
          <t>TORSBY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144-2024</t>
        </is>
      </c>
      <c r="B2067" s="1" t="n">
        <v>45294</v>
      </c>
      <c r="C2067" s="1" t="n">
        <v>45828</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234-2024</t>
        </is>
      </c>
      <c r="B2068" s="1" t="n">
        <v>45294</v>
      </c>
      <c r="C2068" s="1" t="n">
        <v>45828</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176-2024</t>
        </is>
      </c>
      <c r="B2069" s="1" t="n">
        <v>45294</v>
      </c>
      <c r="C2069" s="1" t="n">
        <v>45828</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235-2024</t>
        </is>
      </c>
      <c r="B2070" s="1" t="n">
        <v>45294</v>
      </c>
      <c r="C2070" s="1" t="n">
        <v>45828</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v>
      </c>
      <c r="C2071" s="1" t="n">
        <v>45828</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266-2024</t>
        </is>
      </c>
      <c r="B2072" s="1" t="n">
        <v>45295</v>
      </c>
      <c r="C2072" s="1" t="n">
        <v>45828</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276-2024</t>
        </is>
      </c>
      <c r="B2073" s="1" t="n">
        <v>45295</v>
      </c>
      <c r="C2073" s="1" t="n">
        <v>45828</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324-2024</t>
        </is>
      </c>
      <c r="B2074" s="1" t="n">
        <v>45295</v>
      </c>
      <c r="C2074" s="1" t="n">
        <v>45828</v>
      </c>
      <c r="D2074" t="inlineStr">
        <is>
          <t>VÄRMLANDS LÄN</t>
        </is>
      </c>
      <c r="E2074" t="inlineStr">
        <is>
          <t>TORSBY</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423-2024</t>
        </is>
      </c>
      <c r="B2075" s="1" t="n">
        <v>45296</v>
      </c>
      <c r="C2075" s="1" t="n">
        <v>45828</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502-2024</t>
        </is>
      </c>
      <c r="B2076" s="1" t="n">
        <v>45299</v>
      </c>
      <c r="C2076" s="1" t="n">
        <v>45828</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737-2024</t>
        </is>
      </c>
      <c r="B2077" s="1" t="n">
        <v>45300</v>
      </c>
      <c r="C2077" s="1" t="n">
        <v>45828</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714-2024</t>
        </is>
      </c>
      <c r="B2078" s="1" t="n">
        <v>45300</v>
      </c>
      <c r="C2078" s="1" t="n">
        <v>45828</v>
      </c>
      <c r="D2078" t="inlineStr">
        <is>
          <t>VÄRMLANDS LÄN</t>
        </is>
      </c>
      <c r="E2078" t="inlineStr">
        <is>
          <t>TORSBY</t>
        </is>
      </c>
      <c r="G2078" t="n">
        <v>18.1</v>
      </c>
      <c r="H2078" t="n">
        <v>0</v>
      </c>
      <c r="I2078" t="n">
        <v>0</v>
      </c>
      <c r="J2078" t="n">
        <v>0</v>
      </c>
      <c r="K2078" t="n">
        <v>0</v>
      </c>
      <c r="L2078" t="n">
        <v>0</v>
      </c>
      <c r="M2078" t="n">
        <v>0</v>
      </c>
      <c r="N2078" t="n">
        <v>0</v>
      </c>
      <c r="O2078" t="n">
        <v>0</v>
      </c>
      <c r="P2078" t="n">
        <v>0</v>
      </c>
      <c r="Q2078" t="n">
        <v>0</v>
      </c>
      <c r="R2078" s="2" t="inlineStr"/>
    </row>
    <row r="2079" ht="15" customHeight="1">
      <c r="A2079" t="inlineStr">
        <is>
          <t>A 731-2024</t>
        </is>
      </c>
      <c r="B2079" s="1" t="n">
        <v>45300</v>
      </c>
      <c r="C2079" s="1" t="n">
        <v>45828</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924-2024</t>
        </is>
      </c>
      <c r="B2080" s="1" t="n">
        <v>45301</v>
      </c>
      <c r="C2080" s="1" t="n">
        <v>45828</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869-2024</t>
        </is>
      </c>
      <c r="B2081" s="1" t="n">
        <v>45301</v>
      </c>
      <c r="C2081" s="1" t="n">
        <v>45828</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877-2024</t>
        </is>
      </c>
      <c r="B2082" s="1" t="n">
        <v>45301</v>
      </c>
      <c r="C2082" s="1" t="n">
        <v>45828</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1001-2024</t>
        </is>
      </c>
      <c r="B2083" s="1" t="n">
        <v>45301</v>
      </c>
      <c r="C2083" s="1" t="n">
        <v>45828</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894-2024</t>
        </is>
      </c>
      <c r="B2084" s="1" t="n">
        <v>45301</v>
      </c>
      <c r="C2084" s="1" t="n">
        <v>45828</v>
      </c>
      <c r="D2084" t="inlineStr">
        <is>
          <t>VÄRMLANDS LÄN</t>
        </is>
      </c>
      <c r="E2084" t="inlineStr">
        <is>
          <t>TORSBY</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1042-2024</t>
        </is>
      </c>
      <c r="B2085" s="1" t="n">
        <v>45301</v>
      </c>
      <c r="C2085" s="1" t="n">
        <v>45828</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1046-2024</t>
        </is>
      </c>
      <c r="B2086" s="1" t="n">
        <v>45301</v>
      </c>
      <c r="C2086" s="1" t="n">
        <v>45828</v>
      </c>
      <c r="D2086" t="inlineStr">
        <is>
          <t>VÄRMLANDS LÄN</t>
        </is>
      </c>
      <c r="E2086" t="inlineStr">
        <is>
          <t>TORSBY</t>
        </is>
      </c>
      <c r="G2086" t="n">
        <v>17.5</v>
      </c>
      <c r="H2086" t="n">
        <v>0</v>
      </c>
      <c r="I2086" t="n">
        <v>0</v>
      </c>
      <c r="J2086" t="n">
        <v>0</v>
      </c>
      <c r="K2086" t="n">
        <v>0</v>
      </c>
      <c r="L2086" t="n">
        <v>0</v>
      </c>
      <c r="M2086" t="n">
        <v>0</v>
      </c>
      <c r="N2086" t="n">
        <v>0</v>
      </c>
      <c r="O2086" t="n">
        <v>0</v>
      </c>
      <c r="P2086" t="n">
        <v>0</v>
      </c>
      <c r="Q2086" t="n">
        <v>0</v>
      </c>
      <c r="R2086" s="2" t="inlineStr"/>
    </row>
    <row r="2087" ht="15" customHeight="1">
      <c r="A2087" t="inlineStr">
        <is>
          <t>A 1041-2024</t>
        </is>
      </c>
      <c r="B2087" s="1" t="n">
        <v>45301</v>
      </c>
      <c r="C2087" s="1" t="n">
        <v>45828</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1040-2024</t>
        </is>
      </c>
      <c r="B2088" s="1" t="n">
        <v>45301</v>
      </c>
      <c r="C2088" s="1" t="n">
        <v>45828</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1080-2024</t>
        </is>
      </c>
      <c r="B2089" s="1" t="n">
        <v>45302</v>
      </c>
      <c r="C2089" s="1" t="n">
        <v>45828</v>
      </c>
      <c r="D2089" t="inlineStr">
        <is>
          <t>VÄRMLANDS LÄN</t>
        </is>
      </c>
      <c r="E2089" t="inlineStr">
        <is>
          <t>TORSBY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1086-2024</t>
        </is>
      </c>
      <c r="B2090" s="1" t="n">
        <v>45302</v>
      </c>
      <c r="C2090" s="1" t="n">
        <v>45828</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1091-2024</t>
        </is>
      </c>
      <c r="B2091" s="1" t="n">
        <v>45302</v>
      </c>
      <c r="C2091" s="1" t="n">
        <v>45828</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1243-2024</t>
        </is>
      </c>
      <c r="B2092" s="1" t="n">
        <v>45302</v>
      </c>
      <c r="C2092" s="1" t="n">
        <v>45828</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1154-2024</t>
        </is>
      </c>
      <c r="B2093" s="1" t="n">
        <v>45302</v>
      </c>
      <c r="C2093" s="1" t="n">
        <v>45828</v>
      </c>
      <c r="D2093" t="inlineStr">
        <is>
          <t>VÄRMLANDS LÄN</t>
        </is>
      </c>
      <c r="E2093" t="inlineStr">
        <is>
          <t>TORSBY</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1090-2024</t>
        </is>
      </c>
      <c r="B2094" s="1" t="n">
        <v>45302</v>
      </c>
      <c r="C2094" s="1" t="n">
        <v>45828</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1094-2024</t>
        </is>
      </c>
      <c r="B2095" s="1" t="n">
        <v>45302</v>
      </c>
      <c r="C2095" s="1" t="n">
        <v>45828</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1232-2024</t>
        </is>
      </c>
      <c r="B2096" s="1" t="n">
        <v>45302</v>
      </c>
      <c r="C2096" s="1" t="n">
        <v>45828</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1236-2024</t>
        </is>
      </c>
      <c r="B2097" s="1" t="n">
        <v>45302</v>
      </c>
      <c r="C2097" s="1" t="n">
        <v>45828</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1275-2024</t>
        </is>
      </c>
      <c r="B2098" s="1" t="n">
        <v>45302</v>
      </c>
      <c r="C2098" s="1" t="n">
        <v>45828</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1363-2024</t>
        </is>
      </c>
      <c r="B2099" s="1" t="n">
        <v>45303</v>
      </c>
      <c r="C2099" s="1" t="n">
        <v>45828</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1527-2024</t>
        </is>
      </c>
      <c r="B2100" s="1" t="n">
        <v>45306</v>
      </c>
      <c r="C2100" s="1" t="n">
        <v>45828</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1522-2024</t>
        </is>
      </c>
      <c r="B2101" s="1" t="n">
        <v>45306</v>
      </c>
      <c r="C2101" s="1" t="n">
        <v>45828</v>
      </c>
      <c r="D2101" t="inlineStr">
        <is>
          <t>VÄRMLANDS LÄN</t>
        </is>
      </c>
      <c r="E2101" t="inlineStr">
        <is>
          <t>TORSBY</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1547-2024</t>
        </is>
      </c>
      <c r="B2102" s="1" t="n">
        <v>45306</v>
      </c>
      <c r="C2102" s="1" t="n">
        <v>45828</v>
      </c>
      <c r="D2102" t="inlineStr">
        <is>
          <t>VÄRMLANDS LÄN</t>
        </is>
      </c>
      <c r="E2102" t="inlineStr">
        <is>
          <t>TORSBY</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1528-2024</t>
        </is>
      </c>
      <c r="B2103" s="1" t="n">
        <v>45306</v>
      </c>
      <c r="C2103" s="1" t="n">
        <v>45828</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1637-2024</t>
        </is>
      </c>
      <c r="B2104" s="1" t="n">
        <v>45306</v>
      </c>
      <c r="C2104" s="1" t="n">
        <v>45828</v>
      </c>
      <c r="D2104" t="inlineStr">
        <is>
          <t>VÄRMLANDS LÄN</t>
        </is>
      </c>
      <c r="E2104" t="inlineStr">
        <is>
          <t>TORSBY</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1608-2024</t>
        </is>
      </c>
      <c r="B2105" s="1" t="n">
        <v>45306</v>
      </c>
      <c r="C2105" s="1" t="n">
        <v>45828</v>
      </c>
      <c r="D2105" t="inlineStr">
        <is>
          <t>VÄRMLANDS LÄN</t>
        </is>
      </c>
      <c r="E2105" t="inlineStr">
        <is>
          <t>TORSBY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1700-2024</t>
        </is>
      </c>
      <c r="B2106" s="1" t="n">
        <v>45307</v>
      </c>
      <c r="C2106" s="1" t="n">
        <v>45828</v>
      </c>
      <c r="D2106" t="inlineStr">
        <is>
          <t>VÄRMLANDS LÄN</t>
        </is>
      </c>
      <c r="E2106" t="inlineStr">
        <is>
          <t>TORSBY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1803-2024</t>
        </is>
      </c>
      <c r="B2107" s="1" t="n">
        <v>45307</v>
      </c>
      <c r="C2107" s="1" t="n">
        <v>45828</v>
      </c>
      <c r="D2107" t="inlineStr">
        <is>
          <t>VÄRMLANDS LÄN</t>
        </is>
      </c>
      <c r="E2107" t="inlineStr">
        <is>
          <t>TORSBY</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1757-2024</t>
        </is>
      </c>
      <c r="B2108" s="1" t="n">
        <v>45307</v>
      </c>
      <c r="C2108" s="1" t="n">
        <v>45828</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1970-2024</t>
        </is>
      </c>
      <c r="B2109" s="1" t="n">
        <v>45308</v>
      </c>
      <c r="C2109" s="1" t="n">
        <v>45828</v>
      </c>
      <c r="D2109" t="inlineStr">
        <is>
          <t>VÄRMLANDS LÄN</t>
        </is>
      </c>
      <c r="E2109" t="inlineStr">
        <is>
          <t>TORSBY</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2155-2024</t>
        </is>
      </c>
      <c r="B2110" s="1" t="n">
        <v>45309</v>
      </c>
      <c r="C2110" s="1" t="n">
        <v>45828</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2130-2024</t>
        </is>
      </c>
      <c r="B2111" s="1" t="n">
        <v>45309</v>
      </c>
      <c r="C2111" s="1" t="n">
        <v>45828</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2308-2024</t>
        </is>
      </c>
      <c r="B2112" s="1" t="n">
        <v>45310</v>
      </c>
      <c r="C2112" s="1" t="n">
        <v>45828</v>
      </c>
      <c r="D2112" t="inlineStr">
        <is>
          <t>VÄRMLANDS LÄN</t>
        </is>
      </c>
      <c r="E2112" t="inlineStr">
        <is>
          <t>TORSBY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2328-2024</t>
        </is>
      </c>
      <c r="B2113" s="1" t="n">
        <v>45310</v>
      </c>
      <c r="C2113" s="1" t="n">
        <v>45828</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2466-2024</t>
        </is>
      </c>
      <c r="B2114" s="1" t="n">
        <v>45313</v>
      </c>
      <c r="C2114" s="1" t="n">
        <v>45828</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2689-2024</t>
        </is>
      </c>
      <c r="B2115" s="1" t="n">
        <v>45314</v>
      </c>
      <c r="C2115" s="1" t="n">
        <v>45828</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2784-2024</t>
        </is>
      </c>
      <c r="B2116" s="1" t="n">
        <v>45314</v>
      </c>
      <c r="C2116" s="1" t="n">
        <v>45828</v>
      </c>
      <c r="D2116" t="inlineStr">
        <is>
          <t>VÄRMLANDS LÄN</t>
        </is>
      </c>
      <c r="E2116" t="inlineStr">
        <is>
          <t>TORSBY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2662-2024</t>
        </is>
      </c>
      <c r="B2117" s="1" t="n">
        <v>45314</v>
      </c>
      <c r="C2117" s="1" t="n">
        <v>45828</v>
      </c>
      <c r="D2117" t="inlineStr">
        <is>
          <t>VÄRMLANDS LÄN</t>
        </is>
      </c>
      <c r="E2117" t="inlineStr">
        <is>
          <t>TORSBY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2870-2024</t>
        </is>
      </c>
      <c r="B2118" s="1" t="n">
        <v>45315</v>
      </c>
      <c r="C2118" s="1" t="n">
        <v>45828</v>
      </c>
      <c r="D2118" t="inlineStr">
        <is>
          <t>VÄRMLANDS LÄN</t>
        </is>
      </c>
      <c r="E2118" t="inlineStr">
        <is>
          <t>TORSBY</t>
        </is>
      </c>
      <c r="F2118" t="inlineStr">
        <is>
          <t>Bergvik skog väst AB</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3106-2024</t>
        </is>
      </c>
      <c r="B2119" s="1" t="n">
        <v>45316</v>
      </c>
      <c r="C2119" s="1" t="n">
        <v>45828</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3069-2024</t>
        </is>
      </c>
      <c r="B2120" s="1" t="n">
        <v>45316</v>
      </c>
      <c r="C2120" s="1" t="n">
        <v>45828</v>
      </c>
      <c r="D2120" t="inlineStr">
        <is>
          <t>VÄRMLANDS LÄN</t>
        </is>
      </c>
      <c r="E2120" t="inlineStr">
        <is>
          <t>TORSBY</t>
        </is>
      </c>
      <c r="G2120" t="n">
        <v>14.8</v>
      </c>
      <c r="H2120" t="n">
        <v>0</v>
      </c>
      <c r="I2120" t="n">
        <v>0</v>
      </c>
      <c r="J2120" t="n">
        <v>0</v>
      </c>
      <c r="K2120" t="n">
        <v>0</v>
      </c>
      <c r="L2120" t="n">
        <v>0</v>
      </c>
      <c r="M2120" t="n">
        <v>0</v>
      </c>
      <c r="N2120" t="n">
        <v>0</v>
      </c>
      <c r="O2120" t="n">
        <v>0</v>
      </c>
      <c r="P2120" t="n">
        <v>0</v>
      </c>
      <c r="Q2120" t="n">
        <v>0</v>
      </c>
      <c r="R2120" s="2" t="inlineStr"/>
    </row>
    <row r="2121" ht="15" customHeight="1">
      <c r="A2121" t="inlineStr">
        <is>
          <t>A 3326-2024</t>
        </is>
      </c>
      <c r="B2121" s="1" t="n">
        <v>45317</v>
      </c>
      <c r="C2121" s="1" t="n">
        <v>45828</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3298-2024</t>
        </is>
      </c>
      <c r="B2122" s="1" t="n">
        <v>45317</v>
      </c>
      <c r="C2122" s="1" t="n">
        <v>45828</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3331-2024</t>
        </is>
      </c>
      <c r="B2123" s="1" t="n">
        <v>45317</v>
      </c>
      <c r="C2123" s="1" t="n">
        <v>45828</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3591-2024</t>
        </is>
      </c>
      <c r="B2124" s="1" t="n">
        <v>45320</v>
      </c>
      <c r="C2124" s="1" t="n">
        <v>45828</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3479-2024</t>
        </is>
      </c>
      <c r="B2125" s="1" t="n">
        <v>45320</v>
      </c>
      <c r="C2125" s="1" t="n">
        <v>45828</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3536-2024</t>
        </is>
      </c>
      <c r="B2126" s="1" t="n">
        <v>45320</v>
      </c>
      <c r="C2126" s="1" t="n">
        <v>45828</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3590-2024</t>
        </is>
      </c>
      <c r="B2127" s="1" t="n">
        <v>45320</v>
      </c>
      <c r="C2127" s="1" t="n">
        <v>45828</v>
      </c>
      <c r="D2127" t="inlineStr">
        <is>
          <t>VÄRMLANDS LÄN</t>
        </is>
      </c>
      <c r="E2127" t="inlineStr">
        <is>
          <t>TORSBY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3608-2024</t>
        </is>
      </c>
      <c r="B2128" s="1" t="n">
        <v>45320</v>
      </c>
      <c r="C2128" s="1" t="n">
        <v>45828</v>
      </c>
      <c r="D2128" t="inlineStr">
        <is>
          <t>VÄRMLANDS LÄN</t>
        </is>
      </c>
      <c r="E2128" t="inlineStr">
        <is>
          <t>TORSBY</t>
        </is>
      </c>
      <c r="G2128" t="n">
        <v>20.2</v>
      </c>
      <c r="H2128" t="n">
        <v>0</v>
      </c>
      <c r="I2128" t="n">
        <v>0</v>
      </c>
      <c r="J2128" t="n">
        <v>0</v>
      </c>
      <c r="K2128" t="n">
        <v>0</v>
      </c>
      <c r="L2128" t="n">
        <v>0</v>
      </c>
      <c r="M2128" t="n">
        <v>0</v>
      </c>
      <c r="N2128" t="n">
        <v>0</v>
      </c>
      <c r="O2128" t="n">
        <v>0</v>
      </c>
      <c r="P2128" t="n">
        <v>0</v>
      </c>
      <c r="Q2128" t="n">
        <v>0</v>
      </c>
      <c r="R2128" s="2" t="inlineStr"/>
    </row>
    <row r="2129" ht="15" customHeight="1">
      <c r="A2129" t="inlineStr">
        <is>
          <t>A 3678-2024</t>
        </is>
      </c>
      <c r="B2129" s="1" t="n">
        <v>45321</v>
      </c>
      <c r="C2129" s="1" t="n">
        <v>45828</v>
      </c>
      <c r="D2129" t="inlineStr">
        <is>
          <t>VÄRMLANDS LÄN</t>
        </is>
      </c>
      <c r="E2129" t="inlineStr">
        <is>
          <t>TORSBY</t>
        </is>
      </c>
      <c r="G2129" t="n">
        <v>24.6</v>
      </c>
      <c r="H2129" t="n">
        <v>0</v>
      </c>
      <c r="I2129" t="n">
        <v>0</v>
      </c>
      <c r="J2129" t="n">
        <v>0</v>
      </c>
      <c r="K2129" t="n">
        <v>0</v>
      </c>
      <c r="L2129" t="n">
        <v>0</v>
      </c>
      <c r="M2129" t="n">
        <v>0</v>
      </c>
      <c r="N2129" t="n">
        <v>0</v>
      </c>
      <c r="O2129" t="n">
        <v>0</v>
      </c>
      <c r="P2129" t="n">
        <v>0</v>
      </c>
      <c r="Q2129" t="n">
        <v>0</v>
      </c>
      <c r="R2129" s="2" t="inlineStr"/>
    </row>
    <row r="2130" ht="15" customHeight="1">
      <c r="A2130" t="inlineStr">
        <is>
          <t>A 3672-2024</t>
        </is>
      </c>
      <c r="B2130" s="1" t="n">
        <v>45321</v>
      </c>
      <c r="C2130" s="1" t="n">
        <v>45828</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3720-2024</t>
        </is>
      </c>
      <c r="B2131" s="1" t="n">
        <v>45321</v>
      </c>
      <c r="C2131" s="1" t="n">
        <v>45828</v>
      </c>
      <c r="D2131" t="inlineStr">
        <is>
          <t>VÄRMLANDS LÄN</t>
        </is>
      </c>
      <c r="E2131" t="inlineStr">
        <is>
          <t>TORSBY</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3724-2024</t>
        </is>
      </c>
      <c r="B2132" s="1" t="n">
        <v>45321</v>
      </c>
      <c r="C2132" s="1" t="n">
        <v>45828</v>
      </c>
      <c r="D2132" t="inlineStr">
        <is>
          <t>VÄRMLANDS LÄN</t>
        </is>
      </c>
      <c r="E2132" t="inlineStr">
        <is>
          <t>TORSBY</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3673-2024</t>
        </is>
      </c>
      <c r="B2133" s="1" t="n">
        <v>45321</v>
      </c>
      <c r="C2133" s="1" t="n">
        <v>45828</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3750-2024</t>
        </is>
      </c>
      <c r="B2134" s="1" t="n">
        <v>45321</v>
      </c>
      <c r="C2134" s="1" t="n">
        <v>45828</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3734-2024</t>
        </is>
      </c>
      <c r="B2135" s="1" t="n">
        <v>45321</v>
      </c>
      <c r="C2135" s="1" t="n">
        <v>45828</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3822-2024</t>
        </is>
      </c>
      <c r="B2136" s="1" t="n">
        <v>45321</v>
      </c>
      <c r="C2136" s="1" t="n">
        <v>45828</v>
      </c>
      <c r="D2136" t="inlineStr">
        <is>
          <t>VÄRMLANDS LÄN</t>
        </is>
      </c>
      <c r="E2136" t="inlineStr">
        <is>
          <t>TORSBY</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3922-2024</t>
        </is>
      </c>
      <c r="B2137" s="1" t="n">
        <v>45322</v>
      </c>
      <c r="C2137" s="1" t="n">
        <v>45828</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4030-2024</t>
        </is>
      </c>
      <c r="B2138" s="1" t="n">
        <v>45323</v>
      </c>
      <c r="C2138" s="1" t="n">
        <v>45828</v>
      </c>
      <c r="D2138" t="inlineStr">
        <is>
          <t>VÄRMLANDS LÄN</t>
        </is>
      </c>
      <c r="E2138" t="inlineStr">
        <is>
          <t>TORSBY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4070-2024</t>
        </is>
      </c>
      <c r="B2139" s="1" t="n">
        <v>45323</v>
      </c>
      <c r="C2139" s="1" t="n">
        <v>45828</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4078-2024</t>
        </is>
      </c>
      <c r="B2140" s="1" t="n">
        <v>45323</v>
      </c>
      <c r="C2140" s="1" t="n">
        <v>45828</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4231-2024</t>
        </is>
      </c>
      <c r="B2141" s="1" t="n">
        <v>45324</v>
      </c>
      <c r="C2141" s="1" t="n">
        <v>45828</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4219-2024</t>
        </is>
      </c>
      <c r="B2142" s="1" t="n">
        <v>45324</v>
      </c>
      <c r="C2142" s="1" t="n">
        <v>45828</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4908-2024</t>
        </is>
      </c>
      <c r="B2143" s="1" t="n">
        <v>45329</v>
      </c>
      <c r="C2143" s="1" t="n">
        <v>45828</v>
      </c>
      <c r="D2143" t="inlineStr">
        <is>
          <t>VÄRMLANDS LÄN</t>
        </is>
      </c>
      <c r="E2143" t="inlineStr">
        <is>
          <t>TORSBY</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4918-2024</t>
        </is>
      </c>
      <c r="B2144" s="1" t="n">
        <v>45329</v>
      </c>
      <c r="C2144" s="1" t="n">
        <v>45828</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4920-2024</t>
        </is>
      </c>
      <c r="B2145" s="1" t="n">
        <v>45329</v>
      </c>
      <c r="C2145" s="1" t="n">
        <v>45828</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4913-2024</t>
        </is>
      </c>
      <c r="B2146" s="1" t="n">
        <v>45329</v>
      </c>
      <c r="C2146" s="1" t="n">
        <v>45828</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5115-2024</t>
        </is>
      </c>
      <c r="B2147" s="1" t="n">
        <v>45330</v>
      </c>
      <c r="C2147" s="1" t="n">
        <v>45828</v>
      </c>
      <c r="D2147" t="inlineStr">
        <is>
          <t>VÄRMLANDS LÄN</t>
        </is>
      </c>
      <c r="E2147" t="inlineStr">
        <is>
          <t>TORSBY</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5351-2024</t>
        </is>
      </c>
      <c r="B2148" s="1" t="n">
        <v>45331</v>
      </c>
      <c r="C2148" s="1" t="n">
        <v>45828</v>
      </c>
      <c r="D2148" t="inlineStr">
        <is>
          <t>VÄRMLANDS LÄN</t>
        </is>
      </c>
      <c r="E2148" t="inlineStr">
        <is>
          <t>TORSBY</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5509-2024</t>
        </is>
      </c>
      <c r="B2149" s="1" t="n">
        <v>45334</v>
      </c>
      <c r="C2149" s="1" t="n">
        <v>45828</v>
      </c>
      <c r="D2149" t="inlineStr">
        <is>
          <t>VÄRMLANDS LÄN</t>
        </is>
      </c>
      <c r="E2149" t="inlineStr">
        <is>
          <t>TORSBY</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5814-2024</t>
        </is>
      </c>
      <c r="B2150" s="1" t="n">
        <v>45335</v>
      </c>
      <c r="C2150" s="1" t="n">
        <v>45828</v>
      </c>
      <c r="D2150" t="inlineStr">
        <is>
          <t>VÄRMLANDS LÄN</t>
        </is>
      </c>
      <c r="E2150" t="inlineStr">
        <is>
          <t>TORSBY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5863-2024</t>
        </is>
      </c>
      <c r="B2151" s="1" t="n">
        <v>45335</v>
      </c>
      <c r="C2151" s="1" t="n">
        <v>45828</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5948-2024</t>
        </is>
      </c>
      <c r="B2152" s="1" t="n">
        <v>45336</v>
      </c>
      <c r="C2152" s="1" t="n">
        <v>45828</v>
      </c>
      <c r="D2152" t="inlineStr">
        <is>
          <t>VÄRMLANDS LÄN</t>
        </is>
      </c>
      <c r="E2152" t="inlineStr">
        <is>
          <t>TORSBY</t>
        </is>
      </c>
      <c r="F2152" t="inlineStr">
        <is>
          <t>Bergvik skog väst AB</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6013-2024</t>
        </is>
      </c>
      <c r="B2153" s="1" t="n">
        <v>45336</v>
      </c>
      <c r="C2153" s="1" t="n">
        <v>45828</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6371-2024</t>
        </is>
      </c>
      <c r="B2154" s="1" t="n">
        <v>45338</v>
      </c>
      <c r="C2154" s="1" t="n">
        <v>45828</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6648-2024</t>
        </is>
      </c>
      <c r="B2155" s="1" t="n">
        <v>45341</v>
      </c>
      <c r="C2155" s="1" t="n">
        <v>45828</v>
      </c>
      <c r="D2155" t="inlineStr">
        <is>
          <t>VÄRMLANDS LÄN</t>
        </is>
      </c>
      <c r="E2155" t="inlineStr">
        <is>
          <t>TORSBY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6646-2024</t>
        </is>
      </c>
      <c r="B2156" s="1" t="n">
        <v>45341</v>
      </c>
      <c r="C2156" s="1" t="n">
        <v>45828</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6675-2024</t>
        </is>
      </c>
      <c r="B2157" s="1" t="n">
        <v>45341</v>
      </c>
      <c r="C2157" s="1" t="n">
        <v>45828</v>
      </c>
      <c r="D2157" t="inlineStr">
        <is>
          <t>VÄRMLANDS LÄN</t>
        </is>
      </c>
      <c r="E2157" t="inlineStr">
        <is>
          <t>TORSBY</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6828-2024</t>
        </is>
      </c>
      <c r="B2158" s="1" t="n">
        <v>45342</v>
      </c>
      <c r="C2158" s="1" t="n">
        <v>45828</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6943-2024</t>
        </is>
      </c>
      <c r="B2159" s="1" t="n">
        <v>45343</v>
      </c>
      <c r="C2159" s="1" t="n">
        <v>45828</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6942-2024</t>
        </is>
      </c>
      <c r="B2160" s="1" t="n">
        <v>45343</v>
      </c>
      <c r="C2160" s="1" t="n">
        <v>45828</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7221-2024</t>
        </is>
      </c>
      <c r="B2161" s="1" t="n">
        <v>45344</v>
      </c>
      <c r="C2161" s="1" t="n">
        <v>45828</v>
      </c>
      <c r="D2161" t="inlineStr">
        <is>
          <t>VÄRMLANDS LÄN</t>
        </is>
      </c>
      <c r="E2161" t="inlineStr">
        <is>
          <t>TORSBY</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7490-2024</t>
        </is>
      </c>
      <c r="B2162" s="1" t="n">
        <v>45346</v>
      </c>
      <c r="C2162" s="1" t="n">
        <v>45828</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7494-2024</t>
        </is>
      </c>
      <c r="B2163" s="1" t="n">
        <v>45346</v>
      </c>
      <c r="C2163" s="1" t="n">
        <v>45828</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7487-2024</t>
        </is>
      </c>
      <c r="B2164" s="1" t="n">
        <v>45346</v>
      </c>
      <c r="C2164" s="1" t="n">
        <v>45828</v>
      </c>
      <c r="D2164" t="inlineStr">
        <is>
          <t>VÄRMLANDS LÄN</t>
        </is>
      </c>
      <c r="E2164" t="inlineStr">
        <is>
          <t>TORSBY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7491-2024</t>
        </is>
      </c>
      <c r="B2165" s="1" t="n">
        <v>45346</v>
      </c>
      <c r="C2165" s="1" t="n">
        <v>45828</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7489-2024</t>
        </is>
      </c>
      <c r="B2166" s="1" t="n">
        <v>45346</v>
      </c>
      <c r="C2166" s="1" t="n">
        <v>45828</v>
      </c>
      <c r="D2166" t="inlineStr">
        <is>
          <t>VÄRMLANDS LÄN</t>
        </is>
      </c>
      <c r="E2166" t="inlineStr">
        <is>
          <t>TORSBY</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7493-2024</t>
        </is>
      </c>
      <c r="B2167" s="1" t="n">
        <v>45346</v>
      </c>
      <c r="C2167" s="1" t="n">
        <v>45828</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7488-2024</t>
        </is>
      </c>
      <c r="B2168" s="1" t="n">
        <v>45346</v>
      </c>
      <c r="C2168" s="1" t="n">
        <v>45828</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7500-2024</t>
        </is>
      </c>
      <c r="B2169" s="1" t="n">
        <v>45347</v>
      </c>
      <c r="C2169" s="1" t="n">
        <v>45828</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7651-2024</t>
        </is>
      </c>
      <c r="B2170" s="1" t="n">
        <v>45348</v>
      </c>
      <c r="C2170" s="1" t="n">
        <v>45828</v>
      </c>
      <c r="D2170" t="inlineStr">
        <is>
          <t>VÄRMLANDS LÄN</t>
        </is>
      </c>
      <c r="E2170" t="inlineStr">
        <is>
          <t>TORSBY</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7636-2024</t>
        </is>
      </c>
      <c r="B2171" s="1" t="n">
        <v>45348</v>
      </c>
      <c r="C2171" s="1" t="n">
        <v>45828</v>
      </c>
      <c r="D2171" t="inlineStr">
        <is>
          <t>VÄRMLANDS LÄN</t>
        </is>
      </c>
      <c r="E2171" t="inlineStr">
        <is>
          <t>TORSBY</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7676-2024</t>
        </is>
      </c>
      <c r="B2172" s="1" t="n">
        <v>45348</v>
      </c>
      <c r="C2172" s="1" t="n">
        <v>45828</v>
      </c>
      <c r="D2172" t="inlineStr">
        <is>
          <t>VÄRMLANDS LÄN</t>
        </is>
      </c>
      <c r="E2172" t="inlineStr">
        <is>
          <t>TORSBY</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7677-2024</t>
        </is>
      </c>
      <c r="B2173" s="1" t="n">
        <v>45348</v>
      </c>
      <c r="C2173" s="1" t="n">
        <v>45828</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7757-2024</t>
        </is>
      </c>
      <c r="B2174" s="1" t="n">
        <v>45349</v>
      </c>
      <c r="C2174" s="1" t="n">
        <v>45828</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7927-2024</t>
        </is>
      </c>
      <c r="B2175" s="1" t="n">
        <v>45350</v>
      </c>
      <c r="C2175" s="1" t="n">
        <v>45828</v>
      </c>
      <c r="D2175" t="inlineStr">
        <is>
          <t>VÄRMLANDS LÄN</t>
        </is>
      </c>
      <c r="E2175" t="inlineStr">
        <is>
          <t>TORSBY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8012-2024</t>
        </is>
      </c>
      <c r="B2176" s="1" t="n">
        <v>45350</v>
      </c>
      <c r="C2176" s="1" t="n">
        <v>45828</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8625-2024</t>
        </is>
      </c>
      <c r="B2177" s="1" t="n">
        <v>45355</v>
      </c>
      <c r="C2177" s="1" t="n">
        <v>45828</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8728-2024</t>
        </is>
      </c>
      <c r="B2178" s="1" t="n">
        <v>45356</v>
      </c>
      <c r="C2178" s="1" t="n">
        <v>45828</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8720-2024</t>
        </is>
      </c>
      <c r="B2179" s="1" t="n">
        <v>45356</v>
      </c>
      <c r="C2179" s="1" t="n">
        <v>45828</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8725-2024</t>
        </is>
      </c>
      <c r="B2180" s="1" t="n">
        <v>45356</v>
      </c>
      <c r="C2180" s="1" t="n">
        <v>45828</v>
      </c>
      <c r="D2180" t="inlineStr">
        <is>
          <t>VÄRMLANDS LÄN</t>
        </is>
      </c>
      <c r="E2180" t="inlineStr">
        <is>
          <t>TORSBY</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8719-2024</t>
        </is>
      </c>
      <c r="B2181" s="1" t="n">
        <v>45356</v>
      </c>
      <c r="C2181" s="1" t="n">
        <v>45828</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9203-2024</t>
        </is>
      </c>
      <c r="B2182" s="1" t="n">
        <v>45358</v>
      </c>
      <c r="C2182" s="1" t="n">
        <v>45828</v>
      </c>
      <c r="D2182" t="inlineStr">
        <is>
          <t>VÄRMLANDS LÄN</t>
        </is>
      </c>
      <c r="E2182" t="inlineStr">
        <is>
          <t>TORSBY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9381-2024</t>
        </is>
      </c>
      <c r="B2183" s="1" t="n">
        <v>45359</v>
      </c>
      <c r="C2183" s="1" t="n">
        <v>45828</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9764-2024</t>
        </is>
      </c>
      <c r="B2184" s="1" t="n">
        <v>45362</v>
      </c>
      <c r="C2184" s="1" t="n">
        <v>45828</v>
      </c>
      <c r="D2184" t="inlineStr">
        <is>
          <t>VÄRMLANDS LÄN</t>
        </is>
      </c>
      <c r="E2184" t="inlineStr">
        <is>
          <t>TORSBY</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9799-2024</t>
        </is>
      </c>
      <c r="B2185" s="1" t="n">
        <v>45362</v>
      </c>
      <c r="C2185" s="1" t="n">
        <v>45828</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9793-2024</t>
        </is>
      </c>
      <c r="B2186" s="1" t="n">
        <v>45362</v>
      </c>
      <c r="C2186" s="1" t="n">
        <v>45828</v>
      </c>
      <c r="D2186" t="inlineStr">
        <is>
          <t>VÄRMLANDS LÄN</t>
        </is>
      </c>
      <c r="E2186" t="inlineStr">
        <is>
          <t>TORSBY</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9797-2024</t>
        </is>
      </c>
      <c r="B2187" s="1" t="n">
        <v>45362</v>
      </c>
      <c r="C2187" s="1" t="n">
        <v>45828</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9902-2024</t>
        </is>
      </c>
      <c r="B2188" s="1" t="n">
        <v>45363</v>
      </c>
      <c r="C2188" s="1" t="n">
        <v>45828</v>
      </c>
      <c r="D2188" t="inlineStr">
        <is>
          <t>VÄRMLANDS LÄN</t>
        </is>
      </c>
      <c r="E2188" t="inlineStr">
        <is>
          <t>TORSBY</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9900-2024</t>
        </is>
      </c>
      <c r="B2189" s="1" t="n">
        <v>45363</v>
      </c>
      <c r="C2189" s="1" t="n">
        <v>45828</v>
      </c>
      <c r="D2189" t="inlineStr">
        <is>
          <t>VÄRMLANDS LÄN</t>
        </is>
      </c>
      <c r="E2189" t="inlineStr">
        <is>
          <t>TORSBY</t>
        </is>
      </c>
      <c r="G2189" t="n">
        <v>13.6</v>
      </c>
      <c r="H2189" t="n">
        <v>0</v>
      </c>
      <c r="I2189" t="n">
        <v>0</v>
      </c>
      <c r="J2189" t="n">
        <v>0</v>
      </c>
      <c r="K2189" t="n">
        <v>0</v>
      </c>
      <c r="L2189" t="n">
        <v>0</v>
      </c>
      <c r="M2189" t="n">
        <v>0</v>
      </c>
      <c r="N2189" t="n">
        <v>0</v>
      </c>
      <c r="O2189" t="n">
        <v>0</v>
      </c>
      <c r="P2189" t="n">
        <v>0</v>
      </c>
      <c r="Q2189" t="n">
        <v>0</v>
      </c>
      <c r="R2189" s="2" t="inlineStr"/>
    </row>
    <row r="2190" ht="15" customHeight="1">
      <c r="A2190" t="inlineStr">
        <is>
          <t>A 9904-2024</t>
        </is>
      </c>
      <c r="B2190" s="1" t="n">
        <v>45363</v>
      </c>
      <c r="C2190" s="1" t="n">
        <v>45828</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9908-2024</t>
        </is>
      </c>
      <c r="B2191" s="1" t="n">
        <v>45363</v>
      </c>
      <c r="C2191" s="1" t="n">
        <v>45828</v>
      </c>
      <c r="D2191" t="inlineStr">
        <is>
          <t>VÄRMLANDS LÄN</t>
        </is>
      </c>
      <c r="E2191" t="inlineStr">
        <is>
          <t>TORSBY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9912-2024</t>
        </is>
      </c>
      <c r="B2192" s="1" t="n">
        <v>45363</v>
      </c>
      <c r="C2192" s="1" t="n">
        <v>45828</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9871-2024</t>
        </is>
      </c>
      <c r="B2193" s="1" t="n">
        <v>45363</v>
      </c>
      <c r="C2193" s="1" t="n">
        <v>45828</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10011-2024</t>
        </is>
      </c>
      <c r="B2194" s="1" t="n">
        <v>45363</v>
      </c>
      <c r="C2194" s="1" t="n">
        <v>45828</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10304-2024</t>
        </is>
      </c>
      <c r="B2195" s="1" t="n">
        <v>45365</v>
      </c>
      <c r="C2195" s="1" t="n">
        <v>45828</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10372-2024</t>
        </is>
      </c>
      <c r="B2196" s="1" t="n">
        <v>45365</v>
      </c>
      <c r="C2196" s="1" t="n">
        <v>45828</v>
      </c>
      <c r="D2196" t="inlineStr">
        <is>
          <t>VÄRMLANDS LÄN</t>
        </is>
      </c>
      <c r="E2196" t="inlineStr">
        <is>
          <t>TORSBY</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10380-2024</t>
        </is>
      </c>
      <c r="B2197" s="1" t="n">
        <v>45365</v>
      </c>
      <c r="C2197" s="1" t="n">
        <v>45828</v>
      </c>
      <c r="D2197" t="inlineStr">
        <is>
          <t>VÄRMLANDS LÄN</t>
        </is>
      </c>
      <c r="E2197" t="inlineStr">
        <is>
          <t>TORSBY</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10466-2024</t>
        </is>
      </c>
      <c r="B2198" s="1" t="n">
        <v>45366</v>
      </c>
      <c r="C2198" s="1" t="n">
        <v>45828</v>
      </c>
      <c r="D2198" t="inlineStr">
        <is>
          <t>VÄRMLANDS LÄN</t>
        </is>
      </c>
      <c r="E2198" t="inlineStr">
        <is>
          <t>TORSBY</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10589-2024</t>
        </is>
      </c>
      <c r="B2199" s="1" t="n">
        <v>45366</v>
      </c>
      <c r="C2199" s="1" t="n">
        <v>45828</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10587-2024</t>
        </is>
      </c>
      <c r="B2200" s="1" t="n">
        <v>45366</v>
      </c>
      <c r="C2200" s="1" t="n">
        <v>45828</v>
      </c>
      <c r="D2200" t="inlineStr">
        <is>
          <t>VÄRMLANDS LÄN</t>
        </is>
      </c>
      <c r="E2200" t="inlineStr">
        <is>
          <t>TORSBY</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10684-2024</t>
        </is>
      </c>
      <c r="B2201" s="1" t="n">
        <v>45369</v>
      </c>
      <c r="C2201" s="1" t="n">
        <v>45828</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10895-2024</t>
        </is>
      </c>
      <c r="B2202" s="1" t="n">
        <v>45370</v>
      </c>
      <c r="C2202" s="1" t="n">
        <v>45828</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11121-2024</t>
        </is>
      </c>
      <c r="B2203" s="1" t="n">
        <v>45371</v>
      </c>
      <c r="C2203" s="1" t="n">
        <v>45828</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11153-2024</t>
        </is>
      </c>
      <c r="B2204" s="1" t="n">
        <v>45371</v>
      </c>
      <c r="C2204" s="1" t="n">
        <v>45828</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11135-2024</t>
        </is>
      </c>
      <c r="B2205" s="1" t="n">
        <v>45371</v>
      </c>
      <c r="C2205" s="1" t="n">
        <v>45828</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11143-2024</t>
        </is>
      </c>
      <c r="B2206" s="1" t="n">
        <v>45371</v>
      </c>
      <c r="C2206" s="1" t="n">
        <v>45828</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11187-2024</t>
        </is>
      </c>
      <c r="B2207" s="1" t="n">
        <v>45371</v>
      </c>
      <c r="C2207" s="1" t="n">
        <v>45828</v>
      </c>
      <c r="D2207" t="inlineStr">
        <is>
          <t>VÄRMLANDS LÄN</t>
        </is>
      </c>
      <c r="E2207" t="inlineStr">
        <is>
          <t>TORSBY</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11211-2024</t>
        </is>
      </c>
      <c r="B2208" s="1" t="n">
        <v>45371</v>
      </c>
      <c r="C2208" s="1" t="n">
        <v>45828</v>
      </c>
      <c r="D2208" t="inlineStr">
        <is>
          <t>VÄRMLANDS LÄN</t>
        </is>
      </c>
      <c r="E2208" t="inlineStr">
        <is>
          <t>TORSBY</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11227-2024</t>
        </is>
      </c>
      <c r="B2209" s="1" t="n">
        <v>45371</v>
      </c>
      <c r="C2209" s="1" t="n">
        <v>45828</v>
      </c>
      <c r="D2209" t="inlineStr">
        <is>
          <t>VÄRMLANDS LÄN</t>
        </is>
      </c>
      <c r="E2209" t="inlineStr">
        <is>
          <t>TORSBY</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11235-2024</t>
        </is>
      </c>
      <c r="B2210" s="1" t="n">
        <v>45371</v>
      </c>
      <c r="C2210" s="1" t="n">
        <v>45828</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11214-2024</t>
        </is>
      </c>
      <c r="B2211" s="1" t="n">
        <v>45371</v>
      </c>
      <c r="C2211" s="1" t="n">
        <v>45828</v>
      </c>
      <c r="D2211" t="inlineStr">
        <is>
          <t>VÄRMLANDS LÄN</t>
        </is>
      </c>
      <c r="E2211" t="inlineStr">
        <is>
          <t>TORSBY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11222-2024</t>
        </is>
      </c>
      <c r="B2212" s="1" t="n">
        <v>45371</v>
      </c>
      <c r="C2212" s="1" t="n">
        <v>45828</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11242-2024</t>
        </is>
      </c>
      <c r="B2213" s="1" t="n">
        <v>45371</v>
      </c>
      <c r="C2213" s="1" t="n">
        <v>45828</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11253-2024</t>
        </is>
      </c>
      <c r="B2214" s="1" t="n">
        <v>45371</v>
      </c>
      <c r="C2214" s="1" t="n">
        <v>45828</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11259-2024</t>
        </is>
      </c>
      <c r="B2215" s="1" t="n">
        <v>45371</v>
      </c>
      <c r="C2215" s="1" t="n">
        <v>45828</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11172-2024</t>
        </is>
      </c>
      <c r="B2216" s="1" t="n">
        <v>45371</v>
      </c>
      <c r="C2216" s="1" t="n">
        <v>45828</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11380-2024</t>
        </is>
      </c>
      <c r="B2217" s="1" t="n">
        <v>45372</v>
      </c>
      <c r="C2217" s="1" t="n">
        <v>45828</v>
      </c>
      <c r="D2217" t="inlineStr">
        <is>
          <t>VÄRMLANDS LÄN</t>
        </is>
      </c>
      <c r="E2217" t="inlineStr">
        <is>
          <t>TORSBY</t>
        </is>
      </c>
      <c r="F2217" t="inlineStr">
        <is>
          <t>Bergvik skog väst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11575-2024</t>
        </is>
      </c>
      <c r="B2218" s="1" t="n">
        <v>45373</v>
      </c>
      <c r="C2218" s="1" t="n">
        <v>45828</v>
      </c>
      <c r="D2218" t="inlineStr">
        <is>
          <t>VÄRMLANDS LÄN</t>
        </is>
      </c>
      <c r="E2218" t="inlineStr">
        <is>
          <t>TORSBY</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11706-2024</t>
        </is>
      </c>
      <c r="B2219" s="1" t="n">
        <v>45373</v>
      </c>
      <c r="C2219" s="1" t="n">
        <v>45828</v>
      </c>
      <c r="D2219" t="inlineStr">
        <is>
          <t>VÄRMLANDS LÄN</t>
        </is>
      </c>
      <c r="E2219" t="inlineStr">
        <is>
          <t>TORSBY</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11776-2024</t>
        </is>
      </c>
      <c r="B2220" s="1" t="n">
        <v>45374</v>
      </c>
      <c r="C2220" s="1" t="n">
        <v>45828</v>
      </c>
      <c r="D2220" t="inlineStr">
        <is>
          <t>VÄRMLANDS LÄN</t>
        </is>
      </c>
      <c r="E2220" t="inlineStr">
        <is>
          <t>TORSBY</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11814-2024</t>
        </is>
      </c>
      <c r="B2221" s="1" t="n">
        <v>45376</v>
      </c>
      <c r="C2221" s="1" t="n">
        <v>45828</v>
      </c>
      <c r="D2221" t="inlineStr">
        <is>
          <t>VÄRMLANDS LÄN</t>
        </is>
      </c>
      <c r="E2221" t="inlineStr">
        <is>
          <t>TORSBY</t>
        </is>
      </c>
      <c r="F2221" t="inlineStr">
        <is>
          <t>Bergvik skog väst AB</t>
        </is>
      </c>
      <c r="G2221" t="n">
        <v>19.9</v>
      </c>
      <c r="H2221" t="n">
        <v>0</v>
      </c>
      <c r="I2221" t="n">
        <v>0</v>
      </c>
      <c r="J2221" t="n">
        <v>0</v>
      </c>
      <c r="K2221" t="n">
        <v>0</v>
      </c>
      <c r="L2221" t="n">
        <v>0</v>
      </c>
      <c r="M2221" t="n">
        <v>0</v>
      </c>
      <c r="N2221" t="n">
        <v>0</v>
      </c>
      <c r="O2221" t="n">
        <v>0</v>
      </c>
      <c r="P2221" t="n">
        <v>0</v>
      </c>
      <c r="Q2221" t="n">
        <v>0</v>
      </c>
      <c r="R2221" s="2" t="inlineStr"/>
    </row>
    <row r="2222" ht="15" customHeight="1">
      <c r="A2222" t="inlineStr">
        <is>
          <t>A 11850-2024</t>
        </is>
      </c>
      <c r="B2222" s="1" t="n">
        <v>45376</v>
      </c>
      <c r="C2222" s="1" t="n">
        <v>45828</v>
      </c>
      <c r="D2222" t="inlineStr">
        <is>
          <t>VÄRMLANDS LÄN</t>
        </is>
      </c>
      <c r="E2222" t="inlineStr">
        <is>
          <t>TORSBY</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11878-2024</t>
        </is>
      </c>
      <c r="B2223" s="1" t="n">
        <v>45376</v>
      </c>
      <c r="C2223" s="1" t="n">
        <v>45828</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12104-2024</t>
        </is>
      </c>
      <c r="B2224" s="1" t="n">
        <v>45377</v>
      </c>
      <c r="C2224" s="1" t="n">
        <v>45828</v>
      </c>
      <c r="D2224" t="inlineStr">
        <is>
          <t>VÄRMLANDS LÄN</t>
        </is>
      </c>
      <c r="E2224" t="inlineStr">
        <is>
          <t>TORSBY</t>
        </is>
      </c>
      <c r="F2224" t="inlineStr">
        <is>
          <t>Bergvik skog väst AB</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12107-2024</t>
        </is>
      </c>
      <c r="B2225" s="1" t="n">
        <v>45377</v>
      </c>
      <c r="C2225" s="1" t="n">
        <v>45828</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12051-2024</t>
        </is>
      </c>
      <c r="B2226" s="1" t="n">
        <v>45377</v>
      </c>
      <c r="C2226" s="1" t="n">
        <v>45828</v>
      </c>
      <c r="D2226" t="inlineStr">
        <is>
          <t>VÄRMLANDS LÄN</t>
        </is>
      </c>
      <c r="E2226" t="inlineStr">
        <is>
          <t>TORSBY</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12509-2024</t>
        </is>
      </c>
      <c r="B2227" s="1" t="n">
        <v>45379</v>
      </c>
      <c r="C2227" s="1" t="n">
        <v>45828</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12503-2024</t>
        </is>
      </c>
      <c r="B2228" s="1" t="n">
        <v>45379</v>
      </c>
      <c r="C2228" s="1" t="n">
        <v>45828</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12684-2024</t>
        </is>
      </c>
      <c r="B2229" s="1" t="n">
        <v>45384</v>
      </c>
      <c r="C2229" s="1" t="n">
        <v>45828</v>
      </c>
      <c r="D2229" t="inlineStr">
        <is>
          <t>VÄRMLANDS LÄN</t>
        </is>
      </c>
      <c r="E2229" t="inlineStr">
        <is>
          <t>TORSBY</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12701-2024</t>
        </is>
      </c>
      <c r="B2230" s="1" t="n">
        <v>45384</v>
      </c>
      <c r="C2230" s="1" t="n">
        <v>45828</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12989-2024</t>
        </is>
      </c>
      <c r="B2231" s="1" t="n">
        <v>45385</v>
      </c>
      <c r="C2231" s="1" t="n">
        <v>45828</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13211-2024</t>
        </is>
      </c>
      <c r="B2232" s="1" t="n">
        <v>45386</v>
      </c>
      <c r="C2232" s="1" t="n">
        <v>45828</v>
      </c>
      <c r="D2232" t="inlineStr">
        <is>
          <t>VÄRMLANDS LÄN</t>
        </is>
      </c>
      <c r="E2232" t="inlineStr">
        <is>
          <t>TORSBY</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13262-2024</t>
        </is>
      </c>
      <c r="B2233" s="1" t="n">
        <v>45386</v>
      </c>
      <c r="C2233" s="1" t="n">
        <v>45828</v>
      </c>
      <c r="D2233" t="inlineStr">
        <is>
          <t>VÄRMLANDS LÄN</t>
        </is>
      </c>
      <c r="E2233" t="inlineStr">
        <is>
          <t>TORSBY</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13186-2024</t>
        </is>
      </c>
      <c r="B2234" s="1" t="n">
        <v>45386</v>
      </c>
      <c r="C2234" s="1" t="n">
        <v>45828</v>
      </c>
      <c r="D2234" t="inlineStr">
        <is>
          <t>VÄRMLANDS LÄN</t>
        </is>
      </c>
      <c r="E2234" t="inlineStr">
        <is>
          <t>TORSBY</t>
        </is>
      </c>
      <c r="F2234" t="inlineStr">
        <is>
          <t>Bergvik skog väst AB</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13206-2024</t>
        </is>
      </c>
      <c r="B2235" s="1" t="n">
        <v>45386</v>
      </c>
      <c r="C2235" s="1" t="n">
        <v>45828</v>
      </c>
      <c r="D2235" t="inlineStr">
        <is>
          <t>VÄRMLANDS LÄN</t>
        </is>
      </c>
      <c r="E2235" t="inlineStr">
        <is>
          <t>TORSBY</t>
        </is>
      </c>
      <c r="F2235" t="inlineStr">
        <is>
          <t>Bergvik skog väst AB</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13435-2024</t>
        </is>
      </c>
      <c r="B2236" s="1" t="n">
        <v>45387</v>
      </c>
      <c r="C2236" s="1" t="n">
        <v>45828</v>
      </c>
      <c r="D2236" t="inlineStr">
        <is>
          <t>VÄRMLANDS LÄN</t>
        </is>
      </c>
      <c r="E2236" t="inlineStr">
        <is>
          <t>TORSBY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13619-2024</t>
        </is>
      </c>
      <c r="B2237" s="1" t="n">
        <v>45390</v>
      </c>
      <c r="C2237" s="1" t="n">
        <v>45828</v>
      </c>
      <c r="D2237" t="inlineStr">
        <is>
          <t>VÄRMLANDS LÄN</t>
        </is>
      </c>
      <c r="E2237" t="inlineStr">
        <is>
          <t>TORSBY</t>
        </is>
      </c>
      <c r="F2237" t="inlineStr">
        <is>
          <t>Bergvik skog väst AB</t>
        </is>
      </c>
      <c r="G2237" t="n">
        <v>25.7</v>
      </c>
      <c r="H2237" t="n">
        <v>0</v>
      </c>
      <c r="I2237" t="n">
        <v>0</v>
      </c>
      <c r="J2237" t="n">
        <v>0</v>
      </c>
      <c r="K2237" t="n">
        <v>0</v>
      </c>
      <c r="L2237" t="n">
        <v>0</v>
      </c>
      <c r="M2237" t="n">
        <v>0</v>
      </c>
      <c r="N2237" t="n">
        <v>0</v>
      </c>
      <c r="O2237" t="n">
        <v>0</v>
      </c>
      <c r="P2237" t="n">
        <v>0</v>
      </c>
      <c r="Q2237" t="n">
        <v>0</v>
      </c>
      <c r="R2237" s="2" t="inlineStr"/>
    </row>
    <row r="2238" ht="15" customHeight="1">
      <c r="A2238" t="inlineStr">
        <is>
          <t>A 13848-2024</t>
        </is>
      </c>
      <c r="B2238" s="1" t="n">
        <v>45390</v>
      </c>
      <c r="C2238" s="1" t="n">
        <v>45828</v>
      </c>
      <c r="D2238" t="inlineStr">
        <is>
          <t>VÄRMLANDS LÄN</t>
        </is>
      </c>
      <c r="E2238" t="inlineStr">
        <is>
          <t>TORSBY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13847-2024</t>
        </is>
      </c>
      <c r="B2239" s="1" t="n">
        <v>45390</v>
      </c>
      <c r="C2239" s="1" t="n">
        <v>45828</v>
      </c>
      <c r="D2239" t="inlineStr">
        <is>
          <t>VÄRMLANDS LÄN</t>
        </is>
      </c>
      <c r="E2239" t="inlineStr">
        <is>
          <t>TORSBY</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13797-2024</t>
        </is>
      </c>
      <c r="B2240" s="1" t="n">
        <v>45391</v>
      </c>
      <c r="C2240" s="1" t="n">
        <v>45828</v>
      </c>
      <c r="D2240" t="inlineStr">
        <is>
          <t>VÄRMLANDS LÄN</t>
        </is>
      </c>
      <c r="E2240" t="inlineStr">
        <is>
          <t>TORSBY</t>
        </is>
      </c>
      <c r="F2240" t="inlineStr">
        <is>
          <t>Bergvik skog väst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14023-2024</t>
        </is>
      </c>
      <c r="B2241" s="1" t="n">
        <v>45392</v>
      </c>
      <c r="C2241" s="1" t="n">
        <v>45828</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13965-2024</t>
        </is>
      </c>
      <c r="B2242" s="1" t="n">
        <v>45392</v>
      </c>
      <c r="C2242" s="1" t="n">
        <v>45828</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14052-2024</t>
        </is>
      </c>
      <c r="B2243" s="1" t="n">
        <v>45392</v>
      </c>
      <c r="C2243" s="1" t="n">
        <v>45828</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14063-2024</t>
        </is>
      </c>
      <c r="B2244" s="1" t="n">
        <v>45392</v>
      </c>
      <c r="C2244" s="1" t="n">
        <v>45828</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14283-2024</t>
        </is>
      </c>
      <c r="B2245" s="1" t="n">
        <v>45393</v>
      </c>
      <c r="C2245" s="1" t="n">
        <v>45828</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14440-2024</t>
        </is>
      </c>
      <c r="B2246" s="1" t="n">
        <v>45394</v>
      </c>
      <c r="C2246" s="1" t="n">
        <v>45828</v>
      </c>
      <c r="D2246" t="inlineStr">
        <is>
          <t>VÄRMLANDS LÄN</t>
        </is>
      </c>
      <c r="E2246" t="inlineStr">
        <is>
          <t>TORSBY</t>
        </is>
      </c>
      <c r="F2246" t="inlineStr">
        <is>
          <t>Bergvik skog väst AB</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14393-2024</t>
        </is>
      </c>
      <c r="B2247" s="1" t="n">
        <v>45394</v>
      </c>
      <c r="C2247" s="1" t="n">
        <v>45828</v>
      </c>
      <c r="D2247" t="inlineStr">
        <is>
          <t>VÄRMLANDS LÄN</t>
        </is>
      </c>
      <c r="E2247" t="inlineStr">
        <is>
          <t>TORSBY</t>
        </is>
      </c>
      <c r="F2247" t="inlineStr">
        <is>
          <t>Bergvik skog väst AB</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14453-2024</t>
        </is>
      </c>
      <c r="B2248" s="1" t="n">
        <v>45394</v>
      </c>
      <c r="C2248" s="1" t="n">
        <v>45828</v>
      </c>
      <c r="D2248" t="inlineStr">
        <is>
          <t>VÄRMLANDS LÄN</t>
        </is>
      </c>
      <c r="E2248" t="inlineStr">
        <is>
          <t>TORSBY</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14730-2024</t>
        </is>
      </c>
      <c r="B2249" s="1" t="n">
        <v>45397</v>
      </c>
      <c r="C2249" s="1" t="n">
        <v>45828</v>
      </c>
      <c r="D2249" t="inlineStr">
        <is>
          <t>VÄRMLANDS LÄN</t>
        </is>
      </c>
      <c r="E2249" t="inlineStr">
        <is>
          <t>TORSBY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14763-2024</t>
        </is>
      </c>
      <c r="B2250" s="1" t="n">
        <v>45397</v>
      </c>
      <c r="C2250" s="1" t="n">
        <v>45828</v>
      </c>
      <c r="D2250" t="inlineStr">
        <is>
          <t>VÄRMLANDS LÄN</t>
        </is>
      </c>
      <c r="E2250" t="inlineStr">
        <is>
          <t>TORSBY</t>
        </is>
      </c>
      <c r="F2250" t="inlineStr">
        <is>
          <t>Bergvik skog väst AB</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14872-2024</t>
        </is>
      </c>
      <c r="B2251" s="1" t="n">
        <v>45398</v>
      </c>
      <c r="C2251" s="1" t="n">
        <v>45828</v>
      </c>
      <c r="D2251" t="inlineStr">
        <is>
          <t>VÄRMLANDS LÄN</t>
        </is>
      </c>
      <c r="E2251" t="inlineStr">
        <is>
          <t>TORSBY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14831-2024</t>
        </is>
      </c>
      <c r="B2252" s="1" t="n">
        <v>45398</v>
      </c>
      <c r="C2252" s="1" t="n">
        <v>45828</v>
      </c>
      <c r="D2252" t="inlineStr">
        <is>
          <t>VÄRMLANDS LÄN</t>
        </is>
      </c>
      <c r="E2252" t="inlineStr">
        <is>
          <t>TORSBY</t>
        </is>
      </c>
      <c r="F2252" t="inlineStr">
        <is>
          <t>Bergvik skog väst AB</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14949-2024</t>
        </is>
      </c>
      <c r="B2253" s="1" t="n">
        <v>45398</v>
      </c>
      <c r="C2253" s="1" t="n">
        <v>45828</v>
      </c>
      <c r="D2253" t="inlineStr">
        <is>
          <t>VÄRMLANDS LÄN</t>
        </is>
      </c>
      <c r="E2253" t="inlineStr">
        <is>
          <t>TORSBY</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14882-2024</t>
        </is>
      </c>
      <c r="B2254" s="1" t="n">
        <v>45398</v>
      </c>
      <c r="C2254" s="1" t="n">
        <v>45828</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14860-2024</t>
        </is>
      </c>
      <c r="B2255" s="1" t="n">
        <v>45398</v>
      </c>
      <c r="C2255" s="1" t="n">
        <v>45828</v>
      </c>
      <c r="D2255" t="inlineStr">
        <is>
          <t>VÄRMLANDS LÄN</t>
        </is>
      </c>
      <c r="E2255" t="inlineStr">
        <is>
          <t>TORSBY</t>
        </is>
      </c>
      <c r="F2255" t="inlineStr">
        <is>
          <t>Kyrkan</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15083-2024</t>
        </is>
      </c>
      <c r="B2256" s="1" t="n">
        <v>45399</v>
      </c>
      <c r="C2256" s="1" t="n">
        <v>45828</v>
      </c>
      <c r="D2256" t="inlineStr">
        <is>
          <t>VÄRMLANDS LÄN</t>
        </is>
      </c>
      <c r="E2256" t="inlineStr">
        <is>
          <t>TORSBY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15052-2024</t>
        </is>
      </c>
      <c r="B2257" s="1" t="n">
        <v>45399</v>
      </c>
      <c r="C2257" s="1" t="n">
        <v>45828</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15064-2024</t>
        </is>
      </c>
      <c r="B2258" s="1" t="n">
        <v>45399</v>
      </c>
      <c r="C2258" s="1" t="n">
        <v>45828</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15101-2024</t>
        </is>
      </c>
      <c r="B2259" s="1" t="n">
        <v>45399</v>
      </c>
      <c r="C2259" s="1" t="n">
        <v>45828</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15061-2024</t>
        </is>
      </c>
      <c r="B2260" s="1" t="n">
        <v>45399</v>
      </c>
      <c r="C2260" s="1" t="n">
        <v>45828</v>
      </c>
      <c r="D2260" t="inlineStr">
        <is>
          <t>VÄRMLANDS LÄN</t>
        </is>
      </c>
      <c r="E2260" t="inlineStr">
        <is>
          <t>TORSBY</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15126-2024</t>
        </is>
      </c>
      <c r="B2261" s="1" t="n">
        <v>45399</v>
      </c>
      <c r="C2261" s="1" t="n">
        <v>45828</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15127-2024</t>
        </is>
      </c>
      <c r="B2262" s="1" t="n">
        <v>45399</v>
      </c>
      <c r="C2262" s="1" t="n">
        <v>45828</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15182-2024</t>
        </is>
      </c>
      <c r="B2263" s="1" t="n">
        <v>45400</v>
      </c>
      <c r="C2263" s="1" t="n">
        <v>45828</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15180-2024</t>
        </is>
      </c>
      <c r="B2264" s="1" t="n">
        <v>45400</v>
      </c>
      <c r="C2264" s="1" t="n">
        <v>45828</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15222-2024</t>
        </is>
      </c>
      <c r="B2265" s="1" t="n">
        <v>45400</v>
      </c>
      <c r="C2265" s="1" t="n">
        <v>45828</v>
      </c>
      <c r="D2265" t="inlineStr">
        <is>
          <t>VÄRMLANDS LÄN</t>
        </is>
      </c>
      <c r="E2265" t="inlineStr">
        <is>
          <t>TORSBY</t>
        </is>
      </c>
      <c r="F2265" t="inlineStr">
        <is>
          <t>Bergvik skog väst AB</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15274-2024</t>
        </is>
      </c>
      <c r="B2266" s="1" t="n">
        <v>45400</v>
      </c>
      <c r="C2266" s="1" t="n">
        <v>45828</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15293-2024</t>
        </is>
      </c>
      <c r="B2267" s="1" t="n">
        <v>45400</v>
      </c>
      <c r="C2267" s="1" t="n">
        <v>45828</v>
      </c>
      <c r="D2267" t="inlineStr">
        <is>
          <t>VÄRMLANDS LÄN</t>
        </is>
      </c>
      <c r="E2267" t="inlineStr">
        <is>
          <t>TORSBY</t>
        </is>
      </c>
      <c r="F2267" t="inlineStr">
        <is>
          <t>Bergvik skog väst AB</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15175-2024</t>
        </is>
      </c>
      <c r="B2268" s="1" t="n">
        <v>45400</v>
      </c>
      <c r="C2268" s="1" t="n">
        <v>45828</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15315-2024</t>
        </is>
      </c>
      <c r="B2269" s="1" t="n">
        <v>45400</v>
      </c>
      <c r="C2269" s="1" t="n">
        <v>45828</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15320-2024</t>
        </is>
      </c>
      <c r="B2270" s="1" t="n">
        <v>45400</v>
      </c>
      <c r="C2270" s="1" t="n">
        <v>45828</v>
      </c>
      <c r="D2270" t="inlineStr">
        <is>
          <t>VÄRMLANDS LÄN</t>
        </is>
      </c>
      <c r="E2270" t="inlineStr">
        <is>
          <t>TORSBY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15425-2024</t>
        </is>
      </c>
      <c r="B2271" s="1" t="n">
        <v>45401</v>
      </c>
      <c r="C2271" s="1" t="n">
        <v>45828</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15503-2024</t>
        </is>
      </c>
      <c r="B2272" s="1" t="n">
        <v>45401</v>
      </c>
      <c r="C2272" s="1" t="n">
        <v>45828</v>
      </c>
      <c r="D2272" t="inlineStr">
        <is>
          <t>VÄRMLANDS LÄN</t>
        </is>
      </c>
      <c r="E2272" t="inlineStr">
        <is>
          <t>TORSBY</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15465-2024</t>
        </is>
      </c>
      <c r="B2273" s="1" t="n">
        <v>45401</v>
      </c>
      <c r="C2273" s="1" t="n">
        <v>45828</v>
      </c>
      <c r="D2273" t="inlineStr">
        <is>
          <t>VÄRMLANDS LÄN</t>
        </is>
      </c>
      <c r="E2273" t="inlineStr">
        <is>
          <t>TORSBY</t>
        </is>
      </c>
      <c r="F2273" t="inlineStr">
        <is>
          <t>Bergvik skog väst AB</t>
        </is>
      </c>
      <c r="G2273" t="n">
        <v>24.6</v>
      </c>
      <c r="H2273" t="n">
        <v>0</v>
      </c>
      <c r="I2273" t="n">
        <v>0</v>
      </c>
      <c r="J2273" t="n">
        <v>0</v>
      </c>
      <c r="K2273" t="n">
        <v>0</v>
      </c>
      <c r="L2273" t="n">
        <v>0</v>
      </c>
      <c r="M2273" t="n">
        <v>0</v>
      </c>
      <c r="N2273" t="n">
        <v>0</v>
      </c>
      <c r="O2273" t="n">
        <v>0</v>
      </c>
      <c r="P2273" t="n">
        <v>0</v>
      </c>
      <c r="Q2273" t="n">
        <v>0</v>
      </c>
      <c r="R2273" s="2" t="inlineStr"/>
    </row>
    <row r="2274" ht="15" customHeight="1">
      <c r="A2274" t="inlineStr">
        <is>
          <t>A 15730-2024</t>
        </is>
      </c>
      <c r="B2274" s="1" t="n">
        <v>45404</v>
      </c>
      <c r="C2274" s="1" t="n">
        <v>45828</v>
      </c>
      <c r="D2274" t="inlineStr">
        <is>
          <t>VÄRMLANDS LÄN</t>
        </is>
      </c>
      <c r="E2274" t="inlineStr">
        <is>
          <t>TORSBY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15758-2024</t>
        </is>
      </c>
      <c r="B2275" s="1" t="n">
        <v>45404</v>
      </c>
      <c r="C2275" s="1" t="n">
        <v>45828</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15943-2024</t>
        </is>
      </c>
      <c r="B2276" s="1" t="n">
        <v>45405</v>
      </c>
      <c r="C2276" s="1" t="n">
        <v>45828</v>
      </c>
      <c r="D2276" t="inlineStr">
        <is>
          <t>VÄRMLANDS LÄN</t>
        </is>
      </c>
      <c r="E2276" t="inlineStr">
        <is>
          <t>TORSBY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15896-2024</t>
        </is>
      </c>
      <c r="B2277" s="1" t="n">
        <v>45405</v>
      </c>
      <c r="C2277" s="1" t="n">
        <v>45828</v>
      </c>
      <c r="D2277" t="inlineStr">
        <is>
          <t>VÄRMLANDS LÄN</t>
        </is>
      </c>
      <c r="E2277" t="inlineStr">
        <is>
          <t>TORSBY</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15892-2024</t>
        </is>
      </c>
      <c r="B2278" s="1" t="n">
        <v>45405</v>
      </c>
      <c r="C2278" s="1" t="n">
        <v>45828</v>
      </c>
      <c r="D2278" t="inlineStr">
        <is>
          <t>VÄRMLANDS LÄN</t>
        </is>
      </c>
      <c r="E2278" t="inlineStr">
        <is>
          <t>TORSBY</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15899-2024</t>
        </is>
      </c>
      <c r="B2279" s="1" t="n">
        <v>45405</v>
      </c>
      <c r="C2279" s="1" t="n">
        <v>45828</v>
      </c>
      <c r="D2279" t="inlineStr">
        <is>
          <t>VÄRMLANDS LÄN</t>
        </is>
      </c>
      <c r="E2279" t="inlineStr">
        <is>
          <t>TORSBY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15874-2024</t>
        </is>
      </c>
      <c r="B2280" s="1" t="n">
        <v>45405</v>
      </c>
      <c r="C2280" s="1" t="n">
        <v>45828</v>
      </c>
      <c r="D2280" t="inlineStr">
        <is>
          <t>VÄRMLANDS LÄN</t>
        </is>
      </c>
      <c r="E2280" t="inlineStr">
        <is>
          <t>TORSBY</t>
        </is>
      </c>
      <c r="F2280" t="inlineStr">
        <is>
          <t>Bergvik skog väst AB</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16073-2024</t>
        </is>
      </c>
      <c r="B2281" s="1" t="n">
        <v>45406</v>
      </c>
      <c r="C2281" s="1" t="n">
        <v>45828</v>
      </c>
      <c r="D2281" t="inlineStr">
        <is>
          <t>VÄRMLANDS LÄN</t>
        </is>
      </c>
      <c r="E2281" t="inlineStr">
        <is>
          <t>TORSBY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16369-2024</t>
        </is>
      </c>
      <c r="B2282" s="1" t="n">
        <v>45407</v>
      </c>
      <c r="C2282" s="1" t="n">
        <v>45828</v>
      </c>
      <c r="D2282" t="inlineStr">
        <is>
          <t>VÄRMLANDS LÄN</t>
        </is>
      </c>
      <c r="E2282" t="inlineStr">
        <is>
          <t>TORSBY</t>
        </is>
      </c>
      <c r="F2282" t="inlineStr">
        <is>
          <t>Kommuner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16517-2024</t>
        </is>
      </c>
      <c r="B2283" s="1" t="n">
        <v>45408</v>
      </c>
      <c r="C2283" s="1" t="n">
        <v>45828</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16585-2024</t>
        </is>
      </c>
      <c r="B2284" s="1" t="n">
        <v>45408</v>
      </c>
      <c r="C2284" s="1" t="n">
        <v>45828</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16654-2024</t>
        </is>
      </c>
      <c r="B2285" s="1" t="n">
        <v>45408</v>
      </c>
      <c r="C2285" s="1" t="n">
        <v>45828</v>
      </c>
      <c r="D2285" t="inlineStr">
        <is>
          <t>VÄRMLANDS LÄN</t>
        </is>
      </c>
      <c r="E2285" t="inlineStr">
        <is>
          <t>TORSBY</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16488-2024</t>
        </is>
      </c>
      <c r="B2286" s="1" t="n">
        <v>45408</v>
      </c>
      <c r="C2286" s="1" t="n">
        <v>45828</v>
      </c>
      <c r="D2286" t="inlineStr">
        <is>
          <t>VÄRMLANDS LÄN</t>
        </is>
      </c>
      <c r="E2286" t="inlineStr">
        <is>
          <t>TORSBY</t>
        </is>
      </c>
      <c r="F2286" t="inlineStr">
        <is>
          <t>Bergvik skog väst AB</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16544-2024</t>
        </is>
      </c>
      <c r="B2287" s="1" t="n">
        <v>45408</v>
      </c>
      <c r="C2287" s="1" t="n">
        <v>45828</v>
      </c>
      <c r="D2287" t="inlineStr">
        <is>
          <t>VÄRMLANDS LÄN</t>
        </is>
      </c>
      <c r="E2287" t="inlineStr">
        <is>
          <t>TORSBY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16592-2024</t>
        </is>
      </c>
      <c r="B2288" s="1" t="n">
        <v>45408</v>
      </c>
      <c r="C2288" s="1" t="n">
        <v>45828</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16583-2024</t>
        </is>
      </c>
      <c r="B2289" s="1" t="n">
        <v>45408</v>
      </c>
      <c r="C2289" s="1" t="n">
        <v>45828</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16591-2024</t>
        </is>
      </c>
      <c r="B2290" s="1" t="n">
        <v>45408</v>
      </c>
      <c r="C2290" s="1" t="n">
        <v>45828</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16586-2024</t>
        </is>
      </c>
      <c r="B2291" s="1" t="n">
        <v>45408</v>
      </c>
      <c r="C2291" s="1" t="n">
        <v>45828</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16730-2024</t>
        </is>
      </c>
      <c r="B2292" s="1" t="n">
        <v>45410</v>
      </c>
      <c r="C2292" s="1" t="n">
        <v>45828</v>
      </c>
      <c r="D2292" t="inlineStr">
        <is>
          <t>VÄRMLANDS LÄN</t>
        </is>
      </c>
      <c r="E2292" t="inlineStr">
        <is>
          <t>TORSBY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16891-2024</t>
        </is>
      </c>
      <c r="B2293" s="1" t="n">
        <v>45411</v>
      </c>
      <c r="C2293" s="1" t="n">
        <v>45828</v>
      </c>
      <c r="D2293" t="inlineStr">
        <is>
          <t>VÄRMLANDS LÄN</t>
        </is>
      </c>
      <c r="E2293" t="inlineStr">
        <is>
          <t>TORSBY</t>
        </is>
      </c>
      <c r="F2293" t="inlineStr">
        <is>
          <t>Bergvik skog väst AB</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16961-2024</t>
        </is>
      </c>
      <c r="B2294" s="1" t="n">
        <v>45412</v>
      </c>
      <c r="C2294" s="1" t="n">
        <v>45828</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16841-2024</t>
        </is>
      </c>
      <c r="B2295" s="1" t="n">
        <v>45411</v>
      </c>
      <c r="C2295" s="1" t="n">
        <v>45828</v>
      </c>
      <c r="D2295" t="inlineStr">
        <is>
          <t>VÄRMLANDS LÄN</t>
        </is>
      </c>
      <c r="E2295" t="inlineStr">
        <is>
          <t>TORSBY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16780-2024</t>
        </is>
      </c>
      <c r="B2296" s="1" t="n">
        <v>45411</v>
      </c>
      <c r="C2296" s="1" t="n">
        <v>45828</v>
      </c>
      <c r="D2296" t="inlineStr">
        <is>
          <t>VÄRMLANDS LÄN</t>
        </is>
      </c>
      <c r="E2296" t="inlineStr">
        <is>
          <t>TORSBY</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16789-2024</t>
        </is>
      </c>
      <c r="B2297" s="1" t="n">
        <v>45411</v>
      </c>
      <c r="C2297" s="1" t="n">
        <v>45828</v>
      </c>
      <c r="D2297" t="inlineStr">
        <is>
          <t>VÄRMLANDS LÄN</t>
        </is>
      </c>
      <c r="E2297" t="inlineStr">
        <is>
          <t>TORSBY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17008-2024</t>
        </is>
      </c>
      <c r="B2298" s="1" t="n">
        <v>45412</v>
      </c>
      <c r="C2298" s="1" t="n">
        <v>45828</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17001-2024</t>
        </is>
      </c>
      <c r="B2299" s="1" t="n">
        <v>45412</v>
      </c>
      <c r="C2299" s="1" t="n">
        <v>45828</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17083-2024</t>
        </is>
      </c>
      <c r="B2300" s="1" t="n">
        <v>45412</v>
      </c>
      <c r="C2300" s="1" t="n">
        <v>45828</v>
      </c>
      <c r="D2300" t="inlineStr">
        <is>
          <t>VÄRMLANDS LÄN</t>
        </is>
      </c>
      <c r="E2300" t="inlineStr">
        <is>
          <t>TORSBY</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17024-2024</t>
        </is>
      </c>
      <c r="B2301" s="1" t="n">
        <v>45412</v>
      </c>
      <c r="C2301" s="1" t="n">
        <v>45828</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17017-2024</t>
        </is>
      </c>
      <c r="B2302" s="1" t="n">
        <v>45412</v>
      </c>
      <c r="C2302" s="1" t="n">
        <v>45828</v>
      </c>
      <c r="D2302" t="inlineStr">
        <is>
          <t>VÄRMLANDS LÄN</t>
        </is>
      </c>
      <c r="E2302" t="inlineStr">
        <is>
          <t>TORSBY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17047-2024</t>
        </is>
      </c>
      <c r="B2303" s="1" t="n">
        <v>45412</v>
      </c>
      <c r="C2303" s="1" t="n">
        <v>45828</v>
      </c>
      <c r="D2303" t="inlineStr">
        <is>
          <t>VÄRMLANDS LÄN</t>
        </is>
      </c>
      <c r="E2303" t="inlineStr">
        <is>
          <t>TORSBY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17265-2024</t>
        </is>
      </c>
      <c r="B2304" s="1" t="n">
        <v>45414</v>
      </c>
      <c r="C2304" s="1" t="n">
        <v>45828</v>
      </c>
      <c r="D2304" t="inlineStr">
        <is>
          <t>VÄRMLANDS LÄN</t>
        </is>
      </c>
      <c r="E2304" t="inlineStr">
        <is>
          <t>TORSBY</t>
        </is>
      </c>
      <c r="F2304" t="inlineStr">
        <is>
          <t>Bergvik skog väst AB</t>
        </is>
      </c>
      <c r="G2304" t="n">
        <v>23.9</v>
      </c>
      <c r="H2304" t="n">
        <v>0</v>
      </c>
      <c r="I2304" t="n">
        <v>0</v>
      </c>
      <c r="J2304" t="n">
        <v>0</v>
      </c>
      <c r="K2304" t="n">
        <v>0</v>
      </c>
      <c r="L2304" t="n">
        <v>0</v>
      </c>
      <c r="M2304" t="n">
        <v>0</v>
      </c>
      <c r="N2304" t="n">
        <v>0</v>
      </c>
      <c r="O2304" t="n">
        <v>0</v>
      </c>
      <c r="P2304" t="n">
        <v>0</v>
      </c>
      <c r="Q2304" t="n">
        <v>0</v>
      </c>
      <c r="R2304" s="2" t="inlineStr"/>
    </row>
    <row r="2305" ht="15" customHeight="1">
      <c r="A2305" t="inlineStr">
        <is>
          <t>A 17285-2024</t>
        </is>
      </c>
      <c r="B2305" s="1" t="n">
        <v>45414</v>
      </c>
      <c r="C2305" s="1" t="n">
        <v>45828</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17233-2024</t>
        </is>
      </c>
      <c r="B2306" s="1" t="n">
        <v>45414</v>
      </c>
      <c r="C2306" s="1" t="n">
        <v>45828</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17390-2024</t>
        </is>
      </c>
      <c r="B2307" s="1" t="n">
        <v>45414</v>
      </c>
      <c r="C2307" s="1" t="n">
        <v>45828</v>
      </c>
      <c r="D2307" t="inlineStr">
        <is>
          <t>VÄRMLANDS LÄN</t>
        </is>
      </c>
      <c r="E2307" t="inlineStr">
        <is>
          <t>TORSBY</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17364-2024</t>
        </is>
      </c>
      <c r="B2308" s="1" t="n">
        <v>45414</v>
      </c>
      <c r="C2308" s="1" t="n">
        <v>45828</v>
      </c>
      <c r="D2308" t="inlineStr">
        <is>
          <t>VÄRMLANDS LÄN</t>
        </is>
      </c>
      <c r="E2308" t="inlineStr">
        <is>
          <t>TORSBY</t>
        </is>
      </c>
      <c r="F2308" t="inlineStr">
        <is>
          <t>Bergvik skog väst AB</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17556-2024</t>
        </is>
      </c>
      <c r="B2309" s="1" t="n">
        <v>45415</v>
      </c>
      <c r="C2309" s="1" t="n">
        <v>45828</v>
      </c>
      <c r="D2309" t="inlineStr">
        <is>
          <t>VÄRMLANDS LÄN</t>
        </is>
      </c>
      <c r="E2309" t="inlineStr">
        <is>
          <t>TORSBY</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17525-2024</t>
        </is>
      </c>
      <c r="B2310" s="1" t="n">
        <v>45415</v>
      </c>
      <c r="C2310" s="1" t="n">
        <v>45828</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17562-2024</t>
        </is>
      </c>
      <c r="B2311" s="1" t="n">
        <v>45415</v>
      </c>
      <c r="C2311" s="1" t="n">
        <v>45828</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17450-2024</t>
        </is>
      </c>
      <c r="B2312" s="1" t="n">
        <v>45415</v>
      </c>
      <c r="C2312" s="1" t="n">
        <v>45828</v>
      </c>
      <c r="D2312" t="inlineStr">
        <is>
          <t>VÄRMLANDS LÄN</t>
        </is>
      </c>
      <c r="E2312" t="inlineStr">
        <is>
          <t>TORSBY</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17530-2024</t>
        </is>
      </c>
      <c r="B2313" s="1" t="n">
        <v>45415</v>
      </c>
      <c r="C2313" s="1" t="n">
        <v>45828</v>
      </c>
      <c r="D2313" t="inlineStr">
        <is>
          <t>VÄRMLANDS LÄN</t>
        </is>
      </c>
      <c r="E2313" t="inlineStr">
        <is>
          <t>TORSBY</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17687-2024</t>
        </is>
      </c>
      <c r="B2314" s="1" t="n">
        <v>45418</v>
      </c>
      <c r="C2314" s="1" t="n">
        <v>45828</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17717-2024</t>
        </is>
      </c>
      <c r="B2315" s="1" t="n">
        <v>45418</v>
      </c>
      <c r="C2315" s="1" t="n">
        <v>45828</v>
      </c>
      <c r="D2315" t="inlineStr">
        <is>
          <t>VÄRMLANDS LÄN</t>
        </is>
      </c>
      <c r="E2315" t="inlineStr">
        <is>
          <t>TORSBY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17959-2024</t>
        </is>
      </c>
      <c r="B2316" s="1" t="n">
        <v>45419</v>
      </c>
      <c r="C2316" s="1" t="n">
        <v>45828</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17921-2024</t>
        </is>
      </c>
      <c r="B2317" s="1" t="n">
        <v>45419</v>
      </c>
      <c r="C2317" s="1" t="n">
        <v>45828</v>
      </c>
      <c r="D2317" t="inlineStr">
        <is>
          <t>VÄRMLANDS LÄN</t>
        </is>
      </c>
      <c r="E2317" t="inlineStr">
        <is>
          <t>TORSBY</t>
        </is>
      </c>
      <c r="F2317" t="inlineStr">
        <is>
          <t>Bergvik skog väst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17837-2024</t>
        </is>
      </c>
      <c r="B2318" s="1" t="n">
        <v>45419</v>
      </c>
      <c r="C2318" s="1" t="n">
        <v>45828</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17879-2024</t>
        </is>
      </c>
      <c r="B2319" s="1" t="n">
        <v>45419</v>
      </c>
      <c r="C2319" s="1" t="n">
        <v>45828</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17931-2024</t>
        </is>
      </c>
      <c r="B2320" s="1" t="n">
        <v>45419</v>
      </c>
      <c r="C2320" s="1" t="n">
        <v>45828</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18125-2024</t>
        </is>
      </c>
      <c r="B2321" s="1" t="n">
        <v>45420</v>
      </c>
      <c r="C2321" s="1" t="n">
        <v>45828</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18155-2024</t>
        </is>
      </c>
      <c r="B2322" s="1" t="n">
        <v>45420</v>
      </c>
      <c r="C2322" s="1" t="n">
        <v>45828</v>
      </c>
      <c r="D2322" t="inlineStr">
        <is>
          <t>VÄRMLANDS LÄN</t>
        </is>
      </c>
      <c r="E2322" t="inlineStr">
        <is>
          <t>TORSBY</t>
        </is>
      </c>
      <c r="F2322" t="inlineStr">
        <is>
          <t>Bergvik skog väst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18339-2024</t>
        </is>
      </c>
      <c r="B2323" s="1" t="n">
        <v>45422</v>
      </c>
      <c r="C2323" s="1" t="n">
        <v>45828</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18330-2024</t>
        </is>
      </c>
      <c r="B2324" s="1" t="n">
        <v>45422</v>
      </c>
      <c r="C2324" s="1" t="n">
        <v>45828</v>
      </c>
      <c r="D2324" t="inlineStr">
        <is>
          <t>VÄRMLANDS LÄN</t>
        </is>
      </c>
      <c r="E2324" t="inlineStr">
        <is>
          <t>TORSBY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18308-2024</t>
        </is>
      </c>
      <c r="B2325" s="1" t="n">
        <v>45422</v>
      </c>
      <c r="C2325" s="1" t="n">
        <v>45828</v>
      </c>
      <c r="D2325" t="inlineStr">
        <is>
          <t>VÄRMLANDS LÄN</t>
        </is>
      </c>
      <c r="E2325" t="inlineStr">
        <is>
          <t>TORSBY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18337-2024</t>
        </is>
      </c>
      <c r="B2326" s="1" t="n">
        <v>45422</v>
      </c>
      <c r="C2326" s="1" t="n">
        <v>45828</v>
      </c>
      <c r="D2326" t="inlineStr">
        <is>
          <t>VÄRMLANDS LÄN</t>
        </is>
      </c>
      <c r="E2326" t="inlineStr">
        <is>
          <t>TORSBY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18422-2024</t>
        </is>
      </c>
      <c r="B2327" s="1" t="n">
        <v>45425</v>
      </c>
      <c r="C2327" s="1" t="n">
        <v>45828</v>
      </c>
      <c r="D2327" t="inlineStr">
        <is>
          <t>VÄRMLANDS LÄN</t>
        </is>
      </c>
      <c r="E2327" t="inlineStr">
        <is>
          <t>TORSBY</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18682-2024</t>
        </is>
      </c>
      <c r="B2328" s="1" t="n">
        <v>45426</v>
      </c>
      <c r="C2328" s="1" t="n">
        <v>45828</v>
      </c>
      <c r="D2328" t="inlineStr">
        <is>
          <t>VÄRMLANDS LÄN</t>
        </is>
      </c>
      <c r="E2328" t="inlineStr">
        <is>
          <t>TORSBY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18883-2024</t>
        </is>
      </c>
      <c r="B2329" s="1" t="n">
        <v>45426</v>
      </c>
      <c r="C2329" s="1" t="n">
        <v>45828</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18855-2024</t>
        </is>
      </c>
      <c r="B2330" s="1" t="n">
        <v>45426</v>
      </c>
      <c r="C2330" s="1" t="n">
        <v>45828</v>
      </c>
      <c r="D2330" t="inlineStr">
        <is>
          <t>VÄRMLANDS LÄN</t>
        </is>
      </c>
      <c r="E2330" t="inlineStr">
        <is>
          <t>TORSBY</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18890-2024</t>
        </is>
      </c>
      <c r="B2331" s="1" t="n">
        <v>45427</v>
      </c>
      <c r="C2331" s="1" t="n">
        <v>45828</v>
      </c>
      <c r="D2331" t="inlineStr">
        <is>
          <t>VÄRMLANDS LÄN</t>
        </is>
      </c>
      <c r="E2331" t="inlineStr">
        <is>
          <t>TORSBY</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18953-2024</t>
        </is>
      </c>
      <c r="B2332" s="1" t="n">
        <v>45427</v>
      </c>
      <c r="C2332" s="1" t="n">
        <v>45828</v>
      </c>
      <c r="D2332" t="inlineStr">
        <is>
          <t>VÄRMLANDS LÄN</t>
        </is>
      </c>
      <c r="E2332" t="inlineStr">
        <is>
          <t>TORSBY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18959-2024</t>
        </is>
      </c>
      <c r="B2333" s="1" t="n">
        <v>45427</v>
      </c>
      <c r="C2333" s="1" t="n">
        <v>45828</v>
      </c>
      <c r="D2333" t="inlineStr">
        <is>
          <t>VÄRMLANDS LÄN</t>
        </is>
      </c>
      <c r="E2333" t="inlineStr">
        <is>
          <t>TORSBY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18955-2024</t>
        </is>
      </c>
      <c r="B2334" s="1" t="n">
        <v>45427</v>
      </c>
      <c r="C2334" s="1" t="n">
        <v>45828</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18897-2024</t>
        </is>
      </c>
      <c r="B2335" s="1" t="n">
        <v>45427</v>
      </c>
      <c r="C2335" s="1" t="n">
        <v>45828</v>
      </c>
      <c r="D2335" t="inlineStr">
        <is>
          <t>VÄRMLANDS LÄN</t>
        </is>
      </c>
      <c r="E2335" t="inlineStr">
        <is>
          <t>TORSBY</t>
        </is>
      </c>
      <c r="F2335" t="inlineStr">
        <is>
          <t>Övriga statliga verk och myndigheter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19029-2024</t>
        </is>
      </c>
      <c r="B2336" s="1" t="n">
        <v>45427</v>
      </c>
      <c r="C2336" s="1" t="n">
        <v>45828</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19136-2024</t>
        </is>
      </c>
      <c r="B2337" s="1" t="n">
        <v>45428</v>
      </c>
      <c r="C2337" s="1" t="n">
        <v>45828</v>
      </c>
      <c r="D2337" t="inlineStr">
        <is>
          <t>VÄRMLANDS LÄN</t>
        </is>
      </c>
      <c r="E2337" t="inlineStr">
        <is>
          <t>TORSBY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19251-2024</t>
        </is>
      </c>
      <c r="B2338" s="1" t="n">
        <v>45428</v>
      </c>
      <c r="C2338" s="1" t="n">
        <v>45828</v>
      </c>
      <c r="D2338" t="inlineStr">
        <is>
          <t>VÄRMLANDS LÄN</t>
        </is>
      </c>
      <c r="E2338" t="inlineStr">
        <is>
          <t>TORSBY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19215-2024</t>
        </is>
      </c>
      <c r="B2339" s="1" t="n">
        <v>45428</v>
      </c>
      <c r="C2339" s="1" t="n">
        <v>45828</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19665-2024</t>
        </is>
      </c>
      <c r="B2340" s="1" t="n">
        <v>45432</v>
      </c>
      <c r="C2340" s="1" t="n">
        <v>45828</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19887-2024</t>
        </is>
      </c>
      <c r="B2341" s="1" t="n">
        <v>45433</v>
      </c>
      <c r="C2341" s="1" t="n">
        <v>45828</v>
      </c>
      <c r="D2341" t="inlineStr">
        <is>
          <t>VÄRMLANDS LÄN</t>
        </is>
      </c>
      <c r="E2341" t="inlineStr">
        <is>
          <t>TORSBY</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20440-2024</t>
        </is>
      </c>
      <c r="B2342" s="1" t="n">
        <v>45435</v>
      </c>
      <c r="C2342" s="1" t="n">
        <v>45828</v>
      </c>
      <c r="D2342" t="inlineStr">
        <is>
          <t>VÄRMLANDS LÄN</t>
        </is>
      </c>
      <c r="E2342" t="inlineStr">
        <is>
          <t>TORSBY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20472-2024</t>
        </is>
      </c>
      <c r="B2343" s="1" t="n">
        <v>45435</v>
      </c>
      <c r="C2343" s="1" t="n">
        <v>45828</v>
      </c>
      <c r="D2343" t="inlineStr">
        <is>
          <t>VÄRMLANDS LÄN</t>
        </is>
      </c>
      <c r="E2343" t="inlineStr">
        <is>
          <t>TORSBY</t>
        </is>
      </c>
      <c r="F2343" t="inlineStr">
        <is>
          <t>Bergvik skog väst AB</t>
        </is>
      </c>
      <c r="G2343" t="n">
        <v>46.1</v>
      </c>
      <c r="H2343" t="n">
        <v>0</v>
      </c>
      <c r="I2343" t="n">
        <v>0</v>
      </c>
      <c r="J2343" t="n">
        <v>0</v>
      </c>
      <c r="K2343" t="n">
        <v>0</v>
      </c>
      <c r="L2343" t="n">
        <v>0</v>
      </c>
      <c r="M2343" t="n">
        <v>0</v>
      </c>
      <c r="N2343" t="n">
        <v>0</v>
      </c>
      <c r="O2343" t="n">
        <v>0</v>
      </c>
      <c r="P2343" t="n">
        <v>0</v>
      </c>
      <c r="Q2343" t="n">
        <v>0</v>
      </c>
      <c r="R2343" s="2" t="inlineStr"/>
    </row>
    <row r="2344" ht="15" customHeight="1">
      <c r="A2344" t="inlineStr">
        <is>
          <t>A 20645-2024</t>
        </is>
      </c>
      <c r="B2344" s="1" t="n">
        <v>45436</v>
      </c>
      <c r="C2344" s="1" t="n">
        <v>45828</v>
      </c>
      <c r="D2344" t="inlineStr">
        <is>
          <t>VÄRMLANDS LÄN</t>
        </is>
      </c>
      <c r="E2344" t="inlineStr">
        <is>
          <t>TORSBY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20725-2024</t>
        </is>
      </c>
      <c r="B2345" s="1" t="n">
        <v>45436</v>
      </c>
      <c r="C2345" s="1" t="n">
        <v>45828</v>
      </c>
      <c r="D2345" t="inlineStr">
        <is>
          <t>VÄRMLANDS LÄN</t>
        </is>
      </c>
      <c r="E2345" t="inlineStr">
        <is>
          <t>TORSBY</t>
        </is>
      </c>
      <c r="F2345" t="inlineStr">
        <is>
          <t>Bergvik skog väst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20633-2024</t>
        </is>
      </c>
      <c r="B2346" s="1" t="n">
        <v>45436</v>
      </c>
      <c r="C2346" s="1" t="n">
        <v>45828</v>
      </c>
      <c r="D2346" t="inlineStr">
        <is>
          <t>VÄRMLANDS LÄN</t>
        </is>
      </c>
      <c r="E2346" t="inlineStr">
        <is>
          <t>TORSBY</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20537-2024</t>
        </is>
      </c>
      <c r="B2347" s="1" t="n">
        <v>45436</v>
      </c>
      <c r="C2347" s="1" t="n">
        <v>45828</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20647-2024</t>
        </is>
      </c>
      <c r="B2348" s="1" t="n">
        <v>45436</v>
      </c>
      <c r="C2348" s="1" t="n">
        <v>45828</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20872-2024</t>
        </is>
      </c>
      <c r="B2349" s="1" t="n">
        <v>45439</v>
      </c>
      <c r="C2349" s="1" t="n">
        <v>45828</v>
      </c>
      <c r="D2349" t="inlineStr">
        <is>
          <t>VÄRMLANDS LÄN</t>
        </is>
      </c>
      <c r="E2349" t="inlineStr">
        <is>
          <t>TORSBY</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21013-2024</t>
        </is>
      </c>
      <c r="B2350" s="1" t="n">
        <v>45439</v>
      </c>
      <c r="C2350" s="1" t="n">
        <v>45828</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20982-2024</t>
        </is>
      </c>
      <c r="B2351" s="1" t="n">
        <v>45439</v>
      </c>
      <c r="C2351" s="1" t="n">
        <v>45828</v>
      </c>
      <c r="D2351" t="inlineStr">
        <is>
          <t>VÄRMLANDS LÄN</t>
        </is>
      </c>
      <c r="E2351" t="inlineStr">
        <is>
          <t>TORSBY</t>
        </is>
      </c>
      <c r="F2351" t="inlineStr">
        <is>
          <t>Bergvik skog väst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20985-2024</t>
        </is>
      </c>
      <c r="B2352" s="1" t="n">
        <v>45439</v>
      </c>
      <c r="C2352" s="1" t="n">
        <v>45828</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20968-2024</t>
        </is>
      </c>
      <c r="B2353" s="1" t="n">
        <v>45439</v>
      </c>
      <c r="C2353" s="1" t="n">
        <v>45828</v>
      </c>
      <c r="D2353" t="inlineStr">
        <is>
          <t>VÄRMLANDS LÄN</t>
        </is>
      </c>
      <c r="E2353" t="inlineStr">
        <is>
          <t>TORSBY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21280-2024</t>
        </is>
      </c>
      <c r="B2354" s="1" t="n">
        <v>45440</v>
      </c>
      <c r="C2354" s="1" t="n">
        <v>45828</v>
      </c>
      <c r="D2354" t="inlineStr">
        <is>
          <t>VÄRMLANDS LÄN</t>
        </is>
      </c>
      <c r="E2354" t="inlineStr">
        <is>
          <t>TORSBY</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21297-2024</t>
        </is>
      </c>
      <c r="B2355" s="1" t="n">
        <v>45440</v>
      </c>
      <c r="C2355" s="1" t="n">
        <v>45828</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21308-2024</t>
        </is>
      </c>
      <c r="B2356" s="1" t="n">
        <v>45440</v>
      </c>
      <c r="C2356" s="1" t="n">
        <v>45828</v>
      </c>
      <c r="D2356" t="inlineStr">
        <is>
          <t>VÄRMLANDS LÄN</t>
        </is>
      </c>
      <c r="E2356" t="inlineStr">
        <is>
          <t>TORSBY</t>
        </is>
      </c>
      <c r="G2356" t="n">
        <v>18.9</v>
      </c>
      <c r="H2356" t="n">
        <v>0</v>
      </c>
      <c r="I2356" t="n">
        <v>0</v>
      </c>
      <c r="J2356" t="n">
        <v>0</v>
      </c>
      <c r="K2356" t="n">
        <v>0</v>
      </c>
      <c r="L2356" t="n">
        <v>0</v>
      </c>
      <c r="M2356" t="n">
        <v>0</v>
      </c>
      <c r="N2356" t="n">
        <v>0</v>
      </c>
      <c r="O2356" t="n">
        <v>0</v>
      </c>
      <c r="P2356" t="n">
        <v>0</v>
      </c>
      <c r="Q2356" t="n">
        <v>0</v>
      </c>
      <c r="R2356" s="2" t="inlineStr"/>
    </row>
    <row r="2357" ht="15" customHeight="1">
      <c r="A2357" t="inlineStr">
        <is>
          <t>A 21518-2024</t>
        </is>
      </c>
      <c r="B2357" s="1" t="n">
        <v>45441</v>
      </c>
      <c r="C2357" s="1" t="n">
        <v>45828</v>
      </c>
      <c r="D2357" t="inlineStr">
        <is>
          <t>VÄRMLANDS LÄN</t>
        </is>
      </c>
      <c r="E2357" t="inlineStr">
        <is>
          <t>TORSBY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21542-2024</t>
        </is>
      </c>
      <c r="B2358" s="1" t="n">
        <v>45441</v>
      </c>
      <c r="C2358" s="1" t="n">
        <v>45828</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21580-2024</t>
        </is>
      </c>
      <c r="B2359" s="1" t="n">
        <v>45441</v>
      </c>
      <c r="C2359" s="1" t="n">
        <v>45828</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21586-2024</t>
        </is>
      </c>
      <c r="B2360" s="1" t="n">
        <v>45441</v>
      </c>
      <c r="C2360" s="1" t="n">
        <v>45828</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21581-2024</t>
        </is>
      </c>
      <c r="B2361" s="1" t="n">
        <v>45441</v>
      </c>
      <c r="C2361" s="1" t="n">
        <v>45828</v>
      </c>
      <c r="D2361" t="inlineStr">
        <is>
          <t>VÄRMLANDS LÄN</t>
        </is>
      </c>
      <c r="E2361" t="inlineStr">
        <is>
          <t>TORSBY</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21585-2024</t>
        </is>
      </c>
      <c r="B2362" s="1" t="n">
        <v>45441</v>
      </c>
      <c r="C2362" s="1" t="n">
        <v>45828</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21587-2024</t>
        </is>
      </c>
      <c r="B2363" s="1" t="n">
        <v>45441</v>
      </c>
      <c r="C2363" s="1" t="n">
        <v>45828</v>
      </c>
      <c r="D2363" t="inlineStr">
        <is>
          <t>VÄRMLANDS LÄN</t>
        </is>
      </c>
      <c r="E2363" t="inlineStr">
        <is>
          <t>TORSBY</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21757-2024</t>
        </is>
      </c>
      <c r="B2364" s="1" t="n">
        <v>45442</v>
      </c>
      <c r="C2364" s="1" t="n">
        <v>45828</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21825-2024</t>
        </is>
      </c>
      <c r="B2365" s="1" t="n">
        <v>45442</v>
      </c>
      <c r="C2365" s="1" t="n">
        <v>45828</v>
      </c>
      <c r="D2365" t="inlineStr">
        <is>
          <t>VÄRMLANDS LÄN</t>
        </is>
      </c>
      <c r="E2365" t="inlineStr">
        <is>
          <t>TORSBY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21829-2024</t>
        </is>
      </c>
      <c r="B2366" s="1" t="n">
        <v>45442</v>
      </c>
      <c r="C2366" s="1" t="n">
        <v>45828</v>
      </c>
      <c r="D2366" t="inlineStr">
        <is>
          <t>VÄRMLANDS LÄN</t>
        </is>
      </c>
      <c r="E2366" t="inlineStr">
        <is>
          <t>TORSBY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21744-2024</t>
        </is>
      </c>
      <c r="B2367" s="1" t="n">
        <v>45442</v>
      </c>
      <c r="C2367" s="1" t="n">
        <v>45828</v>
      </c>
      <c r="D2367" t="inlineStr">
        <is>
          <t>VÄRMLANDS LÄN</t>
        </is>
      </c>
      <c r="E2367" t="inlineStr">
        <is>
          <t>TORSBY</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21828-2024</t>
        </is>
      </c>
      <c r="B2368" s="1" t="n">
        <v>45442</v>
      </c>
      <c r="C2368" s="1" t="n">
        <v>45828</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21930-2024</t>
        </is>
      </c>
      <c r="B2369" s="1" t="n">
        <v>45443</v>
      </c>
      <c r="C2369" s="1" t="n">
        <v>45828</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22216-2024</t>
        </is>
      </c>
      <c r="B2370" s="1" t="n">
        <v>45446</v>
      </c>
      <c r="C2370" s="1" t="n">
        <v>45828</v>
      </c>
      <c r="D2370" t="inlineStr">
        <is>
          <t>VÄRMLANDS LÄN</t>
        </is>
      </c>
      <c r="E2370" t="inlineStr">
        <is>
          <t>TORSBY</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22483-2024</t>
        </is>
      </c>
      <c r="B2371" s="1" t="n">
        <v>45446</v>
      </c>
      <c r="C2371" s="1" t="n">
        <v>45828</v>
      </c>
      <c r="D2371" t="inlineStr">
        <is>
          <t>VÄRMLANDS LÄN</t>
        </is>
      </c>
      <c r="E2371" t="inlineStr">
        <is>
          <t>TORSBY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22421-2024</t>
        </is>
      </c>
      <c r="B2372" s="1" t="n">
        <v>45446</v>
      </c>
      <c r="C2372" s="1" t="n">
        <v>45828</v>
      </c>
      <c r="D2372" t="inlineStr">
        <is>
          <t>VÄRMLANDS LÄN</t>
        </is>
      </c>
      <c r="E2372" t="inlineStr">
        <is>
          <t>TORSBY</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22426-2024</t>
        </is>
      </c>
      <c r="B2373" s="1" t="n">
        <v>45446</v>
      </c>
      <c r="C2373" s="1" t="n">
        <v>45828</v>
      </c>
      <c r="D2373" t="inlineStr">
        <is>
          <t>VÄRMLANDS LÄN</t>
        </is>
      </c>
      <c r="E2373" t="inlineStr">
        <is>
          <t>TORSBY</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22525-2024</t>
        </is>
      </c>
      <c r="B2374" s="1" t="n">
        <v>45447</v>
      </c>
      <c r="C2374" s="1" t="n">
        <v>45828</v>
      </c>
      <c r="D2374" t="inlineStr">
        <is>
          <t>VÄRMLANDS LÄN</t>
        </is>
      </c>
      <c r="E2374" t="inlineStr">
        <is>
          <t>TORSBY</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22565-2024</t>
        </is>
      </c>
      <c r="B2375" s="1" t="n">
        <v>45447</v>
      </c>
      <c r="C2375" s="1" t="n">
        <v>45828</v>
      </c>
      <c r="D2375" t="inlineStr">
        <is>
          <t>VÄRMLANDS LÄN</t>
        </is>
      </c>
      <c r="E2375" t="inlineStr">
        <is>
          <t>TORSBY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22536-2024</t>
        </is>
      </c>
      <c r="B2376" s="1" t="n">
        <v>45447</v>
      </c>
      <c r="C2376" s="1" t="n">
        <v>45828</v>
      </c>
      <c r="D2376" t="inlineStr">
        <is>
          <t>VÄRMLANDS LÄN</t>
        </is>
      </c>
      <c r="E2376" t="inlineStr">
        <is>
          <t>TORSBY</t>
        </is>
      </c>
      <c r="G2376" t="n">
        <v>25.2</v>
      </c>
      <c r="H2376" t="n">
        <v>0</v>
      </c>
      <c r="I2376" t="n">
        <v>0</v>
      </c>
      <c r="J2376" t="n">
        <v>0</v>
      </c>
      <c r="K2376" t="n">
        <v>0</v>
      </c>
      <c r="L2376" t="n">
        <v>0</v>
      </c>
      <c r="M2376" t="n">
        <v>0</v>
      </c>
      <c r="N2376" t="n">
        <v>0</v>
      </c>
      <c r="O2376" t="n">
        <v>0</v>
      </c>
      <c r="P2376" t="n">
        <v>0</v>
      </c>
      <c r="Q2376" t="n">
        <v>0</v>
      </c>
      <c r="R2376" s="2" t="inlineStr"/>
    </row>
    <row r="2377" ht="15" customHeight="1">
      <c r="A2377" t="inlineStr">
        <is>
          <t>A 22844-2024</t>
        </is>
      </c>
      <c r="B2377" s="1" t="n">
        <v>45448</v>
      </c>
      <c r="C2377" s="1" t="n">
        <v>45828</v>
      </c>
      <c r="D2377" t="inlineStr">
        <is>
          <t>VÄRMLANDS LÄN</t>
        </is>
      </c>
      <c r="E2377" t="inlineStr">
        <is>
          <t>TORSBY</t>
        </is>
      </c>
      <c r="F2377" t="inlineStr">
        <is>
          <t>Bergvik skog väst AB</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22729-2024</t>
        </is>
      </c>
      <c r="B2378" s="1" t="n">
        <v>45448</v>
      </c>
      <c r="C2378" s="1" t="n">
        <v>45828</v>
      </c>
      <c r="D2378" t="inlineStr">
        <is>
          <t>VÄRMLANDS LÄN</t>
        </is>
      </c>
      <c r="E2378" t="inlineStr">
        <is>
          <t>TORSBY</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22843-2024</t>
        </is>
      </c>
      <c r="B2379" s="1" t="n">
        <v>45448</v>
      </c>
      <c r="C2379" s="1" t="n">
        <v>45828</v>
      </c>
      <c r="D2379" t="inlineStr">
        <is>
          <t>VÄRMLANDS LÄN</t>
        </is>
      </c>
      <c r="E2379" t="inlineStr">
        <is>
          <t>TORSBY</t>
        </is>
      </c>
      <c r="F2379" t="inlineStr">
        <is>
          <t>Bergvik skog väst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22973-2024</t>
        </is>
      </c>
      <c r="B2380" s="1" t="n">
        <v>45449</v>
      </c>
      <c r="C2380" s="1" t="n">
        <v>45828</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23042-2024</t>
        </is>
      </c>
      <c r="B2381" s="1" t="n">
        <v>45450</v>
      </c>
      <c r="C2381" s="1" t="n">
        <v>45828</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23133-2024</t>
        </is>
      </c>
      <c r="B2382" s="1" t="n">
        <v>45450</v>
      </c>
      <c r="C2382" s="1" t="n">
        <v>45828</v>
      </c>
      <c r="D2382" t="inlineStr">
        <is>
          <t>VÄRMLANDS LÄN</t>
        </is>
      </c>
      <c r="E2382" t="inlineStr">
        <is>
          <t>TORSBY</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23108-2024</t>
        </is>
      </c>
      <c r="B2383" s="1" t="n">
        <v>45450</v>
      </c>
      <c r="C2383" s="1" t="n">
        <v>45828</v>
      </c>
      <c r="D2383" t="inlineStr">
        <is>
          <t>VÄRMLANDS LÄN</t>
        </is>
      </c>
      <c r="E2383" t="inlineStr">
        <is>
          <t>TORSBY</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23044-2024</t>
        </is>
      </c>
      <c r="B2384" s="1" t="n">
        <v>45450</v>
      </c>
      <c r="C2384" s="1" t="n">
        <v>45828</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23106-2024</t>
        </is>
      </c>
      <c r="B2385" s="1" t="n">
        <v>45450</v>
      </c>
      <c r="C2385" s="1" t="n">
        <v>45828</v>
      </c>
      <c r="D2385" t="inlineStr">
        <is>
          <t>VÄRMLANDS LÄN</t>
        </is>
      </c>
      <c r="E2385" t="inlineStr">
        <is>
          <t>TORSBY</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23423-2024</t>
        </is>
      </c>
      <c r="B2386" s="1" t="n">
        <v>45453</v>
      </c>
      <c r="C2386" s="1" t="n">
        <v>45828</v>
      </c>
      <c r="D2386" t="inlineStr">
        <is>
          <t>VÄRMLANDS LÄN</t>
        </is>
      </c>
      <c r="E2386" t="inlineStr">
        <is>
          <t>TORSBY</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23678-2024</t>
        </is>
      </c>
      <c r="B2387" s="1" t="n">
        <v>45454</v>
      </c>
      <c r="C2387" s="1" t="n">
        <v>45828</v>
      </c>
      <c r="D2387" t="inlineStr">
        <is>
          <t>VÄRMLANDS LÄN</t>
        </is>
      </c>
      <c r="E2387" t="inlineStr">
        <is>
          <t>TORSBY</t>
        </is>
      </c>
      <c r="F2387" t="inlineStr">
        <is>
          <t>Bergvik skog väst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23719-2024</t>
        </is>
      </c>
      <c r="B2388" s="1" t="n">
        <v>45454</v>
      </c>
      <c r="C2388" s="1" t="n">
        <v>45828</v>
      </c>
      <c r="D2388" t="inlineStr">
        <is>
          <t>VÄRMLANDS LÄN</t>
        </is>
      </c>
      <c r="E2388" t="inlineStr">
        <is>
          <t>TORSBY</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23746-2024</t>
        </is>
      </c>
      <c r="B2389" s="1" t="n">
        <v>45454</v>
      </c>
      <c r="C2389" s="1" t="n">
        <v>45828</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23820-2024</t>
        </is>
      </c>
      <c r="B2390" s="1" t="n">
        <v>45455</v>
      </c>
      <c r="C2390" s="1" t="n">
        <v>45828</v>
      </c>
      <c r="D2390" t="inlineStr">
        <is>
          <t>VÄRMLANDS LÄN</t>
        </is>
      </c>
      <c r="E2390" t="inlineStr">
        <is>
          <t>TORSBY</t>
        </is>
      </c>
      <c r="F2390" t="inlineStr">
        <is>
          <t>Kyrkan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23846-2024</t>
        </is>
      </c>
      <c r="B2391" s="1" t="n">
        <v>45455</v>
      </c>
      <c r="C2391" s="1" t="n">
        <v>45828</v>
      </c>
      <c r="D2391" t="inlineStr">
        <is>
          <t>VÄRMLANDS LÄN</t>
        </is>
      </c>
      <c r="E2391" t="inlineStr">
        <is>
          <t>TORSBY</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23824-2024</t>
        </is>
      </c>
      <c r="B2392" s="1" t="n">
        <v>45455</v>
      </c>
      <c r="C2392" s="1" t="n">
        <v>45828</v>
      </c>
      <c r="D2392" t="inlineStr">
        <is>
          <t>VÄRMLANDS LÄN</t>
        </is>
      </c>
      <c r="E2392" t="inlineStr">
        <is>
          <t>TORSBY</t>
        </is>
      </c>
      <c r="F2392" t="inlineStr">
        <is>
          <t>Kyrkan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23845-2024</t>
        </is>
      </c>
      <c r="B2393" s="1" t="n">
        <v>45455</v>
      </c>
      <c r="C2393" s="1" t="n">
        <v>45828</v>
      </c>
      <c r="D2393" t="inlineStr">
        <is>
          <t>VÄRMLANDS LÄN</t>
        </is>
      </c>
      <c r="E2393" t="inlineStr">
        <is>
          <t>TORSBY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23843-2024</t>
        </is>
      </c>
      <c r="B2394" s="1" t="n">
        <v>45455</v>
      </c>
      <c r="C2394" s="1" t="n">
        <v>45828</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23835-2024</t>
        </is>
      </c>
      <c r="B2395" s="1" t="n">
        <v>45455</v>
      </c>
      <c r="C2395" s="1" t="n">
        <v>45828</v>
      </c>
      <c r="D2395" t="inlineStr">
        <is>
          <t>VÄRMLANDS LÄN</t>
        </is>
      </c>
      <c r="E2395" t="inlineStr">
        <is>
          <t>TORSBY</t>
        </is>
      </c>
      <c r="F2395" t="inlineStr">
        <is>
          <t>Bergvik skog väst AB</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24020-2024</t>
        </is>
      </c>
      <c r="B2396" s="1" t="n">
        <v>45456</v>
      </c>
      <c r="C2396" s="1" t="n">
        <v>45828</v>
      </c>
      <c r="D2396" t="inlineStr">
        <is>
          <t>VÄRMLANDS LÄN</t>
        </is>
      </c>
      <c r="E2396" t="inlineStr">
        <is>
          <t>TORSBY</t>
        </is>
      </c>
      <c r="F2396" t="inlineStr">
        <is>
          <t>Bergvik skog väst AB</t>
        </is>
      </c>
      <c r="G2396" t="n">
        <v>19.4</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45828</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24004-2024</t>
        </is>
      </c>
      <c r="B2398" s="1" t="n">
        <v>45456</v>
      </c>
      <c r="C2398" s="1" t="n">
        <v>45828</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24148-2024</t>
        </is>
      </c>
      <c r="B2399" s="1" t="n">
        <v>45456</v>
      </c>
      <c r="C2399" s="1" t="n">
        <v>45828</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24182-2024</t>
        </is>
      </c>
      <c r="B2400" s="1" t="n">
        <v>45456</v>
      </c>
      <c r="C2400" s="1" t="n">
        <v>45828</v>
      </c>
      <c r="D2400" t="inlineStr">
        <is>
          <t>VÄRMLANDS LÄN</t>
        </is>
      </c>
      <c r="E2400" t="inlineStr">
        <is>
          <t>TORSBY</t>
        </is>
      </c>
      <c r="F2400" t="inlineStr">
        <is>
          <t>Bergvik skog väst AB</t>
        </is>
      </c>
      <c r="G2400" t="n">
        <v>28.9</v>
      </c>
      <c r="H2400" t="n">
        <v>0</v>
      </c>
      <c r="I2400" t="n">
        <v>0</v>
      </c>
      <c r="J2400" t="n">
        <v>0</v>
      </c>
      <c r="K2400" t="n">
        <v>0</v>
      </c>
      <c r="L2400" t="n">
        <v>0</v>
      </c>
      <c r="M2400" t="n">
        <v>0</v>
      </c>
      <c r="N2400" t="n">
        <v>0</v>
      </c>
      <c r="O2400" t="n">
        <v>0</v>
      </c>
      <c r="P2400" t="n">
        <v>0</v>
      </c>
      <c r="Q2400" t="n">
        <v>0</v>
      </c>
      <c r="R2400" s="2" t="inlineStr"/>
    </row>
    <row r="2401" ht="15" customHeight="1">
      <c r="A2401" t="inlineStr">
        <is>
          <t>A 24087-2024</t>
        </is>
      </c>
      <c r="B2401" s="1" t="n">
        <v>45456</v>
      </c>
      <c r="C2401" s="1" t="n">
        <v>45828</v>
      </c>
      <c r="D2401" t="inlineStr">
        <is>
          <t>VÄRMLANDS LÄN</t>
        </is>
      </c>
      <c r="E2401" t="inlineStr">
        <is>
          <t>TORSBY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24113-2024</t>
        </is>
      </c>
      <c r="B2402" s="1" t="n">
        <v>45456</v>
      </c>
      <c r="C2402" s="1" t="n">
        <v>45828</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24242-2024</t>
        </is>
      </c>
      <c r="B2403" s="1" t="n">
        <v>45457</v>
      </c>
      <c r="C2403" s="1" t="n">
        <v>45828</v>
      </c>
      <c r="D2403" t="inlineStr">
        <is>
          <t>VÄRMLANDS LÄN</t>
        </is>
      </c>
      <c r="E2403" t="inlineStr">
        <is>
          <t>TORSBY</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24261-2024</t>
        </is>
      </c>
      <c r="B2404" s="1" t="n">
        <v>45457</v>
      </c>
      <c r="C2404" s="1" t="n">
        <v>45828</v>
      </c>
      <c r="D2404" t="inlineStr">
        <is>
          <t>VÄRMLANDS LÄN</t>
        </is>
      </c>
      <c r="E2404" t="inlineStr">
        <is>
          <t>TORSBY</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24267-2024</t>
        </is>
      </c>
      <c r="B2405" s="1" t="n">
        <v>45457</v>
      </c>
      <c r="C2405" s="1" t="n">
        <v>45828</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24493-2024</t>
        </is>
      </c>
      <c r="B2406" s="1" t="n">
        <v>45459</v>
      </c>
      <c r="C2406" s="1" t="n">
        <v>45828</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24490-2024</t>
        </is>
      </c>
      <c r="B2407" s="1" t="n">
        <v>45459</v>
      </c>
      <c r="C2407" s="1" t="n">
        <v>45828</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24708-2024</t>
        </is>
      </c>
      <c r="B2408" s="1" t="n">
        <v>45460</v>
      </c>
      <c r="C2408" s="1" t="n">
        <v>45828</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24723-2024</t>
        </is>
      </c>
      <c r="B2409" s="1" t="n">
        <v>45460</v>
      </c>
      <c r="C2409" s="1" t="n">
        <v>45828</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24717-2024</t>
        </is>
      </c>
      <c r="B2410" s="1" t="n">
        <v>45460</v>
      </c>
      <c r="C2410" s="1" t="n">
        <v>45828</v>
      </c>
      <c r="D2410" t="inlineStr">
        <is>
          <t>VÄRMLANDS LÄN</t>
        </is>
      </c>
      <c r="E2410" t="inlineStr">
        <is>
          <t>TORSBY</t>
        </is>
      </c>
      <c r="F2410" t="inlineStr">
        <is>
          <t>Övriga statliga verk och myndigheter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24636-2024</t>
        </is>
      </c>
      <c r="B2411" s="1" t="n">
        <v>45460</v>
      </c>
      <c r="C2411" s="1" t="n">
        <v>45828</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24630-2024</t>
        </is>
      </c>
      <c r="B2412" s="1" t="n">
        <v>45460</v>
      </c>
      <c r="C2412" s="1" t="n">
        <v>45828</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24657-2024</t>
        </is>
      </c>
      <c r="B2413" s="1" t="n">
        <v>45460</v>
      </c>
      <c r="C2413" s="1" t="n">
        <v>45828</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24995-2024</t>
        </is>
      </c>
      <c r="B2414" s="1" t="n">
        <v>45461</v>
      </c>
      <c r="C2414" s="1" t="n">
        <v>45828</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24851-2024</t>
        </is>
      </c>
      <c r="B2415" s="1" t="n">
        <v>45461</v>
      </c>
      <c r="C2415" s="1" t="n">
        <v>45828</v>
      </c>
      <c r="D2415" t="inlineStr">
        <is>
          <t>VÄRMLANDS LÄN</t>
        </is>
      </c>
      <c r="E2415" t="inlineStr">
        <is>
          <t>TORSBY</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25355-2024</t>
        </is>
      </c>
      <c r="B2416" s="1" t="n">
        <v>45463</v>
      </c>
      <c r="C2416" s="1" t="n">
        <v>45828</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25313-2024</t>
        </is>
      </c>
      <c r="B2417" s="1" t="n">
        <v>45462</v>
      </c>
      <c r="C2417" s="1" t="n">
        <v>45828</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25090-2024</t>
        </is>
      </c>
      <c r="B2418" s="1" t="n">
        <v>45462</v>
      </c>
      <c r="C2418" s="1" t="n">
        <v>45828</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25264-2024</t>
        </is>
      </c>
      <c r="B2419" s="1" t="n">
        <v>45462</v>
      </c>
      <c r="C2419" s="1" t="n">
        <v>45828</v>
      </c>
      <c r="D2419" t="inlineStr">
        <is>
          <t>VÄRMLANDS LÄN</t>
        </is>
      </c>
      <c r="E2419" t="inlineStr">
        <is>
          <t>TORSBY</t>
        </is>
      </c>
      <c r="G2419" t="n">
        <v>10.7</v>
      </c>
      <c r="H2419" t="n">
        <v>0</v>
      </c>
      <c r="I2419" t="n">
        <v>0</v>
      </c>
      <c r="J2419" t="n">
        <v>0</v>
      </c>
      <c r="K2419" t="n">
        <v>0</v>
      </c>
      <c r="L2419" t="n">
        <v>0</v>
      </c>
      <c r="M2419" t="n">
        <v>0</v>
      </c>
      <c r="N2419" t="n">
        <v>0</v>
      </c>
      <c r="O2419" t="n">
        <v>0</v>
      </c>
      <c r="P2419" t="n">
        <v>0</v>
      </c>
      <c r="Q2419" t="n">
        <v>0</v>
      </c>
      <c r="R2419" s="2" t="inlineStr"/>
    </row>
    <row r="2420" ht="15" customHeight="1">
      <c r="A2420" t="inlineStr">
        <is>
          <t>A 25194-2024</t>
        </is>
      </c>
      <c r="B2420" s="1" t="n">
        <v>45462</v>
      </c>
      <c r="C2420" s="1" t="n">
        <v>45828</v>
      </c>
      <c r="D2420" t="inlineStr">
        <is>
          <t>VÄRMLANDS LÄN</t>
        </is>
      </c>
      <c r="E2420" t="inlineStr">
        <is>
          <t>TORSBY</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25316-2024</t>
        </is>
      </c>
      <c r="B2421" s="1" t="n">
        <v>45462</v>
      </c>
      <c r="C2421" s="1" t="n">
        <v>45828</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25629-2024</t>
        </is>
      </c>
      <c r="B2422" s="1" t="n">
        <v>45463</v>
      </c>
      <c r="C2422" s="1" t="n">
        <v>45828</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25504-2024</t>
        </is>
      </c>
      <c r="B2423" s="1" t="n">
        <v>45463</v>
      </c>
      <c r="C2423" s="1" t="n">
        <v>45828</v>
      </c>
      <c r="D2423" t="inlineStr">
        <is>
          <t>VÄRMLANDS LÄN</t>
        </is>
      </c>
      <c r="E2423" t="inlineStr">
        <is>
          <t>TORSBY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25827-2024</t>
        </is>
      </c>
      <c r="B2424" s="1" t="n">
        <v>45467</v>
      </c>
      <c r="C2424" s="1" t="n">
        <v>45828</v>
      </c>
      <c r="D2424" t="inlineStr">
        <is>
          <t>VÄRMLANDS LÄN</t>
        </is>
      </c>
      <c r="E2424" t="inlineStr">
        <is>
          <t>TORSBY</t>
        </is>
      </c>
      <c r="G2424" t="n">
        <v>20.5</v>
      </c>
      <c r="H2424" t="n">
        <v>0</v>
      </c>
      <c r="I2424" t="n">
        <v>0</v>
      </c>
      <c r="J2424" t="n">
        <v>0</v>
      </c>
      <c r="K2424" t="n">
        <v>0</v>
      </c>
      <c r="L2424" t="n">
        <v>0</v>
      </c>
      <c r="M2424" t="n">
        <v>0</v>
      </c>
      <c r="N2424" t="n">
        <v>0</v>
      </c>
      <c r="O2424" t="n">
        <v>0</v>
      </c>
      <c r="P2424" t="n">
        <v>0</v>
      </c>
      <c r="Q2424" t="n">
        <v>0</v>
      </c>
      <c r="R2424" s="2" t="inlineStr"/>
    </row>
    <row r="2425" ht="15" customHeight="1">
      <c r="A2425" t="inlineStr">
        <is>
          <t>A 25898-2024</t>
        </is>
      </c>
      <c r="B2425" s="1" t="n">
        <v>45467</v>
      </c>
      <c r="C2425" s="1" t="n">
        <v>45828</v>
      </c>
      <c r="D2425" t="inlineStr">
        <is>
          <t>VÄRMLANDS LÄN</t>
        </is>
      </c>
      <c r="E2425" t="inlineStr">
        <is>
          <t>TORSBY</t>
        </is>
      </c>
      <c r="G2425" t="n">
        <v>27.6</v>
      </c>
      <c r="H2425" t="n">
        <v>0</v>
      </c>
      <c r="I2425" t="n">
        <v>0</v>
      </c>
      <c r="J2425" t="n">
        <v>0</v>
      </c>
      <c r="K2425" t="n">
        <v>0</v>
      </c>
      <c r="L2425" t="n">
        <v>0</v>
      </c>
      <c r="M2425" t="n">
        <v>0</v>
      </c>
      <c r="N2425" t="n">
        <v>0</v>
      </c>
      <c r="O2425" t="n">
        <v>0</v>
      </c>
      <c r="P2425" t="n">
        <v>0</v>
      </c>
      <c r="Q2425" t="n">
        <v>0</v>
      </c>
      <c r="R2425" s="2" t="inlineStr"/>
    </row>
    <row r="2426" ht="15" customHeight="1">
      <c r="A2426" t="inlineStr">
        <is>
          <t>A 25932-2024</t>
        </is>
      </c>
      <c r="B2426" s="1" t="n">
        <v>45467</v>
      </c>
      <c r="C2426" s="1" t="n">
        <v>45828</v>
      </c>
      <c r="D2426" t="inlineStr">
        <is>
          <t>VÄRMLANDS LÄN</t>
        </is>
      </c>
      <c r="E2426" t="inlineStr">
        <is>
          <t>TORSBY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25933-2024</t>
        </is>
      </c>
      <c r="B2427" s="1" t="n">
        <v>45467</v>
      </c>
      <c r="C2427" s="1" t="n">
        <v>45828</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25949-2024</t>
        </is>
      </c>
      <c r="B2428" s="1" t="n">
        <v>45467</v>
      </c>
      <c r="C2428" s="1" t="n">
        <v>45828</v>
      </c>
      <c r="D2428" t="inlineStr">
        <is>
          <t>VÄRMLANDS LÄN</t>
        </is>
      </c>
      <c r="E2428" t="inlineStr">
        <is>
          <t>TORSBY</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26186-2024</t>
        </is>
      </c>
      <c r="B2429" s="1" t="n">
        <v>45468</v>
      </c>
      <c r="C2429" s="1" t="n">
        <v>45828</v>
      </c>
      <c r="D2429" t="inlineStr">
        <is>
          <t>VÄRMLANDS LÄN</t>
        </is>
      </c>
      <c r="E2429" t="inlineStr">
        <is>
          <t>TORSBY</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26166-2024</t>
        </is>
      </c>
      <c r="B2430" s="1" t="n">
        <v>45468</v>
      </c>
      <c r="C2430" s="1" t="n">
        <v>45828</v>
      </c>
      <c r="D2430" t="inlineStr">
        <is>
          <t>VÄRMLANDS LÄN</t>
        </is>
      </c>
      <c r="E2430" t="inlineStr">
        <is>
          <t>TORSBY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26124-2024</t>
        </is>
      </c>
      <c r="B2431" s="1" t="n">
        <v>45468</v>
      </c>
      <c r="C2431" s="1" t="n">
        <v>45828</v>
      </c>
      <c r="D2431" t="inlineStr">
        <is>
          <t>VÄRMLANDS LÄN</t>
        </is>
      </c>
      <c r="E2431" t="inlineStr">
        <is>
          <t>TORSBY</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26086-2024</t>
        </is>
      </c>
      <c r="B2432" s="1" t="n">
        <v>45468</v>
      </c>
      <c r="C2432" s="1" t="n">
        <v>45828</v>
      </c>
      <c r="D2432" t="inlineStr">
        <is>
          <t>VÄRMLANDS LÄN</t>
        </is>
      </c>
      <c r="E2432" t="inlineStr">
        <is>
          <t>TORSBY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26042-2024</t>
        </is>
      </c>
      <c r="B2433" s="1" t="n">
        <v>45468</v>
      </c>
      <c r="C2433" s="1" t="n">
        <v>45828</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26634-2024</t>
        </is>
      </c>
      <c r="B2434" s="1" t="n">
        <v>45469</v>
      </c>
      <c r="C2434" s="1" t="n">
        <v>45828</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26876-2024</t>
        </is>
      </c>
      <c r="B2435" s="1" t="n">
        <v>45470</v>
      </c>
      <c r="C2435" s="1" t="n">
        <v>45828</v>
      </c>
      <c r="D2435" t="inlineStr">
        <is>
          <t>VÄRMLANDS LÄN</t>
        </is>
      </c>
      <c r="E2435" t="inlineStr">
        <is>
          <t>TORSBY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26887-2024</t>
        </is>
      </c>
      <c r="B2436" s="1" t="n">
        <v>45470</v>
      </c>
      <c r="C2436" s="1" t="n">
        <v>45828</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26807-2024</t>
        </is>
      </c>
      <c r="B2437" s="1" t="n">
        <v>45470</v>
      </c>
      <c r="C2437" s="1" t="n">
        <v>45828</v>
      </c>
      <c r="D2437" t="inlineStr">
        <is>
          <t>VÄRMLANDS LÄN</t>
        </is>
      </c>
      <c r="E2437" t="inlineStr">
        <is>
          <t>TORSBY</t>
        </is>
      </c>
      <c r="F2437" t="inlineStr">
        <is>
          <t>Bergvik skog väst AB</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26799-2024</t>
        </is>
      </c>
      <c r="B2438" s="1" t="n">
        <v>45470</v>
      </c>
      <c r="C2438" s="1" t="n">
        <v>45828</v>
      </c>
      <c r="D2438" t="inlineStr">
        <is>
          <t>VÄRMLANDS LÄN</t>
        </is>
      </c>
      <c r="E2438" t="inlineStr">
        <is>
          <t>TORSBY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27045-2024</t>
        </is>
      </c>
      <c r="B2439" s="1" t="n">
        <v>45471</v>
      </c>
      <c r="C2439" s="1" t="n">
        <v>45828</v>
      </c>
      <c r="D2439" t="inlineStr">
        <is>
          <t>VÄRMLANDS LÄN</t>
        </is>
      </c>
      <c r="E2439" t="inlineStr">
        <is>
          <t>TORSBY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27187-2024</t>
        </is>
      </c>
      <c r="B2440" s="1" t="n">
        <v>45471</v>
      </c>
      <c r="C2440" s="1" t="n">
        <v>45828</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27111-2024</t>
        </is>
      </c>
      <c r="B2441" s="1" t="n">
        <v>45471</v>
      </c>
      <c r="C2441" s="1" t="n">
        <v>45828</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27115-2024</t>
        </is>
      </c>
      <c r="B2442" s="1" t="n">
        <v>45471</v>
      </c>
      <c r="C2442" s="1" t="n">
        <v>45828</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27116-2024</t>
        </is>
      </c>
      <c r="B2443" s="1" t="n">
        <v>45471</v>
      </c>
      <c r="C2443" s="1" t="n">
        <v>45828</v>
      </c>
      <c r="D2443" t="inlineStr">
        <is>
          <t>VÄRMLANDS LÄN</t>
        </is>
      </c>
      <c r="E2443" t="inlineStr">
        <is>
          <t>TORSBY</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27120-2024</t>
        </is>
      </c>
      <c r="B2444" s="1" t="n">
        <v>45471</v>
      </c>
      <c r="C2444" s="1" t="n">
        <v>45828</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27124-2024</t>
        </is>
      </c>
      <c r="B2445" s="1" t="n">
        <v>45471</v>
      </c>
      <c r="C2445" s="1" t="n">
        <v>45828</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27144-2024</t>
        </is>
      </c>
      <c r="B2446" s="1" t="n">
        <v>45471</v>
      </c>
      <c r="C2446" s="1" t="n">
        <v>45828</v>
      </c>
      <c r="D2446" t="inlineStr">
        <is>
          <t>VÄRMLANDS LÄN</t>
        </is>
      </c>
      <c r="E2446" t="inlineStr">
        <is>
          <t>TORSBY</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27101-2024</t>
        </is>
      </c>
      <c r="B2447" s="1" t="n">
        <v>45471</v>
      </c>
      <c r="C2447" s="1" t="n">
        <v>45828</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27090-2024</t>
        </is>
      </c>
      <c r="B2448" s="1" t="n">
        <v>45471</v>
      </c>
      <c r="C2448" s="1" t="n">
        <v>45828</v>
      </c>
      <c r="D2448" t="inlineStr">
        <is>
          <t>VÄRMLANDS LÄN</t>
        </is>
      </c>
      <c r="E2448" t="inlineStr">
        <is>
          <t>TORSBY</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27086-2024</t>
        </is>
      </c>
      <c r="B2449" s="1" t="n">
        <v>45471</v>
      </c>
      <c r="C2449" s="1" t="n">
        <v>45828</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27078-2024</t>
        </is>
      </c>
      <c r="B2450" s="1" t="n">
        <v>45471</v>
      </c>
      <c r="C2450" s="1" t="n">
        <v>45828</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27270-2024</t>
        </is>
      </c>
      <c r="B2451" s="1" t="n">
        <v>45471</v>
      </c>
      <c r="C2451" s="1" t="n">
        <v>45828</v>
      </c>
      <c r="D2451" t="inlineStr">
        <is>
          <t>VÄRMLANDS LÄN</t>
        </is>
      </c>
      <c r="E2451" t="inlineStr">
        <is>
          <t>TORSBY</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27291-2024</t>
        </is>
      </c>
      <c r="B2452" s="1" t="n">
        <v>45472</v>
      </c>
      <c r="C2452" s="1" t="n">
        <v>45828</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27096-2024</t>
        </is>
      </c>
      <c r="B2453" s="1" t="n">
        <v>45471</v>
      </c>
      <c r="C2453" s="1" t="n">
        <v>45828</v>
      </c>
      <c r="D2453" t="inlineStr">
        <is>
          <t>VÄRMLANDS LÄN</t>
        </is>
      </c>
      <c r="E2453" t="inlineStr">
        <is>
          <t>TORSBY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27273-2024</t>
        </is>
      </c>
      <c r="B2454" s="1" t="n">
        <v>45471</v>
      </c>
      <c r="C2454" s="1" t="n">
        <v>45828</v>
      </c>
      <c r="D2454" t="inlineStr">
        <is>
          <t>VÄRMLANDS LÄN</t>
        </is>
      </c>
      <c r="E2454" t="inlineStr">
        <is>
          <t>TORSBY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27038-2024</t>
        </is>
      </c>
      <c r="B2455" s="1" t="n">
        <v>45471</v>
      </c>
      <c r="C2455" s="1" t="n">
        <v>45828</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27275-2024</t>
        </is>
      </c>
      <c r="B2456" s="1" t="n">
        <v>45471</v>
      </c>
      <c r="C2456" s="1" t="n">
        <v>45828</v>
      </c>
      <c r="D2456" t="inlineStr">
        <is>
          <t>VÄRMLANDS LÄN</t>
        </is>
      </c>
      <c r="E2456" t="inlineStr">
        <is>
          <t>TORSBY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27292-2024</t>
        </is>
      </c>
      <c r="B2457" s="1" t="n">
        <v>45472</v>
      </c>
      <c r="C2457" s="1" t="n">
        <v>45828</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27363-2024</t>
        </is>
      </c>
      <c r="B2458" s="1" t="n">
        <v>45473</v>
      </c>
      <c r="C2458" s="1" t="n">
        <v>45828</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27347-2024</t>
        </is>
      </c>
      <c r="B2459" s="1" t="n">
        <v>45473</v>
      </c>
      <c r="C2459" s="1" t="n">
        <v>45828</v>
      </c>
      <c r="D2459" t="inlineStr">
        <is>
          <t>VÄRMLANDS LÄN</t>
        </is>
      </c>
      <c r="E2459" t="inlineStr">
        <is>
          <t>TORSBY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27360-2024</t>
        </is>
      </c>
      <c r="B2460" s="1" t="n">
        <v>45473</v>
      </c>
      <c r="C2460" s="1" t="n">
        <v>45828</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27352-2024</t>
        </is>
      </c>
      <c r="B2461" s="1" t="n">
        <v>45473</v>
      </c>
      <c r="C2461" s="1" t="n">
        <v>45828</v>
      </c>
      <c r="D2461" t="inlineStr">
        <is>
          <t>VÄRMLANDS LÄN</t>
        </is>
      </c>
      <c r="E2461" t="inlineStr">
        <is>
          <t>TORSBY</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27358-2024</t>
        </is>
      </c>
      <c r="B2462" s="1" t="n">
        <v>45473</v>
      </c>
      <c r="C2462" s="1" t="n">
        <v>45828</v>
      </c>
      <c r="D2462" t="inlineStr">
        <is>
          <t>VÄRMLANDS LÄN</t>
        </is>
      </c>
      <c r="E2462" t="inlineStr">
        <is>
          <t>TORSBY</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27346-2024</t>
        </is>
      </c>
      <c r="B2463" s="1" t="n">
        <v>45473</v>
      </c>
      <c r="C2463" s="1" t="n">
        <v>45828</v>
      </c>
      <c r="D2463" t="inlineStr">
        <is>
          <t>VÄRMLANDS LÄN</t>
        </is>
      </c>
      <c r="E2463" t="inlineStr">
        <is>
          <t>TORSBY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27349-2024</t>
        </is>
      </c>
      <c r="B2464" s="1" t="n">
        <v>45473</v>
      </c>
      <c r="C2464" s="1" t="n">
        <v>45828</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27548-2024</t>
        </is>
      </c>
      <c r="B2465" s="1" t="n">
        <v>45474</v>
      </c>
      <c r="C2465" s="1" t="n">
        <v>45828</v>
      </c>
      <c r="D2465" t="inlineStr">
        <is>
          <t>VÄRMLANDS LÄN</t>
        </is>
      </c>
      <c r="E2465" t="inlineStr">
        <is>
          <t>TORSBY</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27615-2024</t>
        </is>
      </c>
      <c r="B2466" s="1" t="n">
        <v>45474</v>
      </c>
      <c r="C2466" s="1" t="n">
        <v>45828</v>
      </c>
      <c r="D2466" t="inlineStr">
        <is>
          <t>VÄRMLANDS LÄN</t>
        </is>
      </c>
      <c r="E2466" t="inlineStr">
        <is>
          <t>TORSBY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27554-2024</t>
        </is>
      </c>
      <c r="B2467" s="1" t="n">
        <v>45474</v>
      </c>
      <c r="C2467" s="1" t="n">
        <v>45828</v>
      </c>
      <c r="D2467" t="inlineStr">
        <is>
          <t>VÄRMLANDS LÄN</t>
        </is>
      </c>
      <c r="E2467" t="inlineStr">
        <is>
          <t>TORSBY</t>
        </is>
      </c>
      <c r="F2467" t="inlineStr">
        <is>
          <t>Bergvik skog väst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27588-2024</t>
        </is>
      </c>
      <c r="B2468" s="1" t="n">
        <v>45474</v>
      </c>
      <c r="C2468" s="1" t="n">
        <v>45828</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27501-2024</t>
        </is>
      </c>
      <c r="B2469" s="1" t="n">
        <v>45474</v>
      </c>
      <c r="C2469" s="1" t="n">
        <v>45828</v>
      </c>
      <c r="D2469" t="inlineStr">
        <is>
          <t>VÄRMLANDS LÄN</t>
        </is>
      </c>
      <c r="E2469" t="inlineStr">
        <is>
          <t>TORSBY</t>
        </is>
      </c>
      <c r="F2469" t="inlineStr">
        <is>
          <t>Bergvik skog väst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27529-2024</t>
        </is>
      </c>
      <c r="B2470" s="1" t="n">
        <v>45474</v>
      </c>
      <c r="C2470" s="1" t="n">
        <v>45828</v>
      </c>
      <c r="D2470" t="inlineStr">
        <is>
          <t>VÄRMLANDS LÄN</t>
        </is>
      </c>
      <c r="E2470" t="inlineStr">
        <is>
          <t>TORSBY</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27537-2024</t>
        </is>
      </c>
      <c r="B2471" s="1" t="n">
        <v>45474</v>
      </c>
      <c r="C2471" s="1" t="n">
        <v>45828</v>
      </c>
      <c r="D2471" t="inlineStr">
        <is>
          <t>VÄRMLANDS LÄN</t>
        </is>
      </c>
      <c r="E2471" t="inlineStr">
        <is>
          <t>TORSBY</t>
        </is>
      </c>
      <c r="F2471" t="inlineStr">
        <is>
          <t>Bergvik skog väst AB</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27573-2024</t>
        </is>
      </c>
      <c r="B2472" s="1" t="n">
        <v>45474</v>
      </c>
      <c r="C2472" s="1" t="n">
        <v>45828</v>
      </c>
      <c r="D2472" t="inlineStr">
        <is>
          <t>VÄRMLANDS LÄN</t>
        </is>
      </c>
      <c r="E2472" t="inlineStr">
        <is>
          <t>TORSBY</t>
        </is>
      </c>
      <c r="F2472" t="inlineStr">
        <is>
          <t>Bergvik skog väst AB</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27790-2024</t>
        </is>
      </c>
      <c r="B2473" s="1" t="n">
        <v>45475</v>
      </c>
      <c r="C2473" s="1" t="n">
        <v>45828</v>
      </c>
      <c r="D2473" t="inlineStr">
        <is>
          <t>VÄRMLANDS LÄN</t>
        </is>
      </c>
      <c r="E2473" t="inlineStr">
        <is>
          <t>TORSBY</t>
        </is>
      </c>
      <c r="F2473" t="inlineStr">
        <is>
          <t>Bergvik skog väst AB</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27678-2024</t>
        </is>
      </c>
      <c r="B2474" s="1" t="n">
        <v>45475</v>
      </c>
      <c r="C2474" s="1" t="n">
        <v>45828</v>
      </c>
      <c r="D2474" t="inlineStr">
        <is>
          <t>VÄRMLANDS LÄN</t>
        </is>
      </c>
      <c r="E2474" t="inlineStr">
        <is>
          <t>TORSBY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27824-2024</t>
        </is>
      </c>
      <c r="B2475" s="1" t="n">
        <v>45475</v>
      </c>
      <c r="C2475" s="1" t="n">
        <v>45828</v>
      </c>
      <c r="D2475" t="inlineStr">
        <is>
          <t>VÄRMLANDS LÄN</t>
        </is>
      </c>
      <c r="E2475" t="inlineStr">
        <is>
          <t>TORSBY</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27677-2024</t>
        </is>
      </c>
      <c r="B2476" s="1" t="n">
        <v>45475</v>
      </c>
      <c r="C2476" s="1" t="n">
        <v>45828</v>
      </c>
      <c r="D2476" t="inlineStr">
        <is>
          <t>VÄRMLANDS LÄN</t>
        </is>
      </c>
      <c r="E2476" t="inlineStr">
        <is>
          <t>TORSBY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28102-2024</t>
        </is>
      </c>
      <c r="B2477" s="1" t="n">
        <v>45476</v>
      </c>
      <c r="C2477" s="1" t="n">
        <v>45828</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28089-2024</t>
        </is>
      </c>
      <c r="B2478" s="1" t="n">
        <v>45476</v>
      </c>
      <c r="C2478" s="1" t="n">
        <v>45828</v>
      </c>
      <c r="D2478" t="inlineStr">
        <is>
          <t>VÄRMLANDS LÄN</t>
        </is>
      </c>
      <c r="E2478" t="inlineStr">
        <is>
          <t>TORSBY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28112-2024</t>
        </is>
      </c>
      <c r="B2479" s="1" t="n">
        <v>45476</v>
      </c>
      <c r="C2479" s="1" t="n">
        <v>45828</v>
      </c>
      <c r="D2479" t="inlineStr">
        <is>
          <t>VÄRMLANDS LÄN</t>
        </is>
      </c>
      <c r="E2479" t="inlineStr">
        <is>
          <t>TORSBY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28035-2024</t>
        </is>
      </c>
      <c r="B2480" s="1" t="n">
        <v>45476</v>
      </c>
      <c r="C2480" s="1" t="n">
        <v>45828</v>
      </c>
      <c r="D2480" t="inlineStr">
        <is>
          <t>VÄRMLANDS LÄN</t>
        </is>
      </c>
      <c r="E2480" t="inlineStr">
        <is>
          <t>TORSBY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28005-2024</t>
        </is>
      </c>
      <c r="B2481" s="1" t="n">
        <v>45476</v>
      </c>
      <c r="C2481" s="1" t="n">
        <v>45828</v>
      </c>
      <c r="D2481" t="inlineStr">
        <is>
          <t>VÄRMLANDS LÄN</t>
        </is>
      </c>
      <c r="E2481" t="inlineStr">
        <is>
          <t>TORSBY</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28501-2024</t>
        </is>
      </c>
      <c r="B2482" s="1" t="n">
        <v>45478</v>
      </c>
      <c r="C2482" s="1" t="n">
        <v>45828</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28319-2024</t>
        </is>
      </c>
      <c r="B2483" s="1" t="n">
        <v>45477</v>
      </c>
      <c r="C2483" s="1" t="n">
        <v>45828</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28311-2024</t>
        </is>
      </c>
      <c r="B2484" s="1" t="n">
        <v>45477</v>
      </c>
      <c r="C2484" s="1" t="n">
        <v>45828</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28329-2024</t>
        </is>
      </c>
      <c r="B2485" s="1" t="n">
        <v>45477</v>
      </c>
      <c r="C2485" s="1" t="n">
        <v>45828</v>
      </c>
      <c r="D2485" t="inlineStr">
        <is>
          <t>VÄRMLANDS LÄN</t>
        </is>
      </c>
      <c r="E2485" t="inlineStr">
        <is>
          <t>TORSBY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28310-2024</t>
        </is>
      </c>
      <c r="B2486" s="1" t="n">
        <v>45477</v>
      </c>
      <c r="C2486" s="1" t="n">
        <v>45828</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28502-2024</t>
        </is>
      </c>
      <c r="B2487" s="1" t="n">
        <v>45478</v>
      </c>
      <c r="C2487" s="1" t="n">
        <v>45828</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28249-2024</t>
        </is>
      </c>
      <c r="B2488" s="1" t="n">
        <v>45477</v>
      </c>
      <c r="C2488" s="1" t="n">
        <v>45828</v>
      </c>
      <c r="D2488" t="inlineStr">
        <is>
          <t>VÄRMLANDS LÄN</t>
        </is>
      </c>
      <c r="E2488" t="inlineStr">
        <is>
          <t>TORSBY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28364-2024</t>
        </is>
      </c>
      <c r="B2489" s="1" t="n">
        <v>45477</v>
      </c>
      <c r="C2489" s="1" t="n">
        <v>45828</v>
      </c>
      <c r="D2489" t="inlineStr">
        <is>
          <t>VÄRMLANDS LÄN</t>
        </is>
      </c>
      <c r="E2489" t="inlineStr">
        <is>
          <t>TORSBY</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28284-2024</t>
        </is>
      </c>
      <c r="B2490" s="1" t="n">
        <v>45477</v>
      </c>
      <c r="C2490" s="1" t="n">
        <v>45828</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28539-2024</t>
        </is>
      </c>
      <c r="B2491" s="1" t="n">
        <v>45478</v>
      </c>
      <c r="C2491" s="1" t="n">
        <v>45828</v>
      </c>
      <c r="D2491" t="inlineStr">
        <is>
          <t>VÄRMLANDS LÄN</t>
        </is>
      </c>
      <c r="E2491" t="inlineStr">
        <is>
          <t>TORSBY</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28619-2024</t>
        </is>
      </c>
      <c r="B2492" s="1" t="n">
        <v>45478</v>
      </c>
      <c r="C2492" s="1" t="n">
        <v>45828</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28554-2024</t>
        </is>
      </c>
      <c r="B2493" s="1" t="n">
        <v>45478</v>
      </c>
      <c r="C2493" s="1" t="n">
        <v>45828</v>
      </c>
      <c r="D2493" t="inlineStr">
        <is>
          <t>VÄRMLANDS LÄN</t>
        </is>
      </c>
      <c r="E2493" t="inlineStr">
        <is>
          <t>TORSBY</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28646-2024</t>
        </is>
      </c>
      <c r="B2494" s="1" t="n">
        <v>45478</v>
      </c>
      <c r="C2494" s="1" t="n">
        <v>45828</v>
      </c>
      <c r="D2494" t="inlineStr">
        <is>
          <t>VÄRMLANDS LÄN</t>
        </is>
      </c>
      <c r="E2494" t="inlineStr">
        <is>
          <t>TORSBY</t>
        </is>
      </c>
      <c r="F2494" t="inlineStr">
        <is>
          <t>Bergvik skog väst AB</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28545-2024</t>
        </is>
      </c>
      <c r="B2495" s="1" t="n">
        <v>45478</v>
      </c>
      <c r="C2495" s="1" t="n">
        <v>45828</v>
      </c>
      <c r="D2495" t="inlineStr">
        <is>
          <t>VÄRMLANDS LÄN</t>
        </is>
      </c>
      <c r="E2495" t="inlineStr">
        <is>
          <t>TORSBY</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28589-2024</t>
        </is>
      </c>
      <c r="B2496" s="1" t="n">
        <v>45478</v>
      </c>
      <c r="C2496" s="1" t="n">
        <v>45828</v>
      </c>
      <c r="D2496" t="inlineStr">
        <is>
          <t>VÄRMLANDS LÄN</t>
        </is>
      </c>
      <c r="E2496" t="inlineStr">
        <is>
          <t>TORSBY</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28624-2024</t>
        </is>
      </c>
      <c r="B2497" s="1" t="n">
        <v>45478</v>
      </c>
      <c r="C2497" s="1" t="n">
        <v>45828</v>
      </c>
      <c r="D2497" t="inlineStr">
        <is>
          <t>VÄRMLANDS LÄN</t>
        </is>
      </c>
      <c r="E2497" t="inlineStr">
        <is>
          <t>TORSBY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28673-2024</t>
        </is>
      </c>
      <c r="B2498" s="1" t="n">
        <v>45478</v>
      </c>
      <c r="C2498" s="1" t="n">
        <v>45828</v>
      </c>
      <c r="D2498" t="inlineStr">
        <is>
          <t>VÄRMLANDS LÄN</t>
        </is>
      </c>
      <c r="E2498" t="inlineStr">
        <is>
          <t>TORSBY</t>
        </is>
      </c>
      <c r="F2498" t="inlineStr">
        <is>
          <t>Bergvik skog väst AB</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28609-2024</t>
        </is>
      </c>
      <c r="B2499" s="1" t="n">
        <v>45478</v>
      </c>
      <c r="C2499" s="1" t="n">
        <v>45828</v>
      </c>
      <c r="D2499" t="inlineStr">
        <is>
          <t>VÄRMLANDS LÄN</t>
        </is>
      </c>
      <c r="E2499" t="inlineStr">
        <is>
          <t>TORSBY</t>
        </is>
      </c>
      <c r="F2499" t="inlineStr">
        <is>
          <t>Bergvik skog väst AB</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28621-2024</t>
        </is>
      </c>
      <c r="B2500" s="1" t="n">
        <v>45478</v>
      </c>
      <c r="C2500" s="1" t="n">
        <v>45828</v>
      </c>
      <c r="D2500" t="inlineStr">
        <is>
          <t>VÄRMLANDS LÄN</t>
        </is>
      </c>
      <c r="E2500" t="inlineStr">
        <is>
          <t>TORSBY</t>
        </is>
      </c>
      <c r="F2500" t="inlineStr">
        <is>
          <t>Bergvik skog väst AB</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28637-2024</t>
        </is>
      </c>
      <c r="B2501" s="1" t="n">
        <v>45478</v>
      </c>
      <c r="C2501" s="1" t="n">
        <v>45828</v>
      </c>
      <c r="D2501" t="inlineStr">
        <is>
          <t>VÄRMLANDS LÄN</t>
        </is>
      </c>
      <c r="E2501" t="inlineStr">
        <is>
          <t>TORSBY</t>
        </is>
      </c>
      <c r="F2501" t="inlineStr">
        <is>
          <t>Bergvik skog väst AB</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28948-2024</t>
        </is>
      </c>
      <c r="B2502" s="1" t="n">
        <v>45481</v>
      </c>
      <c r="C2502" s="1" t="n">
        <v>45828</v>
      </c>
      <c r="D2502" t="inlineStr">
        <is>
          <t>VÄRMLANDS LÄN</t>
        </is>
      </c>
      <c r="E2502" t="inlineStr">
        <is>
          <t>TORSBY</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28987-2024</t>
        </is>
      </c>
      <c r="B2503" s="1" t="n">
        <v>45481</v>
      </c>
      <c r="C2503" s="1" t="n">
        <v>45828</v>
      </c>
      <c r="D2503" t="inlineStr">
        <is>
          <t>VÄRMLANDS LÄN</t>
        </is>
      </c>
      <c r="E2503" t="inlineStr">
        <is>
          <t>TORSBY</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29306-2024</t>
        </is>
      </c>
      <c r="B2504" s="1" t="n">
        <v>45483</v>
      </c>
      <c r="C2504" s="1" t="n">
        <v>45828</v>
      </c>
      <c r="D2504" t="inlineStr">
        <is>
          <t>VÄRMLANDS LÄN</t>
        </is>
      </c>
      <c r="E2504" t="inlineStr">
        <is>
          <t>TORSBY</t>
        </is>
      </c>
      <c r="F2504" t="inlineStr">
        <is>
          <t>Kyrkan</t>
        </is>
      </c>
      <c r="G2504" t="n">
        <v>18.3</v>
      </c>
      <c r="H2504" t="n">
        <v>0</v>
      </c>
      <c r="I2504" t="n">
        <v>0</v>
      </c>
      <c r="J2504" t="n">
        <v>0</v>
      </c>
      <c r="K2504" t="n">
        <v>0</v>
      </c>
      <c r="L2504" t="n">
        <v>0</v>
      </c>
      <c r="M2504" t="n">
        <v>0</v>
      </c>
      <c r="N2504" t="n">
        <v>0</v>
      </c>
      <c r="O2504" t="n">
        <v>0</v>
      </c>
      <c r="P2504" t="n">
        <v>0</v>
      </c>
      <c r="Q2504" t="n">
        <v>0</v>
      </c>
      <c r="R2504" s="2" t="inlineStr"/>
    </row>
    <row r="2505" ht="15" customHeight="1">
      <c r="A2505" t="inlineStr">
        <is>
          <t>A 29408-2024</t>
        </is>
      </c>
      <c r="B2505" s="1" t="n">
        <v>45483</v>
      </c>
      <c r="C2505" s="1" t="n">
        <v>45828</v>
      </c>
      <c r="D2505" t="inlineStr">
        <is>
          <t>VÄRMLANDS LÄN</t>
        </is>
      </c>
      <c r="E2505" t="inlineStr">
        <is>
          <t>TORSBY</t>
        </is>
      </c>
      <c r="F2505" t="inlineStr">
        <is>
          <t>Bergvik skog väst AB</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29375-2024</t>
        </is>
      </c>
      <c r="B2506" s="1" t="n">
        <v>45483</v>
      </c>
      <c r="C2506" s="1" t="n">
        <v>45828</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29541-2024</t>
        </is>
      </c>
      <c r="B2507" s="1" t="n">
        <v>45484</v>
      </c>
      <c r="C2507" s="1" t="n">
        <v>45828</v>
      </c>
      <c r="D2507" t="inlineStr">
        <is>
          <t>VÄRMLANDS LÄN</t>
        </is>
      </c>
      <c r="E2507" t="inlineStr">
        <is>
          <t>TORSBY</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29549-2024</t>
        </is>
      </c>
      <c r="B2508" s="1" t="n">
        <v>45484</v>
      </c>
      <c r="C2508" s="1" t="n">
        <v>45828</v>
      </c>
      <c r="D2508" t="inlineStr">
        <is>
          <t>VÄRMLANDS LÄN</t>
        </is>
      </c>
      <c r="E2508" t="inlineStr">
        <is>
          <t>TORSBY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29593-2024</t>
        </is>
      </c>
      <c r="B2509" s="1" t="n">
        <v>45484</v>
      </c>
      <c r="C2509" s="1" t="n">
        <v>45828</v>
      </c>
      <c r="D2509" t="inlineStr">
        <is>
          <t>VÄRMLANDS LÄN</t>
        </is>
      </c>
      <c r="E2509" t="inlineStr">
        <is>
          <t>TORSBY</t>
        </is>
      </c>
      <c r="F2509" t="inlineStr">
        <is>
          <t>Bergvik skog väst AB</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29535-2024</t>
        </is>
      </c>
      <c r="B2510" s="1" t="n">
        <v>45484</v>
      </c>
      <c r="C2510" s="1" t="n">
        <v>45828</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29559-2024</t>
        </is>
      </c>
      <c r="B2511" s="1" t="n">
        <v>45484</v>
      </c>
      <c r="C2511" s="1" t="n">
        <v>45828</v>
      </c>
      <c r="D2511" t="inlineStr">
        <is>
          <t>VÄRMLANDS LÄN</t>
        </is>
      </c>
      <c r="E2511" t="inlineStr">
        <is>
          <t>TORSBY</t>
        </is>
      </c>
      <c r="F2511" t="inlineStr">
        <is>
          <t>Bergvik skog väst AB</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29502-2024</t>
        </is>
      </c>
      <c r="B2512" s="1" t="n">
        <v>45484</v>
      </c>
      <c r="C2512" s="1" t="n">
        <v>45828</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29759-2024</t>
        </is>
      </c>
      <c r="B2513" s="1" t="n">
        <v>45485</v>
      </c>
      <c r="C2513" s="1" t="n">
        <v>45828</v>
      </c>
      <c r="D2513" t="inlineStr">
        <is>
          <t>VÄRMLANDS LÄN</t>
        </is>
      </c>
      <c r="E2513" t="inlineStr">
        <is>
          <t>TORSBY</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29852-2024</t>
        </is>
      </c>
      <c r="B2514" s="1" t="n">
        <v>45485</v>
      </c>
      <c r="C2514" s="1" t="n">
        <v>45828</v>
      </c>
      <c r="D2514" t="inlineStr">
        <is>
          <t>VÄRMLANDS LÄN</t>
        </is>
      </c>
      <c r="E2514" t="inlineStr">
        <is>
          <t>TORSBY</t>
        </is>
      </c>
      <c r="F2514" t="inlineStr">
        <is>
          <t>Bergvik skog väst AB</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29898-2024</t>
        </is>
      </c>
      <c r="B2515" s="1" t="n">
        <v>45487</v>
      </c>
      <c r="C2515" s="1" t="n">
        <v>45828</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29895-2024</t>
        </is>
      </c>
      <c r="B2516" s="1" t="n">
        <v>45487</v>
      </c>
      <c r="C2516" s="1" t="n">
        <v>45828</v>
      </c>
      <c r="D2516" t="inlineStr">
        <is>
          <t>VÄRMLANDS LÄN</t>
        </is>
      </c>
      <c r="E2516" t="inlineStr">
        <is>
          <t>TORSBY</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29897-2024</t>
        </is>
      </c>
      <c r="B2517" s="1" t="n">
        <v>45487</v>
      </c>
      <c r="C2517" s="1" t="n">
        <v>45828</v>
      </c>
      <c r="D2517" t="inlineStr">
        <is>
          <t>VÄRMLANDS LÄN</t>
        </is>
      </c>
      <c r="E2517" t="inlineStr">
        <is>
          <t>TORSBY</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29936-2024</t>
        </is>
      </c>
      <c r="B2518" s="1" t="n">
        <v>45488</v>
      </c>
      <c r="C2518" s="1" t="n">
        <v>45828</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29925-2024</t>
        </is>
      </c>
      <c r="B2519" s="1" t="n">
        <v>45488</v>
      </c>
      <c r="C2519" s="1" t="n">
        <v>45828</v>
      </c>
      <c r="D2519" t="inlineStr">
        <is>
          <t>VÄRMLANDS LÄN</t>
        </is>
      </c>
      <c r="E2519" t="inlineStr">
        <is>
          <t>TORSBY</t>
        </is>
      </c>
      <c r="F2519" t="inlineStr">
        <is>
          <t>Kyrkan</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30002-2024</t>
        </is>
      </c>
      <c r="B2520" s="1" t="n">
        <v>45488</v>
      </c>
      <c r="C2520" s="1" t="n">
        <v>45828</v>
      </c>
      <c r="D2520" t="inlineStr">
        <is>
          <t>VÄRMLANDS LÄN</t>
        </is>
      </c>
      <c r="E2520" t="inlineStr">
        <is>
          <t>TORSBY</t>
        </is>
      </c>
      <c r="F2520" t="inlineStr">
        <is>
          <t>Kommuner</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30011-2024</t>
        </is>
      </c>
      <c r="B2521" s="1" t="n">
        <v>45488</v>
      </c>
      <c r="C2521" s="1" t="n">
        <v>45828</v>
      </c>
      <c r="D2521" t="inlineStr">
        <is>
          <t>VÄRMLANDS LÄN</t>
        </is>
      </c>
      <c r="E2521" t="inlineStr">
        <is>
          <t>TORSBY</t>
        </is>
      </c>
      <c r="F2521" t="inlineStr">
        <is>
          <t>Kommuner</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29926-2024</t>
        </is>
      </c>
      <c r="B2522" s="1" t="n">
        <v>45488</v>
      </c>
      <c r="C2522" s="1" t="n">
        <v>45828</v>
      </c>
      <c r="D2522" t="inlineStr">
        <is>
          <t>VÄRMLANDS LÄN</t>
        </is>
      </c>
      <c r="E2522" t="inlineStr">
        <is>
          <t>TORSBY</t>
        </is>
      </c>
      <c r="F2522" t="inlineStr">
        <is>
          <t>Kommuner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30074-2024</t>
        </is>
      </c>
      <c r="B2523" s="1" t="n">
        <v>45489</v>
      </c>
      <c r="C2523" s="1" t="n">
        <v>45828</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30267-2024</t>
        </is>
      </c>
      <c r="B2524" s="1" t="n">
        <v>45490</v>
      </c>
      <c r="C2524" s="1" t="n">
        <v>45828</v>
      </c>
      <c r="D2524" t="inlineStr">
        <is>
          <t>VÄRMLANDS LÄN</t>
        </is>
      </c>
      <c r="E2524" t="inlineStr">
        <is>
          <t>TORSBY</t>
        </is>
      </c>
      <c r="F2524" t="inlineStr">
        <is>
          <t>Bergvik skog väst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30403-2024</t>
        </is>
      </c>
      <c r="B2525" s="1" t="n">
        <v>45491</v>
      </c>
      <c r="C2525" s="1" t="n">
        <v>45828</v>
      </c>
      <c r="D2525" t="inlineStr">
        <is>
          <t>VÄRMLANDS LÄN</t>
        </is>
      </c>
      <c r="E2525" t="inlineStr">
        <is>
          <t>TORSBY</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30629-2024</t>
        </is>
      </c>
      <c r="B2526" s="1" t="n">
        <v>45495</v>
      </c>
      <c r="C2526" s="1" t="n">
        <v>45828</v>
      </c>
      <c r="D2526" t="inlineStr">
        <is>
          <t>VÄRMLANDS LÄN</t>
        </is>
      </c>
      <c r="E2526" t="inlineStr">
        <is>
          <t>TORSBY</t>
        </is>
      </c>
      <c r="F2526" t="inlineStr">
        <is>
          <t>Bergvik skog väst AB</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30718-2024</t>
        </is>
      </c>
      <c r="B2527" s="1" t="n">
        <v>45496</v>
      </c>
      <c r="C2527" s="1" t="n">
        <v>45828</v>
      </c>
      <c r="D2527" t="inlineStr">
        <is>
          <t>VÄRMLANDS LÄN</t>
        </is>
      </c>
      <c r="E2527" t="inlineStr">
        <is>
          <t>TORSBY</t>
        </is>
      </c>
      <c r="F2527" t="inlineStr">
        <is>
          <t>Bergvik skog väst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30706-2024</t>
        </is>
      </c>
      <c r="B2528" s="1" t="n">
        <v>45496</v>
      </c>
      <c r="C2528" s="1" t="n">
        <v>45828</v>
      </c>
      <c r="D2528" t="inlineStr">
        <is>
          <t>VÄRMLANDS LÄN</t>
        </is>
      </c>
      <c r="E2528" t="inlineStr">
        <is>
          <t>TORSBY</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30720-2024</t>
        </is>
      </c>
      <c r="B2529" s="1" t="n">
        <v>45496</v>
      </c>
      <c r="C2529" s="1" t="n">
        <v>45828</v>
      </c>
      <c r="D2529" t="inlineStr">
        <is>
          <t>VÄRMLANDS LÄN</t>
        </is>
      </c>
      <c r="E2529" t="inlineStr">
        <is>
          <t>TORSBY</t>
        </is>
      </c>
      <c r="F2529" t="inlineStr">
        <is>
          <t>Bergvik skog väst AB</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30700-2024</t>
        </is>
      </c>
      <c r="B2530" s="1" t="n">
        <v>45496</v>
      </c>
      <c r="C2530" s="1" t="n">
        <v>45828</v>
      </c>
      <c r="D2530" t="inlineStr">
        <is>
          <t>VÄRMLANDS LÄN</t>
        </is>
      </c>
      <c r="E2530" t="inlineStr">
        <is>
          <t>TORSBY</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30696-2024</t>
        </is>
      </c>
      <c r="B2531" s="1" t="n">
        <v>45496</v>
      </c>
      <c r="C2531" s="1" t="n">
        <v>45828</v>
      </c>
      <c r="D2531" t="inlineStr">
        <is>
          <t>VÄRMLANDS LÄN</t>
        </is>
      </c>
      <c r="E2531" t="inlineStr">
        <is>
          <t>TORSBY</t>
        </is>
      </c>
      <c r="F2531" t="inlineStr">
        <is>
          <t>Bergvik skog väst AB</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30699-2024</t>
        </is>
      </c>
      <c r="B2532" s="1" t="n">
        <v>45496</v>
      </c>
      <c r="C2532" s="1" t="n">
        <v>45828</v>
      </c>
      <c r="D2532" t="inlineStr">
        <is>
          <t>VÄRMLANDS LÄN</t>
        </is>
      </c>
      <c r="E2532" t="inlineStr">
        <is>
          <t>TORSBY</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30705-2024</t>
        </is>
      </c>
      <c r="B2533" s="1" t="n">
        <v>45496</v>
      </c>
      <c r="C2533" s="1" t="n">
        <v>45828</v>
      </c>
      <c r="D2533" t="inlineStr">
        <is>
          <t>VÄRMLANDS LÄN</t>
        </is>
      </c>
      <c r="E2533" t="inlineStr">
        <is>
          <t>TORSBY</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30790-2024</t>
        </is>
      </c>
      <c r="B2534" s="1" t="n">
        <v>45497</v>
      </c>
      <c r="C2534" s="1" t="n">
        <v>45828</v>
      </c>
      <c r="D2534" t="inlineStr">
        <is>
          <t>VÄRMLANDS LÄN</t>
        </is>
      </c>
      <c r="E2534" t="inlineStr">
        <is>
          <t>TORSBY</t>
        </is>
      </c>
      <c r="G2534" t="n">
        <v>49.9</v>
      </c>
      <c r="H2534" t="n">
        <v>0</v>
      </c>
      <c r="I2534" t="n">
        <v>0</v>
      </c>
      <c r="J2534" t="n">
        <v>0</v>
      </c>
      <c r="K2534" t="n">
        <v>0</v>
      </c>
      <c r="L2534" t="n">
        <v>0</v>
      </c>
      <c r="M2534" t="n">
        <v>0</v>
      </c>
      <c r="N2534" t="n">
        <v>0</v>
      </c>
      <c r="O2534" t="n">
        <v>0</v>
      </c>
      <c r="P2534" t="n">
        <v>0</v>
      </c>
      <c r="Q2534" t="n">
        <v>0</v>
      </c>
      <c r="R2534" s="2" t="inlineStr"/>
    </row>
    <row r="2535" ht="15" customHeight="1">
      <c r="A2535" t="inlineStr">
        <is>
          <t>A 30789-2024</t>
        </is>
      </c>
      <c r="B2535" s="1" t="n">
        <v>45497</v>
      </c>
      <c r="C2535" s="1" t="n">
        <v>45828</v>
      </c>
      <c r="D2535" t="inlineStr">
        <is>
          <t>VÄRMLANDS LÄN</t>
        </is>
      </c>
      <c r="E2535" t="inlineStr">
        <is>
          <t>TORSBY</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30803-2024</t>
        </is>
      </c>
      <c r="B2536" s="1" t="n">
        <v>45497</v>
      </c>
      <c r="C2536" s="1" t="n">
        <v>45828</v>
      </c>
      <c r="D2536" t="inlineStr">
        <is>
          <t>VÄRMLANDS LÄN</t>
        </is>
      </c>
      <c r="E2536" t="inlineStr">
        <is>
          <t>TORSBY</t>
        </is>
      </c>
      <c r="F2536" t="inlineStr">
        <is>
          <t>Kyrkan</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30791-2024</t>
        </is>
      </c>
      <c r="B2537" s="1" t="n">
        <v>45497</v>
      </c>
      <c r="C2537" s="1" t="n">
        <v>45828</v>
      </c>
      <c r="D2537" t="inlineStr">
        <is>
          <t>VÄRMLANDS LÄN</t>
        </is>
      </c>
      <c r="E2537" t="inlineStr">
        <is>
          <t>TORSBY</t>
        </is>
      </c>
      <c r="G2537" t="n">
        <v>44.2</v>
      </c>
      <c r="H2537" t="n">
        <v>0</v>
      </c>
      <c r="I2537" t="n">
        <v>0</v>
      </c>
      <c r="J2537" t="n">
        <v>0</v>
      </c>
      <c r="K2537" t="n">
        <v>0</v>
      </c>
      <c r="L2537" t="n">
        <v>0</v>
      </c>
      <c r="M2537" t="n">
        <v>0</v>
      </c>
      <c r="N2537" t="n">
        <v>0</v>
      </c>
      <c r="O2537" t="n">
        <v>0</v>
      </c>
      <c r="P2537" t="n">
        <v>0</v>
      </c>
      <c r="Q2537" t="n">
        <v>0</v>
      </c>
      <c r="R2537" s="2" t="inlineStr"/>
    </row>
    <row r="2538" ht="15" customHeight="1">
      <c r="A2538" t="inlineStr">
        <is>
          <t>A 30873-2024</t>
        </is>
      </c>
      <c r="B2538" s="1" t="n">
        <v>45498</v>
      </c>
      <c r="C2538" s="1" t="n">
        <v>45828</v>
      </c>
      <c r="D2538" t="inlineStr">
        <is>
          <t>VÄRMLANDS LÄN</t>
        </is>
      </c>
      <c r="E2538" t="inlineStr">
        <is>
          <t>TORSBY</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30952-2024</t>
        </is>
      </c>
      <c r="B2539" s="1" t="n">
        <v>45499</v>
      </c>
      <c r="C2539" s="1" t="n">
        <v>45828</v>
      </c>
      <c r="D2539" t="inlineStr">
        <is>
          <t>VÄRMLANDS LÄN</t>
        </is>
      </c>
      <c r="E2539" t="inlineStr">
        <is>
          <t>TORSBY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30947-2024</t>
        </is>
      </c>
      <c r="B2540" s="1" t="n">
        <v>45499</v>
      </c>
      <c r="C2540" s="1" t="n">
        <v>45828</v>
      </c>
      <c r="D2540" t="inlineStr">
        <is>
          <t>VÄRMLANDS LÄN</t>
        </is>
      </c>
      <c r="E2540" t="inlineStr">
        <is>
          <t>TORSBY</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31004-2024</t>
        </is>
      </c>
      <c r="B2541" s="1" t="n">
        <v>45499</v>
      </c>
      <c r="C2541" s="1" t="n">
        <v>45828</v>
      </c>
      <c r="D2541" t="inlineStr">
        <is>
          <t>VÄRMLANDS LÄN</t>
        </is>
      </c>
      <c r="E2541" t="inlineStr">
        <is>
          <t>TORSBY</t>
        </is>
      </c>
      <c r="F2541" t="inlineStr">
        <is>
          <t>Bergvik skog väst AB</t>
        </is>
      </c>
      <c r="G2541" t="n">
        <v>14.2</v>
      </c>
      <c r="H2541" t="n">
        <v>0</v>
      </c>
      <c r="I2541" t="n">
        <v>0</v>
      </c>
      <c r="J2541" t="n">
        <v>0</v>
      </c>
      <c r="K2541" t="n">
        <v>0</v>
      </c>
      <c r="L2541" t="n">
        <v>0</v>
      </c>
      <c r="M2541" t="n">
        <v>0</v>
      </c>
      <c r="N2541" t="n">
        <v>0</v>
      </c>
      <c r="O2541" t="n">
        <v>0</v>
      </c>
      <c r="P2541" t="n">
        <v>0</v>
      </c>
      <c r="Q2541" t="n">
        <v>0</v>
      </c>
      <c r="R2541" s="2" t="inlineStr"/>
    </row>
    <row r="2542" ht="15" customHeight="1">
      <c r="A2542" t="inlineStr">
        <is>
          <t>A 30942-2024</t>
        </is>
      </c>
      <c r="B2542" s="1" t="n">
        <v>45499</v>
      </c>
      <c r="C2542" s="1" t="n">
        <v>45828</v>
      </c>
      <c r="D2542" t="inlineStr">
        <is>
          <t>VÄRMLANDS LÄN</t>
        </is>
      </c>
      <c r="E2542" t="inlineStr">
        <is>
          <t>TORSBY</t>
        </is>
      </c>
      <c r="F2542" t="inlineStr">
        <is>
          <t>Bergvik skog väst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31089-2024</t>
        </is>
      </c>
      <c r="B2543" s="1" t="n">
        <v>45502</v>
      </c>
      <c r="C2543" s="1" t="n">
        <v>45828</v>
      </c>
      <c r="D2543" t="inlineStr">
        <is>
          <t>VÄRMLANDS LÄN</t>
        </is>
      </c>
      <c r="E2543" t="inlineStr">
        <is>
          <t>TORSBY</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31158-2024</t>
        </is>
      </c>
      <c r="B2544" s="1" t="n">
        <v>45503</v>
      </c>
      <c r="C2544" s="1" t="n">
        <v>45828</v>
      </c>
      <c r="D2544" t="inlineStr">
        <is>
          <t>VÄRMLANDS LÄN</t>
        </is>
      </c>
      <c r="E2544" t="inlineStr">
        <is>
          <t>TORSBY</t>
        </is>
      </c>
      <c r="F2544" t="inlineStr">
        <is>
          <t>Kyrkan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31164-2024</t>
        </is>
      </c>
      <c r="B2545" s="1" t="n">
        <v>45503</v>
      </c>
      <c r="C2545" s="1" t="n">
        <v>45828</v>
      </c>
      <c r="D2545" t="inlineStr">
        <is>
          <t>VÄRMLANDS LÄN</t>
        </is>
      </c>
      <c r="E2545" t="inlineStr">
        <is>
          <t>TORSBY</t>
        </is>
      </c>
      <c r="F2545" t="inlineStr">
        <is>
          <t>Kyrkan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31285-2024</t>
        </is>
      </c>
      <c r="B2546" s="1" t="n">
        <v>45504</v>
      </c>
      <c r="C2546" s="1" t="n">
        <v>45828</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31289-2024</t>
        </is>
      </c>
      <c r="B2547" s="1" t="n">
        <v>45504</v>
      </c>
      <c r="C2547" s="1" t="n">
        <v>45828</v>
      </c>
      <c r="D2547" t="inlineStr">
        <is>
          <t>VÄRMLANDS LÄN</t>
        </is>
      </c>
      <c r="E2547" t="inlineStr">
        <is>
          <t>TORSBY</t>
        </is>
      </c>
      <c r="G2547" t="n">
        <v>16.8</v>
      </c>
      <c r="H2547" t="n">
        <v>0</v>
      </c>
      <c r="I2547" t="n">
        <v>0</v>
      </c>
      <c r="J2547" t="n">
        <v>0</v>
      </c>
      <c r="K2547" t="n">
        <v>0</v>
      </c>
      <c r="L2547" t="n">
        <v>0</v>
      </c>
      <c r="M2547" t="n">
        <v>0</v>
      </c>
      <c r="N2547" t="n">
        <v>0</v>
      </c>
      <c r="O2547" t="n">
        <v>0</v>
      </c>
      <c r="P2547" t="n">
        <v>0</v>
      </c>
      <c r="Q2547" t="n">
        <v>0</v>
      </c>
      <c r="R2547" s="2" t="inlineStr"/>
    </row>
    <row r="2548" ht="15" customHeight="1">
      <c r="A2548" t="inlineStr">
        <is>
          <t>A 31380-2024</t>
        </is>
      </c>
      <c r="B2548" s="1" t="n">
        <v>45505</v>
      </c>
      <c r="C2548" s="1" t="n">
        <v>45828</v>
      </c>
      <c r="D2548" t="inlineStr">
        <is>
          <t>VÄRMLANDS LÄN</t>
        </is>
      </c>
      <c r="E2548" t="inlineStr">
        <is>
          <t>TORSBY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31385-2024</t>
        </is>
      </c>
      <c r="B2549" s="1" t="n">
        <v>45505</v>
      </c>
      <c r="C2549" s="1" t="n">
        <v>45828</v>
      </c>
      <c r="D2549" t="inlineStr">
        <is>
          <t>VÄRMLANDS LÄN</t>
        </is>
      </c>
      <c r="E2549" t="inlineStr">
        <is>
          <t>TORSBY</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31377-2024</t>
        </is>
      </c>
      <c r="B2550" s="1" t="n">
        <v>45505</v>
      </c>
      <c r="C2550" s="1" t="n">
        <v>45828</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31351-2024</t>
        </is>
      </c>
      <c r="B2551" s="1" t="n">
        <v>45505</v>
      </c>
      <c r="C2551" s="1" t="n">
        <v>45828</v>
      </c>
      <c r="D2551" t="inlineStr">
        <is>
          <t>VÄRMLANDS LÄN</t>
        </is>
      </c>
      <c r="E2551" t="inlineStr">
        <is>
          <t>TORSBY</t>
        </is>
      </c>
      <c r="F2551" t="inlineStr">
        <is>
          <t>Kyrkan</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31767-2024</t>
        </is>
      </c>
      <c r="B2552" s="1" t="n">
        <v>45509</v>
      </c>
      <c r="C2552" s="1" t="n">
        <v>45828</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31716-2024</t>
        </is>
      </c>
      <c r="B2553" s="1" t="n">
        <v>45509</v>
      </c>
      <c r="C2553" s="1" t="n">
        <v>45828</v>
      </c>
      <c r="D2553" t="inlineStr">
        <is>
          <t>VÄRMLANDS LÄN</t>
        </is>
      </c>
      <c r="E2553" t="inlineStr">
        <is>
          <t>TORSBY</t>
        </is>
      </c>
      <c r="F2553" t="inlineStr">
        <is>
          <t>Bergvik skog väst AB</t>
        </is>
      </c>
      <c r="G2553" t="n">
        <v>19.3</v>
      </c>
      <c r="H2553" t="n">
        <v>0</v>
      </c>
      <c r="I2553" t="n">
        <v>0</v>
      </c>
      <c r="J2553" t="n">
        <v>0</v>
      </c>
      <c r="K2553" t="n">
        <v>0</v>
      </c>
      <c r="L2553" t="n">
        <v>0</v>
      </c>
      <c r="M2553" t="n">
        <v>0</v>
      </c>
      <c r="N2553" t="n">
        <v>0</v>
      </c>
      <c r="O2553" t="n">
        <v>0</v>
      </c>
      <c r="P2553" t="n">
        <v>0</v>
      </c>
      <c r="Q2553" t="n">
        <v>0</v>
      </c>
      <c r="R2553" s="2" t="inlineStr"/>
    </row>
    <row r="2554" ht="15" customHeight="1">
      <c r="A2554" t="inlineStr">
        <is>
          <t>A 31836-2024</t>
        </is>
      </c>
      <c r="B2554" s="1" t="n">
        <v>45509</v>
      </c>
      <c r="C2554" s="1" t="n">
        <v>45828</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31830-2024</t>
        </is>
      </c>
      <c r="B2555" s="1" t="n">
        <v>45509</v>
      </c>
      <c r="C2555" s="1" t="n">
        <v>45828</v>
      </c>
      <c r="D2555" t="inlineStr">
        <is>
          <t>VÄRMLANDS LÄN</t>
        </is>
      </c>
      <c r="E2555" t="inlineStr">
        <is>
          <t>TORSBY</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31945-2024</t>
        </is>
      </c>
      <c r="B2556" s="1" t="n">
        <v>45510</v>
      </c>
      <c r="C2556" s="1" t="n">
        <v>45828</v>
      </c>
      <c r="D2556" t="inlineStr">
        <is>
          <t>VÄRMLANDS LÄN</t>
        </is>
      </c>
      <c r="E2556" t="inlineStr">
        <is>
          <t>TORSBY</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32155-2024</t>
        </is>
      </c>
      <c r="B2557" s="1" t="n">
        <v>45511</v>
      </c>
      <c r="C2557" s="1" t="n">
        <v>45828</v>
      </c>
      <c r="D2557" t="inlineStr">
        <is>
          <t>VÄRMLANDS LÄN</t>
        </is>
      </c>
      <c r="E2557" t="inlineStr">
        <is>
          <t>TORSBY</t>
        </is>
      </c>
      <c r="F2557" t="inlineStr">
        <is>
          <t>Bergvik skog väst AB</t>
        </is>
      </c>
      <c r="G2557" t="n">
        <v>13.5</v>
      </c>
      <c r="H2557" t="n">
        <v>0</v>
      </c>
      <c r="I2557" t="n">
        <v>0</v>
      </c>
      <c r="J2557" t="n">
        <v>0</v>
      </c>
      <c r="K2557" t="n">
        <v>0</v>
      </c>
      <c r="L2557" t="n">
        <v>0</v>
      </c>
      <c r="M2557" t="n">
        <v>0</v>
      </c>
      <c r="N2557" t="n">
        <v>0</v>
      </c>
      <c r="O2557" t="n">
        <v>0</v>
      </c>
      <c r="P2557" t="n">
        <v>0</v>
      </c>
      <c r="Q2557" t="n">
        <v>0</v>
      </c>
      <c r="R2557" s="2" t="inlineStr"/>
    </row>
    <row r="2558" ht="15" customHeight="1">
      <c r="A2558" t="inlineStr">
        <is>
          <t>A 32138-2024</t>
        </is>
      </c>
      <c r="B2558" s="1" t="n">
        <v>45511</v>
      </c>
      <c r="C2558" s="1" t="n">
        <v>45828</v>
      </c>
      <c r="D2558" t="inlineStr">
        <is>
          <t>VÄRMLANDS LÄN</t>
        </is>
      </c>
      <c r="E2558" t="inlineStr">
        <is>
          <t>TORSBY</t>
        </is>
      </c>
      <c r="F2558" t="inlineStr">
        <is>
          <t>Bergvik skog väst AB</t>
        </is>
      </c>
      <c r="G2558" t="n">
        <v>26.3</v>
      </c>
      <c r="H2558" t="n">
        <v>0</v>
      </c>
      <c r="I2558" t="n">
        <v>0</v>
      </c>
      <c r="J2558" t="n">
        <v>0</v>
      </c>
      <c r="K2558" t="n">
        <v>0</v>
      </c>
      <c r="L2558" t="n">
        <v>0</v>
      </c>
      <c r="M2558" t="n">
        <v>0</v>
      </c>
      <c r="N2558" t="n">
        <v>0</v>
      </c>
      <c r="O2558" t="n">
        <v>0</v>
      </c>
      <c r="P2558" t="n">
        <v>0</v>
      </c>
      <c r="Q2558" t="n">
        <v>0</v>
      </c>
      <c r="R2558" s="2" t="inlineStr"/>
    </row>
    <row r="2559" ht="15" customHeight="1">
      <c r="A2559" t="inlineStr">
        <is>
          <t>A 32213-2024</t>
        </is>
      </c>
      <c r="B2559" s="1" t="n">
        <v>45511</v>
      </c>
      <c r="C2559" s="1" t="n">
        <v>45828</v>
      </c>
      <c r="D2559" t="inlineStr">
        <is>
          <t>VÄRMLANDS LÄN</t>
        </is>
      </c>
      <c r="E2559" t="inlineStr">
        <is>
          <t>TORSBY</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32314-2024</t>
        </is>
      </c>
      <c r="B2560" s="1" t="n">
        <v>45512</v>
      </c>
      <c r="C2560" s="1" t="n">
        <v>45828</v>
      </c>
      <c r="D2560" t="inlineStr">
        <is>
          <t>VÄRMLANDS LÄN</t>
        </is>
      </c>
      <c r="E2560" t="inlineStr">
        <is>
          <t>TORSBY</t>
        </is>
      </c>
      <c r="F2560" t="inlineStr">
        <is>
          <t>Bergvik skog väst AB</t>
        </is>
      </c>
      <c r="G2560" t="n">
        <v>35.1</v>
      </c>
      <c r="H2560" t="n">
        <v>0</v>
      </c>
      <c r="I2560" t="n">
        <v>0</v>
      </c>
      <c r="J2560" t="n">
        <v>0</v>
      </c>
      <c r="K2560" t="n">
        <v>0</v>
      </c>
      <c r="L2560" t="n">
        <v>0</v>
      </c>
      <c r="M2560" t="n">
        <v>0</v>
      </c>
      <c r="N2560" t="n">
        <v>0</v>
      </c>
      <c r="O2560" t="n">
        <v>0</v>
      </c>
      <c r="P2560" t="n">
        <v>0</v>
      </c>
      <c r="Q2560" t="n">
        <v>0</v>
      </c>
      <c r="R2560" s="2" t="inlineStr"/>
    </row>
    <row r="2561" ht="15" customHeight="1">
      <c r="A2561" t="inlineStr">
        <is>
          <t>A 32343-2024</t>
        </is>
      </c>
      <c r="B2561" s="1" t="n">
        <v>45512</v>
      </c>
      <c r="C2561" s="1" t="n">
        <v>45828</v>
      </c>
      <c r="D2561" t="inlineStr">
        <is>
          <t>VÄRMLANDS LÄN</t>
        </is>
      </c>
      <c r="E2561" t="inlineStr">
        <is>
          <t>TORSBY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32340-2024</t>
        </is>
      </c>
      <c r="B2562" s="1" t="n">
        <v>45512</v>
      </c>
      <c r="C2562" s="1" t="n">
        <v>45828</v>
      </c>
      <c r="D2562" t="inlineStr">
        <is>
          <t>VÄRMLANDS LÄN</t>
        </is>
      </c>
      <c r="E2562" t="inlineStr">
        <is>
          <t>TORSBY</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32319-2024</t>
        </is>
      </c>
      <c r="B2563" s="1" t="n">
        <v>45512</v>
      </c>
      <c r="C2563" s="1" t="n">
        <v>45828</v>
      </c>
      <c r="D2563" t="inlineStr">
        <is>
          <t>VÄRMLANDS LÄN</t>
        </is>
      </c>
      <c r="E2563" t="inlineStr">
        <is>
          <t>TORSBY</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32588-2024</t>
        </is>
      </c>
      <c r="B2564" s="1" t="n">
        <v>45513</v>
      </c>
      <c r="C2564" s="1" t="n">
        <v>45828</v>
      </c>
      <c r="D2564" t="inlineStr">
        <is>
          <t>VÄRMLANDS LÄN</t>
        </is>
      </c>
      <c r="E2564" t="inlineStr">
        <is>
          <t>TORSBY</t>
        </is>
      </c>
      <c r="F2564" t="inlineStr">
        <is>
          <t>Bergvik skog väst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32603-2024</t>
        </is>
      </c>
      <c r="B2565" s="1" t="n">
        <v>45513</v>
      </c>
      <c r="C2565" s="1" t="n">
        <v>45828</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32764-2024</t>
        </is>
      </c>
      <c r="B2566" s="1" t="n">
        <v>45515</v>
      </c>
      <c r="C2566" s="1" t="n">
        <v>45828</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32755-2024</t>
        </is>
      </c>
      <c r="B2567" s="1" t="n">
        <v>45515</v>
      </c>
      <c r="C2567" s="1" t="n">
        <v>45828</v>
      </c>
      <c r="D2567" t="inlineStr">
        <is>
          <t>VÄRMLANDS LÄN</t>
        </is>
      </c>
      <c r="E2567" t="inlineStr">
        <is>
          <t>TORSBY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32746-2024</t>
        </is>
      </c>
      <c r="B2568" s="1" t="n">
        <v>45515</v>
      </c>
      <c r="C2568" s="1" t="n">
        <v>45828</v>
      </c>
      <c r="D2568" t="inlineStr">
        <is>
          <t>VÄRMLANDS LÄN</t>
        </is>
      </c>
      <c r="E2568" t="inlineStr">
        <is>
          <t>TORSBY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32758-2024</t>
        </is>
      </c>
      <c r="B2569" s="1" t="n">
        <v>45515</v>
      </c>
      <c r="C2569" s="1" t="n">
        <v>45828</v>
      </c>
      <c r="D2569" t="inlineStr">
        <is>
          <t>VÄRMLANDS LÄN</t>
        </is>
      </c>
      <c r="E2569" t="inlineStr">
        <is>
          <t>TORSBY</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32845-2024</t>
        </is>
      </c>
      <c r="B2570" s="1" t="n">
        <v>45516</v>
      </c>
      <c r="C2570" s="1" t="n">
        <v>45828</v>
      </c>
      <c r="D2570" t="inlineStr">
        <is>
          <t>VÄRMLANDS LÄN</t>
        </is>
      </c>
      <c r="E2570" t="inlineStr">
        <is>
          <t>TORSBY</t>
        </is>
      </c>
      <c r="F2570" t="inlineStr">
        <is>
          <t>Bergvik skog väst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32847-2024</t>
        </is>
      </c>
      <c r="B2571" s="1" t="n">
        <v>45516</v>
      </c>
      <c r="C2571" s="1" t="n">
        <v>45828</v>
      </c>
      <c r="D2571" t="inlineStr">
        <is>
          <t>VÄRMLANDS LÄN</t>
        </is>
      </c>
      <c r="E2571" t="inlineStr">
        <is>
          <t>TORSBY</t>
        </is>
      </c>
      <c r="F2571" t="inlineStr">
        <is>
          <t>Bergvik skog väst AB</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33088-2024</t>
        </is>
      </c>
      <c r="B2572" s="1" t="n">
        <v>45517</v>
      </c>
      <c r="C2572" s="1" t="n">
        <v>45828</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33078-2024</t>
        </is>
      </c>
      <c r="B2573" s="1" t="n">
        <v>45517</v>
      </c>
      <c r="C2573" s="1" t="n">
        <v>45828</v>
      </c>
      <c r="D2573" t="inlineStr">
        <is>
          <t>VÄRMLANDS LÄN</t>
        </is>
      </c>
      <c r="E2573" t="inlineStr">
        <is>
          <t>TORSBY</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32973-2024</t>
        </is>
      </c>
      <c r="B2574" s="1" t="n">
        <v>45517</v>
      </c>
      <c r="C2574" s="1" t="n">
        <v>45828</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33085-2024</t>
        </is>
      </c>
      <c r="B2575" s="1" t="n">
        <v>45517</v>
      </c>
      <c r="C2575" s="1" t="n">
        <v>45828</v>
      </c>
      <c r="D2575" t="inlineStr">
        <is>
          <t>VÄRMLANDS LÄN</t>
        </is>
      </c>
      <c r="E2575" t="inlineStr">
        <is>
          <t>TORSBY</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33073-2024</t>
        </is>
      </c>
      <c r="B2576" s="1" t="n">
        <v>45517</v>
      </c>
      <c r="C2576" s="1" t="n">
        <v>45828</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32988-2024</t>
        </is>
      </c>
      <c r="B2577" s="1" t="n">
        <v>45517</v>
      </c>
      <c r="C2577" s="1" t="n">
        <v>45828</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32932-2024</t>
        </is>
      </c>
      <c r="B2578" s="1" t="n">
        <v>45517</v>
      </c>
      <c r="C2578" s="1" t="n">
        <v>45828</v>
      </c>
      <c r="D2578" t="inlineStr">
        <is>
          <t>VÄRMLANDS LÄN</t>
        </is>
      </c>
      <c r="E2578" t="inlineStr">
        <is>
          <t>TORSBY</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32936-2024</t>
        </is>
      </c>
      <c r="B2579" s="1" t="n">
        <v>45517</v>
      </c>
      <c r="C2579" s="1" t="n">
        <v>45828</v>
      </c>
      <c r="D2579" t="inlineStr">
        <is>
          <t>VÄRMLANDS LÄN</t>
        </is>
      </c>
      <c r="E2579" t="inlineStr">
        <is>
          <t>TORSBY</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32939-2024</t>
        </is>
      </c>
      <c r="B2580" s="1" t="n">
        <v>45517</v>
      </c>
      <c r="C2580" s="1" t="n">
        <v>45828</v>
      </c>
      <c r="D2580" t="inlineStr">
        <is>
          <t>VÄRMLANDS LÄN</t>
        </is>
      </c>
      <c r="E2580" t="inlineStr">
        <is>
          <t>TORSBY</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33185-2024</t>
        </is>
      </c>
      <c r="B2581" s="1" t="n">
        <v>45518</v>
      </c>
      <c r="C2581" s="1" t="n">
        <v>45828</v>
      </c>
      <c r="D2581" t="inlineStr">
        <is>
          <t>VÄRMLANDS LÄN</t>
        </is>
      </c>
      <c r="E2581" t="inlineStr">
        <is>
          <t>TORSBY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33293-2024</t>
        </is>
      </c>
      <c r="B2582" s="1" t="n">
        <v>45518</v>
      </c>
      <c r="C2582" s="1" t="n">
        <v>45828</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33218-2024</t>
        </is>
      </c>
      <c r="B2583" s="1" t="n">
        <v>45518</v>
      </c>
      <c r="C2583" s="1" t="n">
        <v>45828</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33232-2024</t>
        </is>
      </c>
      <c r="B2584" s="1" t="n">
        <v>45518</v>
      </c>
      <c r="C2584" s="1" t="n">
        <v>45828</v>
      </c>
      <c r="D2584" t="inlineStr">
        <is>
          <t>VÄRMLANDS LÄN</t>
        </is>
      </c>
      <c r="E2584" t="inlineStr">
        <is>
          <t>TORSBY</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33133-2024</t>
        </is>
      </c>
      <c r="B2585" s="1" t="n">
        <v>45518</v>
      </c>
      <c r="C2585" s="1" t="n">
        <v>45828</v>
      </c>
      <c r="D2585" t="inlineStr">
        <is>
          <t>VÄRMLANDS LÄN</t>
        </is>
      </c>
      <c r="E2585" t="inlineStr">
        <is>
          <t>TORSBY</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33227-2024</t>
        </is>
      </c>
      <c r="B2586" s="1" t="n">
        <v>45518</v>
      </c>
      <c r="C2586" s="1" t="n">
        <v>45828</v>
      </c>
      <c r="D2586" t="inlineStr">
        <is>
          <t>VÄRMLANDS LÄN</t>
        </is>
      </c>
      <c r="E2586" t="inlineStr">
        <is>
          <t>TORSBY</t>
        </is>
      </c>
      <c r="F2586" t="inlineStr">
        <is>
          <t>Bergvik skog väst AB</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33220-2024</t>
        </is>
      </c>
      <c r="B2587" s="1" t="n">
        <v>45518</v>
      </c>
      <c r="C2587" s="1" t="n">
        <v>45828</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33172-2024</t>
        </is>
      </c>
      <c r="B2588" s="1" t="n">
        <v>45518</v>
      </c>
      <c r="C2588" s="1" t="n">
        <v>45828</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33151-2024</t>
        </is>
      </c>
      <c r="B2589" s="1" t="n">
        <v>45518</v>
      </c>
      <c r="C2589" s="1" t="n">
        <v>45828</v>
      </c>
      <c r="D2589" t="inlineStr">
        <is>
          <t>VÄRMLANDS LÄN</t>
        </is>
      </c>
      <c r="E2589" t="inlineStr">
        <is>
          <t>TORSBY</t>
        </is>
      </c>
      <c r="F2589" t="inlineStr">
        <is>
          <t>Bergvik skog väst AB</t>
        </is>
      </c>
      <c r="G2589" t="n">
        <v>28.2</v>
      </c>
      <c r="H2589" t="n">
        <v>0</v>
      </c>
      <c r="I2589" t="n">
        <v>0</v>
      </c>
      <c r="J2589" t="n">
        <v>0</v>
      </c>
      <c r="K2589" t="n">
        <v>0</v>
      </c>
      <c r="L2589" t="n">
        <v>0</v>
      </c>
      <c r="M2589" t="n">
        <v>0</v>
      </c>
      <c r="N2589" t="n">
        <v>0</v>
      </c>
      <c r="O2589" t="n">
        <v>0</v>
      </c>
      <c r="P2589" t="n">
        <v>0</v>
      </c>
      <c r="Q2589" t="n">
        <v>0</v>
      </c>
      <c r="R2589" s="2" t="inlineStr"/>
    </row>
    <row r="2590" ht="15" customHeight="1">
      <c r="A2590" t="inlineStr">
        <is>
          <t>A 33338-2024</t>
        </is>
      </c>
      <c r="B2590" s="1" t="n">
        <v>45519</v>
      </c>
      <c r="C2590" s="1" t="n">
        <v>45828</v>
      </c>
      <c r="D2590" t="inlineStr">
        <is>
          <t>VÄRMLANDS LÄN</t>
        </is>
      </c>
      <c r="E2590" t="inlineStr">
        <is>
          <t>TORSBY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33370-2024</t>
        </is>
      </c>
      <c r="B2591" s="1" t="n">
        <v>45519</v>
      </c>
      <c r="C2591" s="1" t="n">
        <v>45828</v>
      </c>
      <c r="D2591" t="inlineStr">
        <is>
          <t>VÄRMLANDS LÄN</t>
        </is>
      </c>
      <c r="E2591" t="inlineStr">
        <is>
          <t>TORSBY</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33337-2024</t>
        </is>
      </c>
      <c r="B2592" s="1" t="n">
        <v>45519</v>
      </c>
      <c r="C2592" s="1" t="n">
        <v>45828</v>
      </c>
      <c r="D2592" t="inlineStr">
        <is>
          <t>VÄRMLANDS LÄN</t>
        </is>
      </c>
      <c r="E2592" t="inlineStr">
        <is>
          <t>TORSBY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33341-2024</t>
        </is>
      </c>
      <c r="B2593" s="1" t="n">
        <v>45519</v>
      </c>
      <c r="C2593" s="1" t="n">
        <v>45828</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33425-2024</t>
        </is>
      </c>
      <c r="B2594" s="1" t="n">
        <v>45519</v>
      </c>
      <c r="C2594" s="1" t="n">
        <v>45828</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33429-2024</t>
        </is>
      </c>
      <c r="B2595" s="1" t="n">
        <v>45519</v>
      </c>
      <c r="C2595" s="1" t="n">
        <v>45828</v>
      </c>
      <c r="D2595" t="inlineStr">
        <is>
          <t>VÄRMLANDS LÄN</t>
        </is>
      </c>
      <c r="E2595" t="inlineStr">
        <is>
          <t>TORSBY</t>
        </is>
      </c>
      <c r="F2595" t="inlineStr">
        <is>
          <t>Bergvik skog väst AB</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33469-2024</t>
        </is>
      </c>
      <c r="B2596" s="1" t="n">
        <v>45519</v>
      </c>
      <c r="C2596" s="1" t="n">
        <v>45828</v>
      </c>
      <c r="D2596" t="inlineStr">
        <is>
          <t>VÄRMLANDS LÄN</t>
        </is>
      </c>
      <c r="E2596" t="inlineStr">
        <is>
          <t>TORSBY</t>
        </is>
      </c>
      <c r="F2596" t="inlineStr">
        <is>
          <t>Bergvik skog väst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33546-2024</t>
        </is>
      </c>
      <c r="B2597" s="1" t="n">
        <v>45519</v>
      </c>
      <c r="C2597" s="1" t="n">
        <v>45828</v>
      </c>
      <c r="D2597" t="inlineStr">
        <is>
          <t>VÄRMLANDS LÄN</t>
        </is>
      </c>
      <c r="E2597" t="inlineStr">
        <is>
          <t>TORSBY</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33418-2024</t>
        </is>
      </c>
      <c r="B2598" s="1" t="n">
        <v>45519</v>
      </c>
      <c r="C2598" s="1" t="n">
        <v>45828</v>
      </c>
      <c r="D2598" t="inlineStr">
        <is>
          <t>VÄRMLANDS LÄN</t>
        </is>
      </c>
      <c r="E2598" t="inlineStr">
        <is>
          <t>TORSBY</t>
        </is>
      </c>
      <c r="F2598" t="inlineStr">
        <is>
          <t>Bergvik skog väst AB</t>
        </is>
      </c>
      <c r="G2598" t="n">
        <v>27.6</v>
      </c>
      <c r="H2598" t="n">
        <v>0</v>
      </c>
      <c r="I2598" t="n">
        <v>0</v>
      </c>
      <c r="J2598" t="n">
        <v>0</v>
      </c>
      <c r="K2598" t="n">
        <v>0</v>
      </c>
      <c r="L2598" t="n">
        <v>0</v>
      </c>
      <c r="M2598" t="n">
        <v>0</v>
      </c>
      <c r="N2598" t="n">
        <v>0</v>
      </c>
      <c r="O2598" t="n">
        <v>0</v>
      </c>
      <c r="P2598" t="n">
        <v>0</v>
      </c>
      <c r="Q2598" t="n">
        <v>0</v>
      </c>
      <c r="R2598" s="2" t="inlineStr"/>
    </row>
    <row r="2599" ht="15" customHeight="1">
      <c r="A2599" t="inlineStr">
        <is>
          <t>A 33511-2024</t>
        </is>
      </c>
      <c r="B2599" s="1" t="n">
        <v>45519</v>
      </c>
      <c r="C2599" s="1" t="n">
        <v>45828</v>
      </c>
      <c r="D2599" t="inlineStr">
        <is>
          <t>VÄRMLANDS LÄN</t>
        </is>
      </c>
      <c r="E2599" t="inlineStr">
        <is>
          <t>TORSBY</t>
        </is>
      </c>
      <c r="F2599" t="inlineStr">
        <is>
          <t>Bergvik skog väst AB</t>
        </is>
      </c>
      <c r="G2599" t="n">
        <v>12.1</v>
      </c>
      <c r="H2599" t="n">
        <v>0</v>
      </c>
      <c r="I2599" t="n">
        <v>0</v>
      </c>
      <c r="J2599" t="n">
        <v>0</v>
      </c>
      <c r="K2599" t="n">
        <v>0</v>
      </c>
      <c r="L2599" t="n">
        <v>0</v>
      </c>
      <c r="M2599" t="n">
        <v>0</v>
      </c>
      <c r="N2599" t="n">
        <v>0</v>
      </c>
      <c r="O2599" t="n">
        <v>0</v>
      </c>
      <c r="P2599" t="n">
        <v>0</v>
      </c>
      <c r="Q2599" t="n">
        <v>0</v>
      </c>
      <c r="R2599" s="2" t="inlineStr"/>
    </row>
    <row r="2600" ht="15" customHeight="1">
      <c r="A2600" t="inlineStr">
        <is>
          <t>A 33547-2024</t>
        </is>
      </c>
      <c r="B2600" s="1" t="n">
        <v>45519</v>
      </c>
      <c r="C2600" s="1" t="n">
        <v>45828</v>
      </c>
      <c r="D2600" t="inlineStr">
        <is>
          <t>VÄRMLANDS LÄN</t>
        </is>
      </c>
      <c r="E2600" t="inlineStr">
        <is>
          <t>TORSBY</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33495-2024</t>
        </is>
      </c>
      <c r="B2601" s="1" t="n">
        <v>45519</v>
      </c>
      <c r="C2601" s="1" t="n">
        <v>45828</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33499-2024</t>
        </is>
      </c>
      <c r="B2602" s="1" t="n">
        <v>45519</v>
      </c>
      <c r="C2602" s="1" t="n">
        <v>45828</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33548-2024</t>
        </is>
      </c>
      <c r="B2603" s="1" t="n">
        <v>45519</v>
      </c>
      <c r="C2603" s="1" t="n">
        <v>45828</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33367-2024</t>
        </is>
      </c>
      <c r="B2604" s="1" t="n">
        <v>45519</v>
      </c>
      <c r="C2604" s="1" t="n">
        <v>45828</v>
      </c>
      <c r="D2604" t="inlineStr">
        <is>
          <t>VÄRMLANDS LÄN</t>
        </is>
      </c>
      <c r="E2604" t="inlineStr">
        <is>
          <t>TORSBY</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33371-2024</t>
        </is>
      </c>
      <c r="B2605" s="1" t="n">
        <v>45519</v>
      </c>
      <c r="C2605" s="1" t="n">
        <v>45828</v>
      </c>
      <c r="D2605" t="inlineStr">
        <is>
          <t>VÄRMLANDS LÄN</t>
        </is>
      </c>
      <c r="E2605" t="inlineStr">
        <is>
          <t>TORSBY</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33521-2024</t>
        </is>
      </c>
      <c r="B2606" s="1" t="n">
        <v>45519</v>
      </c>
      <c r="C2606" s="1" t="n">
        <v>45828</v>
      </c>
      <c r="D2606" t="inlineStr">
        <is>
          <t>VÄRMLANDS LÄN</t>
        </is>
      </c>
      <c r="E2606" t="inlineStr">
        <is>
          <t>TORSBY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33620-2024</t>
        </is>
      </c>
      <c r="B2607" s="1" t="n">
        <v>45520</v>
      </c>
      <c r="C2607" s="1" t="n">
        <v>45828</v>
      </c>
      <c r="D2607" t="inlineStr">
        <is>
          <t>VÄRMLANDS LÄN</t>
        </is>
      </c>
      <c r="E2607" t="inlineStr">
        <is>
          <t>TORSBY</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33649-2024</t>
        </is>
      </c>
      <c r="B2608" s="1" t="n">
        <v>45520</v>
      </c>
      <c r="C2608" s="1" t="n">
        <v>45828</v>
      </c>
      <c r="D2608" t="inlineStr">
        <is>
          <t>VÄRMLANDS LÄN</t>
        </is>
      </c>
      <c r="E2608" t="inlineStr">
        <is>
          <t>TORSBY</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33769-2024</t>
        </is>
      </c>
      <c r="B2609" s="1" t="n">
        <v>45520</v>
      </c>
      <c r="C2609" s="1" t="n">
        <v>45828</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33862-2024</t>
        </is>
      </c>
      <c r="B2610" s="1" t="n">
        <v>45520</v>
      </c>
      <c r="C2610" s="1" t="n">
        <v>45828</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33791-2024</t>
        </is>
      </c>
      <c r="B2611" s="1" t="n">
        <v>45520</v>
      </c>
      <c r="C2611" s="1" t="n">
        <v>45828</v>
      </c>
      <c r="D2611" t="inlineStr">
        <is>
          <t>VÄRMLANDS LÄN</t>
        </is>
      </c>
      <c r="E2611" t="inlineStr">
        <is>
          <t>TORSBY</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33964-2024</t>
        </is>
      </c>
      <c r="B2612" s="1" t="n">
        <v>45523</v>
      </c>
      <c r="C2612" s="1" t="n">
        <v>45828</v>
      </c>
      <c r="D2612" t="inlineStr">
        <is>
          <t>VÄRMLANDS LÄN</t>
        </is>
      </c>
      <c r="E2612" t="inlineStr">
        <is>
          <t>TORSBY</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34034-2024</t>
        </is>
      </c>
      <c r="B2613" s="1" t="n">
        <v>45523</v>
      </c>
      <c r="C2613" s="1" t="n">
        <v>45828</v>
      </c>
      <c r="D2613" t="inlineStr">
        <is>
          <t>VÄRMLANDS LÄN</t>
        </is>
      </c>
      <c r="E2613" t="inlineStr">
        <is>
          <t>TORSBY</t>
        </is>
      </c>
      <c r="F2613" t="inlineStr">
        <is>
          <t>Bergvik skog väst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34031-2024</t>
        </is>
      </c>
      <c r="B2614" s="1" t="n">
        <v>45523</v>
      </c>
      <c r="C2614" s="1" t="n">
        <v>45828</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34081-2024</t>
        </is>
      </c>
      <c r="B2615" s="1" t="n">
        <v>45523</v>
      </c>
      <c r="C2615" s="1" t="n">
        <v>45828</v>
      </c>
      <c r="D2615" t="inlineStr">
        <is>
          <t>VÄRMLANDS LÄN</t>
        </is>
      </c>
      <c r="E2615" t="inlineStr">
        <is>
          <t>TORSBY</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34093-2024</t>
        </is>
      </c>
      <c r="B2616" s="1" t="n">
        <v>45523</v>
      </c>
      <c r="C2616" s="1" t="n">
        <v>45828</v>
      </c>
      <c r="D2616" t="inlineStr">
        <is>
          <t>VÄRMLANDS LÄN</t>
        </is>
      </c>
      <c r="E2616" t="inlineStr">
        <is>
          <t>TORSBY</t>
        </is>
      </c>
      <c r="F2616" t="inlineStr">
        <is>
          <t>Bergvik skog väst AB</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34207-2024</t>
        </is>
      </c>
      <c r="B2617" s="1" t="n">
        <v>45524</v>
      </c>
      <c r="C2617" s="1" t="n">
        <v>45828</v>
      </c>
      <c r="D2617" t="inlineStr">
        <is>
          <t>VÄRMLANDS LÄN</t>
        </is>
      </c>
      <c r="E2617" t="inlineStr">
        <is>
          <t>TORSBY</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34219-2024</t>
        </is>
      </c>
      <c r="B2618" s="1" t="n">
        <v>45524</v>
      </c>
      <c r="C2618" s="1" t="n">
        <v>45828</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34164-2024</t>
        </is>
      </c>
      <c r="B2619" s="1" t="n">
        <v>45524</v>
      </c>
      <c r="C2619" s="1" t="n">
        <v>45828</v>
      </c>
      <c r="D2619" t="inlineStr">
        <is>
          <t>VÄRMLANDS LÄN</t>
        </is>
      </c>
      <c r="E2619" t="inlineStr">
        <is>
          <t>TORSBY</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34226-2024</t>
        </is>
      </c>
      <c r="B2620" s="1" t="n">
        <v>45524</v>
      </c>
      <c r="C2620" s="1" t="n">
        <v>45828</v>
      </c>
      <c r="D2620" t="inlineStr">
        <is>
          <t>VÄRMLANDS LÄN</t>
        </is>
      </c>
      <c r="E2620" t="inlineStr">
        <is>
          <t>TORSBY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34206-2024</t>
        </is>
      </c>
      <c r="B2621" s="1" t="n">
        <v>45524</v>
      </c>
      <c r="C2621" s="1" t="n">
        <v>45828</v>
      </c>
      <c r="D2621" t="inlineStr">
        <is>
          <t>VÄRMLANDS LÄN</t>
        </is>
      </c>
      <c r="E2621" t="inlineStr">
        <is>
          <t>TORSBY</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34236-2024</t>
        </is>
      </c>
      <c r="B2622" s="1" t="n">
        <v>45524</v>
      </c>
      <c r="C2622" s="1" t="n">
        <v>45828</v>
      </c>
      <c r="D2622" t="inlineStr">
        <is>
          <t>VÄRMLANDS LÄN</t>
        </is>
      </c>
      <c r="E2622" t="inlineStr">
        <is>
          <t>TORSBY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34256-2024</t>
        </is>
      </c>
      <c r="B2623" s="1" t="n">
        <v>45524</v>
      </c>
      <c r="C2623" s="1" t="n">
        <v>45828</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34281-2024</t>
        </is>
      </c>
      <c r="B2624" s="1" t="n">
        <v>45524</v>
      </c>
      <c r="C2624" s="1" t="n">
        <v>45828</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34304-2024</t>
        </is>
      </c>
      <c r="B2625" s="1" t="n">
        <v>45524</v>
      </c>
      <c r="C2625" s="1" t="n">
        <v>45828</v>
      </c>
      <c r="D2625" t="inlineStr">
        <is>
          <t>VÄRMLANDS LÄN</t>
        </is>
      </c>
      <c r="E2625" t="inlineStr">
        <is>
          <t>TORSBY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34500-2024</t>
        </is>
      </c>
      <c r="B2626" s="1" t="n">
        <v>45525</v>
      </c>
      <c r="C2626" s="1" t="n">
        <v>45828</v>
      </c>
      <c r="D2626" t="inlineStr">
        <is>
          <t>VÄRMLANDS LÄN</t>
        </is>
      </c>
      <c r="E2626" t="inlineStr">
        <is>
          <t>TORSBY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34534-2024</t>
        </is>
      </c>
      <c r="B2627" s="1" t="n">
        <v>45525</v>
      </c>
      <c r="C2627" s="1" t="n">
        <v>45828</v>
      </c>
      <c r="D2627" t="inlineStr">
        <is>
          <t>VÄRMLANDS LÄN</t>
        </is>
      </c>
      <c r="E2627" t="inlineStr">
        <is>
          <t>TORSBY</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34528-2024</t>
        </is>
      </c>
      <c r="B2628" s="1" t="n">
        <v>45525</v>
      </c>
      <c r="C2628" s="1" t="n">
        <v>45828</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34554-2024</t>
        </is>
      </c>
      <c r="B2629" s="1" t="n">
        <v>45525</v>
      </c>
      <c r="C2629" s="1" t="n">
        <v>45828</v>
      </c>
      <c r="D2629" t="inlineStr">
        <is>
          <t>VÄRMLANDS LÄN</t>
        </is>
      </c>
      <c r="E2629" t="inlineStr">
        <is>
          <t>TORSBY</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34472-2024</t>
        </is>
      </c>
      <c r="B2630" s="1" t="n">
        <v>45525</v>
      </c>
      <c r="C2630" s="1" t="n">
        <v>45828</v>
      </c>
      <c r="D2630" t="inlineStr">
        <is>
          <t>VÄRMLANDS LÄN</t>
        </is>
      </c>
      <c r="E2630" t="inlineStr">
        <is>
          <t>TORSBY</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34549-2024</t>
        </is>
      </c>
      <c r="B2631" s="1" t="n">
        <v>45525</v>
      </c>
      <c r="C2631" s="1" t="n">
        <v>45828</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34551-2024</t>
        </is>
      </c>
      <c r="B2632" s="1" t="n">
        <v>45525</v>
      </c>
      <c r="C2632" s="1" t="n">
        <v>45828</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34680-2024</t>
        </is>
      </c>
      <c r="B2633" s="1" t="n">
        <v>45526</v>
      </c>
      <c r="C2633" s="1" t="n">
        <v>45828</v>
      </c>
      <c r="D2633" t="inlineStr">
        <is>
          <t>VÄRMLANDS LÄN</t>
        </is>
      </c>
      <c r="E2633" t="inlineStr">
        <is>
          <t>TORSBY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34568-2024</t>
        </is>
      </c>
      <c r="B2634" s="1" t="n">
        <v>45526</v>
      </c>
      <c r="C2634" s="1" t="n">
        <v>45828</v>
      </c>
      <c r="D2634" t="inlineStr">
        <is>
          <t>VÄRMLANDS LÄN</t>
        </is>
      </c>
      <c r="E2634" t="inlineStr">
        <is>
          <t>TORSBY</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34573-2024</t>
        </is>
      </c>
      <c r="B2635" s="1" t="n">
        <v>45526</v>
      </c>
      <c r="C2635" s="1" t="n">
        <v>45828</v>
      </c>
      <c r="D2635" t="inlineStr">
        <is>
          <t>VÄRMLANDS LÄN</t>
        </is>
      </c>
      <c r="E2635" t="inlineStr">
        <is>
          <t>TORSBY</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34697-2024</t>
        </is>
      </c>
      <c r="B2636" s="1" t="n">
        <v>45526</v>
      </c>
      <c r="C2636" s="1" t="n">
        <v>45828</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34717-2024</t>
        </is>
      </c>
      <c r="B2637" s="1" t="n">
        <v>45526</v>
      </c>
      <c r="C2637" s="1" t="n">
        <v>45828</v>
      </c>
      <c r="D2637" t="inlineStr">
        <is>
          <t>VÄRMLANDS LÄN</t>
        </is>
      </c>
      <c r="E2637" t="inlineStr">
        <is>
          <t>TORSBY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34824-2024</t>
        </is>
      </c>
      <c r="B2638" s="1" t="n">
        <v>45526</v>
      </c>
      <c r="C2638" s="1" t="n">
        <v>45828</v>
      </c>
      <c r="D2638" t="inlineStr">
        <is>
          <t>VÄRMLANDS LÄN</t>
        </is>
      </c>
      <c r="E2638" t="inlineStr">
        <is>
          <t>TORSBY</t>
        </is>
      </c>
      <c r="F2638" t="inlineStr">
        <is>
          <t>Bergvik skog väst AB</t>
        </is>
      </c>
      <c r="G2638" t="n">
        <v>27.5</v>
      </c>
      <c r="H2638" t="n">
        <v>0</v>
      </c>
      <c r="I2638" t="n">
        <v>0</v>
      </c>
      <c r="J2638" t="n">
        <v>0</v>
      </c>
      <c r="K2638" t="n">
        <v>0</v>
      </c>
      <c r="L2638" t="n">
        <v>0</v>
      </c>
      <c r="M2638" t="n">
        <v>0</v>
      </c>
      <c r="N2638" t="n">
        <v>0</v>
      </c>
      <c r="O2638" t="n">
        <v>0</v>
      </c>
      <c r="P2638" t="n">
        <v>0</v>
      </c>
      <c r="Q2638" t="n">
        <v>0</v>
      </c>
      <c r="R2638" s="2" t="inlineStr"/>
    </row>
    <row r="2639" ht="15" customHeight="1">
      <c r="A2639" t="inlineStr">
        <is>
          <t>A 34686-2024</t>
        </is>
      </c>
      <c r="B2639" s="1" t="n">
        <v>45526</v>
      </c>
      <c r="C2639" s="1" t="n">
        <v>45828</v>
      </c>
      <c r="D2639" t="inlineStr">
        <is>
          <t>VÄRMLANDS LÄN</t>
        </is>
      </c>
      <c r="E2639" t="inlineStr">
        <is>
          <t>TORSBY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35019-2024</t>
        </is>
      </c>
      <c r="B2640" s="1" t="n">
        <v>45527</v>
      </c>
      <c r="C2640" s="1" t="n">
        <v>45828</v>
      </c>
      <c r="D2640" t="inlineStr">
        <is>
          <t>VÄRMLANDS LÄN</t>
        </is>
      </c>
      <c r="E2640" t="inlineStr">
        <is>
          <t>TORSBY</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35075-2024</t>
        </is>
      </c>
      <c r="B2641" s="1" t="n">
        <v>45527</v>
      </c>
      <c r="C2641" s="1" t="n">
        <v>45828</v>
      </c>
      <c r="D2641" t="inlineStr">
        <is>
          <t>VÄRMLANDS LÄN</t>
        </is>
      </c>
      <c r="E2641" t="inlineStr">
        <is>
          <t>TORSBY</t>
        </is>
      </c>
      <c r="F2641" t="inlineStr">
        <is>
          <t>Bergvik skog väst AB</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34970-2024</t>
        </is>
      </c>
      <c r="B2642" s="1" t="n">
        <v>45527</v>
      </c>
      <c r="C2642" s="1" t="n">
        <v>45828</v>
      </c>
      <c r="D2642" t="inlineStr">
        <is>
          <t>VÄRMLANDS LÄN</t>
        </is>
      </c>
      <c r="E2642" t="inlineStr">
        <is>
          <t>TORSBY</t>
        </is>
      </c>
      <c r="F2642" t="inlineStr">
        <is>
          <t>Bergvik skog väst AB</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34966-2024</t>
        </is>
      </c>
      <c r="B2643" s="1" t="n">
        <v>45527</v>
      </c>
      <c r="C2643" s="1" t="n">
        <v>45828</v>
      </c>
      <c r="D2643" t="inlineStr">
        <is>
          <t>VÄRMLANDS LÄN</t>
        </is>
      </c>
      <c r="E2643" t="inlineStr">
        <is>
          <t>TORSBY</t>
        </is>
      </c>
      <c r="F2643" t="inlineStr">
        <is>
          <t>Bergvik skog väst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34958-2024</t>
        </is>
      </c>
      <c r="B2644" s="1" t="n">
        <v>45527</v>
      </c>
      <c r="C2644" s="1" t="n">
        <v>45828</v>
      </c>
      <c r="D2644" t="inlineStr">
        <is>
          <t>VÄRMLANDS LÄN</t>
        </is>
      </c>
      <c r="E2644" t="inlineStr">
        <is>
          <t>TORSBY</t>
        </is>
      </c>
      <c r="F2644" t="inlineStr">
        <is>
          <t>Bergvik skog väst AB</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34946-2024</t>
        </is>
      </c>
      <c r="B2645" s="1" t="n">
        <v>45527</v>
      </c>
      <c r="C2645" s="1" t="n">
        <v>45828</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34906-2024</t>
        </is>
      </c>
      <c r="B2646" s="1" t="n">
        <v>45527</v>
      </c>
      <c r="C2646" s="1" t="n">
        <v>45828</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35066-2024</t>
        </is>
      </c>
      <c r="B2647" s="1" t="n">
        <v>45527</v>
      </c>
      <c r="C2647" s="1" t="n">
        <v>45828</v>
      </c>
      <c r="D2647" t="inlineStr">
        <is>
          <t>VÄRMLANDS LÄN</t>
        </is>
      </c>
      <c r="E2647" t="inlineStr">
        <is>
          <t>TORSBY</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34961-2024</t>
        </is>
      </c>
      <c r="B2648" s="1" t="n">
        <v>45527</v>
      </c>
      <c r="C2648" s="1" t="n">
        <v>45828</v>
      </c>
      <c r="D2648" t="inlineStr">
        <is>
          <t>VÄRMLANDS LÄN</t>
        </is>
      </c>
      <c r="E2648" t="inlineStr">
        <is>
          <t>TORSBY</t>
        </is>
      </c>
      <c r="F2648" t="inlineStr">
        <is>
          <t>Bergvik skog väst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34921-2024</t>
        </is>
      </c>
      <c r="B2649" s="1" t="n">
        <v>45527</v>
      </c>
      <c r="C2649" s="1" t="n">
        <v>45828</v>
      </c>
      <c r="D2649" t="inlineStr">
        <is>
          <t>VÄRMLANDS LÄN</t>
        </is>
      </c>
      <c r="E2649" t="inlineStr">
        <is>
          <t>TORSBY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34968-2024</t>
        </is>
      </c>
      <c r="B2650" s="1" t="n">
        <v>45527</v>
      </c>
      <c r="C2650" s="1" t="n">
        <v>45828</v>
      </c>
      <c r="D2650" t="inlineStr">
        <is>
          <t>VÄRMLANDS LÄN</t>
        </is>
      </c>
      <c r="E2650" t="inlineStr">
        <is>
          <t>TORSBY</t>
        </is>
      </c>
      <c r="F2650" t="inlineStr">
        <is>
          <t>Bergvik skog väst AB</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34939-2024</t>
        </is>
      </c>
      <c r="B2651" s="1" t="n">
        <v>45527</v>
      </c>
      <c r="C2651" s="1" t="n">
        <v>45828</v>
      </c>
      <c r="D2651" t="inlineStr">
        <is>
          <t>VÄRMLANDS LÄN</t>
        </is>
      </c>
      <c r="E2651" t="inlineStr">
        <is>
          <t>TORSBY</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35107-2024</t>
        </is>
      </c>
      <c r="B2652" s="1" t="n">
        <v>45529</v>
      </c>
      <c r="C2652" s="1" t="n">
        <v>45828</v>
      </c>
      <c r="D2652" t="inlineStr">
        <is>
          <t>VÄRMLANDS LÄN</t>
        </is>
      </c>
      <c r="E2652" t="inlineStr">
        <is>
          <t>TORSBY</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35524-2024</t>
        </is>
      </c>
      <c r="B2653" s="1" t="n">
        <v>45531</v>
      </c>
      <c r="C2653" s="1" t="n">
        <v>45828</v>
      </c>
      <c r="D2653" t="inlineStr">
        <is>
          <t>VÄRMLANDS LÄN</t>
        </is>
      </c>
      <c r="E2653" t="inlineStr">
        <is>
          <t>TORSBY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35493-2024</t>
        </is>
      </c>
      <c r="B2654" s="1" t="n">
        <v>45531</v>
      </c>
      <c r="C2654" s="1" t="n">
        <v>45828</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35497-2024</t>
        </is>
      </c>
      <c r="B2655" s="1" t="n">
        <v>45531</v>
      </c>
      <c r="C2655" s="1" t="n">
        <v>45828</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35609-2024</t>
        </is>
      </c>
      <c r="B2656" s="1" t="n">
        <v>45531</v>
      </c>
      <c r="C2656" s="1" t="n">
        <v>45828</v>
      </c>
      <c r="D2656" t="inlineStr">
        <is>
          <t>VÄRMLANDS LÄN</t>
        </is>
      </c>
      <c r="E2656" t="inlineStr">
        <is>
          <t>TORSBY</t>
        </is>
      </c>
      <c r="G2656" t="n">
        <v>38.3</v>
      </c>
      <c r="H2656" t="n">
        <v>0</v>
      </c>
      <c r="I2656" t="n">
        <v>0</v>
      </c>
      <c r="J2656" t="n">
        <v>0</v>
      </c>
      <c r="K2656" t="n">
        <v>0</v>
      </c>
      <c r="L2656" t="n">
        <v>0</v>
      </c>
      <c r="M2656" t="n">
        <v>0</v>
      </c>
      <c r="N2656" t="n">
        <v>0</v>
      </c>
      <c r="O2656" t="n">
        <v>0</v>
      </c>
      <c r="P2656" t="n">
        <v>0</v>
      </c>
      <c r="Q2656" t="n">
        <v>0</v>
      </c>
      <c r="R2656" s="2" t="inlineStr"/>
    </row>
    <row r="2657" ht="15" customHeight="1">
      <c r="A2657" t="inlineStr">
        <is>
          <t>A 35632-2024</t>
        </is>
      </c>
      <c r="B2657" s="1" t="n">
        <v>45531</v>
      </c>
      <c r="C2657" s="1" t="n">
        <v>45828</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35762-2024</t>
        </is>
      </c>
      <c r="B2658" s="1" t="n">
        <v>45532</v>
      </c>
      <c r="C2658" s="1" t="n">
        <v>45828</v>
      </c>
      <c r="D2658" t="inlineStr">
        <is>
          <t>VÄRMLANDS LÄN</t>
        </is>
      </c>
      <c r="E2658" t="inlineStr">
        <is>
          <t>TORSBY</t>
        </is>
      </c>
      <c r="G2658" t="n">
        <v>11.8</v>
      </c>
      <c r="H2658" t="n">
        <v>0</v>
      </c>
      <c r="I2658" t="n">
        <v>0</v>
      </c>
      <c r="J2658" t="n">
        <v>0</v>
      </c>
      <c r="K2658" t="n">
        <v>0</v>
      </c>
      <c r="L2658" t="n">
        <v>0</v>
      </c>
      <c r="M2658" t="n">
        <v>0</v>
      </c>
      <c r="N2658" t="n">
        <v>0</v>
      </c>
      <c r="O2658" t="n">
        <v>0</v>
      </c>
      <c r="P2658" t="n">
        <v>0</v>
      </c>
      <c r="Q2658" t="n">
        <v>0</v>
      </c>
      <c r="R2658" s="2" t="inlineStr"/>
    </row>
    <row r="2659" ht="15" customHeight="1">
      <c r="A2659" t="inlineStr">
        <is>
          <t>A 35774-2024</t>
        </is>
      </c>
      <c r="B2659" s="1" t="n">
        <v>45532</v>
      </c>
      <c r="C2659" s="1" t="n">
        <v>45828</v>
      </c>
      <c r="D2659" t="inlineStr">
        <is>
          <t>VÄRMLANDS LÄN</t>
        </is>
      </c>
      <c r="E2659" t="inlineStr">
        <is>
          <t>TORSBY</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35787-2024</t>
        </is>
      </c>
      <c r="B2660" s="1" t="n">
        <v>45532</v>
      </c>
      <c r="C2660" s="1" t="n">
        <v>45828</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35769-2024</t>
        </is>
      </c>
      <c r="B2661" s="1" t="n">
        <v>45532</v>
      </c>
      <c r="C2661" s="1" t="n">
        <v>45828</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35777-2024</t>
        </is>
      </c>
      <c r="B2662" s="1" t="n">
        <v>45532</v>
      </c>
      <c r="C2662" s="1" t="n">
        <v>45828</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35967-2024</t>
        </is>
      </c>
      <c r="B2663" s="1" t="n">
        <v>45533</v>
      </c>
      <c r="C2663" s="1" t="n">
        <v>45828</v>
      </c>
      <c r="D2663" t="inlineStr">
        <is>
          <t>VÄRMLANDS LÄN</t>
        </is>
      </c>
      <c r="E2663" t="inlineStr">
        <is>
          <t>TORSBY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36057-2024</t>
        </is>
      </c>
      <c r="B2664" s="1" t="n">
        <v>45533</v>
      </c>
      <c r="C2664" s="1" t="n">
        <v>45828</v>
      </c>
      <c r="D2664" t="inlineStr">
        <is>
          <t>VÄRMLANDS LÄN</t>
        </is>
      </c>
      <c r="E2664" t="inlineStr">
        <is>
          <t>TORSBY</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36153-2024</t>
        </is>
      </c>
      <c r="B2665" s="1" t="n">
        <v>45534</v>
      </c>
      <c r="C2665" s="1" t="n">
        <v>45828</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36175-2024</t>
        </is>
      </c>
      <c r="B2666" s="1" t="n">
        <v>45534</v>
      </c>
      <c r="C2666" s="1" t="n">
        <v>45828</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36184-2024</t>
        </is>
      </c>
      <c r="B2667" s="1" t="n">
        <v>45534</v>
      </c>
      <c r="C2667" s="1" t="n">
        <v>45828</v>
      </c>
      <c r="D2667" t="inlineStr">
        <is>
          <t>VÄRMLANDS LÄN</t>
        </is>
      </c>
      <c r="E2667" t="inlineStr">
        <is>
          <t>TORSBY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36419-2024</t>
        </is>
      </c>
      <c r="B2668" s="1" t="n">
        <v>45536</v>
      </c>
      <c r="C2668" s="1" t="n">
        <v>45828</v>
      </c>
      <c r="D2668" t="inlineStr">
        <is>
          <t>VÄRMLANDS LÄN</t>
        </is>
      </c>
      <c r="E2668" t="inlineStr">
        <is>
          <t>TORSBY</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36558-2024</t>
        </is>
      </c>
      <c r="B2669" s="1" t="n">
        <v>45537</v>
      </c>
      <c r="C2669" s="1" t="n">
        <v>45828</v>
      </c>
      <c r="D2669" t="inlineStr">
        <is>
          <t>VÄRMLANDS LÄN</t>
        </is>
      </c>
      <c r="E2669" t="inlineStr">
        <is>
          <t>TORSBY</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36578-2024</t>
        </is>
      </c>
      <c r="B2670" s="1" t="n">
        <v>45537</v>
      </c>
      <c r="C2670" s="1" t="n">
        <v>45828</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36540-2024</t>
        </is>
      </c>
      <c r="B2671" s="1" t="n">
        <v>45537</v>
      </c>
      <c r="C2671" s="1" t="n">
        <v>45828</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36445-2024</t>
        </is>
      </c>
      <c r="B2672" s="1" t="n">
        <v>45537</v>
      </c>
      <c r="C2672" s="1" t="n">
        <v>45828</v>
      </c>
      <c r="D2672" t="inlineStr">
        <is>
          <t>VÄRMLANDS LÄN</t>
        </is>
      </c>
      <c r="E2672" t="inlineStr">
        <is>
          <t>TORSBY</t>
        </is>
      </c>
      <c r="F2672" t="inlineStr">
        <is>
          <t>Bergvik skog väst AB</t>
        </is>
      </c>
      <c r="G2672" t="n">
        <v>78.3</v>
      </c>
      <c r="H2672" t="n">
        <v>0</v>
      </c>
      <c r="I2672" t="n">
        <v>0</v>
      </c>
      <c r="J2672" t="n">
        <v>0</v>
      </c>
      <c r="K2672" t="n">
        <v>0</v>
      </c>
      <c r="L2672" t="n">
        <v>0</v>
      </c>
      <c r="M2672" t="n">
        <v>0</v>
      </c>
      <c r="N2672" t="n">
        <v>0</v>
      </c>
      <c r="O2672" t="n">
        <v>0</v>
      </c>
      <c r="P2672" t="n">
        <v>0</v>
      </c>
      <c r="Q2672" t="n">
        <v>0</v>
      </c>
      <c r="R2672" s="2" t="inlineStr"/>
    </row>
    <row r="2673" ht="15" customHeight="1">
      <c r="A2673" t="inlineStr">
        <is>
          <t>A 36718-2024</t>
        </is>
      </c>
      <c r="B2673" s="1" t="n">
        <v>45537</v>
      </c>
      <c r="C2673" s="1" t="n">
        <v>45828</v>
      </c>
      <c r="D2673" t="inlineStr">
        <is>
          <t>VÄRMLANDS LÄN</t>
        </is>
      </c>
      <c r="E2673" t="inlineStr">
        <is>
          <t>TORSBY</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36765-2024</t>
        </is>
      </c>
      <c r="B2674" s="1" t="n">
        <v>45538</v>
      </c>
      <c r="C2674" s="1" t="n">
        <v>45828</v>
      </c>
      <c r="D2674" t="inlineStr">
        <is>
          <t>VÄRMLANDS LÄN</t>
        </is>
      </c>
      <c r="E2674" t="inlineStr">
        <is>
          <t>TORSBY</t>
        </is>
      </c>
      <c r="F2674" t="inlineStr">
        <is>
          <t>Bergvik skog väst AB</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36758-2024</t>
        </is>
      </c>
      <c r="B2675" s="1" t="n">
        <v>45538</v>
      </c>
      <c r="C2675" s="1" t="n">
        <v>45828</v>
      </c>
      <c r="D2675" t="inlineStr">
        <is>
          <t>VÄRMLANDS LÄN</t>
        </is>
      </c>
      <c r="E2675" t="inlineStr">
        <is>
          <t>TORSBY</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36782-2024</t>
        </is>
      </c>
      <c r="B2676" s="1" t="n">
        <v>45538</v>
      </c>
      <c r="C2676" s="1" t="n">
        <v>45828</v>
      </c>
      <c r="D2676" t="inlineStr">
        <is>
          <t>VÄRMLANDS LÄN</t>
        </is>
      </c>
      <c r="E2676" t="inlineStr">
        <is>
          <t>TORSBY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36790-2024</t>
        </is>
      </c>
      <c r="B2677" s="1" t="n">
        <v>45538</v>
      </c>
      <c r="C2677" s="1" t="n">
        <v>45828</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36775-2024</t>
        </is>
      </c>
      <c r="B2678" s="1" t="n">
        <v>45538</v>
      </c>
      <c r="C2678" s="1" t="n">
        <v>45828</v>
      </c>
      <c r="D2678" t="inlineStr">
        <is>
          <t>VÄRMLANDS LÄN</t>
        </is>
      </c>
      <c r="E2678" t="inlineStr">
        <is>
          <t>TORSBY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36850-2024</t>
        </is>
      </c>
      <c r="B2679" s="1" t="n">
        <v>45538</v>
      </c>
      <c r="C2679" s="1" t="n">
        <v>45828</v>
      </c>
      <c r="D2679" t="inlineStr">
        <is>
          <t>VÄRMLANDS LÄN</t>
        </is>
      </c>
      <c r="E2679" t="inlineStr">
        <is>
          <t>TORSBY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36879-2024</t>
        </is>
      </c>
      <c r="B2680" s="1" t="n">
        <v>45538</v>
      </c>
      <c r="C2680" s="1" t="n">
        <v>45828</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36922-2024</t>
        </is>
      </c>
      <c r="B2681" s="1" t="n">
        <v>45538</v>
      </c>
      <c r="C2681" s="1" t="n">
        <v>45828</v>
      </c>
      <c r="D2681" t="inlineStr">
        <is>
          <t>VÄRMLANDS LÄN</t>
        </is>
      </c>
      <c r="E2681" t="inlineStr">
        <is>
          <t>TORSBY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36939-2024</t>
        </is>
      </c>
      <c r="B2682" s="1" t="n">
        <v>45538</v>
      </c>
      <c r="C2682" s="1" t="n">
        <v>45828</v>
      </c>
      <c r="D2682" t="inlineStr">
        <is>
          <t>VÄRMLANDS LÄN</t>
        </is>
      </c>
      <c r="E2682" t="inlineStr">
        <is>
          <t>TORSBY</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36917-2024</t>
        </is>
      </c>
      <c r="B2683" s="1" t="n">
        <v>45538</v>
      </c>
      <c r="C2683" s="1" t="n">
        <v>45828</v>
      </c>
      <c r="D2683" t="inlineStr">
        <is>
          <t>VÄRMLANDS LÄN</t>
        </is>
      </c>
      <c r="E2683" t="inlineStr">
        <is>
          <t>TORSBY</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36964-2024</t>
        </is>
      </c>
      <c r="B2684" s="1" t="n">
        <v>45538</v>
      </c>
      <c r="C2684" s="1" t="n">
        <v>45828</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37153-2024</t>
        </is>
      </c>
      <c r="B2685" s="1" t="n">
        <v>45539</v>
      </c>
      <c r="C2685" s="1" t="n">
        <v>45828</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37194-2024</t>
        </is>
      </c>
      <c r="B2686" s="1" t="n">
        <v>45539</v>
      </c>
      <c r="C2686" s="1" t="n">
        <v>45828</v>
      </c>
      <c r="D2686" t="inlineStr">
        <is>
          <t>VÄRMLANDS LÄN</t>
        </is>
      </c>
      <c r="E2686" t="inlineStr">
        <is>
          <t>TORSBY</t>
        </is>
      </c>
      <c r="F2686" t="inlineStr">
        <is>
          <t>Bergvik skog väst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37238-2024</t>
        </is>
      </c>
      <c r="B2687" s="1" t="n">
        <v>45540</v>
      </c>
      <c r="C2687" s="1" t="n">
        <v>45828</v>
      </c>
      <c r="D2687" t="inlineStr">
        <is>
          <t>VÄRMLANDS LÄN</t>
        </is>
      </c>
      <c r="E2687" t="inlineStr">
        <is>
          <t>TORSBY</t>
        </is>
      </c>
      <c r="F2687" t="inlineStr">
        <is>
          <t>Bergvik skog väst AB</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37477-2024</t>
        </is>
      </c>
      <c r="B2688" s="1" t="n">
        <v>45541</v>
      </c>
      <c r="C2688" s="1" t="n">
        <v>45828</v>
      </c>
      <c r="D2688" t="inlineStr">
        <is>
          <t>VÄRMLANDS LÄN</t>
        </is>
      </c>
      <c r="E2688" t="inlineStr">
        <is>
          <t>TORSBY</t>
        </is>
      </c>
      <c r="F2688" t="inlineStr">
        <is>
          <t>Bergvik skog väst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37580-2024</t>
        </is>
      </c>
      <c r="B2689" s="1" t="n">
        <v>45541</v>
      </c>
      <c r="C2689" s="1" t="n">
        <v>45828</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37665-2024</t>
        </is>
      </c>
      <c r="B2690" s="1" t="n">
        <v>45541</v>
      </c>
      <c r="C2690" s="1" t="n">
        <v>45828</v>
      </c>
      <c r="D2690" t="inlineStr">
        <is>
          <t>VÄRMLANDS LÄN</t>
        </is>
      </c>
      <c r="E2690" t="inlineStr">
        <is>
          <t>TORSBY</t>
        </is>
      </c>
      <c r="F2690" t="inlineStr">
        <is>
          <t>Kyrkan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37533-2024</t>
        </is>
      </c>
      <c r="B2691" s="1" t="n">
        <v>45541</v>
      </c>
      <c r="C2691" s="1" t="n">
        <v>45828</v>
      </c>
      <c r="D2691" t="inlineStr">
        <is>
          <t>VÄRMLANDS LÄN</t>
        </is>
      </c>
      <c r="E2691" t="inlineStr">
        <is>
          <t>TORSBY</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37733-2024</t>
        </is>
      </c>
      <c r="B2692" s="1" t="n">
        <v>45541</v>
      </c>
      <c r="C2692" s="1" t="n">
        <v>45828</v>
      </c>
      <c r="D2692" t="inlineStr">
        <is>
          <t>VÄRMLANDS LÄN</t>
        </is>
      </c>
      <c r="E2692" t="inlineStr">
        <is>
          <t>TORSBY</t>
        </is>
      </c>
      <c r="F2692" t="inlineStr">
        <is>
          <t>Bergvik skog väst AB</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37884-2024</t>
        </is>
      </c>
      <c r="B2693" s="1" t="n">
        <v>45544</v>
      </c>
      <c r="C2693" s="1" t="n">
        <v>45828</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37853-2024</t>
        </is>
      </c>
      <c r="B2694" s="1" t="n">
        <v>45544</v>
      </c>
      <c r="C2694" s="1" t="n">
        <v>45828</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37901-2024</t>
        </is>
      </c>
      <c r="B2695" s="1" t="n">
        <v>45544</v>
      </c>
      <c r="C2695" s="1" t="n">
        <v>45828</v>
      </c>
      <c r="D2695" t="inlineStr">
        <is>
          <t>VÄRMLANDS LÄN</t>
        </is>
      </c>
      <c r="E2695" t="inlineStr">
        <is>
          <t>TORSBY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37913-2024</t>
        </is>
      </c>
      <c r="B2696" s="1" t="n">
        <v>45544</v>
      </c>
      <c r="C2696" s="1" t="n">
        <v>45828</v>
      </c>
      <c r="D2696" t="inlineStr">
        <is>
          <t>VÄRMLANDS LÄN</t>
        </is>
      </c>
      <c r="E2696" t="inlineStr">
        <is>
          <t>TORSBY</t>
        </is>
      </c>
      <c r="F2696" t="inlineStr">
        <is>
          <t>Bergvik skog väst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38062-2024</t>
        </is>
      </c>
      <c r="B2697" s="1" t="n">
        <v>45544</v>
      </c>
      <c r="C2697" s="1" t="n">
        <v>45828</v>
      </c>
      <c r="D2697" t="inlineStr">
        <is>
          <t>VÄRMLANDS LÄN</t>
        </is>
      </c>
      <c r="E2697" t="inlineStr">
        <is>
          <t>TORSBY</t>
        </is>
      </c>
      <c r="F2697" t="inlineStr">
        <is>
          <t>Bergvik skog väst AB</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38076-2024</t>
        </is>
      </c>
      <c r="B2698" s="1" t="n">
        <v>45544</v>
      </c>
      <c r="C2698" s="1" t="n">
        <v>45828</v>
      </c>
      <c r="D2698" t="inlineStr">
        <is>
          <t>VÄRMLANDS LÄN</t>
        </is>
      </c>
      <c r="E2698" t="inlineStr">
        <is>
          <t>TORSBY</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38100-2024</t>
        </is>
      </c>
      <c r="B2699" s="1" t="n">
        <v>45545</v>
      </c>
      <c r="C2699" s="1" t="n">
        <v>45828</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38085-2024</t>
        </is>
      </c>
      <c r="B2700" s="1" t="n">
        <v>45545</v>
      </c>
      <c r="C2700" s="1" t="n">
        <v>45828</v>
      </c>
      <c r="D2700" t="inlineStr">
        <is>
          <t>VÄRMLANDS LÄN</t>
        </is>
      </c>
      <c r="E2700" t="inlineStr">
        <is>
          <t>TORSBY</t>
        </is>
      </c>
      <c r="F2700" t="inlineStr">
        <is>
          <t>Bergvik skog väst AB</t>
        </is>
      </c>
      <c r="G2700" t="n">
        <v>27.8</v>
      </c>
      <c r="H2700" t="n">
        <v>0</v>
      </c>
      <c r="I2700" t="n">
        <v>0</v>
      </c>
      <c r="J2700" t="n">
        <v>0</v>
      </c>
      <c r="K2700" t="n">
        <v>0</v>
      </c>
      <c r="L2700" t="n">
        <v>0</v>
      </c>
      <c r="M2700" t="n">
        <v>0</v>
      </c>
      <c r="N2700" t="n">
        <v>0</v>
      </c>
      <c r="O2700" t="n">
        <v>0</v>
      </c>
      <c r="P2700" t="n">
        <v>0</v>
      </c>
      <c r="Q2700" t="n">
        <v>0</v>
      </c>
      <c r="R2700" s="2" t="inlineStr"/>
    </row>
    <row r="2701" ht="15" customHeight="1">
      <c r="A2701" t="inlineStr">
        <is>
          <t>A 38148-2024</t>
        </is>
      </c>
      <c r="B2701" s="1" t="n">
        <v>45545</v>
      </c>
      <c r="C2701" s="1" t="n">
        <v>45828</v>
      </c>
      <c r="D2701" t="inlineStr">
        <is>
          <t>VÄRMLANDS LÄN</t>
        </is>
      </c>
      <c r="E2701" t="inlineStr">
        <is>
          <t>TORSBY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38184-2024</t>
        </is>
      </c>
      <c r="B2702" s="1" t="n">
        <v>45545</v>
      </c>
      <c r="C2702" s="1" t="n">
        <v>45828</v>
      </c>
      <c r="D2702" t="inlineStr">
        <is>
          <t>VÄRMLANDS LÄN</t>
        </is>
      </c>
      <c r="E2702" t="inlineStr">
        <is>
          <t>TORSBY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38206-2024</t>
        </is>
      </c>
      <c r="B2703" s="1" t="n">
        <v>45545</v>
      </c>
      <c r="C2703" s="1" t="n">
        <v>45828</v>
      </c>
      <c r="D2703" t="inlineStr">
        <is>
          <t>VÄRMLANDS LÄN</t>
        </is>
      </c>
      <c r="E2703" t="inlineStr">
        <is>
          <t>TORSBY</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38353-2024</t>
        </is>
      </c>
      <c r="B2704" s="1" t="n">
        <v>45545</v>
      </c>
      <c r="C2704" s="1" t="n">
        <v>45828</v>
      </c>
      <c r="D2704" t="inlineStr">
        <is>
          <t>VÄRMLANDS LÄN</t>
        </is>
      </c>
      <c r="E2704" t="inlineStr">
        <is>
          <t>TORSBY</t>
        </is>
      </c>
      <c r="G2704" t="n">
        <v>20.8</v>
      </c>
      <c r="H2704" t="n">
        <v>0</v>
      </c>
      <c r="I2704" t="n">
        <v>0</v>
      </c>
      <c r="J2704" t="n">
        <v>0</v>
      </c>
      <c r="K2704" t="n">
        <v>0</v>
      </c>
      <c r="L2704" t="n">
        <v>0</v>
      </c>
      <c r="M2704" t="n">
        <v>0</v>
      </c>
      <c r="N2704" t="n">
        <v>0</v>
      </c>
      <c r="O2704" t="n">
        <v>0</v>
      </c>
      <c r="P2704" t="n">
        <v>0</v>
      </c>
      <c r="Q2704" t="n">
        <v>0</v>
      </c>
      <c r="R2704" s="2" t="inlineStr"/>
    </row>
    <row r="2705" ht="15" customHeight="1">
      <c r="A2705" t="inlineStr">
        <is>
          <t>A 38497-2024</t>
        </is>
      </c>
      <c r="B2705" s="1" t="n">
        <v>45546</v>
      </c>
      <c r="C2705" s="1" t="n">
        <v>45828</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38618-2024</t>
        </is>
      </c>
      <c r="B2706" s="1" t="n">
        <v>45546</v>
      </c>
      <c r="C2706" s="1" t="n">
        <v>45828</v>
      </c>
      <c r="D2706" t="inlineStr">
        <is>
          <t>VÄRMLANDS LÄN</t>
        </is>
      </c>
      <c r="E2706" t="inlineStr">
        <is>
          <t>TORSBY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38911-2024</t>
        </is>
      </c>
      <c r="B2707" s="1" t="n">
        <v>45547</v>
      </c>
      <c r="C2707" s="1" t="n">
        <v>45828</v>
      </c>
      <c r="D2707" t="inlineStr">
        <is>
          <t>VÄRMLANDS LÄN</t>
        </is>
      </c>
      <c r="E2707" t="inlineStr">
        <is>
          <t>TORSBY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38931-2024</t>
        </is>
      </c>
      <c r="B2708" s="1" t="n">
        <v>45548</v>
      </c>
      <c r="C2708" s="1" t="n">
        <v>45828</v>
      </c>
      <c r="D2708" t="inlineStr">
        <is>
          <t>VÄRMLANDS LÄN</t>
        </is>
      </c>
      <c r="E2708" t="inlineStr">
        <is>
          <t>TORSBY</t>
        </is>
      </c>
      <c r="F2708" t="inlineStr">
        <is>
          <t>Bergvik skog väst AB</t>
        </is>
      </c>
      <c r="G2708" t="n">
        <v>10.8</v>
      </c>
      <c r="H2708" t="n">
        <v>0</v>
      </c>
      <c r="I2708" t="n">
        <v>0</v>
      </c>
      <c r="J2708" t="n">
        <v>0</v>
      </c>
      <c r="K2708" t="n">
        <v>0</v>
      </c>
      <c r="L2708" t="n">
        <v>0</v>
      </c>
      <c r="M2708" t="n">
        <v>0</v>
      </c>
      <c r="N2708" t="n">
        <v>0</v>
      </c>
      <c r="O2708" t="n">
        <v>0</v>
      </c>
      <c r="P2708" t="n">
        <v>0</v>
      </c>
      <c r="Q2708" t="n">
        <v>0</v>
      </c>
      <c r="R2708" s="2" t="inlineStr"/>
    </row>
    <row r="2709" ht="15" customHeight="1">
      <c r="A2709" t="inlineStr">
        <is>
          <t>A 39075-2024</t>
        </is>
      </c>
      <c r="B2709" s="1" t="n">
        <v>45548</v>
      </c>
      <c r="C2709" s="1" t="n">
        <v>45828</v>
      </c>
      <c r="D2709" t="inlineStr">
        <is>
          <t>VÄRMLANDS LÄN</t>
        </is>
      </c>
      <c r="E2709" t="inlineStr">
        <is>
          <t>TORSBY</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39277-2024</t>
        </is>
      </c>
      <c r="B2710" s="1" t="n">
        <v>45551</v>
      </c>
      <c r="C2710" s="1" t="n">
        <v>45828</v>
      </c>
      <c r="D2710" t="inlineStr">
        <is>
          <t>VÄRMLANDS LÄN</t>
        </is>
      </c>
      <c r="E2710" t="inlineStr">
        <is>
          <t>TORSBY</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39378-2024</t>
        </is>
      </c>
      <c r="B2711" s="1" t="n">
        <v>45551</v>
      </c>
      <c r="C2711" s="1" t="n">
        <v>45828</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39383-2024</t>
        </is>
      </c>
      <c r="B2712" s="1" t="n">
        <v>45551</v>
      </c>
      <c r="C2712" s="1" t="n">
        <v>45828</v>
      </c>
      <c r="D2712" t="inlineStr">
        <is>
          <t>VÄRMLANDS LÄN</t>
        </is>
      </c>
      <c r="E2712" t="inlineStr">
        <is>
          <t>TORSBY</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39587-2024</t>
        </is>
      </c>
      <c r="B2713" s="1" t="n">
        <v>45551</v>
      </c>
      <c r="C2713" s="1" t="n">
        <v>45828</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39569-2024</t>
        </is>
      </c>
      <c r="B2714" s="1" t="n">
        <v>45551</v>
      </c>
      <c r="C2714" s="1" t="n">
        <v>45828</v>
      </c>
      <c r="D2714" t="inlineStr">
        <is>
          <t>VÄRMLANDS LÄN</t>
        </is>
      </c>
      <c r="E2714" t="inlineStr">
        <is>
          <t>TORSBY</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39567-2024</t>
        </is>
      </c>
      <c r="B2715" s="1" t="n">
        <v>45552</v>
      </c>
      <c r="C2715" s="1" t="n">
        <v>45828</v>
      </c>
      <c r="D2715" t="inlineStr">
        <is>
          <t>VÄRMLANDS LÄN</t>
        </is>
      </c>
      <c r="E2715" t="inlineStr">
        <is>
          <t>TORSBY</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39617-2024</t>
        </is>
      </c>
      <c r="B2716" s="1" t="n">
        <v>45552</v>
      </c>
      <c r="C2716" s="1" t="n">
        <v>45828</v>
      </c>
      <c r="D2716" t="inlineStr">
        <is>
          <t>VÄRMLANDS LÄN</t>
        </is>
      </c>
      <c r="E2716" t="inlineStr">
        <is>
          <t>TORSBY</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39767-2024</t>
        </is>
      </c>
      <c r="B2717" s="1" t="n">
        <v>45552</v>
      </c>
      <c r="C2717" s="1" t="n">
        <v>45828</v>
      </c>
      <c r="D2717" t="inlineStr">
        <is>
          <t>VÄRMLANDS LÄN</t>
        </is>
      </c>
      <c r="E2717" t="inlineStr">
        <is>
          <t>TORSBY</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39771-2024</t>
        </is>
      </c>
      <c r="B2718" s="1" t="n">
        <v>45552</v>
      </c>
      <c r="C2718" s="1" t="n">
        <v>45828</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39746-2024</t>
        </is>
      </c>
      <c r="B2719" s="1" t="n">
        <v>45552</v>
      </c>
      <c r="C2719" s="1" t="n">
        <v>45828</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39770-2024</t>
        </is>
      </c>
      <c r="B2720" s="1" t="n">
        <v>45552</v>
      </c>
      <c r="C2720" s="1" t="n">
        <v>45828</v>
      </c>
      <c r="D2720" t="inlineStr">
        <is>
          <t>VÄRMLANDS LÄN</t>
        </is>
      </c>
      <c r="E2720" t="inlineStr">
        <is>
          <t>TORSBY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39768-2024</t>
        </is>
      </c>
      <c r="B2721" s="1" t="n">
        <v>45552</v>
      </c>
      <c r="C2721" s="1" t="n">
        <v>45828</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39772-2024</t>
        </is>
      </c>
      <c r="B2722" s="1" t="n">
        <v>45552</v>
      </c>
      <c r="C2722" s="1" t="n">
        <v>45828</v>
      </c>
      <c r="D2722" t="inlineStr">
        <is>
          <t>VÄRMLANDS LÄN</t>
        </is>
      </c>
      <c r="E2722" t="inlineStr">
        <is>
          <t>TORSBY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39769-2024</t>
        </is>
      </c>
      <c r="B2723" s="1" t="n">
        <v>45552</v>
      </c>
      <c r="C2723" s="1" t="n">
        <v>45828</v>
      </c>
      <c r="D2723" t="inlineStr">
        <is>
          <t>VÄRMLANDS LÄN</t>
        </is>
      </c>
      <c r="E2723" t="inlineStr">
        <is>
          <t>TORSBY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39953-2024</t>
        </is>
      </c>
      <c r="B2724" s="1" t="n">
        <v>45553</v>
      </c>
      <c r="C2724" s="1" t="n">
        <v>45828</v>
      </c>
      <c r="D2724" t="inlineStr">
        <is>
          <t>VÄRMLANDS LÄN</t>
        </is>
      </c>
      <c r="E2724" t="inlineStr">
        <is>
          <t>TORSBY</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39985-2024</t>
        </is>
      </c>
      <c r="B2725" s="1" t="n">
        <v>45553</v>
      </c>
      <c r="C2725" s="1" t="n">
        <v>45828</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40180-2024</t>
        </is>
      </c>
      <c r="B2726" s="1" t="n">
        <v>45554</v>
      </c>
      <c r="C2726" s="1" t="n">
        <v>45828</v>
      </c>
      <c r="D2726" t="inlineStr">
        <is>
          <t>VÄRMLANDS LÄN</t>
        </is>
      </c>
      <c r="E2726" t="inlineStr">
        <is>
          <t>TORSBY</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40227-2024</t>
        </is>
      </c>
      <c r="B2727" s="1" t="n">
        <v>45554</v>
      </c>
      <c r="C2727" s="1" t="n">
        <v>45828</v>
      </c>
      <c r="D2727" t="inlineStr">
        <is>
          <t>VÄRMLANDS LÄN</t>
        </is>
      </c>
      <c r="E2727" t="inlineStr">
        <is>
          <t>TORSBY</t>
        </is>
      </c>
      <c r="F2727" t="inlineStr">
        <is>
          <t>Bergvik skog väst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40157-2024</t>
        </is>
      </c>
      <c r="B2728" s="1" t="n">
        <v>45554</v>
      </c>
      <c r="C2728" s="1" t="n">
        <v>45828</v>
      </c>
      <c r="D2728" t="inlineStr">
        <is>
          <t>VÄRMLANDS LÄN</t>
        </is>
      </c>
      <c r="E2728" t="inlineStr">
        <is>
          <t>TORSBY</t>
        </is>
      </c>
      <c r="F2728" t="inlineStr">
        <is>
          <t>Bergvik skog väst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40301-2024</t>
        </is>
      </c>
      <c r="B2729" s="1" t="n">
        <v>45554</v>
      </c>
      <c r="C2729" s="1" t="n">
        <v>45828</v>
      </c>
      <c r="D2729" t="inlineStr">
        <is>
          <t>VÄRMLANDS LÄN</t>
        </is>
      </c>
      <c r="E2729" t="inlineStr">
        <is>
          <t>TORSBY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40541-2024</t>
        </is>
      </c>
      <c r="B2730" s="1" t="n">
        <v>45555</v>
      </c>
      <c r="C2730" s="1" t="n">
        <v>45828</v>
      </c>
      <c r="D2730" t="inlineStr">
        <is>
          <t>VÄRMLANDS LÄN</t>
        </is>
      </c>
      <c r="E2730" t="inlineStr">
        <is>
          <t>TORSBY</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40565-2024</t>
        </is>
      </c>
      <c r="B2731" s="1" t="n">
        <v>45555</v>
      </c>
      <c r="C2731" s="1" t="n">
        <v>45828</v>
      </c>
      <c r="D2731" t="inlineStr">
        <is>
          <t>VÄRMLANDS LÄN</t>
        </is>
      </c>
      <c r="E2731" t="inlineStr">
        <is>
          <t>TORSBY</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40573-2024</t>
        </is>
      </c>
      <c r="B2732" s="1" t="n">
        <v>45555</v>
      </c>
      <c r="C2732" s="1" t="n">
        <v>45828</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40546-2024</t>
        </is>
      </c>
      <c r="B2733" s="1" t="n">
        <v>45555</v>
      </c>
      <c r="C2733" s="1" t="n">
        <v>45828</v>
      </c>
      <c r="D2733" t="inlineStr">
        <is>
          <t>VÄRMLANDS LÄN</t>
        </is>
      </c>
      <c r="E2733" t="inlineStr">
        <is>
          <t>TORSBY</t>
        </is>
      </c>
      <c r="F2733" t="inlineStr">
        <is>
          <t>Bergvik skog väst AB</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40914-2024</t>
        </is>
      </c>
      <c r="B2734" s="1" t="n">
        <v>45558</v>
      </c>
      <c r="C2734" s="1" t="n">
        <v>45828</v>
      </c>
      <c r="D2734" t="inlineStr">
        <is>
          <t>VÄRMLANDS LÄN</t>
        </is>
      </c>
      <c r="E2734" t="inlineStr">
        <is>
          <t>TORSBY</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40807-2024</t>
        </is>
      </c>
      <c r="B2735" s="1" t="n">
        <v>45558</v>
      </c>
      <c r="C2735" s="1" t="n">
        <v>45828</v>
      </c>
      <c r="D2735" t="inlineStr">
        <is>
          <t>VÄRMLANDS LÄN</t>
        </is>
      </c>
      <c r="E2735" t="inlineStr">
        <is>
          <t>TORSBY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40810-2024</t>
        </is>
      </c>
      <c r="B2736" s="1" t="n">
        <v>45558</v>
      </c>
      <c r="C2736" s="1" t="n">
        <v>45828</v>
      </c>
      <c r="D2736" t="inlineStr">
        <is>
          <t>VÄRMLANDS LÄN</t>
        </is>
      </c>
      <c r="E2736" t="inlineStr">
        <is>
          <t>TORSBY</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40987-2024</t>
        </is>
      </c>
      <c r="B2737" s="1" t="n">
        <v>45558</v>
      </c>
      <c r="C2737" s="1" t="n">
        <v>45828</v>
      </c>
      <c r="D2737" t="inlineStr">
        <is>
          <t>VÄRMLANDS LÄN</t>
        </is>
      </c>
      <c r="E2737" t="inlineStr">
        <is>
          <t>TORSBY</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41161-2024</t>
        </is>
      </c>
      <c r="B2738" s="1" t="n">
        <v>45559</v>
      </c>
      <c r="C2738" s="1" t="n">
        <v>45828</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41162-2024</t>
        </is>
      </c>
      <c r="B2739" s="1" t="n">
        <v>45559</v>
      </c>
      <c r="C2739" s="1" t="n">
        <v>45828</v>
      </c>
      <c r="D2739" t="inlineStr">
        <is>
          <t>VÄRMLANDS LÄN</t>
        </is>
      </c>
      <c r="E2739" t="inlineStr">
        <is>
          <t>TORSBY</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41518-2024</t>
        </is>
      </c>
      <c r="B2740" s="1" t="n">
        <v>45560</v>
      </c>
      <c r="C2740" s="1" t="n">
        <v>45828</v>
      </c>
      <c r="D2740" t="inlineStr">
        <is>
          <t>VÄRMLANDS LÄN</t>
        </is>
      </c>
      <c r="E2740" t="inlineStr">
        <is>
          <t>TORSBY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41504-2024</t>
        </is>
      </c>
      <c r="B2741" s="1" t="n">
        <v>45560</v>
      </c>
      <c r="C2741" s="1" t="n">
        <v>45828</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41529-2024</t>
        </is>
      </c>
      <c r="B2742" s="1" t="n">
        <v>45560</v>
      </c>
      <c r="C2742" s="1" t="n">
        <v>45828</v>
      </c>
      <c r="D2742" t="inlineStr">
        <is>
          <t>VÄRMLANDS LÄN</t>
        </is>
      </c>
      <c r="E2742" t="inlineStr">
        <is>
          <t>TORSBY</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41501-2024</t>
        </is>
      </c>
      <c r="B2743" s="1" t="n">
        <v>45560</v>
      </c>
      <c r="C2743" s="1" t="n">
        <v>45828</v>
      </c>
      <c r="D2743" t="inlineStr">
        <is>
          <t>VÄRMLANDS LÄN</t>
        </is>
      </c>
      <c r="E2743" t="inlineStr">
        <is>
          <t>TORSBY</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41720-2024</t>
        </is>
      </c>
      <c r="B2744" s="1" t="n">
        <v>45560</v>
      </c>
      <c r="C2744" s="1" t="n">
        <v>45828</v>
      </c>
      <c r="D2744" t="inlineStr">
        <is>
          <t>VÄRMLANDS LÄN</t>
        </is>
      </c>
      <c r="E2744" t="inlineStr">
        <is>
          <t>TORSBY</t>
        </is>
      </c>
      <c r="F2744" t="inlineStr">
        <is>
          <t>Bergvik skog väst AB</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41534-2024</t>
        </is>
      </c>
      <c r="B2745" s="1" t="n">
        <v>45560</v>
      </c>
      <c r="C2745" s="1" t="n">
        <v>45828</v>
      </c>
      <c r="D2745" t="inlineStr">
        <is>
          <t>VÄRMLANDS LÄN</t>
        </is>
      </c>
      <c r="E2745" t="inlineStr">
        <is>
          <t>TORSBY</t>
        </is>
      </c>
      <c r="G2745" t="n">
        <v>17.3</v>
      </c>
      <c r="H2745" t="n">
        <v>0</v>
      </c>
      <c r="I2745" t="n">
        <v>0</v>
      </c>
      <c r="J2745" t="n">
        <v>0</v>
      </c>
      <c r="K2745" t="n">
        <v>0</v>
      </c>
      <c r="L2745" t="n">
        <v>0</v>
      </c>
      <c r="M2745" t="n">
        <v>0</v>
      </c>
      <c r="N2745" t="n">
        <v>0</v>
      </c>
      <c r="O2745" t="n">
        <v>0</v>
      </c>
      <c r="P2745" t="n">
        <v>0</v>
      </c>
      <c r="Q2745" t="n">
        <v>0</v>
      </c>
      <c r="R2745" s="2" t="inlineStr"/>
    </row>
    <row r="2746" ht="15" customHeight="1">
      <c r="A2746" t="inlineStr">
        <is>
          <t>A 41631-2024</t>
        </is>
      </c>
      <c r="B2746" s="1" t="n">
        <v>45560</v>
      </c>
      <c r="C2746" s="1" t="n">
        <v>45828</v>
      </c>
      <c r="D2746" t="inlineStr">
        <is>
          <t>VÄRMLANDS LÄN</t>
        </is>
      </c>
      <c r="E2746" t="inlineStr">
        <is>
          <t>TORSBY</t>
        </is>
      </c>
      <c r="F2746" t="inlineStr">
        <is>
          <t>Bergvik skog väst AB</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41745-2024</t>
        </is>
      </c>
      <c r="B2747" s="1" t="n">
        <v>45561</v>
      </c>
      <c r="C2747" s="1" t="n">
        <v>45828</v>
      </c>
      <c r="D2747" t="inlineStr">
        <is>
          <t>VÄRMLANDS LÄN</t>
        </is>
      </c>
      <c r="E2747" t="inlineStr">
        <is>
          <t>TORSBY</t>
        </is>
      </c>
      <c r="F2747" t="inlineStr">
        <is>
          <t>Bergvik skog väst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41743-2024</t>
        </is>
      </c>
      <c r="B2748" s="1" t="n">
        <v>45561</v>
      </c>
      <c r="C2748" s="1" t="n">
        <v>45828</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41936-2024</t>
        </is>
      </c>
      <c r="B2749" s="1" t="n">
        <v>45561</v>
      </c>
      <c r="C2749" s="1" t="n">
        <v>45828</v>
      </c>
      <c r="D2749" t="inlineStr">
        <is>
          <t>VÄRMLANDS LÄN</t>
        </is>
      </c>
      <c r="E2749" t="inlineStr">
        <is>
          <t>TORSBY</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42283-2024</t>
        </is>
      </c>
      <c r="B2750" s="1" t="n">
        <v>45562</v>
      </c>
      <c r="C2750" s="1" t="n">
        <v>45828</v>
      </c>
      <c r="D2750" t="inlineStr">
        <is>
          <t>VÄRMLANDS LÄN</t>
        </is>
      </c>
      <c r="E2750" t="inlineStr">
        <is>
          <t>TORSBY</t>
        </is>
      </c>
      <c r="F2750" t="inlineStr">
        <is>
          <t>Bergvik skog väst AB</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42250-2024</t>
        </is>
      </c>
      <c r="B2751" s="1" t="n">
        <v>45562</v>
      </c>
      <c r="C2751" s="1" t="n">
        <v>45828</v>
      </c>
      <c r="D2751" t="inlineStr">
        <is>
          <t>VÄRMLANDS LÄN</t>
        </is>
      </c>
      <c r="E2751" t="inlineStr">
        <is>
          <t>TORSBY</t>
        </is>
      </c>
      <c r="F2751" t="inlineStr">
        <is>
          <t>Bergvik skog väst AB</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42176-2024</t>
        </is>
      </c>
      <c r="B2752" s="1" t="n">
        <v>45562</v>
      </c>
      <c r="C2752" s="1" t="n">
        <v>45828</v>
      </c>
      <c r="D2752" t="inlineStr">
        <is>
          <t>VÄRMLANDS LÄN</t>
        </is>
      </c>
      <c r="E2752" t="inlineStr">
        <is>
          <t>TORSBY</t>
        </is>
      </c>
      <c r="F2752" t="inlineStr">
        <is>
          <t>Kommuner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42405-2024</t>
        </is>
      </c>
      <c r="B2753" s="1" t="n">
        <v>45565</v>
      </c>
      <c r="C2753" s="1" t="n">
        <v>45828</v>
      </c>
      <c r="D2753" t="inlineStr">
        <is>
          <t>VÄRMLANDS LÄN</t>
        </is>
      </c>
      <c r="E2753" t="inlineStr">
        <is>
          <t>TORSBY</t>
        </is>
      </c>
      <c r="F2753" t="inlineStr">
        <is>
          <t>Bergvik skog väst AB</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42414-2024</t>
        </is>
      </c>
      <c r="B2754" s="1" t="n">
        <v>45565</v>
      </c>
      <c r="C2754" s="1" t="n">
        <v>45828</v>
      </c>
      <c r="D2754" t="inlineStr">
        <is>
          <t>VÄRMLANDS LÄN</t>
        </is>
      </c>
      <c r="E2754" t="inlineStr">
        <is>
          <t>TORSBY</t>
        </is>
      </c>
      <c r="F2754" t="inlineStr">
        <is>
          <t>Bergvik skog väst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42424-2024</t>
        </is>
      </c>
      <c r="B2755" s="1" t="n">
        <v>45565</v>
      </c>
      <c r="C2755" s="1" t="n">
        <v>45828</v>
      </c>
      <c r="D2755" t="inlineStr">
        <is>
          <t>VÄRMLANDS LÄN</t>
        </is>
      </c>
      <c r="E2755" t="inlineStr">
        <is>
          <t>TORSBY</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42428-2024</t>
        </is>
      </c>
      <c r="B2756" s="1" t="n">
        <v>45565</v>
      </c>
      <c r="C2756" s="1" t="n">
        <v>45828</v>
      </c>
      <c r="D2756" t="inlineStr">
        <is>
          <t>VÄRMLANDS LÄN</t>
        </is>
      </c>
      <c r="E2756" t="inlineStr">
        <is>
          <t>TORSBY</t>
        </is>
      </c>
      <c r="F2756" t="inlineStr">
        <is>
          <t>Bergvik skog väst AB</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42457-2024</t>
        </is>
      </c>
      <c r="B2757" s="1" t="n">
        <v>45565</v>
      </c>
      <c r="C2757" s="1" t="n">
        <v>45828</v>
      </c>
      <c r="D2757" t="inlineStr">
        <is>
          <t>VÄRMLANDS LÄN</t>
        </is>
      </c>
      <c r="E2757" t="inlineStr">
        <is>
          <t>TORSBY</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42834-2024</t>
        </is>
      </c>
      <c r="B2758" s="1" t="n">
        <v>45566</v>
      </c>
      <c r="C2758" s="1" t="n">
        <v>45828</v>
      </c>
      <c r="D2758" t="inlineStr">
        <is>
          <t>VÄRMLANDS LÄN</t>
        </is>
      </c>
      <c r="E2758" t="inlineStr">
        <is>
          <t>TORSBY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42662-2024</t>
        </is>
      </c>
      <c r="B2759" s="1" t="n">
        <v>45566</v>
      </c>
      <c r="C2759" s="1" t="n">
        <v>45828</v>
      </c>
      <c r="D2759" t="inlineStr">
        <is>
          <t>VÄRMLANDS LÄN</t>
        </is>
      </c>
      <c r="E2759" t="inlineStr">
        <is>
          <t>TORSBY</t>
        </is>
      </c>
      <c r="F2759" t="inlineStr">
        <is>
          <t>Bergvik skog väst AB</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43037-2024</t>
        </is>
      </c>
      <c r="B2760" s="1" t="n">
        <v>45567</v>
      </c>
      <c r="C2760" s="1" t="n">
        <v>45828</v>
      </c>
      <c r="D2760" t="inlineStr">
        <is>
          <t>VÄRMLANDS LÄN</t>
        </is>
      </c>
      <c r="E2760" t="inlineStr">
        <is>
          <t>TORSBY</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42945-2024</t>
        </is>
      </c>
      <c r="B2761" s="1" t="n">
        <v>45567</v>
      </c>
      <c r="C2761" s="1" t="n">
        <v>45828</v>
      </c>
      <c r="D2761" t="inlineStr">
        <is>
          <t>VÄRMLANDS LÄN</t>
        </is>
      </c>
      <c r="E2761" t="inlineStr">
        <is>
          <t>TORSBY</t>
        </is>
      </c>
      <c r="F2761" t="inlineStr">
        <is>
          <t>Bergvik skog väst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43137-2024</t>
        </is>
      </c>
      <c r="B2762" s="1" t="n">
        <v>45567</v>
      </c>
      <c r="C2762" s="1" t="n">
        <v>45828</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43044-2024</t>
        </is>
      </c>
      <c r="B2763" s="1" t="n">
        <v>45567</v>
      </c>
      <c r="C2763" s="1" t="n">
        <v>45828</v>
      </c>
      <c r="D2763" t="inlineStr">
        <is>
          <t>VÄRMLANDS LÄN</t>
        </is>
      </c>
      <c r="E2763" t="inlineStr">
        <is>
          <t>TORSBY</t>
        </is>
      </c>
      <c r="F2763" t="inlineStr">
        <is>
          <t>Bergvik skog väst AB</t>
        </is>
      </c>
      <c r="G2763" t="n">
        <v>42.7</v>
      </c>
      <c r="H2763" t="n">
        <v>0</v>
      </c>
      <c r="I2763" t="n">
        <v>0</v>
      </c>
      <c r="J2763" t="n">
        <v>0</v>
      </c>
      <c r="K2763" t="n">
        <v>0</v>
      </c>
      <c r="L2763" t="n">
        <v>0</v>
      </c>
      <c r="M2763" t="n">
        <v>0</v>
      </c>
      <c r="N2763" t="n">
        <v>0</v>
      </c>
      <c r="O2763" t="n">
        <v>0</v>
      </c>
      <c r="P2763" t="n">
        <v>0</v>
      </c>
      <c r="Q2763" t="n">
        <v>0</v>
      </c>
      <c r="R2763" s="2" t="inlineStr"/>
    </row>
    <row r="2764" ht="15" customHeight="1">
      <c r="A2764" t="inlineStr">
        <is>
          <t>A 43164-2024</t>
        </is>
      </c>
      <c r="B2764" s="1" t="n">
        <v>45567</v>
      </c>
      <c r="C2764" s="1" t="n">
        <v>45828</v>
      </c>
      <c r="D2764" t="inlineStr">
        <is>
          <t>VÄRMLANDS LÄN</t>
        </is>
      </c>
      <c r="E2764" t="inlineStr">
        <is>
          <t>TORSBY</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43144-2024</t>
        </is>
      </c>
      <c r="B2765" s="1" t="n">
        <v>45567</v>
      </c>
      <c r="C2765" s="1" t="n">
        <v>45828</v>
      </c>
      <c r="D2765" t="inlineStr">
        <is>
          <t>VÄRMLANDS LÄN</t>
        </is>
      </c>
      <c r="E2765" t="inlineStr">
        <is>
          <t>TORSBY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43420-2024</t>
        </is>
      </c>
      <c r="B2766" s="1" t="n">
        <v>45568</v>
      </c>
      <c r="C2766" s="1" t="n">
        <v>45828</v>
      </c>
      <c r="D2766" t="inlineStr">
        <is>
          <t>VÄRMLANDS LÄN</t>
        </is>
      </c>
      <c r="E2766" t="inlineStr">
        <is>
          <t>TORSBY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43409-2024</t>
        </is>
      </c>
      <c r="B2767" s="1" t="n">
        <v>45568</v>
      </c>
      <c r="C2767" s="1" t="n">
        <v>45828</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43295-2024</t>
        </is>
      </c>
      <c r="B2768" s="1" t="n">
        <v>45568</v>
      </c>
      <c r="C2768" s="1" t="n">
        <v>45828</v>
      </c>
      <c r="D2768" t="inlineStr">
        <is>
          <t>VÄRMLANDS LÄN</t>
        </is>
      </c>
      <c r="E2768" t="inlineStr">
        <is>
          <t>TORSBY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43336-2024</t>
        </is>
      </c>
      <c r="B2769" s="1" t="n">
        <v>45568</v>
      </c>
      <c r="C2769" s="1" t="n">
        <v>45828</v>
      </c>
      <c r="D2769" t="inlineStr">
        <is>
          <t>VÄRMLANDS LÄN</t>
        </is>
      </c>
      <c r="E2769" t="inlineStr">
        <is>
          <t>TORSBY</t>
        </is>
      </c>
      <c r="F2769" t="inlineStr">
        <is>
          <t>Bergvik skog väst AB</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43301-2024</t>
        </is>
      </c>
      <c r="B2770" s="1" t="n">
        <v>45568</v>
      </c>
      <c r="C2770" s="1" t="n">
        <v>45828</v>
      </c>
      <c r="D2770" t="inlineStr">
        <is>
          <t>VÄRMLANDS LÄN</t>
        </is>
      </c>
      <c r="E2770" t="inlineStr">
        <is>
          <t>TORSBY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43256-2024</t>
        </is>
      </c>
      <c r="B2771" s="1" t="n">
        <v>45568</v>
      </c>
      <c r="C2771" s="1" t="n">
        <v>45828</v>
      </c>
      <c r="D2771" t="inlineStr">
        <is>
          <t>VÄRMLANDS LÄN</t>
        </is>
      </c>
      <c r="E2771" t="inlineStr">
        <is>
          <t>TORSBY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43538-2024</t>
        </is>
      </c>
      <c r="B2772" s="1" t="n">
        <v>45569</v>
      </c>
      <c r="C2772" s="1" t="n">
        <v>45828</v>
      </c>
      <c r="D2772" t="inlineStr">
        <is>
          <t>VÄRMLANDS LÄN</t>
        </is>
      </c>
      <c r="E2772" t="inlineStr">
        <is>
          <t>TORSBY</t>
        </is>
      </c>
      <c r="F2772" t="inlineStr">
        <is>
          <t>Bergvik skog väst AB</t>
        </is>
      </c>
      <c r="G2772" t="n">
        <v>14.4</v>
      </c>
      <c r="H2772" t="n">
        <v>0</v>
      </c>
      <c r="I2772" t="n">
        <v>0</v>
      </c>
      <c r="J2772" t="n">
        <v>0</v>
      </c>
      <c r="K2772" t="n">
        <v>0</v>
      </c>
      <c r="L2772" t="n">
        <v>0</v>
      </c>
      <c r="M2772" t="n">
        <v>0</v>
      </c>
      <c r="N2772" t="n">
        <v>0</v>
      </c>
      <c r="O2772" t="n">
        <v>0</v>
      </c>
      <c r="P2772" t="n">
        <v>0</v>
      </c>
      <c r="Q2772" t="n">
        <v>0</v>
      </c>
      <c r="R2772" s="2" t="inlineStr"/>
    </row>
    <row r="2773" ht="15" customHeight="1">
      <c r="A2773" t="inlineStr">
        <is>
          <t>A 43718-2024</t>
        </is>
      </c>
      <c r="B2773" s="1" t="n">
        <v>45569</v>
      </c>
      <c r="C2773" s="1" t="n">
        <v>45828</v>
      </c>
      <c r="D2773" t="inlineStr">
        <is>
          <t>VÄRMLANDS LÄN</t>
        </is>
      </c>
      <c r="E2773" t="inlineStr">
        <is>
          <t>TORSBY</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43545-2024</t>
        </is>
      </c>
      <c r="B2774" s="1" t="n">
        <v>45569</v>
      </c>
      <c r="C2774" s="1" t="n">
        <v>45828</v>
      </c>
      <c r="D2774" t="inlineStr">
        <is>
          <t>VÄRMLANDS LÄN</t>
        </is>
      </c>
      <c r="E2774" t="inlineStr">
        <is>
          <t>TORSBY</t>
        </is>
      </c>
      <c r="F2774" t="inlineStr">
        <is>
          <t>Bergvik skog väst AB</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43739-2024</t>
        </is>
      </c>
      <c r="B2775" s="1" t="n">
        <v>45569</v>
      </c>
      <c r="C2775" s="1" t="n">
        <v>45828</v>
      </c>
      <c r="D2775" t="inlineStr">
        <is>
          <t>VÄRMLANDS LÄN</t>
        </is>
      </c>
      <c r="E2775" t="inlineStr">
        <is>
          <t>TORSBY</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43864-2024</t>
        </is>
      </c>
      <c r="B2776" s="1" t="n">
        <v>45572</v>
      </c>
      <c r="C2776" s="1" t="n">
        <v>45828</v>
      </c>
      <c r="D2776" t="inlineStr">
        <is>
          <t>VÄRMLANDS LÄN</t>
        </is>
      </c>
      <c r="E2776" t="inlineStr">
        <is>
          <t>TORSBY</t>
        </is>
      </c>
      <c r="F2776" t="inlineStr">
        <is>
          <t>Kommuner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43988-2024</t>
        </is>
      </c>
      <c r="B2777" s="1" t="n">
        <v>45572</v>
      </c>
      <c r="C2777" s="1" t="n">
        <v>45828</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44081-2024</t>
        </is>
      </c>
      <c r="B2778" s="1" t="n">
        <v>45572</v>
      </c>
      <c r="C2778" s="1" t="n">
        <v>45828</v>
      </c>
      <c r="D2778" t="inlineStr">
        <is>
          <t>VÄRMLANDS LÄN</t>
        </is>
      </c>
      <c r="E2778" t="inlineStr">
        <is>
          <t>TORSBY</t>
        </is>
      </c>
      <c r="F2778" t="inlineStr">
        <is>
          <t>Bergvik skog väst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44059-2024</t>
        </is>
      </c>
      <c r="B2779" s="1" t="n">
        <v>45572</v>
      </c>
      <c r="C2779" s="1" t="n">
        <v>45828</v>
      </c>
      <c r="D2779" t="inlineStr">
        <is>
          <t>VÄRMLANDS LÄN</t>
        </is>
      </c>
      <c r="E2779" t="inlineStr">
        <is>
          <t>TORSBY</t>
        </is>
      </c>
      <c r="F2779" t="inlineStr">
        <is>
          <t>Bergvik skog väst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44349-2024</t>
        </is>
      </c>
      <c r="B2780" s="1" t="n">
        <v>45573</v>
      </c>
      <c r="C2780" s="1" t="n">
        <v>45828</v>
      </c>
      <c r="D2780" t="inlineStr">
        <is>
          <t>VÄRMLANDS LÄN</t>
        </is>
      </c>
      <c r="E2780" t="inlineStr">
        <is>
          <t>TORSBY</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44352-2024</t>
        </is>
      </c>
      <c r="B2781" s="1" t="n">
        <v>45573</v>
      </c>
      <c r="C2781" s="1" t="n">
        <v>45828</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44276-2024</t>
        </is>
      </c>
      <c r="B2782" s="1" t="n">
        <v>45573</v>
      </c>
      <c r="C2782" s="1" t="n">
        <v>45828</v>
      </c>
      <c r="D2782" t="inlineStr">
        <is>
          <t>VÄRMLANDS LÄN</t>
        </is>
      </c>
      <c r="E2782" t="inlineStr">
        <is>
          <t>TORSBY</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44241-2024</t>
        </is>
      </c>
      <c r="B2783" s="1" t="n">
        <v>45573</v>
      </c>
      <c r="C2783" s="1" t="n">
        <v>45828</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44303-2024</t>
        </is>
      </c>
      <c r="B2784" s="1" t="n">
        <v>45573</v>
      </c>
      <c r="C2784" s="1" t="n">
        <v>45828</v>
      </c>
      <c r="D2784" t="inlineStr">
        <is>
          <t>VÄRMLANDS LÄN</t>
        </is>
      </c>
      <c r="E2784" t="inlineStr">
        <is>
          <t>TORSBY</t>
        </is>
      </c>
      <c r="F2784" t="inlineStr">
        <is>
          <t>Bergvik skog väst AB</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44424-2024</t>
        </is>
      </c>
      <c r="B2785" s="1" t="n">
        <v>45573</v>
      </c>
      <c r="C2785" s="1" t="n">
        <v>45828</v>
      </c>
      <c r="D2785" t="inlineStr">
        <is>
          <t>VÄRMLANDS LÄN</t>
        </is>
      </c>
      <c r="E2785" t="inlineStr">
        <is>
          <t>TORSBY</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44325-2024</t>
        </is>
      </c>
      <c r="B2786" s="1" t="n">
        <v>45573</v>
      </c>
      <c r="C2786" s="1" t="n">
        <v>45828</v>
      </c>
      <c r="D2786" t="inlineStr">
        <is>
          <t>VÄRMLANDS LÄN</t>
        </is>
      </c>
      <c r="E2786" t="inlineStr">
        <is>
          <t>TORSBY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44422-2024</t>
        </is>
      </c>
      <c r="B2787" s="1" t="n">
        <v>45573</v>
      </c>
      <c r="C2787" s="1" t="n">
        <v>45828</v>
      </c>
      <c r="D2787" t="inlineStr">
        <is>
          <t>VÄRMLANDS LÄN</t>
        </is>
      </c>
      <c r="E2787" t="inlineStr">
        <is>
          <t>TORSBY</t>
        </is>
      </c>
      <c r="G2787" t="n">
        <v>14.1</v>
      </c>
      <c r="H2787" t="n">
        <v>0</v>
      </c>
      <c r="I2787" t="n">
        <v>0</v>
      </c>
      <c r="J2787" t="n">
        <v>0</v>
      </c>
      <c r="K2787" t="n">
        <v>0</v>
      </c>
      <c r="L2787" t="n">
        <v>0</v>
      </c>
      <c r="M2787" t="n">
        <v>0</v>
      </c>
      <c r="N2787" t="n">
        <v>0</v>
      </c>
      <c r="O2787" t="n">
        <v>0</v>
      </c>
      <c r="P2787" t="n">
        <v>0</v>
      </c>
      <c r="Q2787" t="n">
        <v>0</v>
      </c>
      <c r="R2787" s="2" t="inlineStr"/>
    </row>
    <row r="2788" ht="15" customHeight="1">
      <c r="A2788" t="inlineStr">
        <is>
          <t>A 44423-2024</t>
        </is>
      </c>
      <c r="B2788" s="1" t="n">
        <v>45573</v>
      </c>
      <c r="C2788" s="1" t="n">
        <v>45828</v>
      </c>
      <c r="D2788" t="inlineStr">
        <is>
          <t>VÄRMLANDS LÄN</t>
        </is>
      </c>
      <c r="E2788" t="inlineStr">
        <is>
          <t>TORSBY</t>
        </is>
      </c>
      <c r="G2788" t="n">
        <v>34.1</v>
      </c>
      <c r="H2788" t="n">
        <v>0</v>
      </c>
      <c r="I2788" t="n">
        <v>0</v>
      </c>
      <c r="J2788" t="n">
        <v>0</v>
      </c>
      <c r="K2788" t="n">
        <v>0</v>
      </c>
      <c r="L2788" t="n">
        <v>0</v>
      </c>
      <c r="M2788" t="n">
        <v>0</v>
      </c>
      <c r="N2788" t="n">
        <v>0</v>
      </c>
      <c r="O2788" t="n">
        <v>0</v>
      </c>
      <c r="P2788" t="n">
        <v>0</v>
      </c>
      <c r="Q2788" t="n">
        <v>0</v>
      </c>
      <c r="R2788" s="2" t="inlineStr"/>
    </row>
    <row r="2789" ht="15" customHeight="1">
      <c r="A2789" t="inlineStr">
        <is>
          <t>A 44278-2024</t>
        </is>
      </c>
      <c r="B2789" s="1" t="n">
        <v>45573</v>
      </c>
      <c r="C2789" s="1" t="n">
        <v>45828</v>
      </c>
      <c r="D2789" t="inlineStr">
        <is>
          <t>VÄRMLANDS LÄN</t>
        </is>
      </c>
      <c r="E2789" t="inlineStr">
        <is>
          <t>TORSBY</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44204-2024</t>
        </is>
      </c>
      <c r="B2790" s="1" t="n">
        <v>45573</v>
      </c>
      <c r="C2790" s="1" t="n">
        <v>45828</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44338-2024</t>
        </is>
      </c>
      <c r="B2791" s="1" t="n">
        <v>45573</v>
      </c>
      <c r="C2791" s="1" t="n">
        <v>45828</v>
      </c>
      <c r="D2791" t="inlineStr">
        <is>
          <t>VÄRMLANDS LÄN</t>
        </is>
      </c>
      <c r="E2791" t="inlineStr">
        <is>
          <t>TORSBY</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44342-2024</t>
        </is>
      </c>
      <c r="B2792" s="1" t="n">
        <v>45573</v>
      </c>
      <c r="C2792" s="1" t="n">
        <v>45828</v>
      </c>
      <c r="D2792" t="inlineStr">
        <is>
          <t>VÄRMLANDS LÄN</t>
        </is>
      </c>
      <c r="E2792" t="inlineStr">
        <is>
          <t>TORSBY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44448-2024</t>
        </is>
      </c>
      <c r="B2793" s="1" t="n">
        <v>45574</v>
      </c>
      <c r="C2793" s="1" t="n">
        <v>45828</v>
      </c>
      <c r="D2793" t="inlineStr">
        <is>
          <t>VÄRMLANDS LÄN</t>
        </is>
      </c>
      <c r="E2793" t="inlineStr">
        <is>
          <t>TORSBY</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44697-2024</t>
        </is>
      </c>
      <c r="B2794" s="1" t="n">
        <v>45574</v>
      </c>
      <c r="C2794" s="1" t="n">
        <v>45828</v>
      </c>
      <c r="D2794" t="inlineStr">
        <is>
          <t>VÄRMLANDS LÄN</t>
        </is>
      </c>
      <c r="E2794" t="inlineStr">
        <is>
          <t>TORSBY</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44685-2024</t>
        </is>
      </c>
      <c r="B2795" s="1" t="n">
        <v>45574</v>
      </c>
      <c r="C2795" s="1" t="n">
        <v>45828</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44690-2024</t>
        </is>
      </c>
      <c r="B2796" s="1" t="n">
        <v>45574</v>
      </c>
      <c r="C2796" s="1" t="n">
        <v>45828</v>
      </c>
      <c r="D2796" t="inlineStr">
        <is>
          <t>VÄRMLANDS LÄN</t>
        </is>
      </c>
      <c r="E2796" t="inlineStr">
        <is>
          <t>TORSBY</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44702-2024</t>
        </is>
      </c>
      <c r="B2797" s="1" t="n">
        <v>45574</v>
      </c>
      <c r="C2797" s="1" t="n">
        <v>45828</v>
      </c>
      <c r="D2797" t="inlineStr">
        <is>
          <t>VÄRMLANDS LÄN</t>
        </is>
      </c>
      <c r="E2797" t="inlineStr">
        <is>
          <t>TORSBY</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44770-2024</t>
        </is>
      </c>
      <c r="B2798" s="1" t="n">
        <v>45574</v>
      </c>
      <c r="C2798" s="1" t="n">
        <v>45828</v>
      </c>
      <c r="D2798" t="inlineStr">
        <is>
          <t>VÄRMLANDS LÄN</t>
        </is>
      </c>
      <c r="E2798" t="inlineStr">
        <is>
          <t>TORSBY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44786-2024</t>
        </is>
      </c>
      <c r="B2799" s="1" t="n">
        <v>45574</v>
      </c>
      <c r="C2799" s="1" t="n">
        <v>45828</v>
      </c>
      <c r="D2799" t="inlineStr">
        <is>
          <t>VÄRMLANDS LÄN</t>
        </is>
      </c>
      <c r="E2799" t="inlineStr">
        <is>
          <t>TORSBY</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44659-2024</t>
        </is>
      </c>
      <c r="B2800" s="1" t="n">
        <v>45574</v>
      </c>
      <c r="C2800" s="1" t="n">
        <v>45828</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44683-2024</t>
        </is>
      </c>
      <c r="B2801" s="1" t="n">
        <v>45574</v>
      </c>
      <c r="C2801" s="1" t="n">
        <v>45828</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44470-2024</t>
        </is>
      </c>
      <c r="B2802" s="1" t="n">
        <v>45574</v>
      </c>
      <c r="C2802" s="1" t="n">
        <v>45828</v>
      </c>
      <c r="D2802" t="inlineStr">
        <is>
          <t>VÄRMLANDS LÄN</t>
        </is>
      </c>
      <c r="E2802" t="inlineStr">
        <is>
          <t>TORSBY</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44764-2024</t>
        </is>
      </c>
      <c r="B2803" s="1" t="n">
        <v>45574</v>
      </c>
      <c r="C2803" s="1" t="n">
        <v>45828</v>
      </c>
      <c r="D2803" t="inlineStr">
        <is>
          <t>VÄRMLANDS LÄN</t>
        </is>
      </c>
      <c r="E2803" t="inlineStr">
        <is>
          <t>TORSBY</t>
        </is>
      </c>
      <c r="F2803" t="inlineStr">
        <is>
          <t>Bergvik skog väst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44838-2024</t>
        </is>
      </c>
      <c r="B2804" s="1" t="n">
        <v>45574</v>
      </c>
      <c r="C2804" s="1" t="n">
        <v>45828</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45134-2024</t>
        </is>
      </c>
      <c r="B2805" s="1" t="n">
        <v>45575</v>
      </c>
      <c r="C2805" s="1" t="n">
        <v>45828</v>
      </c>
      <c r="D2805" t="inlineStr">
        <is>
          <t>VÄRMLANDS LÄN</t>
        </is>
      </c>
      <c r="E2805" t="inlineStr">
        <is>
          <t>TORSBY</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45114-2024</t>
        </is>
      </c>
      <c r="B2806" s="1" t="n">
        <v>45575</v>
      </c>
      <c r="C2806" s="1" t="n">
        <v>45828</v>
      </c>
      <c r="D2806" t="inlineStr">
        <is>
          <t>VÄRMLANDS LÄN</t>
        </is>
      </c>
      <c r="E2806" t="inlineStr">
        <is>
          <t>TORSBY</t>
        </is>
      </c>
      <c r="F2806" t="inlineStr">
        <is>
          <t>Bergvik skog väst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45129-2024</t>
        </is>
      </c>
      <c r="B2807" s="1" t="n">
        <v>45575</v>
      </c>
      <c r="C2807" s="1" t="n">
        <v>45828</v>
      </c>
      <c r="D2807" t="inlineStr">
        <is>
          <t>VÄRMLANDS LÄN</t>
        </is>
      </c>
      <c r="E2807" t="inlineStr">
        <is>
          <t>TORSBY</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45132-2024</t>
        </is>
      </c>
      <c r="B2808" s="1" t="n">
        <v>45575</v>
      </c>
      <c r="C2808" s="1" t="n">
        <v>45828</v>
      </c>
      <c r="D2808" t="inlineStr">
        <is>
          <t>VÄRMLANDS LÄN</t>
        </is>
      </c>
      <c r="E2808" t="inlineStr">
        <is>
          <t>TORSBY</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45022-2024</t>
        </is>
      </c>
      <c r="B2809" s="1" t="n">
        <v>45575</v>
      </c>
      <c r="C2809" s="1" t="n">
        <v>45828</v>
      </c>
      <c r="D2809" t="inlineStr">
        <is>
          <t>VÄRMLANDS LÄN</t>
        </is>
      </c>
      <c r="E2809" t="inlineStr">
        <is>
          <t>TORSBY</t>
        </is>
      </c>
      <c r="F2809" t="inlineStr">
        <is>
          <t>Bergvik skog väst AB</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45227-2024</t>
        </is>
      </c>
      <c r="B2810" s="1" t="n">
        <v>45575</v>
      </c>
      <c r="C2810" s="1" t="n">
        <v>45828</v>
      </c>
      <c r="D2810" t="inlineStr">
        <is>
          <t>VÄRMLANDS LÄN</t>
        </is>
      </c>
      <c r="E2810" t="inlineStr">
        <is>
          <t>TORSBY</t>
        </is>
      </c>
      <c r="G2810" t="n">
        <v>12.9</v>
      </c>
      <c r="H2810" t="n">
        <v>0</v>
      </c>
      <c r="I2810" t="n">
        <v>0</v>
      </c>
      <c r="J2810" t="n">
        <v>0</v>
      </c>
      <c r="K2810" t="n">
        <v>0</v>
      </c>
      <c r="L2810" t="n">
        <v>0</v>
      </c>
      <c r="M2810" t="n">
        <v>0</v>
      </c>
      <c r="N2810" t="n">
        <v>0</v>
      </c>
      <c r="O2810" t="n">
        <v>0</v>
      </c>
      <c r="P2810" t="n">
        <v>0</v>
      </c>
      <c r="Q2810" t="n">
        <v>0</v>
      </c>
      <c r="R2810" s="2" t="inlineStr"/>
    </row>
    <row r="2811" ht="15" customHeight="1">
      <c r="A2811" t="inlineStr">
        <is>
          <t>A 44965-2024</t>
        </is>
      </c>
      <c r="B2811" s="1" t="n">
        <v>45575</v>
      </c>
      <c r="C2811" s="1" t="n">
        <v>45828</v>
      </c>
      <c r="D2811" t="inlineStr">
        <is>
          <t>VÄRMLANDS LÄN</t>
        </is>
      </c>
      <c r="E2811" t="inlineStr">
        <is>
          <t>TORSBY</t>
        </is>
      </c>
      <c r="F2811" t="inlineStr">
        <is>
          <t>Bergvik skog väst AB</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45389-2024</t>
        </is>
      </c>
      <c r="B2812" s="1" t="n">
        <v>45576</v>
      </c>
      <c r="C2812" s="1" t="n">
        <v>45828</v>
      </c>
      <c r="D2812" t="inlineStr">
        <is>
          <t>VÄRMLANDS LÄN</t>
        </is>
      </c>
      <c r="E2812" t="inlineStr">
        <is>
          <t>TORSBY</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45448-2024</t>
        </is>
      </c>
      <c r="B2813" s="1" t="n">
        <v>45576</v>
      </c>
      <c r="C2813" s="1" t="n">
        <v>45828</v>
      </c>
      <c r="D2813" t="inlineStr">
        <is>
          <t>VÄRMLANDS LÄN</t>
        </is>
      </c>
      <c r="E2813" t="inlineStr">
        <is>
          <t>TORSBY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45385-2024</t>
        </is>
      </c>
      <c r="B2814" s="1" t="n">
        <v>45576</v>
      </c>
      <c r="C2814" s="1" t="n">
        <v>45828</v>
      </c>
      <c r="D2814" t="inlineStr">
        <is>
          <t>VÄRMLANDS LÄN</t>
        </is>
      </c>
      <c r="E2814" t="inlineStr">
        <is>
          <t>TORSBY</t>
        </is>
      </c>
      <c r="F2814" t="inlineStr">
        <is>
          <t>Bergvik skog väst AB</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45669-2024</t>
        </is>
      </c>
      <c r="B2815" s="1" t="n">
        <v>45579</v>
      </c>
      <c r="C2815" s="1" t="n">
        <v>45828</v>
      </c>
      <c r="D2815" t="inlineStr">
        <is>
          <t>VÄRMLANDS LÄN</t>
        </is>
      </c>
      <c r="E2815" t="inlineStr">
        <is>
          <t>TORSBY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45548-2024</t>
        </is>
      </c>
      <c r="B2816" s="1" t="n">
        <v>45579</v>
      </c>
      <c r="C2816" s="1" t="n">
        <v>45828</v>
      </c>
      <c r="D2816" t="inlineStr">
        <is>
          <t>VÄRMLANDS LÄN</t>
        </is>
      </c>
      <c r="E2816" t="inlineStr">
        <is>
          <t>TORSBY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45812-2024</t>
        </is>
      </c>
      <c r="B2817" s="1" t="n">
        <v>45579</v>
      </c>
      <c r="C2817" s="1" t="n">
        <v>45828</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45849-2024</t>
        </is>
      </c>
      <c r="B2818" s="1" t="n">
        <v>45580</v>
      </c>
      <c r="C2818" s="1" t="n">
        <v>45828</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46239-2024</t>
        </is>
      </c>
      <c r="B2819" s="1" t="n">
        <v>45581</v>
      </c>
      <c r="C2819" s="1" t="n">
        <v>45828</v>
      </c>
      <c r="D2819" t="inlineStr">
        <is>
          <t>VÄRMLANDS LÄN</t>
        </is>
      </c>
      <c r="E2819" t="inlineStr">
        <is>
          <t>TORSBY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46152-2024</t>
        </is>
      </c>
      <c r="B2820" s="1" t="n">
        <v>45581</v>
      </c>
      <c r="C2820" s="1" t="n">
        <v>45828</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46166-2024</t>
        </is>
      </c>
      <c r="B2821" s="1" t="n">
        <v>45581</v>
      </c>
      <c r="C2821" s="1" t="n">
        <v>45828</v>
      </c>
      <c r="D2821" t="inlineStr">
        <is>
          <t>VÄRMLANDS LÄN</t>
        </is>
      </c>
      <c r="E2821" t="inlineStr">
        <is>
          <t>TORSBY</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46471-2024</t>
        </is>
      </c>
      <c r="B2822" s="1" t="n">
        <v>45582</v>
      </c>
      <c r="C2822" s="1" t="n">
        <v>45828</v>
      </c>
      <c r="D2822" t="inlineStr">
        <is>
          <t>VÄRMLANDS LÄN</t>
        </is>
      </c>
      <c r="E2822" t="inlineStr">
        <is>
          <t>TORSBY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46503-2024</t>
        </is>
      </c>
      <c r="B2823" s="1" t="n">
        <v>45582</v>
      </c>
      <c r="C2823" s="1" t="n">
        <v>45828</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46456-2024</t>
        </is>
      </c>
      <c r="B2824" s="1" t="n">
        <v>45582</v>
      </c>
      <c r="C2824" s="1" t="n">
        <v>45828</v>
      </c>
      <c r="D2824" t="inlineStr">
        <is>
          <t>VÄRMLANDS LÄN</t>
        </is>
      </c>
      <c r="E2824" t="inlineStr">
        <is>
          <t>TORSBY</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46343-2024</t>
        </is>
      </c>
      <c r="B2825" s="1" t="n">
        <v>45582</v>
      </c>
      <c r="C2825" s="1" t="n">
        <v>45828</v>
      </c>
      <c r="D2825" t="inlineStr">
        <is>
          <t>VÄRMLANDS LÄN</t>
        </is>
      </c>
      <c r="E2825" t="inlineStr">
        <is>
          <t>TORSBY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46914-2024</t>
        </is>
      </c>
      <c r="B2826" s="1" t="n">
        <v>45583</v>
      </c>
      <c r="C2826" s="1" t="n">
        <v>45828</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46698-2024</t>
        </is>
      </c>
      <c r="B2827" s="1" t="n">
        <v>45583</v>
      </c>
      <c r="C2827" s="1" t="n">
        <v>45828</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46909-2024</t>
        </is>
      </c>
      <c r="B2828" s="1" t="n">
        <v>45583</v>
      </c>
      <c r="C2828" s="1" t="n">
        <v>45828</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46917-2024</t>
        </is>
      </c>
      <c r="B2829" s="1" t="n">
        <v>45583</v>
      </c>
      <c r="C2829" s="1" t="n">
        <v>45828</v>
      </c>
      <c r="D2829" t="inlineStr">
        <is>
          <t>VÄRMLANDS LÄN</t>
        </is>
      </c>
      <c r="E2829" t="inlineStr">
        <is>
          <t>TORSBY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46912-2024</t>
        </is>
      </c>
      <c r="B2830" s="1" t="n">
        <v>45583</v>
      </c>
      <c r="C2830" s="1" t="n">
        <v>45828</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46915-2024</t>
        </is>
      </c>
      <c r="B2831" s="1" t="n">
        <v>45583</v>
      </c>
      <c r="C2831" s="1" t="n">
        <v>45828</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47005-2024</t>
        </is>
      </c>
      <c r="B2832" s="1" t="n">
        <v>45586</v>
      </c>
      <c r="C2832" s="1" t="n">
        <v>45828</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47006-2024</t>
        </is>
      </c>
      <c r="B2833" s="1" t="n">
        <v>45586</v>
      </c>
      <c r="C2833" s="1" t="n">
        <v>45828</v>
      </c>
      <c r="D2833" t="inlineStr">
        <is>
          <t>VÄRMLANDS LÄN</t>
        </is>
      </c>
      <c r="E2833" t="inlineStr">
        <is>
          <t>TORSBY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47553-2024</t>
        </is>
      </c>
      <c r="B2834" s="1" t="n">
        <v>45587</v>
      </c>
      <c r="C2834" s="1" t="n">
        <v>45828</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47465-2024</t>
        </is>
      </c>
      <c r="B2835" s="1" t="n">
        <v>45587</v>
      </c>
      <c r="C2835" s="1" t="n">
        <v>45828</v>
      </c>
      <c r="D2835" t="inlineStr">
        <is>
          <t>VÄRMLANDS LÄN</t>
        </is>
      </c>
      <c r="E2835" t="inlineStr">
        <is>
          <t>TORSBY</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47316-2024</t>
        </is>
      </c>
      <c r="B2836" s="1" t="n">
        <v>45587</v>
      </c>
      <c r="C2836" s="1" t="n">
        <v>45828</v>
      </c>
      <c r="D2836" t="inlineStr">
        <is>
          <t>VÄRMLANDS LÄN</t>
        </is>
      </c>
      <c r="E2836" t="inlineStr">
        <is>
          <t>TORSBY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47452-2024</t>
        </is>
      </c>
      <c r="B2837" s="1" t="n">
        <v>45587</v>
      </c>
      <c r="C2837" s="1" t="n">
        <v>45828</v>
      </c>
      <c r="D2837" t="inlineStr">
        <is>
          <t>VÄRMLANDS LÄN</t>
        </is>
      </c>
      <c r="E2837" t="inlineStr">
        <is>
          <t>TORSBY</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47755-2024</t>
        </is>
      </c>
      <c r="B2838" s="1" t="n">
        <v>45588</v>
      </c>
      <c r="C2838" s="1" t="n">
        <v>45828</v>
      </c>
      <c r="D2838" t="inlineStr">
        <is>
          <t>VÄRMLANDS LÄN</t>
        </is>
      </c>
      <c r="E2838" t="inlineStr">
        <is>
          <t>TORSBY</t>
        </is>
      </c>
      <c r="F2838" t="inlineStr">
        <is>
          <t>Bergvik skog väst AB</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47651-2024</t>
        </is>
      </c>
      <c r="B2839" s="1" t="n">
        <v>45588</v>
      </c>
      <c r="C2839" s="1" t="n">
        <v>45828</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47619-2024</t>
        </is>
      </c>
      <c r="B2840" s="1" t="n">
        <v>45588</v>
      </c>
      <c r="C2840" s="1" t="n">
        <v>45828</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47835-2024</t>
        </is>
      </c>
      <c r="B2841" s="1" t="n">
        <v>45588</v>
      </c>
      <c r="C2841" s="1" t="n">
        <v>45828</v>
      </c>
      <c r="D2841" t="inlineStr">
        <is>
          <t>VÄRMLANDS LÄN</t>
        </is>
      </c>
      <c r="E2841" t="inlineStr">
        <is>
          <t>TORSBY</t>
        </is>
      </c>
      <c r="F2841" t="inlineStr">
        <is>
          <t>Bergvik skog väst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47839-2024</t>
        </is>
      </c>
      <c r="B2842" s="1" t="n">
        <v>45588</v>
      </c>
      <c r="C2842" s="1" t="n">
        <v>45828</v>
      </c>
      <c r="D2842" t="inlineStr">
        <is>
          <t>VÄRMLANDS LÄN</t>
        </is>
      </c>
      <c r="E2842" t="inlineStr">
        <is>
          <t>TORSBY</t>
        </is>
      </c>
      <c r="F2842" t="inlineStr">
        <is>
          <t>Bergvik skog väst AB</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47863-2024</t>
        </is>
      </c>
      <c r="B2843" s="1" t="n">
        <v>45588</v>
      </c>
      <c r="C2843" s="1" t="n">
        <v>45828</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48185-2024</t>
        </is>
      </c>
      <c r="B2844" s="1" t="n">
        <v>45589</v>
      </c>
      <c r="C2844" s="1" t="n">
        <v>45828</v>
      </c>
      <c r="D2844" t="inlineStr">
        <is>
          <t>VÄRMLANDS LÄN</t>
        </is>
      </c>
      <c r="E2844" t="inlineStr">
        <is>
          <t>TORSBY</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48160-2024</t>
        </is>
      </c>
      <c r="B2845" s="1" t="n">
        <v>45589</v>
      </c>
      <c r="C2845" s="1" t="n">
        <v>45828</v>
      </c>
      <c r="D2845" t="inlineStr">
        <is>
          <t>VÄRMLANDS LÄN</t>
        </is>
      </c>
      <c r="E2845" t="inlineStr">
        <is>
          <t>TORSBY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48305-2024</t>
        </is>
      </c>
      <c r="B2846" s="1" t="n">
        <v>45590</v>
      </c>
      <c r="C2846" s="1" t="n">
        <v>45828</v>
      </c>
      <c r="D2846" t="inlineStr">
        <is>
          <t>VÄRMLANDS LÄN</t>
        </is>
      </c>
      <c r="E2846" t="inlineStr">
        <is>
          <t>TORSBY</t>
        </is>
      </c>
      <c r="F2846" t="inlineStr">
        <is>
          <t>Bergvik skog väst AB</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48253-2024</t>
        </is>
      </c>
      <c r="B2847" s="1" t="n">
        <v>45590</v>
      </c>
      <c r="C2847" s="1" t="n">
        <v>45828</v>
      </c>
      <c r="D2847" t="inlineStr">
        <is>
          <t>VÄRMLANDS LÄN</t>
        </is>
      </c>
      <c r="E2847" t="inlineStr">
        <is>
          <t>TORSBY</t>
        </is>
      </c>
      <c r="F2847" t="inlineStr">
        <is>
          <t>Bergvik skog väst AB</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48629-2024</t>
        </is>
      </c>
      <c r="B2848" s="1" t="n">
        <v>45593</v>
      </c>
      <c r="C2848" s="1" t="n">
        <v>45828</v>
      </c>
      <c r="D2848" t="inlineStr">
        <is>
          <t>VÄRMLANDS LÄN</t>
        </is>
      </c>
      <c r="E2848" t="inlineStr">
        <is>
          <t>TORSBY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48540-2024</t>
        </is>
      </c>
      <c r="B2849" s="1" t="n">
        <v>45593</v>
      </c>
      <c r="C2849" s="1" t="n">
        <v>45828</v>
      </c>
      <c r="D2849" t="inlineStr">
        <is>
          <t>VÄRMLANDS LÄN</t>
        </is>
      </c>
      <c r="E2849" t="inlineStr">
        <is>
          <t>TORSBY</t>
        </is>
      </c>
      <c r="G2849" t="n">
        <v>16.5</v>
      </c>
      <c r="H2849" t="n">
        <v>0</v>
      </c>
      <c r="I2849" t="n">
        <v>0</v>
      </c>
      <c r="J2849" t="n">
        <v>0</v>
      </c>
      <c r="K2849" t="n">
        <v>0</v>
      </c>
      <c r="L2849" t="n">
        <v>0</v>
      </c>
      <c r="M2849" t="n">
        <v>0</v>
      </c>
      <c r="N2849" t="n">
        <v>0</v>
      </c>
      <c r="O2849" t="n">
        <v>0</v>
      </c>
      <c r="P2849" t="n">
        <v>0</v>
      </c>
      <c r="Q2849" t="n">
        <v>0</v>
      </c>
      <c r="R2849" s="2" t="inlineStr"/>
    </row>
    <row r="2850" ht="15" customHeight="1">
      <c r="A2850" t="inlineStr">
        <is>
          <t>A 48721-2024</t>
        </is>
      </c>
      <c r="B2850" s="1" t="n">
        <v>45593</v>
      </c>
      <c r="C2850" s="1" t="n">
        <v>45828</v>
      </c>
      <c r="D2850" t="inlineStr">
        <is>
          <t>VÄRMLANDS LÄN</t>
        </is>
      </c>
      <c r="E2850" t="inlineStr">
        <is>
          <t>TORSBY</t>
        </is>
      </c>
      <c r="F2850" t="inlineStr">
        <is>
          <t>Bergvik skog väst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48840-2024</t>
        </is>
      </c>
      <c r="B2851" s="1" t="n">
        <v>45593</v>
      </c>
      <c r="C2851" s="1" t="n">
        <v>45828</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48627-2024</t>
        </is>
      </c>
      <c r="B2852" s="1" t="n">
        <v>45593</v>
      </c>
      <c r="C2852" s="1" t="n">
        <v>45828</v>
      </c>
      <c r="D2852" t="inlineStr">
        <is>
          <t>VÄRMLANDS LÄN</t>
        </is>
      </c>
      <c r="E2852" t="inlineStr">
        <is>
          <t>TORSBY</t>
        </is>
      </c>
      <c r="F2852" t="inlineStr">
        <is>
          <t>Bergvik skog väst AB</t>
        </is>
      </c>
      <c r="G2852" t="n">
        <v>42.6</v>
      </c>
      <c r="H2852" t="n">
        <v>0</v>
      </c>
      <c r="I2852" t="n">
        <v>0</v>
      </c>
      <c r="J2852" t="n">
        <v>0</v>
      </c>
      <c r="K2852" t="n">
        <v>0</v>
      </c>
      <c r="L2852" t="n">
        <v>0</v>
      </c>
      <c r="M2852" t="n">
        <v>0</v>
      </c>
      <c r="N2852" t="n">
        <v>0</v>
      </c>
      <c r="O2852" t="n">
        <v>0</v>
      </c>
      <c r="P2852" t="n">
        <v>0</v>
      </c>
      <c r="Q2852" t="n">
        <v>0</v>
      </c>
      <c r="R2852" s="2" t="inlineStr"/>
    </row>
    <row r="2853" ht="15" customHeight="1">
      <c r="A2853" t="inlineStr">
        <is>
          <t>A 48558-2024</t>
        </is>
      </c>
      <c r="B2853" s="1" t="n">
        <v>45593</v>
      </c>
      <c r="C2853" s="1" t="n">
        <v>45828</v>
      </c>
      <c r="D2853" t="inlineStr">
        <is>
          <t>VÄRMLANDS LÄN</t>
        </is>
      </c>
      <c r="E2853" t="inlineStr">
        <is>
          <t>TORSBY</t>
        </is>
      </c>
      <c r="F2853" t="inlineStr">
        <is>
          <t>Bergvik skog väst AB</t>
        </is>
      </c>
      <c r="G2853" t="n">
        <v>14.2</v>
      </c>
      <c r="H2853" t="n">
        <v>0</v>
      </c>
      <c r="I2853" t="n">
        <v>0</v>
      </c>
      <c r="J2853" t="n">
        <v>0</v>
      </c>
      <c r="K2853" t="n">
        <v>0</v>
      </c>
      <c r="L2853" t="n">
        <v>0</v>
      </c>
      <c r="M2853" t="n">
        <v>0</v>
      </c>
      <c r="N2853" t="n">
        <v>0</v>
      </c>
      <c r="O2853" t="n">
        <v>0</v>
      </c>
      <c r="P2853" t="n">
        <v>0</v>
      </c>
      <c r="Q2853" t="n">
        <v>0</v>
      </c>
      <c r="R2853" s="2" t="inlineStr"/>
    </row>
    <row r="2854" ht="15" customHeight="1">
      <c r="A2854" t="inlineStr">
        <is>
          <t>A 48874-2024</t>
        </is>
      </c>
      <c r="B2854" s="1" t="n">
        <v>45594</v>
      </c>
      <c r="C2854" s="1" t="n">
        <v>45828</v>
      </c>
      <c r="D2854" t="inlineStr">
        <is>
          <t>VÄRMLANDS LÄN</t>
        </is>
      </c>
      <c r="E2854" t="inlineStr">
        <is>
          <t>TORSBY</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48963-2024</t>
        </is>
      </c>
      <c r="B2855" s="1" t="n">
        <v>45594</v>
      </c>
      <c r="C2855" s="1" t="n">
        <v>45828</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48903-2024</t>
        </is>
      </c>
      <c r="B2856" s="1" t="n">
        <v>45594</v>
      </c>
      <c r="C2856" s="1" t="n">
        <v>45828</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49163-2024</t>
        </is>
      </c>
      <c r="B2857" s="1" t="n">
        <v>45594</v>
      </c>
      <c r="C2857" s="1" t="n">
        <v>45828</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49195-2024</t>
        </is>
      </c>
      <c r="B2858" s="1" t="n">
        <v>45595</v>
      </c>
      <c r="C2858" s="1" t="n">
        <v>45828</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49383-2024</t>
        </is>
      </c>
      <c r="B2859" s="1" t="n">
        <v>45595</v>
      </c>
      <c r="C2859" s="1" t="n">
        <v>45828</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49298-2024</t>
        </is>
      </c>
      <c r="B2860" s="1" t="n">
        <v>45595</v>
      </c>
      <c r="C2860" s="1" t="n">
        <v>45828</v>
      </c>
      <c r="D2860" t="inlineStr">
        <is>
          <t>VÄRMLANDS LÄN</t>
        </is>
      </c>
      <c r="E2860" t="inlineStr">
        <is>
          <t>TORSBY</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49524-2024</t>
        </is>
      </c>
      <c r="B2861" s="1" t="n">
        <v>45596</v>
      </c>
      <c r="C2861" s="1" t="n">
        <v>45828</v>
      </c>
      <c r="D2861" t="inlineStr">
        <is>
          <t>VÄRMLANDS LÄN</t>
        </is>
      </c>
      <c r="E2861" t="inlineStr">
        <is>
          <t>TORSBY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49912-2024</t>
        </is>
      </c>
      <c r="B2862" s="1" t="n">
        <v>45597</v>
      </c>
      <c r="C2862" s="1" t="n">
        <v>45828</v>
      </c>
      <c r="D2862" t="inlineStr">
        <is>
          <t>VÄRMLANDS LÄN</t>
        </is>
      </c>
      <c r="E2862" t="inlineStr">
        <is>
          <t>TORSBY</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49845-2024</t>
        </is>
      </c>
      <c r="B2863" s="1" t="n">
        <v>45597</v>
      </c>
      <c r="C2863" s="1" t="n">
        <v>45828</v>
      </c>
      <c r="D2863" t="inlineStr">
        <is>
          <t>VÄRMLANDS LÄN</t>
        </is>
      </c>
      <c r="E2863" t="inlineStr">
        <is>
          <t>TORSBY</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49936-2024</t>
        </is>
      </c>
      <c r="B2864" s="1" t="n">
        <v>45597</v>
      </c>
      <c r="C2864" s="1" t="n">
        <v>45828</v>
      </c>
      <c r="D2864" t="inlineStr">
        <is>
          <t>VÄRMLANDS LÄN</t>
        </is>
      </c>
      <c r="E2864" t="inlineStr">
        <is>
          <t>TORSBY</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49840-2024</t>
        </is>
      </c>
      <c r="B2865" s="1" t="n">
        <v>45597</v>
      </c>
      <c r="C2865" s="1" t="n">
        <v>45828</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50147-2024</t>
        </is>
      </c>
      <c r="B2866" s="1" t="n">
        <v>45600</v>
      </c>
      <c r="C2866" s="1" t="n">
        <v>45828</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50235-2024</t>
        </is>
      </c>
      <c r="B2867" s="1" t="n">
        <v>45600</v>
      </c>
      <c r="C2867" s="1" t="n">
        <v>45828</v>
      </c>
      <c r="D2867" t="inlineStr">
        <is>
          <t>VÄRMLANDS LÄN</t>
        </is>
      </c>
      <c r="E2867" t="inlineStr">
        <is>
          <t>TORSBY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50568-2024</t>
        </is>
      </c>
      <c r="B2868" s="1" t="n">
        <v>45601</v>
      </c>
      <c r="C2868" s="1" t="n">
        <v>45828</v>
      </c>
      <c r="D2868" t="inlineStr">
        <is>
          <t>VÄRMLANDS LÄN</t>
        </is>
      </c>
      <c r="E2868" t="inlineStr">
        <is>
          <t>TORSBY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50386-2024</t>
        </is>
      </c>
      <c r="B2869" s="1" t="n">
        <v>45601</v>
      </c>
      <c r="C2869" s="1" t="n">
        <v>45828</v>
      </c>
      <c r="D2869" t="inlineStr">
        <is>
          <t>VÄRMLANDS LÄN</t>
        </is>
      </c>
      <c r="E2869" t="inlineStr">
        <is>
          <t>TORSBY</t>
        </is>
      </c>
      <c r="F2869" t="inlineStr">
        <is>
          <t>Övriga Aktiebolag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50373-2024</t>
        </is>
      </c>
      <c r="B2870" s="1" t="n">
        <v>45601</v>
      </c>
      <c r="C2870" s="1" t="n">
        <v>45828</v>
      </c>
      <c r="D2870" t="inlineStr">
        <is>
          <t>VÄRMLANDS LÄN</t>
        </is>
      </c>
      <c r="E2870" t="inlineStr">
        <is>
          <t>TORSBY</t>
        </is>
      </c>
      <c r="F2870" t="inlineStr">
        <is>
          <t>Övriga Aktiebolag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50372-2024</t>
        </is>
      </c>
      <c r="B2871" s="1" t="n">
        <v>45601</v>
      </c>
      <c r="C2871" s="1" t="n">
        <v>45828</v>
      </c>
      <c r="D2871" t="inlineStr">
        <is>
          <t>VÄRMLANDS LÄN</t>
        </is>
      </c>
      <c r="E2871" t="inlineStr">
        <is>
          <t>TORSBY</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50376-2024</t>
        </is>
      </c>
      <c r="B2872" s="1" t="n">
        <v>45601</v>
      </c>
      <c r="C2872" s="1" t="n">
        <v>45828</v>
      </c>
      <c r="D2872" t="inlineStr">
        <is>
          <t>VÄRMLANDS LÄN</t>
        </is>
      </c>
      <c r="E2872" t="inlineStr">
        <is>
          <t>TORSBY</t>
        </is>
      </c>
      <c r="F2872" t="inlineStr">
        <is>
          <t>Övriga Aktiebolag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50380-2024</t>
        </is>
      </c>
      <c r="B2873" s="1" t="n">
        <v>45601</v>
      </c>
      <c r="C2873" s="1" t="n">
        <v>45828</v>
      </c>
      <c r="D2873" t="inlineStr">
        <is>
          <t>VÄRMLANDS LÄN</t>
        </is>
      </c>
      <c r="E2873" t="inlineStr">
        <is>
          <t>TORSBY</t>
        </is>
      </c>
      <c r="F2873" t="inlineStr">
        <is>
          <t>Bergvik skog väst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50494-2024</t>
        </is>
      </c>
      <c r="B2874" s="1" t="n">
        <v>45601</v>
      </c>
      <c r="C2874" s="1" t="n">
        <v>45828</v>
      </c>
      <c r="D2874" t="inlineStr">
        <is>
          <t>VÄRMLANDS LÄN</t>
        </is>
      </c>
      <c r="E2874" t="inlineStr">
        <is>
          <t>TORSBY</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50832-2024</t>
        </is>
      </c>
      <c r="B2875" s="1" t="n">
        <v>45602</v>
      </c>
      <c r="C2875" s="1" t="n">
        <v>45828</v>
      </c>
      <c r="D2875" t="inlineStr">
        <is>
          <t>VÄRMLANDS LÄN</t>
        </is>
      </c>
      <c r="E2875" t="inlineStr">
        <is>
          <t>TORSBY</t>
        </is>
      </c>
      <c r="F2875" t="inlineStr">
        <is>
          <t>Bergvik skog väst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51271-2024</t>
        </is>
      </c>
      <c r="B2876" s="1" t="n">
        <v>45603</v>
      </c>
      <c r="C2876" s="1" t="n">
        <v>45828</v>
      </c>
      <c r="D2876" t="inlineStr">
        <is>
          <t>VÄRMLANDS LÄN</t>
        </is>
      </c>
      <c r="E2876" t="inlineStr">
        <is>
          <t>TORSBY</t>
        </is>
      </c>
      <c r="F2876" t="inlineStr">
        <is>
          <t>Bergvik skog väst AB</t>
        </is>
      </c>
      <c r="G2876" t="n">
        <v>22.5</v>
      </c>
      <c r="H2876" t="n">
        <v>0</v>
      </c>
      <c r="I2876" t="n">
        <v>0</v>
      </c>
      <c r="J2876" t="n">
        <v>0</v>
      </c>
      <c r="K2876" t="n">
        <v>0</v>
      </c>
      <c r="L2876" t="n">
        <v>0</v>
      </c>
      <c r="M2876" t="n">
        <v>0</v>
      </c>
      <c r="N2876" t="n">
        <v>0</v>
      </c>
      <c r="O2876" t="n">
        <v>0</v>
      </c>
      <c r="P2876" t="n">
        <v>0</v>
      </c>
      <c r="Q2876" t="n">
        <v>0</v>
      </c>
      <c r="R2876" s="2" t="inlineStr"/>
    </row>
    <row r="2877" ht="15" customHeight="1">
      <c r="A2877" t="inlineStr">
        <is>
          <t>A 51369-2024</t>
        </is>
      </c>
      <c r="B2877" s="1" t="n">
        <v>45604</v>
      </c>
      <c r="C2877" s="1" t="n">
        <v>45828</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51469-2024</t>
        </is>
      </c>
      <c r="B2878" s="1" t="n">
        <v>45604</v>
      </c>
      <c r="C2878" s="1" t="n">
        <v>45828</v>
      </c>
      <c r="D2878" t="inlineStr">
        <is>
          <t>VÄRMLANDS LÄN</t>
        </is>
      </c>
      <c r="E2878" t="inlineStr">
        <is>
          <t>TORSBY</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51661-2024</t>
        </is>
      </c>
      <c r="B2879" s="1" t="n">
        <v>45606</v>
      </c>
      <c r="C2879" s="1" t="n">
        <v>45828</v>
      </c>
      <c r="D2879" t="inlineStr">
        <is>
          <t>VÄRMLANDS LÄN</t>
        </is>
      </c>
      <c r="E2879" t="inlineStr">
        <is>
          <t>TORSBY</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51662-2024</t>
        </is>
      </c>
      <c r="B2880" s="1" t="n">
        <v>45606</v>
      </c>
      <c r="C2880" s="1" t="n">
        <v>45828</v>
      </c>
      <c r="D2880" t="inlineStr">
        <is>
          <t>VÄRMLANDS LÄN</t>
        </is>
      </c>
      <c r="E2880" t="inlineStr">
        <is>
          <t>TORSBY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51663-2024</t>
        </is>
      </c>
      <c r="B2881" s="1" t="n">
        <v>45606</v>
      </c>
      <c r="C2881" s="1" t="n">
        <v>45828</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51660-2024</t>
        </is>
      </c>
      <c r="B2882" s="1" t="n">
        <v>45606</v>
      </c>
      <c r="C2882" s="1" t="n">
        <v>45828</v>
      </c>
      <c r="D2882" t="inlineStr">
        <is>
          <t>VÄRMLANDS LÄN</t>
        </is>
      </c>
      <c r="E2882" t="inlineStr">
        <is>
          <t>TORSBY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51987-2024</t>
        </is>
      </c>
      <c r="B2883" s="1" t="n">
        <v>45607</v>
      </c>
      <c r="C2883" s="1" t="n">
        <v>45828</v>
      </c>
      <c r="D2883" t="inlineStr">
        <is>
          <t>VÄRMLANDS LÄN</t>
        </is>
      </c>
      <c r="E2883" t="inlineStr">
        <is>
          <t>TORSBY</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51836-2024</t>
        </is>
      </c>
      <c r="B2884" s="1" t="n">
        <v>45607</v>
      </c>
      <c r="C2884" s="1" t="n">
        <v>45828</v>
      </c>
      <c r="D2884" t="inlineStr">
        <is>
          <t>VÄRMLANDS LÄN</t>
        </is>
      </c>
      <c r="E2884" t="inlineStr">
        <is>
          <t>TORSBY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51823-2024</t>
        </is>
      </c>
      <c r="B2885" s="1" t="n">
        <v>45607</v>
      </c>
      <c r="C2885" s="1" t="n">
        <v>45828</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51785-2024</t>
        </is>
      </c>
      <c r="B2886" s="1" t="n">
        <v>45607</v>
      </c>
      <c r="C2886" s="1" t="n">
        <v>45828</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52223-2024</t>
        </is>
      </c>
      <c r="B2887" s="1" t="n">
        <v>45608</v>
      </c>
      <c r="C2887" s="1" t="n">
        <v>45828</v>
      </c>
      <c r="D2887" t="inlineStr">
        <is>
          <t>VÄRMLANDS LÄN</t>
        </is>
      </c>
      <c r="E2887" t="inlineStr">
        <is>
          <t>TORSBY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52239-2024</t>
        </is>
      </c>
      <c r="B2888" s="1" t="n">
        <v>45608</v>
      </c>
      <c r="C2888" s="1" t="n">
        <v>45828</v>
      </c>
      <c r="D2888" t="inlineStr">
        <is>
          <t>VÄRMLANDS LÄN</t>
        </is>
      </c>
      <c r="E2888" t="inlineStr">
        <is>
          <t>TORSBY</t>
        </is>
      </c>
      <c r="F2888" t="inlineStr">
        <is>
          <t>Bergvik skog väst AB</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52257-2024</t>
        </is>
      </c>
      <c r="B2889" s="1" t="n">
        <v>45608</v>
      </c>
      <c r="C2889" s="1" t="n">
        <v>45828</v>
      </c>
      <c r="D2889" t="inlineStr">
        <is>
          <t>VÄRMLANDS LÄN</t>
        </is>
      </c>
      <c r="E2889" t="inlineStr">
        <is>
          <t>TORSBY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52314-2024</t>
        </is>
      </c>
      <c r="B2890" s="1" t="n">
        <v>45608</v>
      </c>
      <c r="C2890" s="1" t="n">
        <v>45828</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52062-2024</t>
        </is>
      </c>
      <c r="B2891" s="1" t="n">
        <v>45608</v>
      </c>
      <c r="C2891" s="1" t="n">
        <v>45828</v>
      </c>
      <c r="D2891" t="inlineStr">
        <is>
          <t>VÄRMLANDS LÄN</t>
        </is>
      </c>
      <c r="E2891" t="inlineStr">
        <is>
          <t>TORSBY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52262-2024</t>
        </is>
      </c>
      <c r="B2892" s="1" t="n">
        <v>45608</v>
      </c>
      <c r="C2892" s="1" t="n">
        <v>45828</v>
      </c>
      <c r="D2892" t="inlineStr">
        <is>
          <t>VÄRMLANDS LÄN</t>
        </is>
      </c>
      <c r="E2892" t="inlineStr">
        <is>
          <t>TORSBY</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52051-2024</t>
        </is>
      </c>
      <c r="B2893" s="1" t="n">
        <v>45608</v>
      </c>
      <c r="C2893" s="1" t="n">
        <v>45828</v>
      </c>
      <c r="D2893" t="inlineStr">
        <is>
          <t>VÄRMLANDS LÄN</t>
        </is>
      </c>
      <c r="E2893" t="inlineStr">
        <is>
          <t>TORSBY</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52057-2024</t>
        </is>
      </c>
      <c r="B2894" s="1" t="n">
        <v>45608</v>
      </c>
      <c r="C2894" s="1" t="n">
        <v>45828</v>
      </c>
      <c r="D2894" t="inlineStr">
        <is>
          <t>VÄRMLANDS LÄN</t>
        </is>
      </c>
      <c r="E2894" t="inlineStr">
        <is>
          <t>TORSBY</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52334-2024</t>
        </is>
      </c>
      <c r="B2895" s="1" t="n">
        <v>45609</v>
      </c>
      <c r="C2895" s="1" t="n">
        <v>45828</v>
      </c>
      <c r="D2895" t="inlineStr">
        <is>
          <t>VÄRMLANDS LÄN</t>
        </is>
      </c>
      <c r="E2895" t="inlineStr">
        <is>
          <t>TORSBY</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52386-2024</t>
        </is>
      </c>
      <c r="B2896" s="1" t="n">
        <v>45609</v>
      </c>
      <c r="C2896" s="1" t="n">
        <v>45828</v>
      </c>
      <c r="D2896" t="inlineStr">
        <is>
          <t>VÄRMLANDS LÄN</t>
        </is>
      </c>
      <c r="E2896" t="inlineStr">
        <is>
          <t>TORSBY</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52595-2024</t>
        </is>
      </c>
      <c r="B2897" s="1" t="n">
        <v>45609</v>
      </c>
      <c r="C2897" s="1" t="n">
        <v>45828</v>
      </c>
      <c r="D2897" t="inlineStr">
        <is>
          <t>VÄRMLANDS LÄN</t>
        </is>
      </c>
      <c r="E2897" t="inlineStr">
        <is>
          <t>TORSBY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52592-2024</t>
        </is>
      </c>
      <c r="B2898" s="1" t="n">
        <v>45609</v>
      </c>
      <c r="C2898" s="1" t="n">
        <v>45828</v>
      </c>
      <c r="D2898" t="inlineStr">
        <is>
          <t>VÄRMLANDS LÄN</t>
        </is>
      </c>
      <c r="E2898" t="inlineStr">
        <is>
          <t>TORSBY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52581-2024</t>
        </is>
      </c>
      <c r="B2899" s="1" t="n">
        <v>45609</v>
      </c>
      <c r="C2899" s="1" t="n">
        <v>45828</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52669-2024</t>
        </is>
      </c>
      <c r="B2900" s="1" t="n">
        <v>45610</v>
      </c>
      <c r="C2900" s="1" t="n">
        <v>45828</v>
      </c>
      <c r="D2900" t="inlineStr">
        <is>
          <t>VÄRMLANDS LÄN</t>
        </is>
      </c>
      <c r="E2900" t="inlineStr">
        <is>
          <t>TORSBY</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52676-2024</t>
        </is>
      </c>
      <c r="B2901" s="1" t="n">
        <v>45610</v>
      </c>
      <c r="C2901" s="1" t="n">
        <v>45828</v>
      </c>
      <c r="D2901" t="inlineStr">
        <is>
          <t>VÄRMLANDS LÄN</t>
        </is>
      </c>
      <c r="E2901" t="inlineStr">
        <is>
          <t>TORSBY</t>
        </is>
      </c>
      <c r="F2901" t="inlineStr">
        <is>
          <t>Kyrkan</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52689-2024</t>
        </is>
      </c>
      <c r="B2902" s="1" t="n">
        <v>45610</v>
      </c>
      <c r="C2902" s="1" t="n">
        <v>45828</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52801-2024</t>
        </is>
      </c>
      <c r="B2903" s="1" t="n">
        <v>45610</v>
      </c>
      <c r="C2903" s="1" t="n">
        <v>45828</v>
      </c>
      <c r="D2903" t="inlineStr">
        <is>
          <t>VÄRMLANDS LÄN</t>
        </is>
      </c>
      <c r="E2903" t="inlineStr">
        <is>
          <t>TORSBY</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52809-2024</t>
        </is>
      </c>
      <c r="B2904" s="1" t="n">
        <v>45610</v>
      </c>
      <c r="C2904" s="1" t="n">
        <v>45828</v>
      </c>
      <c r="D2904" t="inlineStr">
        <is>
          <t>VÄRMLANDS LÄN</t>
        </is>
      </c>
      <c r="E2904" t="inlineStr">
        <is>
          <t>TORSBY</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52940-2024</t>
        </is>
      </c>
      <c r="B2905" s="1" t="n">
        <v>45610</v>
      </c>
      <c r="C2905" s="1" t="n">
        <v>45828</v>
      </c>
      <c r="D2905" t="inlineStr">
        <is>
          <t>VÄRMLANDS LÄN</t>
        </is>
      </c>
      <c r="E2905" t="inlineStr">
        <is>
          <t>TORSBY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52956-2024</t>
        </is>
      </c>
      <c r="B2906" s="1" t="n">
        <v>45610</v>
      </c>
      <c r="C2906" s="1" t="n">
        <v>45828</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52949-2024</t>
        </is>
      </c>
      <c r="B2907" s="1" t="n">
        <v>45610</v>
      </c>
      <c r="C2907" s="1" t="n">
        <v>45828</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52957-2024</t>
        </is>
      </c>
      <c r="B2908" s="1" t="n">
        <v>45610</v>
      </c>
      <c r="C2908" s="1" t="n">
        <v>45828</v>
      </c>
      <c r="D2908" t="inlineStr">
        <is>
          <t>VÄRMLANDS LÄN</t>
        </is>
      </c>
      <c r="E2908" t="inlineStr">
        <is>
          <t>TORSBY</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52947-2024</t>
        </is>
      </c>
      <c r="B2909" s="1" t="n">
        <v>45610</v>
      </c>
      <c r="C2909" s="1" t="n">
        <v>45828</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52750-2024</t>
        </is>
      </c>
      <c r="B2910" s="1" t="n">
        <v>45610</v>
      </c>
      <c r="C2910" s="1" t="n">
        <v>45828</v>
      </c>
      <c r="D2910" t="inlineStr">
        <is>
          <t>VÄRMLANDS LÄN</t>
        </is>
      </c>
      <c r="E2910" t="inlineStr">
        <is>
          <t>TORSBY</t>
        </is>
      </c>
      <c r="F2910" t="inlineStr">
        <is>
          <t>Kyrkan</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53035-2024</t>
        </is>
      </c>
      <c r="B2911" s="1" t="n">
        <v>45611</v>
      </c>
      <c r="C2911" s="1" t="n">
        <v>45828</v>
      </c>
      <c r="D2911" t="inlineStr">
        <is>
          <t>VÄRMLANDS LÄN</t>
        </is>
      </c>
      <c r="E2911" t="inlineStr">
        <is>
          <t>TORSBY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53146-2024</t>
        </is>
      </c>
      <c r="B2912" s="1" t="n">
        <v>45611</v>
      </c>
      <c r="C2912" s="1" t="n">
        <v>45828</v>
      </c>
      <c r="D2912" t="inlineStr">
        <is>
          <t>VÄRMLANDS LÄN</t>
        </is>
      </c>
      <c r="E2912" t="inlineStr">
        <is>
          <t>TORSBY</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53460-2024</t>
        </is>
      </c>
      <c r="B2913" s="1" t="n">
        <v>45611</v>
      </c>
      <c r="C2913" s="1" t="n">
        <v>45828</v>
      </c>
      <c r="D2913" t="inlineStr">
        <is>
          <t>VÄRMLANDS LÄN</t>
        </is>
      </c>
      <c r="E2913" t="inlineStr">
        <is>
          <t>TORSBY</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53044-2024</t>
        </is>
      </c>
      <c r="B2914" s="1" t="n">
        <v>45611</v>
      </c>
      <c r="C2914" s="1" t="n">
        <v>45828</v>
      </c>
      <c r="D2914" t="inlineStr">
        <is>
          <t>VÄRMLANDS LÄN</t>
        </is>
      </c>
      <c r="E2914" t="inlineStr">
        <is>
          <t>TORSBY</t>
        </is>
      </c>
      <c r="F2914" t="inlineStr">
        <is>
          <t>Kyrkan</t>
        </is>
      </c>
      <c r="G2914" t="n">
        <v>25.8</v>
      </c>
      <c r="H2914" t="n">
        <v>0</v>
      </c>
      <c r="I2914" t="n">
        <v>0</v>
      </c>
      <c r="J2914" t="n">
        <v>0</v>
      </c>
      <c r="K2914" t="n">
        <v>0</v>
      </c>
      <c r="L2914" t="n">
        <v>0</v>
      </c>
      <c r="M2914" t="n">
        <v>0</v>
      </c>
      <c r="N2914" t="n">
        <v>0</v>
      </c>
      <c r="O2914" t="n">
        <v>0</v>
      </c>
      <c r="P2914" t="n">
        <v>0</v>
      </c>
      <c r="Q2914" t="n">
        <v>0</v>
      </c>
      <c r="R2914" s="2" t="inlineStr"/>
    </row>
    <row r="2915" ht="15" customHeight="1">
      <c r="A2915" t="inlineStr">
        <is>
          <t>A 53038-2024</t>
        </is>
      </c>
      <c r="B2915" s="1" t="n">
        <v>45611</v>
      </c>
      <c r="C2915" s="1" t="n">
        <v>45828</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53025-2024</t>
        </is>
      </c>
      <c r="B2916" s="1" t="n">
        <v>45611</v>
      </c>
      <c r="C2916" s="1" t="n">
        <v>45828</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53099-2024</t>
        </is>
      </c>
      <c r="B2917" s="1" t="n">
        <v>45611</v>
      </c>
      <c r="C2917" s="1" t="n">
        <v>45828</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53211-2024</t>
        </is>
      </c>
      <c r="B2918" s="1" t="n">
        <v>45612</v>
      </c>
      <c r="C2918" s="1" t="n">
        <v>45828</v>
      </c>
      <c r="D2918" t="inlineStr">
        <is>
          <t>VÄRMLANDS LÄN</t>
        </is>
      </c>
      <c r="E2918" t="inlineStr">
        <is>
          <t>TORSBY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53331-2024</t>
        </is>
      </c>
      <c r="B2919" s="1" t="n">
        <v>45614</v>
      </c>
      <c r="C2919" s="1" t="n">
        <v>45828</v>
      </c>
      <c r="D2919" t="inlineStr">
        <is>
          <t>VÄRMLANDS LÄN</t>
        </is>
      </c>
      <c r="E2919" t="inlineStr">
        <is>
          <t>TORSBY</t>
        </is>
      </c>
      <c r="F2919" t="inlineStr">
        <is>
          <t>Bergvik skog väst AB</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53570-2024</t>
        </is>
      </c>
      <c r="B2920" s="1" t="n">
        <v>45614</v>
      </c>
      <c r="C2920" s="1" t="n">
        <v>45828</v>
      </c>
      <c r="D2920" t="inlineStr">
        <is>
          <t>VÄRMLANDS LÄN</t>
        </is>
      </c>
      <c r="E2920" t="inlineStr">
        <is>
          <t>TORSBY</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53583-2024</t>
        </is>
      </c>
      <c r="B2921" s="1" t="n">
        <v>45614</v>
      </c>
      <c r="C2921" s="1" t="n">
        <v>45828</v>
      </c>
      <c r="D2921" t="inlineStr">
        <is>
          <t>VÄRMLANDS LÄN</t>
        </is>
      </c>
      <c r="E2921" t="inlineStr">
        <is>
          <t>TORSBY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53627-2024</t>
        </is>
      </c>
      <c r="B2922" s="1" t="n">
        <v>45614</v>
      </c>
      <c r="C2922" s="1" t="n">
        <v>45828</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53253-2024</t>
        </is>
      </c>
      <c r="B2923" s="1" t="n">
        <v>45614</v>
      </c>
      <c r="C2923" s="1" t="n">
        <v>45828</v>
      </c>
      <c r="D2923" t="inlineStr">
        <is>
          <t>VÄRMLANDS LÄN</t>
        </is>
      </c>
      <c r="E2923" t="inlineStr">
        <is>
          <t>TORSBY</t>
        </is>
      </c>
      <c r="F2923" t="inlineStr">
        <is>
          <t>Bergvik skog väst AB</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53599-2024</t>
        </is>
      </c>
      <c r="B2924" s="1" t="n">
        <v>45614</v>
      </c>
      <c r="C2924" s="1" t="n">
        <v>45828</v>
      </c>
      <c r="D2924" t="inlineStr">
        <is>
          <t>VÄRMLANDS LÄN</t>
        </is>
      </c>
      <c r="E2924" t="inlineStr">
        <is>
          <t>TORSBY</t>
        </is>
      </c>
      <c r="F2924" t="inlineStr">
        <is>
          <t>Bergvik skog väst AB</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53396-2024</t>
        </is>
      </c>
      <c r="B2925" s="1" t="n">
        <v>45614</v>
      </c>
      <c r="C2925" s="1" t="n">
        <v>45828</v>
      </c>
      <c r="D2925" t="inlineStr">
        <is>
          <t>VÄRMLANDS LÄN</t>
        </is>
      </c>
      <c r="E2925" t="inlineStr">
        <is>
          <t>TORSBY</t>
        </is>
      </c>
      <c r="F2925" t="inlineStr">
        <is>
          <t>Bergvik skog väst AB</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53593-2024</t>
        </is>
      </c>
      <c r="B2926" s="1" t="n">
        <v>45614</v>
      </c>
      <c r="C2926" s="1" t="n">
        <v>45828</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53506-2024</t>
        </is>
      </c>
      <c r="B2927" s="1" t="n">
        <v>45614</v>
      </c>
      <c r="C2927" s="1" t="n">
        <v>45828</v>
      </c>
      <c r="D2927" t="inlineStr">
        <is>
          <t>VÄRMLANDS LÄN</t>
        </is>
      </c>
      <c r="E2927" t="inlineStr">
        <is>
          <t>TORSBY</t>
        </is>
      </c>
      <c r="F2927" t="inlineStr">
        <is>
          <t>Bergvik skog väst AB</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53368-2024</t>
        </is>
      </c>
      <c r="B2928" s="1" t="n">
        <v>45614</v>
      </c>
      <c r="C2928" s="1" t="n">
        <v>45828</v>
      </c>
      <c r="D2928" t="inlineStr">
        <is>
          <t>VÄRMLANDS LÄN</t>
        </is>
      </c>
      <c r="E2928" t="inlineStr">
        <is>
          <t>TORSBY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53358-2024</t>
        </is>
      </c>
      <c r="B2929" s="1" t="n">
        <v>45614</v>
      </c>
      <c r="C2929" s="1" t="n">
        <v>45828</v>
      </c>
      <c r="D2929" t="inlineStr">
        <is>
          <t>VÄRMLANDS LÄN</t>
        </is>
      </c>
      <c r="E2929" t="inlineStr">
        <is>
          <t>TORSBY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53297-2024</t>
        </is>
      </c>
      <c r="B2930" s="1" t="n">
        <v>45614</v>
      </c>
      <c r="C2930" s="1" t="n">
        <v>45828</v>
      </c>
      <c r="D2930" t="inlineStr">
        <is>
          <t>VÄRMLANDS LÄN</t>
        </is>
      </c>
      <c r="E2930" t="inlineStr">
        <is>
          <t>TORSBY</t>
        </is>
      </c>
      <c r="F2930" t="inlineStr">
        <is>
          <t>Bergvik skog väst AB</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53744-2024</t>
        </is>
      </c>
      <c r="B2931" s="1" t="n">
        <v>45615</v>
      </c>
      <c r="C2931" s="1" t="n">
        <v>45828</v>
      </c>
      <c r="D2931" t="inlineStr">
        <is>
          <t>VÄRMLANDS LÄN</t>
        </is>
      </c>
      <c r="E2931" t="inlineStr">
        <is>
          <t>TORSBY</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53748-2024</t>
        </is>
      </c>
      <c r="B2932" s="1" t="n">
        <v>45615</v>
      </c>
      <c r="C2932" s="1" t="n">
        <v>45828</v>
      </c>
      <c r="D2932" t="inlineStr">
        <is>
          <t>VÄRMLANDS LÄN</t>
        </is>
      </c>
      <c r="E2932" t="inlineStr">
        <is>
          <t>TORSBY</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53667-2024</t>
        </is>
      </c>
      <c r="B2933" s="1" t="n">
        <v>45615</v>
      </c>
      <c r="C2933" s="1" t="n">
        <v>45828</v>
      </c>
      <c r="D2933" t="inlineStr">
        <is>
          <t>VÄRMLANDS LÄN</t>
        </is>
      </c>
      <c r="E2933" t="inlineStr">
        <is>
          <t>TORSBY</t>
        </is>
      </c>
      <c r="F2933" t="inlineStr">
        <is>
          <t>Bergvik skog väst AB</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54023-2024</t>
        </is>
      </c>
      <c r="B2934" s="1" t="n">
        <v>45616</v>
      </c>
      <c r="C2934" s="1" t="n">
        <v>45828</v>
      </c>
      <c r="D2934" t="inlineStr">
        <is>
          <t>VÄRMLANDS LÄN</t>
        </is>
      </c>
      <c r="E2934" t="inlineStr">
        <is>
          <t>TORSBY</t>
        </is>
      </c>
      <c r="F2934" t="inlineStr">
        <is>
          <t>Kommuner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54266-2024</t>
        </is>
      </c>
      <c r="B2935" s="1" t="n">
        <v>45616</v>
      </c>
      <c r="C2935" s="1" t="n">
        <v>45828</v>
      </c>
      <c r="D2935" t="inlineStr">
        <is>
          <t>VÄRMLANDS LÄN</t>
        </is>
      </c>
      <c r="E2935" t="inlineStr">
        <is>
          <t>TORSBY</t>
        </is>
      </c>
      <c r="F2935" t="inlineStr">
        <is>
          <t>Kommuner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54004-2024</t>
        </is>
      </c>
      <c r="B2936" s="1" t="n">
        <v>45616</v>
      </c>
      <c r="C2936" s="1" t="n">
        <v>45828</v>
      </c>
      <c r="D2936" t="inlineStr">
        <is>
          <t>VÄRMLANDS LÄN</t>
        </is>
      </c>
      <c r="E2936" t="inlineStr">
        <is>
          <t>TORSBY</t>
        </is>
      </c>
      <c r="F2936" t="inlineStr">
        <is>
          <t>Kommuner</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54011-2024</t>
        </is>
      </c>
      <c r="B2937" s="1" t="n">
        <v>45616</v>
      </c>
      <c r="C2937" s="1" t="n">
        <v>45828</v>
      </c>
      <c r="D2937" t="inlineStr">
        <is>
          <t>VÄRMLANDS LÄN</t>
        </is>
      </c>
      <c r="E2937" t="inlineStr">
        <is>
          <t>TORSBY</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54026-2024</t>
        </is>
      </c>
      <c r="B2938" s="1" t="n">
        <v>45616</v>
      </c>
      <c r="C2938" s="1" t="n">
        <v>45828</v>
      </c>
      <c r="D2938" t="inlineStr">
        <is>
          <t>VÄRMLANDS LÄN</t>
        </is>
      </c>
      <c r="E2938" t="inlineStr">
        <is>
          <t>TORSBY</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54265-2024</t>
        </is>
      </c>
      <c r="B2939" s="1" t="n">
        <v>45616</v>
      </c>
      <c r="C2939" s="1" t="n">
        <v>45828</v>
      </c>
      <c r="D2939" t="inlineStr">
        <is>
          <t>VÄRMLANDS LÄN</t>
        </is>
      </c>
      <c r="E2939" t="inlineStr">
        <is>
          <t>TORSBY</t>
        </is>
      </c>
      <c r="F2939" t="inlineStr">
        <is>
          <t>Kommuner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54006-2024</t>
        </is>
      </c>
      <c r="B2940" s="1" t="n">
        <v>45616</v>
      </c>
      <c r="C2940" s="1" t="n">
        <v>45828</v>
      </c>
      <c r="D2940" t="inlineStr">
        <is>
          <t>VÄRMLANDS LÄN</t>
        </is>
      </c>
      <c r="E2940" t="inlineStr">
        <is>
          <t>TORSBY</t>
        </is>
      </c>
      <c r="F2940" t="inlineStr">
        <is>
          <t>Kommuner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54014-2024</t>
        </is>
      </c>
      <c r="B2941" s="1" t="n">
        <v>45616</v>
      </c>
      <c r="C2941" s="1" t="n">
        <v>45828</v>
      </c>
      <c r="D2941" t="inlineStr">
        <is>
          <t>VÄRMLANDS LÄN</t>
        </is>
      </c>
      <c r="E2941" t="inlineStr">
        <is>
          <t>TORSBY</t>
        </is>
      </c>
      <c r="F2941" t="inlineStr">
        <is>
          <t>Kommuner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54027-2024</t>
        </is>
      </c>
      <c r="B2942" s="1" t="n">
        <v>45616</v>
      </c>
      <c r="C2942" s="1" t="n">
        <v>45828</v>
      </c>
      <c r="D2942" t="inlineStr">
        <is>
          <t>VÄRMLANDS LÄN</t>
        </is>
      </c>
      <c r="E2942" t="inlineStr">
        <is>
          <t>TORSBY</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54328-2024</t>
        </is>
      </c>
      <c r="B2943" s="1" t="n">
        <v>45617</v>
      </c>
      <c r="C2943" s="1" t="n">
        <v>45828</v>
      </c>
      <c r="D2943" t="inlineStr">
        <is>
          <t>VÄRMLANDS LÄN</t>
        </is>
      </c>
      <c r="E2943" t="inlineStr">
        <is>
          <t>TORSBY</t>
        </is>
      </c>
      <c r="F2943" t="inlineStr">
        <is>
          <t>Bergvik skog väst AB</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54306-2024</t>
        </is>
      </c>
      <c r="B2944" s="1" t="n">
        <v>45617</v>
      </c>
      <c r="C2944" s="1" t="n">
        <v>45828</v>
      </c>
      <c r="D2944" t="inlineStr">
        <is>
          <t>VÄRMLANDS LÄN</t>
        </is>
      </c>
      <c r="E2944" t="inlineStr">
        <is>
          <t>TORSBY</t>
        </is>
      </c>
      <c r="F2944" t="inlineStr">
        <is>
          <t>Bergvik skog väst AB</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54374-2024</t>
        </is>
      </c>
      <c r="B2945" s="1" t="n">
        <v>45617</v>
      </c>
      <c r="C2945" s="1" t="n">
        <v>45828</v>
      </c>
      <c r="D2945" t="inlineStr">
        <is>
          <t>VÄRMLANDS LÄN</t>
        </is>
      </c>
      <c r="E2945" t="inlineStr">
        <is>
          <t>TORSBY</t>
        </is>
      </c>
      <c r="F2945" t="inlineStr">
        <is>
          <t>Bergvik skog väst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54618-2024</t>
        </is>
      </c>
      <c r="B2946" s="1" t="n">
        <v>45617</v>
      </c>
      <c r="C2946" s="1" t="n">
        <v>45828</v>
      </c>
      <c r="D2946" t="inlineStr">
        <is>
          <t>VÄRMLANDS LÄN</t>
        </is>
      </c>
      <c r="E2946" t="inlineStr">
        <is>
          <t>TORSBY</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54646-2024</t>
        </is>
      </c>
      <c r="B2947" s="1" t="n">
        <v>45617</v>
      </c>
      <c r="C2947" s="1" t="n">
        <v>45828</v>
      </c>
      <c r="D2947" t="inlineStr">
        <is>
          <t>VÄRMLANDS LÄN</t>
        </is>
      </c>
      <c r="E2947" t="inlineStr">
        <is>
          <t>TORSBY</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54489-2024</t>
        </is>
      </c>
      <c r="B2948" s="1" t="n">
        <v>45617</v>
      </c>
      <c r="C2948" s="1" t="n">
        <v>45828</v>
      </c>
      <c r="D2948" t="inlineStr">
        <is>
          <t>VÄRMLANDS LÄN</t>
        </is>
      </c>
      <c r="E2948" t="inlineStr">
        <is>
          <t>TORSBY</t>
        </is>
      </c>
      <c r="F2948" t="inlineStr">
        <is>
          <t>Bergvik skog väst AB</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54609-2024</t>
        </is>
      </c>
      <c r="B2949" s="1" t="n">
        <v>45617</v>
      </c>
      <c r="C2949" s="1" t="n">
        <v>45828</v>
      </c>
      <c r="D2949" t="inlineStr">
        <is>
          <t>VÄRMLANDS LÄN</t>
        </is>
      </c>
      <c r="E2949" t="inlineStr">
        <is>
          <t>TORSBY</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54891-2024</t>
        </is>
      </c>
      <c r="B2950" s="1" t="n">
        <v>45618</v>
      </c>
      <c r="C2950" s="1" t="n">
        <v>45828</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54796-2024</t>
        </is>
      </c>
      <c r="B2951" s="1" t="n">
        <v>45618</v>
      </c>
      <c r="C2951" s="1" t="n">
        <v>45828</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54813-2024</t>
        </is>
      </c>
      <c r="B2952" s="1" t="n">
        <v>45618</v>
      </c>
      <c r="C2952" s="1" t="n">
        <v>45828</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54790-2024</t>
        </is>
      </c>
      <c r="B2953" s="1" t="n">
        <v>45618</v>
      </c>
      <c r="C2953" s="1" t="n">
        <v>45828</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54664-2024</t>
        </is>
      </c>
      <c r="B2954" s="1" t="n">
        <v>45618</v>
      </c>
      <c r="C2954" s="1" t="n">
        <v>45828</v>
      </c>
      <c r="D2954" t="inlineStr">
        <is>
          <t>VÄRMLANDS LÄN</t>
        </is>
      </c>
      <c r="E2954" t="inlineStr">
        <is>
          <t>TORSBY</t>
        </is>
      </c>
      <c r="F2954" t="inlineStr">
        <is>
          <t>Bergvik skog väst AB</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55072-2024</t>
        </is>
      </c>
      <c r="B2955" s="1" t="n">
        <v>45621</v>
      </c>
      <c r="C2955" s="1" t="n">
        <v>45828</v>
      </c>
      <c r="D2955" t="inlineStr">
        <is>
          <t>VÄRMLANDS LÄN</t>
        </is>
      </c>
      <c r="E2955" t="inlineStr">
        <is>
          <t>TORSBY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55036-2024</t>
        </is>
      </c>
      <c r="B2956" s="1" t="n">
        <v>45621</v>
      </c>
      <c r="C2956" s="1" t="n">
        <v>45828</v>
      </c>
      <c r="D2956" t="inlineStr">
        <is>
          <t>VÄRMLANDS LÄN</t>
        </is>
      </c>
      <c r="E2956" t="inlineStr">
        <is>
          <t>TORSBY</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55386-2024</t>
        </is>
      </c>
      <c r="B2957" s="1" t="n">
        <v>45622</v>
      </c>
      <c r="C2957" s="1" t="n">
        <v>45828</v>
      </c>
      <c r="D2957" t="inlineStr">
        <is>
          <t>VÄRMLANDS LÄN</t>
        </is>
      </c>
      <c r="E2957" t="inlineStr">
        <is>
          <t>TORSBY</t>
        </is>
      </c>
      <c r="F2957" t="inlineStr">
        <is>
          <t>Bergvik skog väst AB</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55546-2024</t>
        </is>
      </c>
      <c r="B2958" s="1" t="n">
        <v>45622</v>
      </c>
      <c r="C2958" s="1" t="n">
        <v>45828</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55430-2024</t>
        </is>
      </c>
      <c r="B2959" s="1" t="n">
        <v>45622</v>
      </c>
      <c r="C2959" s="1" t="n">
        <v>45828</v>
      </c>
      <c r="D2959" t="inlineStr">
        <is>
          <t>VÄRMLANDS LÄN</t>
        </is>
      </c>
      <c r="E2959" t="inlineStr">
        <is>
          <t>TORSBY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55543-2024</t>
        </is>
      </c>
      <c r="B2960" s="1" t="n">
        <v>45622</v>
      </c>
      <c r="C2960" s="1" t="n">
        <v>45828</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55808-2024</t>
        </is>
      </c>
      <c r="B2961" s="1" t="n">
        <v>45622</v>
      </c>
      <c r="C2961" s="1" t="n">
        <v>45828</v>
      </c>
      <c r="D2961" t="inlineStr">
        <is>
          <t>VÄRMLANDS LÄN</t>
        </is>
      </c>
      <c r="E2961" t="inlineStr">
        <is>
          <t>TORSBY</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55750-2024</t>
        </is>
      </c>
      <c r="B2962" s="1" t="n">
        <v>45623</v>
      </c>
      <c r="C2962" s="1" t="n">
        <v>45828</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55814-2024</t>
        </is>
      </c>
      <c r="B2963" s="1" t="n">
        <v>45623</v>
      </c>
      <c r="C2963" s="1" t="n">
        <v>45828</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55836-2024</t>
        </is>
      </c>
      <c r="B2964" s="1" t="n">
        <v>45623</v>
      </c>
      <c r="C2964" s="1" t="n">
        <v>45828</v>
      </c>
      <c r="D2964" t="inlineStr">
        <is>
          <t>VÄRMLANDS LÄN</t>
        </is>
      </c>
      <c r="E2964" t="inlineStr">
        <is>
          <t>TORSBY</t>
        </is>
      </c>
      <c r="F2964" t="inlineStr">
        <is>
          <t>Kommuner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55845-2024</t>
        </is>
      </c>
      <c r="B2965" s="1" t="n">
        <v>45623</v>
      </c>
      <c r="C2965" s="1" t="n">
        <v>45828</v>
      </c>
      <c r="D2965" t="inlineStr">
        <is>
          <t>VÄRMLANDS LÄN</t>
        </is>
      </c>
      <c r="E2965" t="inlineStr">
        <is>
          <t>TORSBY</t>
        </is>
      </c>
      <c r="F2965" t="inlineStr">
        <is>
          <t>Kommuner</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55837-2024</t>
        </is>
      </c>
      <c r="B2966" s="1" t="n">
        <v>45623</v>
      </c>
      <c r="C2966" s="1" t="n">
        <v>45828</v>
      </c>
      <c r="D2966" t="inlineStr">
        <is>
          <t>VÄRMLANDS LÄN</t>
        </is>
      </c>
      <c r="E2966" t="inlineStr">
        <is>
          <t>TORSBY</t>
        </is>
      </c>
      <c r="F2966" t="inlineStr">
        <is>
          <t>Kommuner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55842-2024</t>
        </is>
      </c>
      <c r="B2967" s="1" t="n">
        <v>45623</v>
      </c>
      <c r="C2967" s="1" t="n">
        <v>45828</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55834-2024</t>
        </is>
      </c>
      <c r="B2968" s="1" t="n">
        <v>45623</v>
      </c>
      <c r="C2968" s="1" t="n">
        <v>45828</v>
      </c>
      <c r="D2968" t="inlineStr">
        <is>
          <t>VÄRMLANDS LÄN</t>
        </is>
      </c>
      <c r="E2968" t="inlineStr">
        <is>
          <t>TORSBY</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55839-2024</t>
        </is>
      </c>
      <c r="B2969" s="1" t="n">
        <v>45623</v>
      </c>
      <c r="C2969" s="1" t="n">
        <v>45828</v>
      </c>
      <c r="D2969" t="inlineStr">
        <is>
          <t>VÄRMLANDS LÄN</t>
        </is>
      </c>
      <c r="E2969" t="inlineStr">
        <is>
          <t>TORSBY</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55987-2024</t>
        </is>
      </c>
      <c r="B2970" s="1" t="n">
        <v>45623</v>
      </c>
      <c r="C2970" s="1" t="n">
        <v>45828</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56101-2024</t>
        </is>
      </c>
      <c r="B2971" s="1" t="n">
        <v>45624</v>
      </c>
      <c r="C2971" s="1" t="n">
        <v>45828</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56240-2024</t>
        </is>
      </c>
      <c r="B2972" s="1" t="n">
        <v>45624</v>
      </c>
      <c r="C2972" s="1" t="n">
        <v>45828</v>
      </c>
      <c r="D2972" t="inlineStr">
        <is>
          <t>VÄRMLANDS LÄN</t>
        </is>
      </c>
      <c r="E2972" t="inlineStr">
        <is>
          <t>TORSBY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56107-2024</t>
        </is>
      </c>
      <c r="B2973" s="1" t="n">
        <v>45624</v>
      </c>
      <c r="C2973" s="1" t="n">
        <v>45828</v>
      </c>
      <c r="D2973" t="inlineStr">
        <is>
          <t>VÄRMLANDS LÄN</t>
        </is>
      </c>
      <c r="E2973" t="inlineStr">
        <is>
          <t>TORSBY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56056-2024</t>
        </is>
      </c>
      <c r="B2974" s="1" t="n">
        <v>45624</v>
      </c>
      <c r="C2974" s="1" t="n">
        <v>45828</v>
      </c>
      <c r="D2974" t="inlineStr">
        <is>
          <t>VÄRMLANDS LÄN</t>
        </is>
      </c>
      <c r="E2974" t="inlineStr">
        <is>
          <t>TORSBY</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56098-2024</t>
        </is>
      </c>
      <c r="B2975" s="1" t="n">
        <v>45624</v>
      </c>
      <c r="C2975" s="1" t="n">
        <v>45828</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56430-2024</t>
        </is>
      </c>
      <c r="B2976" s="1" t="n">
        <v>45625</v>
      </c>
      <c r="C2976" s="1" t="n">
        <v>45828</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56509-2024</t>
        </is>
      </c>
      <c r="B2977" s="1" t="n">
        <v>45625</v>
      </c>
      <c r="C2977" s="1" t="n">
        <v>45828</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56534-2024</t>
        </is>
      </c>
      <c r="B2978" s="1" t="n">
        <v>45625</v>
      </c>
      <c r="C2978" s="1" t="n">
        <v>45828</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56635-2024</t>
        </is>
      </c>
      <c r="B2979" s="1" t="n">
        <v>45625</v>
      </c>
      <c r="C2979" s="1" t="n">
        <v>45828</v>
      </c>
      <c r="D2979" t="inlineStr">
        <is>
          <t>VÄRMLANDS LÄN</t>
        </is>
      </c>
      <c r="E2979" t="inlineStr">
        <is>
          <t>TORSBY</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56571-2024</t>
        </is>
      </c>
      <c r="B2980" s="1" t="n">
        <v>45625</v>
      </c>
      <c r="C2980" s="1" t="n">
        <v>45828</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56611-2024</t>
        </is>
      </c>
      <c r="B2981" s="1" t="n">
        <v>45625</v>
      </c>
      <c r="C2981" s="1" t="n">
        <v>45828</v>
      </c>
      <c r="D2981" t="inlineStr">
        <is>
          <t>VÄRMLANDS LÄN</t>
        </is>
      </c>
      <c r="E2981" t="inlineStr">
        <is>
          <t>TORSBY</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56630-2024</t>
        </is>
      </c>
      <c r="B2982" s="1" t="n">
        <v>45625</v>
      </c>
      <c r="C2982" s="1" t="n">
        <v>45828</v>
      </c>
      <c r="D2982" t="inlineStr">
        <is>
          <t>VÄRMLANDS LÄN</t>
        </is>
      </c>
      <c r="E2982" t="inlineStr">
        <is>
          <t>TORSBY</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56634-2024</t>
        </is>
      </c>
      <c r="B2983" s="1" t="n">
        <v>45625</v>
      </c>
      <c r="C2983" s="1" t="n">
        <v>45828</v>
      </c>
      <c r="D2983" t="inlineStr">
        <is>
          <t>VÄRMLANDS LÄN</t>
        </is>
      </c>
      <c r="E2983" t="inlineStr">
        <is>
          <t>TORSBY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56808-2024</t>
        </is>
      </c>
      <c r="B2984" s="1" t="n">
        <v>45628</v>
      </c>
      <c r="C2984" s="1" t="n">
        <v>45828</v>
      </c>
      <c r="D2984" t="inlineStr">
        <is>
          <t>VÄRMLANDS LÄN</t>
        </is>
      </c>
      <c r="E2984" t="inlineStr">
        <is>
          <t>TORSBY</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57329-2024</t>
        </is>
      </c>
      <c r="B2985" s="1" t="n">
        <v>45629</v>
      </c>
      <c r="C2985" s="1" t="n">
        <v>45828</v>
      </c>
      <c r="D2985" t="inlineStr">
        <is>
          <t>VÄRMLANDS LÄN</t>
        </is>
      </c>
      <c r="E2985" t="inlineStr">
        <is>
          <t>TORSBY</t>
        </is>
      </c>
      <c r="F2985" t="inlineStr">
        <is>
          <t>Kyrkan</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57469-2024</t>
        </is>
      </c>
      <c r="B2986" s="1" t="n">
        <v>45630</v>
      </c>
      <c r="C2986" s="1" t="n">
        <v>45828</v>
      </c>
      <c r="D2986" t="inlineStr">
        <is>
          <t>VÄRMLANDS LÄN</t>
        </is>
      </c>
      <c r="E2986" t="inlineStr">
        <is>
          <t>TORSBY</t>
        </is>
      </c>
      <c r="F2986" t="inlineStr">
        <is>
          <t>Bergvik skog väst AB</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57481-2024</t>
        </is>
      </c>
      <c r="B2987" s="1" t="n">
        <v>45630</v>
      </c>
      <c r="C2987" s="1" t="n">
        <v>45828</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57502-2024</t>
        </is>
      </c>
      <c r="B2988" s="1" t="n">
        <v>45630</v>
      </c>
      <c r="C2988" s="1" t="n">
        <v>45828</v>
      </c>
      <c r="D2988" t="inlineStr">
        <is>
          <t>VÄRMLANDS LÄN</t>
        </is>
      </c>
      <c r="E2988" t="inlineStr">
        <is>
          <t>TORSBY</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57532-2024</t>
        </is>
      </c>
      <c r="B2989" s="1" t="n">
        <v>45630</v>
      </c>
      <c r="C2989" s="1" t="n">
        <v>45828</v>
      </c>
      <c r="D2989" t="inlineStr">
        <is>
          <t>VÄRMLANDS LÄN</t>
        </is>
      </c>
      <c r="E2989" t="inlineStr">
        <is>
          <t>TORSBY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57536-2024</t>
        </is>
      </c>
      <c r="B2990" s="1" t="n">
        <v>45630</v>
      </c>
      <c r="C2990" s="1" t="n">
        <v>45828</v>
      </c>
      <c r="D2990" t="inlineStr">
        <is>
          <t>VÄRMLANDS LÄN</t>
        </is>
      </c>
      <c r="E2990" t="inlineStr">
        <is>
          <t>TORSBY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57722-2024</t>
        </is>
      </c>
      <c r="B2991" s="1" t="n">
        <v>45630</v>
      </c>
      <c r="C2991" s="1" t="n">
        <v>45828</v>
      </c>
      <c r="D2991" t="inlineStr">
        <is>
          <t>VÄRMLANDS LÄN</t>
        </is>
      </c>
      <c r="E2991" t="inlineStr">
        <is>
          <t>TORSBY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57662-2024</t>
        </is>
      </c>
      <c r="B2992" s="1" t="n">
        <v>45630</v>
      </c>
      <c r="C2992" s="1" t="n">
        <v>45828</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57709-2024</t>
        </is>
      </c>
      <c r="B2993" s="1" t="n">
        <v>45630</v>
      </c>
      <c r="C2993" s="1" t="n">
        <v>45828</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57725-2024</t>
        </is>
      </c>
      <c r="B2994" s="1" t="n">
        <v>45630</v>
      </c>
      <c r="C2994" s="1" t="n">
        <v>45828</v>
      </c>
      <c r="D2994" t="inlineStr">
        <is>
          <t>VÄRMLANDS LÄN</t>
        </is>
      </c>
      <c r="E2994" t="inlineStr">
        <is>
          <t>TORSBY</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57545-2024</t>
        </is>
      </c>
      <c r="B2995" s="1" t="n">
        <v>45630</v>
      </c>
      <c r="C2995" s="1" t="n">
        <v>45828</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57723-2024</t>
        </is>
      </c>
      <c r="B2996" s="1" t="n">
        <v>45630</v>
      </c>
      <c r="C2996" s="1" t="n">
        <v>45828</v>
      </c>
      <c r="D2996" t="inlineStr">
        <is>
          <t>VÄRMLANDS LÄN</t>
        </is>
      </c>
      <c r="E2996" t="inlineStr">
        <is>
          <t>TORSBY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57774-2024</t>
        </is>
      </c>
      <c r="B2997" s="1" t="n">
        <v>45630</v>
      </c>
      <c r="C2997" s="1" t="n">
        <v>45828</v>
      </c>
      <c r="D2997" t="inlineStr">
        <is>
          <t>VÄRMLANDS LÄN</t>
        </is>
      </c>
      <c r="E2997" t="inlineStr">
        <is>
          <t>TORSBY</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57785-2024</t>
        </is>
      </c>
      <c r="B2998" s="1" t="n">
        <v>45631</v>
      </c>
      <c r="C2998" s="1" t="n">
        <v>45828</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57809-2024</t>
        </is>
      </c>
      <c r="B2999" s="1" t="n">
        <v>45631</v>
      </c>
      <c r="C2999" s="1" t="n">
        <v>45828</v>
      </c>
      <c r="D2999" t="inlineStr">
        <is>
          <t>VÄRMLANDS LÄN</t>
        </is>
      </c>
      <c r="E2999" t="inlineStr">
        <is>
          <t>TORSBY</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58033-2024</t>
        </is>
      </c>
      <c r="B3000" s="1" t="n">
        <v>45631</v>
      </c>
      <c r="C3000" s="1" t="n">
        <v>45828</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58023-2024</t>
        </is>
      </c>
      <c r="B3001" s="1" t="n">
        <v>45631</v>
      </c>
      <c r="C3001" s="1" t="n">
        <v>45828</v>
      </c>
      <c r="D3001" t="inlineStr">
        <is>
          <t>VÄRMLANDS LÄN</t>
        </is>
      </c>
      <c r="E3001" t="inlineStr">
        <is>
          <t>TORSBY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58051-2024</t>
        </is>
      </c>
      <c r="B3002" s="1" t="n">
        <v>45631</v>
      </c>
      <c r="C3002" s="1" t="n">
        <v>45828</v>
      </c>
      <c r="D3002" t="inlineStr">
        <is>
          <t>VÄRMLANDS LÄN</t>
        </is>
      </c>
      <c r="E3002" t="inlineStr">
        <is>
          <t>TORSBY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58134-2024</t>
        </is>
      </c>
      <c r="B3003" s="1" t="n">
        <v>45632</v>
      </c>
      <c r="C3003" s="1" t="n">
        <v>45828</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58304-2024</t>
        </is>
      </c>
      <c r="B3004" s="1" t="n">
        <v>45632</v>
      </c>
      <c r="C3004" s="1" t="n">
        <v>45828</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58255-2024</t>
        </is>
      </c>
      <c r="B3005" s="1" t="n">
        <v>45632</v>
      </c>
      <c r="C3005" s="1" t="n">
        <v>45828</v>
      </c>
      <c r="D3005" t="inlineStr">
        <is>
          <t>VÄRMLANDS LÄN</t>
        </is>
      </c>
      <c r="E3005" t="inlineStr">
        <is>
          <t>TORSBY</t>
        </is>
      </c>
      <c r="F3005" t="inlineStr">
        <is>
          <t>Bergvik skog väst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58259-2024</t>
        </is>
      </c>
      <c r="B3006" s="1" t="n">
        <v>45632</v>
      </c>
      <c r="C3006" s="1" t="n">
        <v>45828</v>
      </c>
      <c r="D3006" t="inlineStr">
        <is>
          <t>VÄRMLANDS LÄN</t>
        </is>
      </c>
      <c r="E3006" t="inlineStr">
        <is>
          <t>TORSBY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58288-2024</t>
        </is>
      </c>
      <c r="B3007" s="1" t="n">
        <v>45632</v>
      </c>
      <c r="C3007" s="1" t="n">
        <v>45828</v>
      </c>
      <c r="D3007" t="inlineStr">
        <is>
          <t>VÄRMLANDS LÄN</t>
        </is>
      </c>
      <c r="E3007" t="inlineStr">
        <is>
          <t>TORSBY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58707-2024</t>
        </is>
      </c>
      <c r="B3008" s="1" t="n">
        <v>45635</v>
      </c>
      <c r="C3008" s="1" t="n">
        <v>45828</v>
      </c>
      <c r="D3008" t="inlineStr">
        <is>
          <t>VÄRMLANDS LÄN</t>
        </is>
      </c>
      <c r="E3008" t="inlineStr">
        <is>
          <t>TORSBY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58786-2024</t>
        </is>
      </c>
      <c r="B3009" s="1" t="n">
        <v>45635</v>
      </c>
      <c r="C3009" s="1" t="n">
        <v>45828</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58976-2024</t>
        </is>
      </c>
      <c r="B3010" s="1" t="n">
        <v>45636</v>
      </c>
      <c r="C3010" s="1" t="n">
        <v>45828</v>
      </c>
      <c r="D3010" t="inlineStr">
        <is>
          <t>VÄRMLANDS LÄN</t>
        </is>
      </c>
      <c r="E3010" t="inlineStr">
        <is>
          <t>TORSBY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58948-2024</t>
        </is>
      </c>
      <c r="B3011" s="1" t="n">
        <v>45636</v>
      </c>
      <c r="C3011" s="1" t="n">
        <v>45828</v>
      </c>
      <c r="D3011" t="inlineStr">
        <is>
          <t>VÄRMLANDS LÄN</t>
        </is>
      </c>
      <c r="E3011" t="inlineStr">
        <is>
          <t>TORSBY</t>
        </is>
      </c>
      <c r="F3011" t="inlineStr">
        <is>
          <t>Bergvik skog väst AB</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59005-2024</t>
        </is>
      </c>
      <c r="B3012" s="1" t="n">
        <v>45636</v>
      </c>
      <c r="C3012" s="1" t="n">
        <v>45828</v>
      </c>
      <c r="D3012" t="inlineStr">
        <is>
          <t>VÄRMLANDS LÄN</t>
        </is>
      </c>
      <c r="E3012" t="inlineStr">
        <is>
          <t>TORSBY</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58945-2024</t>
        </is>
      </c>
      <c r="B3013" s="1" t="n">
        <v>45636</v>
      </c>
      <c r="C3013" s="1" t="n">
        <v>45828</v>
      </c>
      <c r="D3013" t="inlineStr">
        <is>
          <t>VÄRMLANDS LÄN</t>
        </is>
      </c>
      <c r="E3013" t="inlineStr">
        <is>
          <t>TORSBY</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59080-2024</t>
        </is>
      </c>
      <c r="B3014" s="1" t="n">
        <v>45637</v>
      </c>
      <c r="C3014" s="1" t="n">
        <v>45828</v>
      </c>
      <c r="D3014" t="inlineStr">
        <is>
          <t>VÄRMLANDS LÄN</t>
        </is>
      </c>
      <c r="E3014" t="inlineStr">
        <is>
          <t>TORSBY</t>
        </is>
      </c>
      <c r="F3014" t="inlineStr">
        <is>
          <t>Bergvik skog väst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59423-2024</t>
        </is>
      </c>
      <c r="B3015" s="1" t="n">
        <v>45638</v>
      </c>
      <c r="C3015" s="1" t="n">
        <v>45828</v>
      </c>
      <c r="D3015" t="inlineStr">
        <is>
          <t>VÄRMLANDS LÄN</t>
        </is>
      </c>
      <c r="E3015" t="inlineStr">
        <is>
          <t>TORSBY</t>
        </is>
      </c>
      <c r="G3015" t="n">
        <v>23.7</v>
      </c>
      <c r="H3015" t="n">
        <v>0</v>
      </c>
      <c r="I3015" t="n">
        <v>0</v>
      </c>
      <c r="J3015" t="n">
        <v>0</v>
      </c>
      <c r="K3015" t="n">
        <v>0</v>
      </c>
      <c r="L3015" t="n">
        <v>0</v>
      </c>
      <c r="M3015" t="n">
        <v>0</v>
      </c>
      <c r="N3015" t="n">
        <v>0</v>
      </c>
      <c r="O3015" t="n">
        <v>0</v>
      </c>
      <c r="P3015" t="n">
        <v>0</v>
      </c>
      <c r="Q3015" t="n">
        <v>0</v>
      </c>
      <c r="R3015" s="2" t="inlineStr"/>
    </row>
    <row r="3016" ht="15" customHeight="1">
      <c r="A3016" t="inlineStr">
        <is>
          <t>A 59613-2024</t>
        </is>
      </c>
      <c r="B3016" s="1" t="n">
        <v>45638</v>
      </c>
      <c r="C3016" s="1" t="n">
        <v>45828</v>
      </c>
      <c r="D3016" t="inlineStr">
        <is>
          <t>VÄRMLANDS LÄN</t>
        </is>
      </c>
      <c r="E3016" t="inlineStr">
        <is>
          <t>TORSBY</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59603-2024</t>
        </is>
      </c>
      <c r="B3017" s="1" t="n">
        <v>45638</v>
      </c>
      <c r="C3017" s="1" t="n">
        <v>45828</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59610-2024</t>
        </is>
      </c>
      <c r="B3018" s="1" t="n">
        <v>45638</v>
      </c>
      <c r="C3018" s="1" t="n">
        <v>45828</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59428-2024</t>
        </is>
      </c>
      <c r="B3019" s="1" t="n">
        <v>45638</v>
      </c>
      <c r="C3019" s="1" t="n">
        <v>45828</v>
      </c>
      <c r="D3019" t="inlineStr">
        <is>
          <t>VÄRMLANDS LÄN</t>
        </is>
      </c>
      <c r="E3019" t="inlineStr">
        <is>
          <t>TORSBY</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59780-2024</t>
        </is>
      </c>
      <c r="B3020" s="1" t="n">
        <v>45639</v>
      </c>
      <c r="C3020" s="1" t="n">
        <v>45828</v>
      </c>
      <c r="D3020" t="inlineStr">
        <is>
          <t>VÄRMLANDS LÄN</t>
        </is>
      </c>
      <c r="E3020" t="inlineStr">
        <is>
          <t>TORSBY</t>
        </is>
      </c>
      <c r="G3020" t="n">
        <v>13.1</v>
      </c>
      <c r="H3020" t="n">
        <v>0</v>
      </c>
      <c r="I3020" t="n">
        <v>0</v>
      </c>
      <c r="J3020" t="n">
        <v>0</v>
      </c>
      <c r="K3020" t="n">
        <v>0</v>
      </c>
      <c r="L3020" t="n">
        <v>0</v>
      </c>
      <c r="M3020" t="n">
        <v>0</v>
      </c>
      <c r="N3020" t="n">
        <v>0</v>
      </c>
      <c r="O3020" t="n">
        <v>0</v>
      </c>
      <c r="P3020" t="n">
        <v>0</v>
      </c>
      <c r="Q3020" t="n">
        <v>0</v>
      </c>
      <c r="R3020" s="2" t="inlineStr"/>
    </row>
    <row r="3021" ht="15" customHeight="1">
      <c r="A3021" t="inlineStr">
        <is>
          <t>A 60207-2024</t>
        </is>
      </c>
      <c r="B3021" s="1" t="n">
        <v>45642</v>
      </c>
      <c r="C3021" s="1" t="n">
        <v>45828</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60796-2024</t>
        </is>
      </c>
      <c r="B3022" s="1" t="n">
        <v>45642</v>
      </c>
      <c r="C3022" s="1" t="n">
        <v>45828</v>
      </c>
      <c r="D3022" t="inlineStr">
        <is>
          <t>VÄRMLANDS LÄN</t>
        </is>
      </c>
      <c r="E3022" t="inlineStr">
        <is>
          <t>TORSBY</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60622-2024</t>
        </is>
      </c>
      <c r="B3023" s="1" t="n">
        <v>45642</v>
      </c>
      <c r="C3023" s="1" t="n">
        <v>45828</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60272-2024</t>
        </is>
      </c>
      <c r="B3024" s="1" t="n">
        <v>45642</v>
      </c>
      <c r="C3024" s="1" t="n">
        <v>45828</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60626-2024</t>
        </is>
      </c>
      <c r="B3025" s="1" t="n">
        <v>45642</v>
      </c>
      <c r="C3025" s="1" t="n">
        <v>45828</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60148-2024</t>
        </is>
      </c>
      <c r="B3026" s="1" t="n">
        <v>45642</v>
      </c>
      <c r="C3026" s="1" t="n">
        <v>45828</v>
      </c>
      <c r="D3026" t="inlineStr">
        <is>
          <t>VÄRMLANDS LÄN</t>
        </is>
      </c>
      <c r="E3026" t="inlineStr">
        <is>
          <t>TORSBY</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60039-2024</t>
        </is>
      </c>
      <c r="B3027" s="1" t="n">
        <v>45642</v>
      </c>
      <c r="C3027" s="1" t="n">
        <v>45828</v>
      </c>
      <c r="D3027" t="inlineStr">
        <is>
          <t>VÄRMLANDS LÄN</t>
        </is>
      </c>
      <c r="E3027" t="inlineStr">
        <is>
          <t>TORSBY</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59928-2024</t>
        </is>
      </c>
      <c r="B3028" s="1" t="n">
        <v>45642</v>
      </c>
      <c r="C3028" s="1" t="n">
        <v>45828</v>
      </c>
      <c r="D3028" t="inlineStr">
        <is>
          <t>VÄRMLANDS LÄN</t>
        </is>
      </c>
      <c r="E3028" t="inlineStr">
        <is>
          <t>TORSBY</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60781-2024</t>
        </is>
      </c>
      <c r="B3029" s="1" t="n">
        <v>45642</v>
      </c>
      <c r="C3029" s="1" t="n">
        <v>45828</v>
      </c>
      <c r="D3029" t="inlineStr">
        <is>
          <t>VÄRMLANDS LÄN</t>
        </is>
      </c>
      <c r="E3029" t="inlineStr">
        <is>
          <t>TORSBY</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59927-2024</t>
        </is>
      </c>
      <c r="B3030" s="1" t="n">
        <v>45642</v>
      </c>
      <c r="C3030" s="1" t="n">
        <v>45828</v>
      </c>
      <c r="D3030" t="inlineStr">
        <is>
          <t>VÄRMLANDS LÄN</t>
        </is>
      </c>
      <c r="E3030" t="inlineStr">
        <is>
          <t>TORSBY</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60385-2024</t>
        </is>
      </c>
      <c r="B3031" s="1" t="n">
        <v>45643</v>
      </c>
      <c r="C3031" s="1" t="n">
        <v>45828</v>
      </c>
      <c r="D3031" t="inlineStr">
        <is>
          <t>VÄRMLANDS LÄN</t>
        </is>
      </c>
      <c r="E3031" t="inlineStr">
        <is>
          <t>TORSBY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60383-2024</t>
        </is>
      </c>
      <c r="B3032" s="1" t="n">
        <v>45643</v>
      </c>
      <c r="C3032" s="1" t="n">
        <v>45828</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60454-2024</t>
        </is>
      </c>
      <c r="B3033" s="1" t="n">
        <v>45643</v>
      </c>
      <c r="C3033" s="1" t="n">
        <v>45828</v>
      </c>
      <c r="D3033" t="inlineStr">
        <is>
          <t>VÄRMLANDS LÄN</t>
        </is>
      </c>
      <c r="E3033" t="inlineStr">
        <is>
          <t>TORSBY</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60458-2024</t>
        </is>
      </c>
      <c r="B3034" s="1" t="n">
        <v>45643</v>
      </c>
      <c r="C3034" s="1" t="n">
        <v>45828</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60710-2024</t>
        </is>
      </c>
      <c r="B3035" s="1" t="n">
        <v>45643</v>
      </c>
      <c r="C3035" s="1" t="n">
        <v>45828</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60477-2024</t>
        </is>
      </c>
      <c r="B3036" s="1" t="n">
        <v>45643</v>
      </c>
      <c r="C3036" s="1" t="n">
        <v>45828</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60386-2024</t>
        </is>
      </c>
      <c r="B3037" s="1" t="n">
        <v>45643</v>
      </c>
      <c r="C3037" s="1" t="n">
        <v>45828</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60537-2024</t>
        </is>
      </c>
      <c r="B3038" s="1" t="n">
        <v>45643</v>
      </c>
      <c r="C3038" s="1" t="n">
        <v>45828</v>
      </c>
      <c r="D3038" t="inlineStr">
        <is>
          <t>VÄRMLANDS LÄN</t>
        </is>
      </c>
      <c r="E3038" t="inlineStr">
        <is>
          <t>TORSBY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60854-2024</t>
        </is>
      </c>
      <c r="B3039" s="1" t="n">
        <v>45644</v>
      </c>
      <c r="C3039" s="1" t="n">
        <v>45828</v>
      </c>
      <c r="D3039" t="inlineStr">
        <is>
          <t>VÄRMLANDS LÄN</t>
        </is>
      </c>
      <c r="E3039" t="inlineStr">
        <is>
          <t>TORSBY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61253-2024</t>
        </is>
      </c>
      <c r="B3040" s="1" t="n">
        <v>45645</v>
      </c>
      <c r="C3040" s="1" t="n">
        <v>45828</v>
      </c>
      <c r="D3040" t="inlineStr">
        <is>
          <t>VÄRMLANDS LÄN</t>
        </is>
      </c>
      <c r="E3040" t="inlineStr">
        <is>
          <t>TORSBY</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61069-2024</t>
        </is>
      </c>
      <c r="B3041" s="1" t="n">
        <v>45645</v>
      </c>
      <c r="C3041" s="1" t="n">
        <v>45828</v>
      </c>
      <c r="D3041" t="inlineStr">
        <is>
          <t>VÄRMLANDS LÄN</t>
        </is>
      </c>
      <c r="E3041" t="inlineStr">
        <is>
          <t>TORSBY</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61073-2024</t>
        </is>
      </c>
      <c r="B3042" s="1" t="n">
        <v>45645</v>
      </c>
      <c r="C3042" s="1" t="n">
        <v>45828</v>
      </c>
      <c r="D3042" t="inlineStr">
        <is>
          <t>VÄRMLANDS LÄN</t>
        </is>
      </c>
      <c r="E3042" t="inlineStr">
        <is>
          <t>TORSBY</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61206-2024</t>
        </is>
      </c>
      <c r="B3043" s="1" t="n">
        <v>45645</v>
      </c>
      <c r="C3043" s="1" t="n">
        <v>45828</v>
      </c>
      <c r="D3043" t="inlineStr">
        <is>
          <t>VÄRMLANDS LÄN</t>
        </is>
      </c>
      <c r="E3043" t="inlineStr">
        <is>
          <t>TORSBY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61546-2024</t>
        </is>
      </c>
      <c r="B3044" s="1" t="n">
        <v>45645</v>
      </c>
      <c r="C3044" s="1" t="n">
        <v>45828</v>
      </c>
      <c r="D3044" t="inlineStr">
        <is>
          <t>VÄRMLANDS LÄN</t>
        </is>
      </c>
      <c r="E3044" t="inlineStr">
        <is>
          <t>TORSBY</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61251-2024</t>
        </is>
      </c>
      <c r="B3045" s="1" t="n">
        <v>45645</v>
      </c>
      <c r="C3045" s="1" t="n">
        <v>45828</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61259-2024</t>
        </is>
      </c>
      <c r="B3046" s="1" t="n">
        <v>45645</v>
      </c>
      <c r="C3046" s="1" t="n">
        <v>45828</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61478-2024</t>
        </is>
      </c>
      <c r="B3047" s="1" t="n">
        <v>45646</v>
      </c>
      <c r="C3047" s="1" t="n">
        <v>45828</v>
      </c>
      <c r="D3047" t="inlineStr">
        <is>
          <t>VÄRMLANDS LÄN</t>
        </is>
      </c>
      <c r="E3047" t="inlineStr">
        <is>
          <t>TORSBY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61565-2024</t>
        </is>
      </c>
      <c r="B3048" s="1" t="n">
        <v>45646</v>
      </c>
      <c r="C3048" s="1" t="n">
        <v>45828</v>
      </c>
      <c r="D3048" t="inlineStr">
        <is>
          <t>VÄRMLANDS LÄN</t>
        </is>
      </c>
      <c r="E3048" t="inlineStr">
        <is>
          <t>TORSBY</t>
        </is>
      </c>
      <c r="F3048" t="inlineStr">
        <is>
          <t>Bergvik skog väst AB</t>
        </is>
      </c>
      <c r="G3048" t="n">
        <v>14.1</v>
      </c>
      <c r="H3048" t="n">
        <v>0</v>
      </c>
      <c r="I3048" t="n">
        <v>0</v>
      </c>
      <c r="J3048" t="n">
        <v>0</v>
      </c>
      <c r="K3048" t="n">
        <v>0</v>
      </c>
      <c r="L3048" t="n">
        <v>0</v>
      </c>
      <c r="M3048" t="n">
        <v>0</v>
      </c>
      <c r="N3048" t="n">
        <v>0</v>
      </c>
      <c r="O3048" t="n">
        <v>0</v>
      </c>
      <c r="P3048" t="n">
        <v>0</v>
      </c>
      <c r="Q3048" t="n">
        <v>0</v>
      </c>
      <c r="R3048" s="2" t="inlineStr"/>
    </row>
    <row r="3049" ht="15" customHeight="1">
      <c r="A3049" t="inlineStr">
        <is>
          <t>A 61672-2024</t>
        </is>
      </c>
      <c r="B3049" s="1" t="n">
        <v>45647</v>
      </c>
      <c r="C3049" s="1" t="n">
        <v>45828</v>
      </c>
      <c r="D3049" t="inlineStr">
        <is>
          <t>VÄRMLANDS LÄN</t>
        </is>
      </c>
      <c r="E3049" t="inlineStr">
        <is>
          <t>TORSBY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61712-2024</t>
        </is>
      </c>
      <c r="B3050" s="1" t="n">
        <v>45648</v>
      </c>
      <c r="C3050" s="1" t="n">
        <v>45828</v>
      </c>
      <c r="D3050" t="inlineStr">
        <is>
          <t>VÄRMLANDS LÄN</t>
        </is>
      </c>
      <c r="E3050" t="inlineStr">
        <is>
          <t>TORSBY</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61713-2024</t>
        </is>
      </c>
      <c r="B3051" s="1" t="n">
        <v>45648</v>
      </c>
      <c r="C3051" s="1" t="n">
        <v>45828</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61855-2024</t>
        </is>
      </c>
      <c r="B3052" s="1" t="n">
        <v>45649</v>
      </c>
      <c r="C3052" s="1" t="n">
        <v>45828</v>
      </c>
      <c r="D3052" t="inlineStr">
        <is>
          <t>VÄRMLANDS LÄN</t>
        </is>
      </c>
      <c r="E3052" t="inlineStr">
        <is>
          <t>TORSBY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61851-2024</t>
        </is>
      </c>
      <c r="B3053" s="1" t="n">
        <v>45649</v>
      </c>
      <c r="C3053" s="1" t="n">
        <v>45828</v>
      </c>
      <c r="D3053" t="inlineStr">
        <is>
          <t>VÄRMLANDS LÄN</t>
        </is>
      </c>
      <c r="E3053" t="inlineStr">
        <is>
          <t>TORSBY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61856-2024</t>
        </is>
      </c>
      <c r="B3054" s="1" t="n">
        <v>45649</v>
      </c>
      <c r="C3054" s="1" t="n">
        <v>45828</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62092-2024</t>
        </is>
      </c>
      <c r="B3055" s="1" t="n">
        <v>45656</v>
      </c>
      <c r="C3055" s="1" t="n">
        <v>45828</v>
      </c>
      <c r="D3055" t="inlineStr">
        <is>
          <t>VÄRMLANDS LÄN</t>
        </is>
      </c>
      <c r="E3055" t="inlineStr">
        <is>
          <t>TORSBY</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62090-2024</t>
        </is>
      </c>
      <c r="B3056" s="1" t="n">
        <v>45656</v>
      </c>
      <c r="C3056" s="1" t="n">
        <v>45828</v>
      </c>
      <c r="D3056" t="inlineStr">
        <is>
          <t>VÄRMLANDS LÄN</t>
        </is>
      </c>
      <c r="E3056" t="inlineStr">
        <is>
          <t>TORSBY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61-2025</t>
        </is>
      </c>
      <c r="B3057" s="1" t="n">
        <v>45659</v>
      </c>
      <c r="C3057" s="1" t="n">
        <v>45828</v>
      </c>
      <c r="D3057" t="inlineStr">
        <is>
          <t>VÄRMLANDS LÄN</t>
        </is>
      </c>
      <c r="E3057" t="inlineStr">
        <is>
          <t>TORSBY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200-2025</t>
        </is>
      </c>
      <c r="B3058" s="1" t="n">
        <v>45659</v>
      </c>
      <c r="C3058" s="1" t="n">
        <v>45828</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311-2025</t>
        </is>
      </c>
      <c r="B3059" s="1" t="n">
        <v>45660</v>
      </c>
      <c r="C3059" s="1" t="n">
        <v>45828</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202-2025</t>
        </is>
      </c>
      <c r="B3060" s="1" t="n">
        <v>45660</v>
      </c>
      <c r="C3060" s="1" t="n">
        <v>45828</v>
      </c>
      <c r="D3060" t="inlineStr">
        <is>
          <t>VÄRMLANDS LÄN</t>
        </is>
      </c>
      <c r="E3060" t="inlineStr">
        <is>
          <t>TORSBY</t>
        </is>
      </c>
      <c r="F3060" t="inlineStr">
        <is>
          <t>Bergvik skog väst AB</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364-2025</t>
        </is>
      </c>
      <c r="B3061" s="1" t="n">
        <v>45661</v>
      </c>
      <c r="C3061" s="1" t="n">
        <v>45828</v>
      </c>
      <c r="D3061" t="inlineStr">
        <is>
          <t>VÄRMLANDS LÄN</t>
        </is>
      </c>
      <c r="E3061" t="inlineStr">
        <is>
          <t>TORSBY</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375-2025</t>
        </is>
      </c>
      <c r="B3062" s="1" t="n">
        <v>45661</v>
      </c>
      <c r="C3062" s="1" t="n">
        <v>45828</v>
      </c>
      <c r="D3062" t="inlineStr">
        <is>
          <t>VÄRMLANDS LÄN</t>
        </is>
      </c>
      <c r="E3062" t="inlineStr">
        <is>
          <t>TORSBY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383-2025</t>
        </is>
      </c>
      <c r="B3063" s="1" t="n">
        <v>45662</v>
      </c>
      <c r="C3063" s="1" t="n">
        <v>45828</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391-2025</t>
        </is>
      </c>
      <c r="B3064" s="1" t="n">
        <v>45663</v>
      </c>
      <c r="C3064" s="1" t="n">
        <v>45828</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392-2025</t>
        </is>
      </c>
      <c r="B3065" s="1" t="n">
        <v>45663</v>
      </c>
      <c r="C3065" s="1" t="n">
        <v>45828</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492-2025</t>
        </is>
      </c>
      <c r="B3066" s="1" t="n">
        <v>45664</v>
      </c>
      <c r="C3066" s="1" t="n">
        <v>45828</v>
      </c>
      <c r="D3066" t="inlineStr">
        <is>
          <t>VÄRMLANDS LÄN</t>
        </is>
      </c>
      <c r="E3066" t="inlineStr">
        <is>
          <t>TORSBY</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485-2025</t>
        </is>
      </c>
      <c r="B3067" s="1" t="n">
        <v>45664</v>
      </c>
      <c r="C3067" s="1" t="n">
        <v>45828</v>
      </c>
      <c r="D3067" t="inlineStr">
        <is>
          <t>VÄRMLANDS LÄN</t>
        </is>
      </c>
      <c r="E3067" t="inlineStr">
        <is>
          <t>TORSBY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644-2025</t>
        </is>
      </c>
      <c r="B3068" s="1" t="n">
        <v>45664</v>
      </c>
      <c r="C3068" s="1" t="n">
        <v>45828</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654-2025</t>
        </is>
      </c>
      <c r="B3069" s="1" t="n">
        <v>45664</v>
      </c>
      <c r="C3069" s="1" t="n">
        <v>45828</v>
      </c>
      <c r="D3069" t="inlineStr">
        <is>
          <t>VÄRMLANDS LÄN</t>
        </is>
      </c>
      <c r="E3069" t="inlineStr">
        <is>
          <t>TORSBY</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906-2025</t>
        </is>
      </c>
      <c r="B3070" s="1" t="n">
        <v>45664</v>
      </c>
      <c r="C3070" s="1" t="n">
        <v>45828</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718-2025</t>
        </is>
      </c>
      <c r="B3071" s="1" t="n">
        <v>45665</v>
      </c>
      <c r="C3071" s="1" t="n">
        <v>45828</v>
      </c>
      <c r="D3071" t="inlineStr">
        <is>
          <t>VÄRMLANDS LÄN</t>
        </is>
      </c>
      <c r="E3071" t="inlineStr">
        <is>
          <t>TORSBY</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707-2025</t>
        </is>
      </c>
      <c r="B3072" s="1" t="n">
        <v>45665</v>
      </c>
      <c r="C3072" s="1" t="n">
        <v>45828</v>
      </c>
      <c r="D3072" t="inlineStr">
        <is>
          <t>VÄRMLANDS LÄN</t>
        </is>
      </c>
      <c r="E3072" t="inlineStr">
        <is>
          <t>TORSBY</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699-2025</t>
        </is>
      </c>
      <c r="B3073" s="1" t="n">
        <v>45665</v>
      </c>
      <c r="C3073" s="1" t="n">
        <v>45828</v>
      </c>
      <c r="D3073" t="inlineStr">
        <is>
          <t>VÄRMLANDS LÄN</t>
        </is>
      </c>
      <c r="E3073" t="inlineStr">
        <is>
          <t>TORSBY</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754-2025</t>
        </is>
      </c>
      <c r="B3074" s="1" t="n">
        <v>45665</v>
      </c>
      <c r="C3074" s="1" t="n">
        <v>45828</v>
      </c>
      <c r="D3074" t="inlineStr">
        <is>
          <t>VÄRMLANDS LÄN</t>
        </is>
      </c>
      <c r="E3074" t="inlineStr">
        <is>
          <t>TORSBY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1162-2025</t>
        </is>
      </c>
      <c r="B3075" s="1" t="n">
        <v>45666</v>
      </c>
      <c r="C3075" s="1" t="n">
        <v>45828</v>
      </c>
      <c r="D3075" t="inlineStr">
        <is>
          <t>VÄRMLANDS LÄN</t>
        </is>
      </c>
      <c r="E3075" t="inlineStr">
        <is>
          <t>TORSBY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1104-2025</t>
        </is>
      </c>
      <c r="B3076" s="1" t="n">
        <v>45666</v>
      </c>
      <c r="C3076" s="1" t="n">
        <v>45828</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1100-2025</t>
        </is>
      </c>
      <c r="B3077" s="1" t="n">
        <v>45666</v>
      </c>
      <c r="C3077" s="1" t="n">
        <v>45828</v>
      </c>
      <c r="D3077" t="inlineStr">
        <is>
          <t>VÄRMLANDS LÄN</t>
        </is>
      </c>
      <c r="E3077" t="inlineStr">
        <is>
          <t>TORSBY</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1092-2025</t>
        </is>
      </c>
      <c r="B3078" s="1" t="n">
        <v>45666</v>
      </c>
      <c r="C3078" s="1" t="n">
        <v>45828</v>
      </c>
      <c r="D3078" t="inlineStr">
        <is>
          <t>VÄRMLANDS LÄN</t>
        </is>
      </c>
      <c r="E3078" t="inlineStr">
        <is>
          <t>TORSBY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1161-2025</t>
        </is>
      </c>
      <c r="B3079" s="1" t="n">
        <v>45666</v>
      </c>
      <c r="C3079" s="1" t="n">
        <v>45828</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1095-2025</t>
        </is>
      </c>
      <c r="B3080" s="1" t="n">
        <v>45666</v>
      </c>
      <c r="C3080" s="1" t="n">
        <v>45828</v>
      </c>
      <c r="D3080" t="inlineStr">
        <is>
          <t>VÄRMLANDS LÄN</t>
        </is>
      </c>
      <c r="E3080" t="inlineStr">
        <is>
          <t>TORSBY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1432-2025</t>
        </is>
      </c>
      <c r="B3081" s="1" t="n">
        <v>45669</v>
      </c>
      <c r="C3081" s="1" t="n">
        <v>45828</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1435-2025</t>
        </is>
      </c>
      <c r="B3082" s="1" t="n">
        <v>45669</v>
      </c>
      <c r="C3082" s="1" t="n">
        <v>45828</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1512-2025</t>
        </is>
      </c>
      <c r="B3083" s="1" t="n">
        <v>45670</v>
      </c>
      <c r="C3083" s="1" t="n">
        <v>45828</v>
      </c>
      <c r="D3083" t="inlineStr">
        <is>
          <t>VÄRMLANDS LÄN</t>
        </is>
      </c>
      <c r="E3083" t="inlineStr">
        <is>
          <t>TORSBY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1708-2025</t>
        </is>
      </c>
      <c r="B3084" s="1" t="n">
        <v>45670</v>
      </c>
      <c r="C3084" s="1" t="n">
        <v>45828</v>
      </c>
      <c r="D3084" t="inlineStr">
        <is>
          <t>VÄRMLANDS LÄN</t>
        </is>
      </c>
      <c r="E3084" t="inlineStr">
        <is>
          <t>TORSBY</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1528-2025</t>
        </is>
      </c>
      <c r="B3085" s="1" t="n">
        <v>45670</v>
      </c>
      <c r="C3085" s="1" t="n">
        <v>45828</v>
      </c>
      <c r="D3085" t="inlineStr">
        <is>
          <t>VÄRMLANDS LÄN</t>
        </is>
      </c>
      <c r="E3085" t="inlineStr">
        <is>
          <t>TORSBY</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1756-2025</t>
        </is>
      </c>
      <c r="B3086" s="1" t="n">
        <v>45671</v>
      </c>
      <c r="C3086" s="1" t="n">
        <v>45828</v>
      </c>
      <c r="D3086" t="inlineStr">
        <is>
          <t>VÄRMLANDS LÄN</t>
        </is>
      </c>
      <c r="E3086" t="inlineStr">
        <is>
          <t>TORSBY</t>
        </is>
      </c>
      <c r="F3086" t="inlineStr">
        <is>
          <t>Bergvik skog väst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1997-2025</t>
        </is>
      </c>
      <c r="B3087" s="1" t="n">
        <v>45672</v>
      </c>
      <c r="C3087" s="1" t="n">
        <v>45828</v>
      </c>
      <c r="D3087" t="inlineStr">
        <is>
          <t>VÄRMLANDS LÄN</t>
        </is>
      </c>
      <c r="E3087" t="inlineStr">
        <is>
          <t>TORSBY</t>
        </is>
      </c>
      <c r="G3087" t="n">
        <v>20.1</v>
      </c>
      <c r="H3087" t="n">
        <v>0</v>
      </c>
      <c r="I3087" t="n">
        <v>0</v>
      </c>
      <c r="J3087" t="n">
        <v>0</v>
      </c>
      <c r="K3087" t="n">
        <v>0</v>
      </c>
      <c r="L3087" t="n">
        <v>0</v>
      </c>
      <c r="M3087" t="n">
        <v>0</v>
      </c>
      <c r="N3087" t="n">
        <v>0</v>
      </c>
      <c r="O3087" t="n">
        <v>0</v>
      </c>
      <c r="P3087" t="n">
        <v>0</v>
      </c>
      <c r="Q3087" t="n">
        <v>0</v>
      </c>
      <c r="R3087" s="2" t="inlineStr"/>
    </row>
    <row r="3088" ht="15" customHeight="1">
      <c r="A3088" t="inlineStr">
        <is>
          <t>A 2009-2025</t>
        </is>
      </c>
      <c r="B3088" s="1" t="n">
        <v>45672</v>
      </c>
      <c r="C3088" s="1" t="n">
        <v>45828</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2195-2025</t>
        </is>
      </c>
      <c r="B3089" s="1" t="n">
        <v>45673</v>
      </c>
      <c r="C3089" s="1" t="n">
        <v>45828</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2199-2025</t>
        </is>
      </c>
      <c r="B3090" s="1" t="n">
        <v>45673</v>
      </c>
      <c r="C3090" s="1" t="n">
        <v>45828</v>
      </c>
      <c r="D3090" t="inlineStr">
        <is>
          <t>VÄRMLANDS LÄN</t>
        </is>
      </c>
      <c r="E3090" t="inlineStr">
        <is>
          <t>TORSBY</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2390-2025</t>
        </is>
      </c>
      <c r="B3091" s="1" t="n">
        <v>45674</v>
      </c>
      <c r="C3091" s="1" t="n">
        <v>45828</v>
      </c>
      <c r="D3091" t="inlineStr">
        <is>
          <t>VÄRMLANDS LÄN</t>
        </is>
      </c>
      <c r="E3091" t="inlineStr">
        <is>
          <t>TORSBY</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2506-2025</t>
        </is>
      </c>
      <c r="B3092" s="1" t="n">
        <v>45674</v>
      </c>
      <c r="C3092" s="1" t="n">
        <v>45828</v>
      </c>
      <c r="D3092" t="inlineStr">
        <is>
          <t>VÄRMLANDS LÄN</t>
        </is>
      </c>
      <c r="E3092" t="inlineStr">
        <is>
          <t>TORSBY</t>
        </is>
      </c>
      <c r="F3092" t="inlineStr">
        <is>
          <t>Bergvik skog väst AB</t>
        </is>
      </c>
      <c r="G3092" t="n">
        <v>19.2</v>
      </c>
      <c r="H3092" t="n">
        <v>0</v>
      </c>
      <c r="I3092" t="n">
        <v>0</v>
      </c>
      <c r="J3092" t="n">
        <v>0</v>
      </c>
      <c r="K3092" t="n">
        <v>0</v>
      </c>
      <c r="L3092" t="n">
        <v>0</v>
      </c>
      <c r="M3092" t="n">
        <v>0</v>
      </c>
      <c r="N3092" t="n">
        <v>0</v>
      </c>
      <c r="O3092" t="n">
        <v>0</v>
      </c>
      <c r="P3092" t="n">
        <v>0</v>
      </c>
      <c r="Q3092" t="n">
        <v>0</v>
      </c>
      <c r="R3092" s="2" t="inlineStr"/>
    </row>
    <row r="3093" ht="15" customHeight="1">
      <c r="A3093" t="inlineStr">
        <is>
          <t>A 2504-2025</t>
        </is>
      </c>
      <c r="B3093" s="1" t="n">
        <v>45674</v>
      </c>
      <c r="C3093" s="1" t="n">
        <v>45828</v>
      </c>
      <c r="D3093" t="inlineStr">
        <is>
          <t>VÄRMLANDS LÄN</t>
        </is>
      </c>
      <c r="E3093" t="inlineStr">
        <is>
          <t>TORSBY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2387-2025</t>
        </is>
      </c>
      <c r="B3094" s="1" t="n">
        <v>45674</v>
      </c>
      <c r="C3094" s="1" t="n">
        <v>45828</v>
      </c>
      <c r="D3094" t="inlineStr">
        <is>
          <t>VÄRMLANDS LÄN</t>
        </is>
      </c>
      <c r="E3094" t="inlineStr">
        <is>
          <t>TORSBY</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2616-2025</t>
        </is>
      </c>
      <c r="B3095" s="1" t="n">
        <v>45675</v>
      </c>
      <c r="C3095" s="1" t="n">
        <v>45828</v>
      </c>
      <c r="D3095" t="inlineStr">
        <is>
          <t>VÄRMLANDS LÄN</t>
        </is>
      </c>
      <c r="E3095" t="inlineStr">
        <is>
          <t>TORSBY</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2788-2025</t>
        </is>
      </c>
      <c r="B3096" s="1" t="n">
        <v>45677</v>
      </c>
      <c r="C3096" s="1" t="n">
        <v>45828</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2803-2025</t>
        </is>
      </c>
      <c r="B3097" s="1" t="n">
        <v>45677</v>
      </c>
      <c r="C3097" s="1" t="n">
        <v>45828</v>
      </c>
      <c r="D3097" t="inlineStr">
        <is>
          <t>VÄRMLANDS LÄN</t>
        </is>
      </c>
      <c r="E3097" t="inlineStr">
        <is>
          <t>TORSBY</t>
        </is>
      </c>
      <c r="F3097" t="inlineStr">
        <is>
          <t>Bergvik skog väst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2807-2025</t>
        </is>
      </c>
      <c r="B3098" s="1" t="n">
        <v>45677</v>
      </c>
      <c r="C3098" s="1" t="n">
        <v>45828</v>
      </c>
      <c r="D3098" t="inlineStr">
        <is>
          <t>VÄRMLANDS LÄN</t>
        </is>
      </c>
      <c r="E3098" t="inlineStr">
        <is>
          <t>TORSBY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2797-2025</t>
        </is>
      </c>
      <c r="B3099" s="1" t="n">
        <v>45677</v>
      </c>
      <c r="C3099" s="1" t="n">
        <v>45828</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3036-2025</t>
        </is>
      </c>
      <c r="B3100" s="1" t="n">
        <v>45678</v>
      </c>
      <c r="C3100" s="1" t="n">
        <v>45828</v>
      </c>
      <c r="D3100" t="inlineStr">
        <is>
          <t>VÄRMLANDS LÄN</t>
        </is>
      </c>
      <c r="E3100" t="inlineStr">
        <is>
          <t>TORSBY</t>
        </is>
      </c>
      <c r="G3100" t="n">
        <v>15.4</v>
      </c>
      <c r="H3100" t="n">
        <v>0</v>
      </c>
      <c r="I3100" t="n">
        <v>0</v>
      </c>
      <c r="J3100" t="n">
        <v>0</v>
      </c>
      <c r="K3100" t="n">
        <v>0</v>
      </c>
      <c r="L3100" t="n">
        <v>0</v>
      </c>
      <c r="M3100" t="n">
        <v>0</v>
      </c>
      <c r="N3100" t="n">
        <v>0</v>
      </c>
      <c r="O3100" t="n">
        <v>0</v>
      </c>
      <c r="P3100" t="n">
        <v>0</v>
      </c>
      <c r="Q3100" t="n">
        <v>0</v>
      </c>
      <c r="R3100" s="2" t="inlineStr"/>
    </row>
    <row r="3101" ht="15" customHeight="1">
      <c r="A3101" t="inlineStr">
        <is>
          <t>A 2981-2025</t>
        </is>
      </c>
      <c r="B3101" s="1" t="n">
        <v>45678</v>
      </c>
      <c r="C3101" s="1" t="n">
        <v>45828</v>
      </c>
      <c r="D3101" t="inlineStr">
        <is>
          <t>VÄRMLANDS LÄN</t>
        </is>
      </c>
      <c r="E3101" t="inlineStr">
        <is>
          <t>TORSBY</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3269-2025</t>
        </is>
      </c>
      <c r="B3102" s="1" t="n">
        <v>45679</v>
      </c>
      <c r="C3102" s="1" t="n">
        <v>45828</v>
      </c>
      <c r="D3102" t="inlineStr">
        <is>
          <t>VÄRMLANDS LÄN</t>
        </is>
      </c>
      <c r="E3102" t="inlineStr">
        <is>
          <t>TORSBY</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3350-2025</t>
        </is>
      </c>
      <c r="B3103" s="1" t="n">
        <v>45679</v>
      </c>
      <c r="C3103" s="1" t="n">
        <v>45828</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3226-2025</t>
        </is>
      </c>
      <c r="B3104" s="1" t="n">
        <v>45679</v>
      </c>
      <c r="C3104" s="1" t="n">
        <v>45828</v>
      </c>
      <c r="D3104" t="inlineStr">
        <is>
          <t>VÄRMLANDS LÄN</t>
        </is>
      </c>
      <c r="E3104" t="inlineStr">
        <is>
          <t>TORSBY</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3223-2025</t>
        </is>
      </c>
      <c r="B3105" s="1" t="n">
        <v>45679</v>
      </c>
      <c r="C3105" s="1" t="n">
        <v>45828</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3507-2025</t>
        </is>
      </c>
      <c r="B3106" s="1" t="n">
        <v>45680</v>
      </c>
      <c r="C3106" s="1" t="n">
        <v>45828</v>
      </c>
      <c r="D3106" t="inlineStr">
        <is>
          <t>VÄRMLANDS LÄN</t>
        </is>
      </c>
      <c r="E3106" t="inlineStr">
        <is>
          <t>TORSBY</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3511-2025</t>
        </is>
      </c>
      <c r="B3107" s="1" t="n">
        <v>45680</v>
      </c>
      <c r="C3107" s="1" t="n">
        <v>45828</v>
      </c>
      <c r="D3107" t="inlineStr">
        <is>
          <t>VÄRMLANDS LÄN</t>
        </is>
      </c>
      <c r="E3107" t="inlineStr">
        <is>
          <t>TORSBY</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3541-2025</t>
        </is>
      </c>
      <c r="B3108" s="1" t="n">
        <v>45680</v>
      </c>
      <c r="C3108" s="1" t="n">
        <v>45828</v>
      </c>
      <c r="D3108" t="inlineStr">
        <is>
          <t>VÄRMLANDS LÄN</t>
        </is>
      </c>
      <c r="E3108" t="inlineStr">
        <is>
          <t>TORSBY</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3441-2025</t>
        </is>
      </c>
      <c r="B3109" s="1" t="n">
        <v>45680</v>
      </c>
      <c r="C3109" s="1" t="n">
        <v>45828</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3387-2025</t>
        </is>
      </c>
      <c r="B3110" s="1" t="n">
        <v>45680</v>
      </c>
      <c r="C3110" s="1" t="n">
        <v>45828</v>
      </c>
      <c r="D3110" t="inlineStr">
        <is>
          <t>VÄRMLANDS LÄN</t>
        </is>
      </c>
      <c r="E3110" t="inlineStr">
        <is>
          <t>TORSBY</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3442-2025</t>
        </is>
      </c>
      <c r="B3111" s="1" t="n">
        <v>45680</v>
      </c>
      <c r="C3111" s="1" t="n">
        <v>45828</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3409-2025</t>
        </is>
      </c>
      <c r="B3112" s="1" t="n">
        <v>45680</v>
      </c>
      <c r="C3112" s="1" t="n">
        <v>45828</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3951-2025</t>
        </is>
      </c>
      <c r="B3113" s="1" t="n">
        <v>45684</v>
      </c>
      <c r="C3113" s="1" t="n">
        <v>45828</v>
      </c>
      <c r="D3113" t="inlineStr">
        <is>
          <t>VÄRMLANDS LÄN</t>
        </is>
      </c>
      <c r="E3113" t="inlineStr">
        <is>
          <t>TORSBY</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3864-2025</t>
        </is>
      </c>
      <c r="B3114" s="1" t="n">
        <v>45684</v>
      </c>
      <c r="C3114" s="1" t="n">
        <v>45828</v>
      </c>
      <c r="D3114" t="inlineStr">
        <is>
          <t>VÄRMLANDS LÄN</t>
        </is>
      </c>
      <c r="E3114" t="inlineStr">
        <is>
          <t>TORSBY</t>
        </is>
      </c>
      <c r="F3114" t="inlineStr">
        <is>
          <t>Bergvik skog väst AB</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3904-2025</t>
        </is>
      </c>
      <c r="B3115" s="1" t="n">
        <v>45684</v>
      </c>
      <c r="C3115" s="1" t="n">
        <v>45828</v>
      </c>
      <c r="D3115" t="inlineStr">
        <is>
          <t>VÄRMLANDS LÄN</t>
        </is>
      </c>
      <c r="E3115" t="inlineStr">
        <is>
          <t>TORSBY</t>
        </is>
      </c>
      <c r="F3115" t="inlineStr">
        <is>
          <t>Övriga statliga verk och myndigheter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4302-2025</t>
        </is>
      </c>
      <c r="B3116" s="1" t="n">
        <v>45685</v>
      </c>
      <c r="C3116" s="1" t="n">
        <v>45828</v>
      </c>
      <c r="D3116" t="inlineStr">
        <is>
          <t>VÄRMLANDS LÄN</t>
        </is>
      </c>
      <c r="E3116" t="inlineStr">
        <is>
          <t>TORSBY</t>
        </is>
      </c>
      <c r="F3116" t="inlineStr">
        <is>
          <t>Kommuner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4342-2025</t>
        </is>
      </c>
      <c r="B3117" s="1" t="n">
        <v>45685</v>
      </c>
      <c r="C3117" s="1" t="n">
        <v>45828</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4516-2025</t>
        </is>
      </c>
      <c r="B3118" s="1" t="n">
        <v>45686</v>
      </c>
      <c r="C3118" s="1" t="n">
        <v>45828</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4470-2025</t>
        </is>
      </c>
      <c r="B3119" s="1" t="n">
        <v>45686</v>
      </c>
      <c r="C3119" s="1" t="n">
        <v>45828</v>
      </c>
      <c r="D3119" t="inlineStr">
        <is>
          <t>VÄRMLANDS LÄN</t>
        </is>
      </c>
      <c r="E3119" t="inlineStr">
        <is>
          <t>TORSBY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4517-2025</t>
        </is>
      </c>
      <c r="B3120" s="1" t="n">
        <v>45686</v>
      </c>
      <c r="C3120" s="1" t="n">
        <v>45828</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4578-2025</t>
        </is>
      </c>
      <c r="B3121" s="1" t="n">
        <v>45687</v>
      </c>
      <c r="C3121" s="1" t="n">
        <v>45828</v>
      </c>
      <c r="D3121" t="inlineStr">
        <is>
          <t>VÄRMLANDS LÄN</t>
        </is>
      </c>
      <c r="E3121" t="inlineStr">
        <is>
          <t>TORSBY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4537-2025</t>
        </is>
      </c>
      <c r="B3122" s="1" t="n">
        <v>45687</v>
      </c>
      <c r="C3122" s="1" t="n">
        <v>45828</v>
      </c>
      <c r="D3122" t="inlineStr">
        <is>
          <t>VÄRMLANDS LÄN</t>
        </is>
      </c>
      <c r="E3122" t="inlineStr">
        <is>
          <t>TORSBY</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4832-2025</t>
        </is>
      </c>
      <c r="B3123" s="1" t="n">
        <v>45688</v>
      </c>
      <c r="C3123" s="1" t="n">
        <v>45828</v>
      </c>
      <c r="D3123" t="inlineStr">
        <is>
          <t>VÄRMLANDS LÄN</t>
        </is>
      </c>
      <c r="E3123" t="inlineStr">
        <is>
          <t>TORSBY</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5052-2025</t>
        </is>
      </c>
      <c r="B3124" s="1" t="n">
        <v>45691</v>
      </c>
      <c r="C3124" s="1" t="n">
        <v>45828</v>
      </c>
      <c r="D3124" t="inlineStr">
        <is>
          <t>VÄRMLANDS LÄN</t>
        </is>
      </c>
      <c r="E3124" t="inlineStr">
        <is>
          <t>TORSBY</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5799-2025</t>
        </is>
      </c>
      <c r="B3125" s="1" t="n">
        <v>45694</v>
      </c>
      <c r="C3125" s="1" t="n">
        <v>45828</v>
      </c>
      <c r="D3125" t="inlineStr">
        <is>
          <t>VÄRMLANDS LÄN</t>
        </is>
      </c>
      <c r="E3125" t="inlineStr">
        <is>
          <t>TORSBY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5748-2025</t>
        </is>
      </c>
      <c r="B3126" s="1" t="n">
        <v>45694</v>
      </c>
      <c r="C3126" s="1" t="n">
        <v>45828</v>
      </c>
      <c r="D3126" t="inlineStr">
        <is>
          <t>VÄRMLANDS LÄN</t>
        </is>
      </c>
      <c r="E3126" t="inlineStr">
        <is>
          <t>TORSBY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6317-2025</t>
        </is>
      </c>
      <c r="B3127" s="1" t="n">
        <v>45698</v>
      </c>
      <c r="C3127" s="1" t="n">
        <v>45828</v>
      </c>
      <c r="D3127" t="inlineStr">
        <is>
          <t>VÄRMLANDS LÄN</t>
        </is>
      </c>
      <c r="E3127" t="inlineStr">
        <is>
          <t>TORSBY</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6529-2025</t>
        </is>
      </c>
      <c r="B3128" s="1" t="n">
        <v>45699</v>
      </c>
      <c r="C3128" s="1" t="n">
        <v>45828</v>
      </c>
      <c r="D3128" t="inlineStr">
        <is>
          <t>VÄRMLANDS LÄN</t>
        </is>
      </c>
      <c r="E3128" t="inlineStr">
        <is>
          <t>TORSBY</t>
        </is>
      </c>
      <c r="F3128" t="inlineStr">
        <is>
          <t>Kommuner</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6532-2025</t>
        </is>
      </c>
      <c r="B3129" s="1" t="n">
        <v>45699</v>
      </c>
      <c r="C3129" s="1" t="n">
        <v>45828</v>
      </c>
      <c r="D3129" t="inlineStr">
        <is>
          <t>VÄRMLANDS LÄN</t>
        </is>
      </c>
      <c r="E3129" t="inlineStr">
        <is>
          <t>TORSBY</t>
        </is>
      </c>
      <c r="F3129" t="inlineStr">
        <is>
          <t>Kommuner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6464-2025</t>
        </is>
      </c>
      <c r="B3130" s="1" t="n">
        <v>45699</v>
      </c>
      <c r="C3130" s="1" t="n">
        <v>45828</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6460-2025</t>
        </is>
      </c>
      <c r="B3131" s="1" t="n">
        <v>45699</v>
      </c>
      <c r="C3131" s="1" t="n">
        <v>45828</v>
      </c>
      <c r="D3131" t="inlineStr">
        <is>
          <t>VÄRMLANDS LÄN</t>
        </is>
      </c>
      <c r="E3131" t="inlineStr">
        <is>
          <t>TORSBY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6448-2025</t>
        </is>
      </c>
      <c r="B3132" s="1" t="n">
        <v>45699</v>
      </c>
      <c r="C3132" s="1" t="n">
        <v>45828</v>
      </c>
      <c r="D3132" t="inlineStr">
        <is>
          <t>VÄRMLANDS LÄN</t>
        </is>
      </c>
      <c r="E3132" t="inlineStr">
        <is>
          <t>TORSBY</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6534-2025</t>
        </is>
      </c>
      <c r="B3133" s="1" t="n">
        <v>45699</v>
      </c>
      <c r="C3133" s="1" t="n">
        <v>45828</v>
      </c>
      <c r="D3133" t="inlineStr">
        <is>
          <t>VÄRMLANDS LÄN</t>
        </is>
      </c>
      <c r="E3133" t="inlineStr">
        <is>
          <t>TORSBY</t>
        </is>
      </c>
      <c r="F3133" t="inlineStr">
        <is>
          <t>Kommuner</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6653-2025</t>
        </is>
      </c>
      <c r="B3134" s="1" t="n">
        <v>45700</v>
      </c>
      <c r="C3134" s="1" t="n">
        <v>45828</v>
      </c>
      <c r="D3134" t="inlineStr">
        <is>
          <t>VÄRMLANDS LÄN</t>
        </is>
      </c>
      <c r="E3134" t="inlineStr">
        <is>
          <t>TORSBY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6862-2025</t>
        </is>
      </c>
      <c r="B3135" s="1" t="n">
        <v>45700</v>
      </c>
      <c r="C3135" s="1" t="n">
        <v>45828</v>
      </c>
      <c r="D3135" t="inlineStr">
        <is>
          <t>VÄRMLANDS LÄN</t>
        </is>
      </c>
      <c r="E3135" t="inlineStr">
        <is>
          <t>TORSBY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6965-2025</t>
        </is>
      </c>
      <c r="B3136" s="1" t="n">
        <v>45701</v>
      </c>
      <c r="C3136" s="1" t="n">
        <v>45828</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7068-2025</t>
        </is>
      </c>
      <c r="B3137" s="1" t="n">
        <v>45701</v>
      </c>
      <c r="C3137" s="1" t="n">
        <v>45828</v>
      </c>
      <c r="D3137" t="inlineStr">
        <is>
          <t>VÄRMLANDS LÄN</t>
        </is>
      </c>
      <c r="E3137" t="inlineStr">
        <is>
          <t>TORSBY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6968-2025</t>
        </is>
      </c>
      <c r="B3138" s="1" t="n">
        <v>45701</v>
      </c>
      <c r="C3138" s="1" t="n">
        <v>45828</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7101-2025</t>
        </is>
      </c>
      <c r="B3139" s="1" t="n">
        <v>45701</v>
      </c>
      <c r="C3139" s="1" t="n">
        <v>45828</v>
      </c>
      <c r="D3139" t="inlineStr">
        <is>
          <t>VÄRMLANDS LÄN</t>
        </is>
      </c>
      <c r="E3139" t="inlineStr">
        <is>
          <t>TORSBY</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7065-2025</t>
        </is>
      </c>
      <c r="B3140" s="1" t="n">
        <v>45701</v>
      </c>
      <c r="C3140" s="1" t="n">
        <v>45828</v>
      </c>
      <c r="D3140" t="inlineStr">
        <is>
          <t>VÄRMLANDS LÄN</t>
        </is>
      </c>
      <c r="E3140" t="inlineStr">
        <is>
          <t>TORSBY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7214-2025</t>
        </is>
      </c>
      <c r="B3141" s="1" t="n">
        <v>45702</v>
      </c>
      <c r="C3141" s="1" t="n">
        <v>45828</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7215-2025</t>
        </is>
      </c>
      <c r="B3142" s="1" t="n">
        <v>45702</v>
      </c>
      <c r="C3142" s="1" t="n">
        <v>45828</v>
      </c>
      <c r="D3142" t="inlineStr">
        <is>
          <t>VÄRMLANDS LÄN</t>
        </is>
      </c>
      <c r="E3142" t="inlineStr">
        <is>
          <t>TORSBY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7178-2025</t>
        </is>
      </c>
      <c r="B3143" s="1" t="n">
        <v>45702</v>
      </c>
      <c r="C3143" s="1" t="n">
        <v>45828</v>
      </c>
      <c r="D3143" t="inlineStr">
        <is>
          <t>VÄRMLANDS LÄN</t>
        </is>
      </c>
      <c r="E3143" t="inlineStr">
        <is>
          <t>TORSBY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7643-2025</t>
        </is>
      </c>
      <c r="B3144" s="1" t="n">
        <v>45705</v>
      </c>
      <c r="C3144" s="1" t="n">
        <v>45828</v>
      </c>
      <c r="D3144" t="inlineStr">
        <is>
          <t>VÄRMLANDS LÄN</t>
        </is>
      </c>
      <c r="E3144" t="inlineStr">
        <is>
          <t>TORSBY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7378-2025</t>
        </is>
      </c>
      <c r="B3145" s="1" t="n">
        <v>45705</v>
      </c>
      <c r="C3145" s="1" t="n">
        <v>45828</v>
      </c>
      <c r="D3145" t="inlineStr">
        <is>
          <t>VÄRMLANDS LÄN</t>
        </is>
      </c>
      <c r="E3145" t="inlineStr">
        <is>
          <t>TORSBY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7420-2025</t>
        </is>
      </c>
      <c r="B3146" s="1" t="n">
        <v>45705</v>
      </c>
      <c r="C3146" s="1" t="n">
        <v>45828</v>
      </c>
      <c r="D3146" t="inlineStr">
        <is>
          <t>VÄRMLANDS LÄN</t>
        </is>
      </c>
      <c r="E3146" t="inlineStr">
        <is>
          <t>TORSBY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7829-2025</t>
        </is>
      </c>
      <c r="B3147" s="1" t="n">
        <v>45706</v>
      </c>
      <c r="C3147" s="1" t="n">
        <v>45828</v>
      </c>
      <c r="D3147" t="inlineStr">
        <is>
          <t>VÄRMLANDS LÄN</t>
        </is>
      </c>
      <c r="E3147" t="inlineStr">
        <is>
          <t>TORSBY</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8070-2025</t>
        </is>
      </c>
      <c r="B3148" s="1" t="n">
        <v>45707</v>
      </c>
      <c r="C3148" s="1" t="n">
        <v>45828</v>
      </c>
      <c r="D3148" t="inlineStr">
        <is>
          <t>VÄRMLANDS LÄN</t>
        </is>
      </c>
      <c r="E3148" t="inlineStr">
        <is>
          <t>TORSBY</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8018-2025</t>
        </is>
      </c>
      <c r="B3149" s="1" t="n">
        <v>45707</v>
      </c>
      <c r="C3149" s="1" t="n">
        <v>45828</v>
      </c>
      <c r="D3149" t="inlineStr">
        <is>
          <t>VÄRMLANDS LÄN</t>
        </is>
      </c>
      <c r="E3149" t="inlineStr">
        <is>
          <t>TORSBY</t>
        </is>
      </c>
      <c r="G3149" t="n">
        <v>22.6</v>
      </c>
      <c r="H3149" t="n">
        <v>0</v>
      </c>
      <c r="I3149" t="n">
        <v>0</v>
      </c>
      <c r="J3149" t="n">
        <v>0</v>
      </c>
      <c r="K3149" t="n">
        <v>0</v>
      </c>
      <c r="L3149" t="n">
        <v>0</v>
      </c>
      <c r="M3149" t="n">
        <v>0</v>
      </c>
      <c r="N3149" t="n">
        <v>0</v>
      </c>
      <c r="O3149" t="n">
        <v>0</v>
      </c>
      <c r="P3149" t="n">
        <v>0</v>
      </c>
      <c r="Q3149" t="n">
        <v>0</v>
      </c>
      <c r="R3149" s="2" t="inlineStr"/>
    </row>
    <row r="3150" ht="15" customHeight="1">
      <c r="A3150" t="inlineStr">
        <is>
          <t>A 8022-2025</t>
        </is>
      </c>
      <c r="B3150" s="1" t="n">
        <v>45707</v>
      </c>
      <c r="C3150" s="1" t="n">
        <v>45828</v>
      </c>
      <c r="D3150" t="inlineStr">
        <is>
          <t>VÄRMLANDS LÄN</t>
        </is>
      </c>
      <c r="E3150" t="inlineStr">
        <is>
          <t>TORSBY</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8025-2025</t>
        </is>
      </c>
      <c r="B3151" s="1" t="n">
        <v>45707</v>
      </c>
      <c r="C3151" s="1" t="n">
        <v>45828</v>
      </c>
      <c r="D3151" t="inlineStr">
        <is>
          <t>VÄRMLANDS LÄN</t>
        </is>
      </c>
      <c r="E3151" t="inlineStr">
        <is>
          <t>TORSBY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7907-2025</t>
        </is>
      </c>
      <c r="B3152" s="1" t="n">
        <v>45707</v>
      </c>
      <c r="C3152" s="1" t="n">
        <v>45828</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8197-2025</t>
        </is>
      </c>
      <c r="B3153" s="1" t="n">
        <v>45708</v>
      </c>
      <c r="C3153" s="1" t="n">
        <v>45828</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8188-2025</t>
        </is>
      </c>
      <c r="B3154" s="1" t="n">
        <v>45708</v>
      </c>
      <c r="C3154" s="1" t="n">
        <v>45828</v>
      </c>
      <c r="D3154" t="inlineStr">
        <is>
          <t>VÄRMLANDS LÄN</t>
        </is>
      </c>
      <c r="E3154" t="inlineStr">
        <is>
          <t>TORSBY</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8428-2025</t>
        </is>
      </c>
      <c r="B3155" s="1" t="n">
        <v>45709</v>
      </c>
      <c r="C3155" s="1" t="n">
        <v>45828</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8398-2025</t>
        </is>
      </c>
      <c r="B3156" s="1" t="n">
        <v>45709</v>
      </c>
      <c r="C3156" s="1" t="n">
        <v>45828</v>
      </c>
      <c r="D3156" t="inlineStr">
        <is>
          <t>VÄRMLANDS LÄN</t>
        </is>
      </c>
      <c r="E3156" t="inlineStr">
        <is>
          <t>TORSBY</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8685-2025</t>
        </is>
      </c>
      <c r="B3157" s="1" t="n">
        <v>45712</v>
      </c>
      <c r="C3157" s="1" t="n">
        <v>45828</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8979-2025</t>
        </is>
      </c>
      <c r="B3158" s="1" t="n">
        <v>45713</v>
      </c>
      <c r="C3158" s="1" t="n">
        <v>45828</v>
      </c>
      <c r="D3158" t="inlineStr">
        <is>
          <t>VÄRMLANDS LÄN</t>
        </is>
      </c>
      <c r="E3158" t="inlineStr">
        <is>
          <t>TORSBY</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9171-2025</t>
        </is>
      </c>
      <c r="B3159" s="1" t="n">
        <v>45713</v>
      </c>
      <c r="C3159" s="1" t="n">
        <v>45828</v>
      </c>
      <c r="D3159" t="inlineStr">
        <is>
          <t>VÄRMLANDS LÄN</t>
        </is>
      </c>
      <c r="E3159" t="inlineStr">
        <is>
          <t>TORSBY</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9226-2025</t>
        </is>
      </c>
      <c r="B3160" s="1" t="n">
        <v>45714</v>
      </c>
      <c r="C3160" s="1" t="n">
        <v>45828</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9286-2025</t>
        </is>
      </c>
      <c r="B3161" s="1" t="n">
        <v>45714</v>
      </c>
      <c r="C3161" s="1" t="n">
        <v>45828</v>
      </c>
      <c r="D3161" t="inlineStr">
        <is>
          <t>VÄRMLANDS LÄN</t>
        </is>
      </c>
      <c r="E3161" t="inlineStr">
        <is>
          <t>TORSBY</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9628-2025</t>
        </is>
      </c>
      <c r="B3162" s="1" t="n">
        <v>45714</v>
      </c>
      <c r="C3162" s="1" t="n">
        <v>45828</v>
      </c>
      <c r="D3162" t="inlineStr">
        <is>
          <t>VÄRMLANDS LÄN</t>
        </is>
      </c>
      <c r="E3162" t="inlineStr">
        <is>
          <t>TORSBY</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9729-2025</t>
        </is>
      </c>
      <c r="B3163" s="1" t="n">
        <v>45715</v>
      </c>
      <c r="C3163" s="1" t="n">
        <v>45828</v>
      </c>
      <c r="D3163" t="inlineStr">
        <is>
          <t>VÄRMLANDS LÄN</t>
        </is>
      </c>
      <c r="E3163" t="inlineStr">
        <is>
          <t>TORSBY</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9723-2025</t>
        </is>
      </c>
      <c r="B3164" s="1" t="n">
        <v>45715</v>
      </c>
      <c r="C3164" s="1" t="n">
        <v>45828</v>
      </c>
      <c r="D3164" t="inlineStr">
        <is>
          <t>VÄRMLANDS LÄN</t>
        </is>
      </c>
      <c r="E3164" t="inlineStr">
        <is>
          <t>TORSBY</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9704-2025</t>
        </is>
      </c>
      <c r="B3165" s="1" t="n">
        <v>45716</v>
      </c>
      <c r="C3165" s="1" t="n">
        <v>45828</v>
      </c>
      <c r="D3165" t="inlineStr">
        <is>
          <t>VÄRMLANDS LÄN</t>
        </is>
      </c>
      <c r="E3165" t="inlineStr">
        <is>
          <t>TORSBY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9942-2025</t>
        </is>
      </c>
      <c r="B3166" s="1" t="n">
        <v>45719</v>
      </c>
      <c r="C3166" s="1" t="n">
        <v>45828</v>
      </c>
      <c r="D3166" t="inlineStr">
        <is>
          <t>VÄRMLANDS LÄN</t>
        </is>
      </c>
      <c r="E3166" t="inlineStr">
        <is>
          <t>TORSBY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10006-2025</t>
        </is>
      </c>
      <c r="B3167" s="1" t="n">
        <v>45719</v>
      </c>
      <c r="C3167" s="1" t="n">
        <v>45828</v>
      </c>
      <c r="D3167" t="inlineStr">
        <is>
          <t>VÄRMLANDS LÄN</t>
        </is>
      </c>
      <c r="E3167" t="inlineStr">
        <is>
          <t>TORSBY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10023-2025</t>
        </is>
      </c>
      <c r="B3168" s="1" t="n">
        <v>45719</v>
      </c>
      <c r="C3168" s="1" t="n">
        <v>45828</v>
      </c>
      <c r="D3168" t="inlineStr">
        <is>
          <t>VÄRMLANDS LÄN</t>
        </is>
      </c>
      <c r="E3168" t="inlineStr">
        <is>
          <t>TORSBY</t>
        </is>
      </c>
      <c r="F3168" t="inlineStr">
        <is>
          <t>Bergvik skog väst AB</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10108-2025</t>
        </is>
      </c>
      <c r="B3169" s="1" t="n">
        <v>45719</v>
      </c>
      <c r="C3169" s="1" t="n">
        <v>45828</v>
      </c>
      <c r="D3169" t="inlineStr">
        <is>
          <t>VÄRMLANDS LÄN</t>
        </is>
      </c>
      <c r="E3169" t="inlineStr">
        <is>
          <t>TORSBY</t>
        </is>
      </c>
      <c r="F3169" t="inlineStr">
        <is>
          <t>Bergvik skog väst AB</t>
        </is>
      </c>
      <c r="G3169" t="n">
        <v>17.9</v>
      </c>
      <c r="H3169" t="n">
        <v>0</v>
      </c>
      <c r="I3169" t="n">
        <v>0</v>
      </c>
      <c r="J3169" t="n">
        <v>0</v>
      </c>
      <c r="K3169" t="n">
        <v>0</v>
      </c>
      <c r="L3169" t="n">
        <v>0</v>
      </c>
      <c r="M3169" t="n">
        <v>0</v>
      </c>
      <c r="N3169" t="n">
        <v>0</v>
      </c>
      <c r="O3169" t="n">
        <v>0</v>
      </c>
      <c r="P3169" t="n">
        <v>0</v>
      </c>
      <c r="Q3169" t="n">
        <v>0</v>
      </c>
      <c r="R3169" s="2" t="inlineStr"/>
    </row>
    <row r="3170" ht="15" customHeight="1">
      <c r="A3170" t="inlineStr">
        <is>
          <t>A 10292-2025</t>
        </is>
      </c>
      <c r="B3170" s="1" t="n">
        <v>45720</v>
      </c>
      <c r="C3170" s="1" t="n">
        <v>45828</v>
      </c>
      <c r="D3170" t="inlineStr">
        <is>
          <t>VÄRMLANDS LÄN</t>
        </is>
      </c>
      <c r="E3170" t="inlineStr">
        <is>
          <t>TORSBY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10342-2025</t>
        </is>
      </c>
      <c r="B3171" s="1" t="n">
        <v>45720</v>
      </c>
      <c r="C3171" s="1" t="n">
        <v>45828</v>
      </c>
      <c r="D3171" t="inlineStr">
        <is>
          <t>VÄRMLANDS LÄN</t>
        </is>
      </c>
      <c r="E3171" t="inlineStr">
        <is>
          <t>TORSBY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10329-2025</t>
        </is>
      </c>
      <c r="B3172" s="1" t="n">
        <v>45720</v>
      </c>
      <c r="C3172" s="1" t="n">
        <v>45828</v>
      </c>
      <c r="D3172" t="inlineStr">
        <is>
          <t>VÄRMLANDS LÄN</t>
        </is>
      </c>
      <c r="E3172" t="inlineStr">
        <is>
          <t>TORSBY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10288-2025</t>
        </is>
      </c>
      <c r="B3173" s="1" t="n">
        <v>45720</v>
      </c>
      <c r="C3173" s="1" t="n">
        <v>45828</v>
      </c>
      <c r="D3173" t="inlineStr">
        <is>
          <t>VÄRMLANDS LÄN</t>
        </is>
      </c>
      <c r="E3173" t="inlineStr">
        <is>
          <t>TORSBY</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10456-2025</t>
        </is>
      </c>
      <c r="B3174" s="1" t="n">
        <v>45720</v>
      </c>
      <c r="C3174" s="1" t="n">
        <v>45828</v>
      </c>
      <c r="D3174" t="inlineStr">
        <is>
          <t>VÄRMLANDS LÄN</t>
        </is>
      </c>
      <c r="E3174" t="inlineStr">
        <is>
          <t>TORSBY</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10343-2025</t>
        </is>
      </c>
      <c r="B3175" s="1" t="n">
        <v>45720</v>
      </c>
      <c r="C3175" s="1" t="n">
        <v>45828</v>
      </c>
      <c r="D3175" t="inlineStr">
        <is>
          <t>VÄRMLANDS LÄN</t>
        </is>
      </c>
      <c r="E3175" t="inlineStr">
        <is>
          <t>TORSBY</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10816-2025</t>
        </is>
      </c>
      <c r="B3176" s="1" t="n">
        <v>45722</v>
      </c>
      <c r="C3176" s="1" t="n">
        <v>45828</v>
      </c>
      <c r="D3176" t="inlineStr">
        <is>
          <t>VÄRMLANDS LÄN</t>
        </is>
      </c>
      <c r="E3176" t="inlineStr">
        <is>
          <t>TORSBY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10917-2025</t>
        </is>
      </c>
      <c r="B3177" s="1" t="n">
        <v>45722</v>
      </c>
      <c r="C3177" s="1" t="n">
        <v>45828</v>
      </c>
      <c r="D3177" t="inlineStr">
        <is>
          <t>VÄRMLANDS LÄN</t>
        </is>
      </c>
      <c r="E3177" t="inlineStr">
        <is>
          <t>TORSBY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10979-2025</t>
        </is>
      </c>
      <c r="B3178" s="1" t="n">
        <v>45723</v>
      </c>
      <c r="C3178" s="1" t="n">
        <v>45828</v>
      </c>
      <c r="D3178" t="inlineStr">
        <is>
          <t>VÄRMLANDS LÄN</t>
        </is>
      </c>
      <c r="E3178" t="inlineStr">
        <is>
          <t>TORSBY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11195-2025</t>
        </is>
      </c>
      <c r="B3179" s="1" t="n">
        <v>45725</v>
      </c>
      <c r="C3179" s="1" t="n">
        <v>45828</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11395-2025</t>
        </is>
      </c>
      <c r="B3180" s="1" t="n">
        <v>45726</v>
      </c>
      <c r="C3180" s="1" t="n">
        <v>45828</v>
      </c>
      <c r="D3180" t="inlineStr">
        <is>
          <t>VÄRMLANDS LÄN</t>
        </is>
      </c>
      <c r="E3180" t="inlineStr">
        <is>
          <t>TORSBY</t>
        </is>
      </c>
      <c r="G3180" t="n">
        <v>25.3</v>
      </c>
      <c r="H3180" t="n">
        <v>0</v>
      </c>
      <c r="I3180" t="n">
        <v>0</v>
      </c>
      <c r="J3180" t="n">
        <v>0</v>
      </c>
      <c r="K3180" t="n">
        <v>0</v>
      </c>
      <c r="L3180" t="n">
        <v>0</v>
      </c>
      <c r="M3180" t="n">
        <v>0</v>
      </c>
      <c r="N3180" t="n">
        <v>0</v>
      </c>
      <c r="O3180" t="n">
        <v>0</v>
      </c>
      <c r="P3180" t="n">
        <v>0</v>
      </c>
      <c r="Q3180" t="n">
        <v>0</v>
      </c>
      <c r="R3180" s="2" t="inlineStr"/>
    </row>
    <row r="3181" ht="15" customHeight="1">
      <c r="A3181" t="inlineStr">
        <is>
          <t>A 11406-2025</t>
        </is>
      </c>
      <c r="B3181" s="1" t="n">
        <v>45726</v>
      </c>
      <c r="C3181" s="1" t="n">
        <v>45828</v>
      </c>
      <c r="D3181" t="inlineStr">
        <is>
          <t>VÄRMLANDS LÄN</t>
        </is>
      </c>
      <c r="E3181" t="inlineStr">
        <is>
          <t>TORSBY</t>
        </is>
      </c>
      <c r="G3181" t="n">
        <v>29.3</v>
      </c>
      <c r="H3181" t="n">
        <v>0</v>
      </c>
      <c r="I3181" t="n">
        <v>0</v>
      </c>
      <c r="J3181" t="n">
        <v>0</v>
      </c>
      <c r="K3181" t="n">
        <v>0</v>
      </c>
      <c r="L3181" t="n">
        <v>0</v>
      </c>
      <c r="M3181" t="n">
        <v>0</v>
      </c>
      <c r="N3181" t="n">
        <v>0</v>
      </c>
      <c r="O3181" t="n">
        <v>0</v>
      </c>
      <c r="P3181" t="n">
        <v>0</v>
      </c>
      <c r="Q3181" t="n">
        <v>0</v>
      </c>
      <c r="R3181" s="2" t="inlineStr"/>
    </row>
    <row r="3182" ht="15" customHeight="1">
      <c r="A3182" t="inlineStr">
        <is>
          <t>A 11427-2025</t>
        </is>
      </c>
      <c r="B3182" s="1" t="n">
        <v>45726</v>
      </c>
      <c r="C3182" s="1" t="n">
        <v>45828</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11431-2025</t>
        </is>
      </c>
      <c r="B3183" s="1" t="n">
        <v>45726</v>
      </c>
      <c r="C3183" s="1" t="n">
        <v>45828</v>
      </c>
      <c r="D3183" t="inlineStr">
        <is>
          <t>VÄRMLANDS LÄN</t>
        </is>
      </c>
      <c r="E3183" t="inlineStr">
        <is>
          <t>TORSBY</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11670-2025</t>
        </is>
      </c>
      <c r="B3184" s="1" t="n">
        <v>45727</v>
      </c>
      <c r="C3184" s="1" t="n">
        <v>45828</v>
      </c>
      <c r="D3184" t="inlineStr">
        <is>
          <t>VÄRMLANDS LÄN</t>
        </is>
      </c>
      <c r="E3184" t="inlineStr">
        <is>
          <t>TORSBY</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11569-2025</t>
        </is>
      </c>
      <c r="B3185" s="1" t="n">
        <v>45727</v>
      </c>
      <c r="C3185" s="1" t="n">
        <v>45828</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11581-2025</t>
        </is>
      </c>
      <c r="B3186" s="1" t="n">
        <v>45727</v>
      </c>
      <c r="C3186" s="1" t="n">
        <v>45828</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11672-2025</t>
        </is>
      </c>
      <c r="B3187" s="1" t="n">
        <v>45727</v>
      </c>
      <c r="C3187" s="1" t="n">
        <v>45828</v>
      </c>
      <c r="D3187" t="inlineStr">
        <is>
          <t>VÄRMLANDS LÄN</t>
        </is>
      </c>
      <c r="E3187" t="inlineStr">
        <is>
          <t>TORSBY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11677-2025</t>
        </is>
      </c>
      <c r="B3188" s="1" t="n">
        <v>45727</v>
      </c>
      <c r="C3188" s="1" t="n">
        <v>45828</v>
      </c>
      <c r="D3188" t="inlineStr">
        <is>
          <t>VÄRMLANDS LÄN</t>
        </is>
      </c>
      <c r="E3188" t="inlineStr">
        <is>
          <t>TORSBY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11842-2025</t>
        </is>
      </c>
      <c r="B3189" s="1" t="n">
        <v>45728</v>
      </c>
      <c r="C3189" s="1" t="n">
        <v>45828</v>
      </c>
      <c r="D3189" t="inlineStr">
        <is>
          <t>VÄRMLANDS LÄN</t>
        </is>
      </c>
      <c r="E3189" t="inlineStr">
        <is>
          <t>TORSBY</t>
        </is>
      </c>
      <c r="F3189" t="inlineStr">
        <is>
          <t>Bergvik skog väst AB</t>
        </is>
      </c>
      <c r="G3189" t="n">
        <v>32.1</v>
      </c>
      <c r="H3189" t="n">
        <v>0</v>
      </c>
      <c r="I3189" t="n">
        <v>0</v>
      </c>
      <c r="J3189" t="n">
        <v>0</v>
      </c>
      <c r="K3189" t="n">
        <v>0</v>
      </c>
      <c r="L3189" t="n">
        <v>0</v>
      </c>
      <c r="M3189" t="n">
        <v>0</v>
      </c>
      <c r="N3189" t="n">
        <v>0</v>
      </c>
      <c r="O3189" t="n">
        <v>0</v>
      </c>
      <c r="P3189" t="n">
        <v>0</v>
      </c>
      <c r="Q3189" t="n">
        <v>0</v>
      </c>
      <c r="R3189" s="2" t="inlineStr"/>
    </row>
    <row r="3190" ht="15" customHeight="1">
      <c r="A3190" t="inlineStr">
        <is>
          <t>A 11872-2025</t>
        </is>
      </c>
      <c r="B3190" s="1" t="n">
        <v>45728</v>
      </c>
      <c r="C3190" s="1" t="n">
        <v>45828</v>
      </c>
      <c r="D3190" t="inlineStr">
        <is>
          <t>VÄRMLANDS LÄN</t>
        </is>
      </c>
      <c r="E3190" t="inlineStr">
        <is>
          <t>TORSBY</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11868-2025</t>
        </is>
      </c>
      <c r="B3191" s="1" t="n">
        <v>45728</v>
      </c>
      <c r="C3191" s="1" t="n">
        <v>45828</v>
      </c>
      <c r="D3191" t="inlineStr">
        <is>
          <t>VÄRMLANDS LÄN</t>
        </is>
      </c>
      <c r="E3191" t="inlineStr">
        <is>
          <t>TORSBY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11963-2025</t>
        </is>
      </c>
      <c r="B3192" s="1" t="n">
        <v>45728</v>
      </c>
      <c r="C3192" s="1" t="n">
        <v>45828</v>
      </c>
      <c r="D3192" t="inlineStr">
        <is>
          <t>VÄRMLANDS LÄN</t>
        </is>
      </c>
      <c r="E3192" t="inlineStr">
        <is>
          <t>TORSBY</t>
        </is>
      </c>
      <c r="G3192" t="n">
        <v>23.4</v>
      </c>
      <c r="H3192" t="n">
        <v>0</v>
      </c>
      <c r="I3192" t="n">
        <v>0</v>
      </c>
      <c r="J3192" t="n">
        <v>0</v>
      </c>
      <c r="K3192" t="n">
        <v>0</v>
      </c>
      <c r="L3192" t="n">
        <v>0</v>
      </c>
      <c r="M3192" t="n">
        <v>0</v>
      </c>
      <c r="N3192" t="n">
        <v>0</v>
      </c>
      <c r="O3192" t="n">
        <v>0</v>
      </c>
      <c r="P3192" t="n">
        <v>0</v>
      </c>
      <c r="Q3192" t="n">
        <v>0</v>
      </c>
      <c r="R3192" s="2" t="inlineStr"/>
    </row>
    <row r="3193" ht="15" customHeight="1">
      <c r="A3193" t="inlineStr">
        <is>
          <t>A 12158-2025</t>
        </is>
      </c>
      <c r="B3193" s="1" t="n">
        <v>45729</v>
      </c>
      <c r="C3193" s="1" t="n">
        <v>45828</v>
      </c>
      <c r="D3193" t="inlineStr">
        <is>
          <t>VÄRMLANDS LÄN</t>
        </is>
      </c>
      <c r="E3193" t="inlineStr">
        <is>
          <t>TORSBY</t>
        </is>
      </c>
      <c r="F3193" t="inlineStr">
        <is>
          <t>Övriga statliga verk och myndigheter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12163-2025</t>
        </is>
      </c>
      <c r="B3194" s="1" t="n">
        <v>45729</v>
      </c>
      <c r="C3194" s="1" t="n">
        <v>45828</v>
      </c>
      <c r="D3194" t="inlineStr">
        <is>
          <t>VÄRMLANDS LÄN</t>
        </is>
      </c>
      <c r="E3194" t="inlineStr">
        <is>
          <t>TORSBY</t>
        </is>
      </c>
      <c r="F3194" t="inlineStr">
        <is>
          <t>Övriga statliga verk och myndigheter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12528-2025</t>
        </is>
      </c>
      <c r="B3195" s="1" t="n">
        <v>45730</v>
      </c>
      <c r="C3195" s="1" t="n">
        <v>45828</v>
      </c>
      <c r="D3195" t="inlineStr">
        <is>
          <t>VÄRMLANDS LÄN</t>
        </is>
      </c>
      <c r="E3195" t="inlineStr">
        <is>
          <t>TORSBY</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12440-2025</t>
        </is>
      </c>
      <c r="B3196" s="1" t="n">
        <v>45730</v>
      </c>
      <c r="C3196" s="1" t="n">
        <v>45828</v>
      </c>
      <c r="D3196" t="inlineStr">
        <is>
          <t>VÄRMLANDS LÄN</t>
        </is>
      </c>
      <c r="E3196" t="inlineStr">
        <is>
          <t>TORSBY</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12402-2025</t>
        </is>
      </c>
      <c r="B3197" s="1" t="n">
        <v>45730</v>
      </c>
      <c r="C3197" s="1" t="n">
        <v>45828</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12554-2025</t>
        </is>
      </c>
      <c r="B3198" s="1" t="n">
        <v>45731</v>
      </c>
      <c r="C3198" s="1" t="n">
        <v>45828</v>
      </c>
      <c r="D3198" t="inlineStr">
        <is>
          <t>VÄRMLANDS LÄN</t>
        </is>
      </c>
      <c r="E3198" t="inlineStr">
        <is>
          <t>TORSBY</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12556-2025</t>
        </is>
      </c>
      <c r="B3199" s="1" t="n">
        <v>45731</v>
      </c>
      <c r="C3199" s="1" t="n">
        <v>45828</v>
      </c>
      <c r="D3199" t="inlineStr">
        <is>
          <t>VÄRMLANDS LÄN</t>
        </is>
      </c>
      <c r="E3199" t="inlineStr">
        <is>
          <t>TORSBY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12574-2025</t>
        </is>
      </c>
      <c r="B3200" s="1" t="n">
        <v>45732</v>
      </c>
      <c r="C3200" s="1" t="n">
        <v>45828</v>
      </c>
      <c r="D3200" t="inlineStr">
        <is>
          <t>VÄRMLANDS LÄN</t>
        </is>
      </c>
      <c r="E3200" t="inlineStr">
        <is>
          <t>TORSBY</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13006-2025</t>
        </is>
      </c>
      <c r="B3201" s="1" t="n">
        <v>45734</v>
      </c>
      <c r="C3201" s="1" t="n">
        <v>45828</v>
      </c>
      <c r="D3201" t="inlineStr">
        <is>
          <t>VÄRMLANDS LÄN</t>
        </is>
      </c>
      <c r="E3201" t="inlineStr">
        <is>
          <t>TORSBY</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12959-2025</t>
        </is>
      </c>
      <c r="B3202" s="1" t="n">
        <v>45734</v>
      </c>
      <c r="C3202" s="1" t="n">
        <v>45828</v>
      </c>
      <c r="D3202" t="inlineStr">
        <is>
          <t>VÄRMLANDS LÄN</t>
        </is>
      </c>
      <c r="E3202" t="inlineStr">
        <is>
          <t>TORSBY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12948-2025</t>
        </is>
      </c>
      <c r="B3203" s="1" t="n">
        <v>45734</v>
      </c>
      <c r="C3203" s="1" t="n">
        <v>45828</v>
      </c>
      <c r="D3203" t="inlineStr">
        <is>
          <t>VÄRMLANDS LÄN</t>
        </is>
      </c>
      <c r="E3203" t="inlineStr">
        <is>
          <t>TORSBY</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13166-2025</t>
        </is>
      </c>
      <c r="B3204" s="1" t="n">
        <v>45735</v>
      </c>
      <c r="C3204" s="1" t="n">
        <v>45828</v>
      </c>
      <c r="D3204" t="inlineStr">
        <is>
          <t>VÄRMLANDS LÄN</t>
        </is>
      </c>
      <c r="E3204" t="inlineStr">
        <is>
          <t>TORSBY</t>
        </is>
      </c>
      <c r="F3204" t="inlineStr">
        <is>
          <t>Bergvik skog väst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13189-2025</t>
        </is>
      </c>
      <c r="B3205" s="1" t="n">
        <v>45735</v>
      </c>
      <c r="C3205" s="1" t="n">
        <v>45828</v>
      </c>
      <c r="D3205" t="inlineStr">
        <is>
          <t>VÄRMLANDS LÄN</t>
        </is>
      </c>
      <c r="E3205" t="inlineStr">
        <is>
          <t>TORSBY</t>
        </is>
      </c>
      <c r="G3205" t="n">
        <v>15.4</v>
      </c>
      <c r="H3205" t="n">
        <v>0</v>
      </c>
      <c r="I3205" t="n">
        <v>0</v>
      </c>
      <c r="J3205" t="n">
        <v>0</v>
      </c>
      <c r="K3205" t="n">
        <v>0</v>
      </c>
      <c r="L3205" t="n">
        <v>0</v>
      </c>
      <c r="M3205" t="n">
        <v>0</v>
      </c>
      <c r="N3205" t="n">
        <v>0</v>
      </c>
      <c r="O3205" t="n">
        <v>0</v>
      </c>
      <c r="P3205" t="n">
        <v>0</v>
      </c>
      <c r="Q3205" t="n">
        <v>0</v>
      </c>
      <c r="R3205" s="2" t="inlineStr"/>
    </row>
    <row r="3206" ht="15" customHeight="1">
      <c r="A3206" t="inlineStr">
        <is>
          <t>A 13191-2025</t>
        </is>
      </c>
      <c r="B3206" s="1" t="n">
        <v>45735</v>
      </c>
      <c r="C3206" s="1" t="n">
        <v>45828</v>
      </c>
      <c r="D3206" t="inlineStr">
        <is>
          <t>VÄRMLANDS LÄN</t>
        </is>
      </c>
      <c r="E3206" t="inlineStr">
        <is>
          <t>TORSBY</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13285-2025</t>
        </is>
      </c>
      <c r="B3207" s="1" t="n">
        <v>45735</v>
      </c>
      <c r="C3207" s="1" t="n">
        <v>45828</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13924-2025</t>
        </is>
      </c>
      <c r="B3208" s="1" t="n">
        <v>45737</v>
      </c>
      <c r="C3208" s="1" t="n">
        <v>45828</v>
      </c>
      <c r="D3208" t="inlineStr">
        <is>
          <t>VÄRMLANDS LÄN</t>
        </is>
      </c>
      <c r="E3208" t="inlineStr">
        <is>
          <t>TORSBY</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13709-2025</t>
        </is>
      </c>
      <c r="B3209" s="1" t="n">
        <v>45737</v>
      </c>
      <c r="C3209" s="1" t="n">
        <v>45828</v>
      </c>
      <c r="D3209" t="inlineStr">
        <is>
          <t>VÄRMLANDS LÄN</t>
        </is>
      </c>
      <c r="E3209" t="inlineStr">
        <is>
          <t>TORSBY</t>
        </is>
      </c>
      <c r="F3209" t="inlineStr">
        <is>
          <t>Bergvik skog väst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13771-2025</t>
        </is>
      </c>
      <c r="B3210" s="1" t="n">
        <v>45737</v>
      </c>
      <c r="C3210" s="1" t="n">
        <v>45828</v>
      </c>
      <c r="D3210" t="inlineStr">
        <is>
          <t>VÄRMLANDS LÄN</t>
        </is>
      </c>
      <c r="E3210" t="inlineStr">
        <is>
          <t>TORSBY</t>
        </is>
      </c>
      <c r="G3210" t="n">
        <v>19.7</v>
      </c>
      <c r="H3210" t="n">
        <v>0</v>
      </c>
      <c r="I3210" t="n">
        <v>0</v>
      </c>
      <c r="J3210" t="n">
        <v>0</v>
      </c>
      <c r="K3210" t="n">
        <v>0</v>
      </c>
      <c r="L3210" t="n">
        <v>0</v>
      </c>
      <c r="M3210" t="n">
        <v>0</v>
      </c>
      <c r="N3210" t="n">
        <v>0</v>
      </c>
      <c r="O3210" t="n">
        <v>0</v>
      </c>
      <c r="P3210" t="n">
        <v>0</v>
      </c>
      <c r="Q3210" t="n">
        <v>0</v>
      </c>
      <c r="R3210" s="2" t="inlineStr"/>
    </row>
    <row r="3211" ht="15" customHeight="1">
      <c r="A3211" t="inlineStr">
        <is>
          <t>A 14025-2025</t>
        </is>
      </c>
      <c r="B3211" s="1" t="n">
        <v>45740</v>
      </c>
      <c r="C3211" s="1" t="n">
        <v>45828</v>
      </c>
      <c r="D3211" t="inlineStr">
        <is>
          <t>VÄRMLANDS LÄN</t>
        </is>
      </c>
      <c r="E3211" t="inlineStr">
        <is>
          <t>TORSBY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14026-2025</t>
        </is>
      </c>
      <c r="B3212" s="1" t="n">
        <v>45740</v>
      </c>
      <c r="C3212" s="1" t="n">
        <v>45828</v>
      </c>
      <c r="D3212" t="inlineStr">
        <is>
          <t>VÄRMLANDS LÄN</t>
        </is>
      </c>
      <c r="E3212" t="inlineStr">
        <is>
          <t>TORSBY</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14084-2025</t>
        </is>
      </c>
      <c r="B3213" s="1" t="n">
        <v>45740</v>
      </c>
      <c r="C3213" s="1" t="n">
        <v>45828</v>
      </c>
      <c r="D3213" t="inlineStr">
        <is>
          <t>VÄRMLANDS LÄN</t>
        </is>
      </c>
      <c r="E3213" t="inlineStr">
        <is>
          <t>TORSBY</t>
        </is>
      </c>
      <c r="F3213" t="inlineStr">
        <is>
          <t>Bergvik skog väst AB</t>
        </is>
      </c>
      <c r="G3213" t="n">
        <v>12.2</v>
      </c>
      <c r="H3213" t="n">
        <v>0</v>
      </c>
      <c r="I3213" t="n">
        <v>0</v>
      </c>
      <c r="J3213" t="n">
        <v>0</v>
      </c>
      <c r="K3213" t="n">
        <v>0</v>
      </c>
      <c r="L3213" t="n">
        <v>0</v>
      </c>
      <c r="M3213" t="n">
        <v>0</v>
      </c>
      <c r="N3213" t="n">
        <v>0</v>
      </c>
      <c r="O3213" t="n">
        <v>0</v>
      </c>
      <c r="P3213" t="n">
        <v>0</v>
      </c>
      <c r="Q3213" t="n">
        <v>0</v>
      </c>
      <c r="R3213" s="2" t="inlineStr"/>
    </row>
    <row r="3214" ht="15" customHeight="1">
      <c r="A3214" t="inlineStr">
        <is>
          <t>A 14023-2025</t>
        </is>
      </c>
      <c r="B3214" s="1" t="n">
        <v>45740</v>
      </c>
      <c r="C3214" s="1" t="n">
        <v>45828</v>
      </c>
      <c r="D3214" t="inlineStr">
        <is>
          <t>VÄRMLANDS LÄN</t>
        </is>
      </c>
      <c r="E3214" t="inlineStr">
        <is>
          <t>TORSBY</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14047-2025</t>
        </is>
      </c>
      <c r="B3215" s="1" t="n">
        <v>45740</v>
      </c>
      <c r="C3215" s="1" t="n">
        <v>45828</v>
      </c>
      <c r="D3215" t="inlineStr">
        <is>
          <t>VÄRMLANDS LÄN</t>
        </is>
      </c>
      <c r="E3215" t="inlineStr">
        <is>
          <t>TORSBY</t>
        </is>
      </c>
      <c r="F3215" t="inlineStr">
        <is>
          <t>Bergvik skog väst AB</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14062-2025</t>
        </is>
      </c>
      <c r="B3216" s="1" t="n">
        <v>45740</v>
      </c>
      <c r="C3216" s="1" t="n">
        <v>45828</v>
      </c>
      <c r="D3216" t="inlineStr">
        <is>
          <t>VÄRMLANDS LÄN</t>
        </is>
      </c>
      <c r="E3216" t="inlineStr">
        <is>
          <t>TORSBY</t>
        </is>
      </c>
      <c r="F3216" t="inlineStr">
        <is>
          <t>Bergvik skog väst AB</t>
        </is>
      </c>
      <c r="G3216" t="n">
        <v>41.1</v>
      </c>
      <c r="H3216" t="n">
        <v>0</v>
      </c>
      <c r="I3216" t="n">
        <v>0</v>
      </c>
      <c r="J3216" t="n">
        <v>0</v>
      </c>
      <c r="K3216" t="n">
        <v>0</v>
      </c>
      <c r="L3216" t="n">
        <v>0</v>
      </c>
      <c r="M3216" t="n">
        <v>0</v>
      </c>
      <c r="N3216" t="n">
        <v>0</v>
      </c>
      <c r="O3216" t="n">
        <v>0</v>
      </c>
      <c r="P3216" t="n">
        <v>0</v>
      </c>
      <c r="Q3216" t="n">
        <v>0</v>
      </c>
      <c r="R3216" s="2" t="inlineStr"/>
    </row>
    <row r="3217" ht="15" customHeight="1">
      <c r="A3217" t="inlineStr">
        <is>
          <t>A 14162-2025</t>
        </is>
      </c>
      <c r="B3217" s="1" t="n">
        <v>45740</v>
      </c>
      <c r="C3217" s="1" t="n">
        <v>45828</v>
      </c>
      <c r="D3217" t="inlineStr">
        <is>
          <t>VÄRMLANDS LÄN</t>
        </is>
      </c>
      <c r="E3217" t="inlineStr">
        <is>
          <t>TORSBY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14120-2025</t>
        </is>
      </c>
      <c r="B3218" s="1" t="n">
        <v>45740</v>
      </c>
      <c r="C3218" s="1" t="n">
        <v>45828</v>
      </c>
      <c r="D3218" t="inlineStr">
        <is>
          <t>VÄRMLANDS LÄN</t>
        </is>
      </c>
      <c r="E3218" t="inlineStr">
        <is>
          <t>TORSBY</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14301-2025</t>
        </is>
      </c>
      <c r="B3219" s="1" t="n">
        <v>45740</v>
      </c>
      <c r="C3219" s="1" t="n">
        <v>45828</v>
      </c>
      <c r="D3219" t="inlineStr">
        <is>
          <t>VÄRMLANDS LÄN</t>
        </is>
      </c>
      <c r="E3219" t="inlineStr">
        <is>
          <t>TORSBY</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14413-2025</t>
        </is>
      </c>
      <c r="B3220" s="1" t="n">
        <v>45741</v>
      </c>
      <c r="C3220" s="1" t="n">
        <v>45828</v>
      </c>
      <c r="D3220" t="inlineStr">
        <is>
          <t>VÄRMLANDS LÄN</t>
        </is>
      </c>
      <c r="E3220" t="inlineStr">
        <is>
          <t>TORSBY</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14367-2025</t>
        </is>
      </c>
      <c r="B3221" s="1" t="n">
        <v>45741</v>
      </c>
      <c r="C3221" s="1" t="n">
        <v>45828</v>
      </c>
      <c r="D3221" t="inlineStr">
        <is>
          <t>VÄRMLANDS LÄN</t>
        </is>
      </c>
      <c r="E3221" t="inlineStr">
        <is>
          <t>TORSBY</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14419-2025</t>
        </is>
      </c>
      <c r="B3222" s="1" t="n">
        <v>45741</v>
      </c>
      <c r="C3222" s="1" t="n">
        <v>45828</v>
      </c>
      <c r="D3222" t="inlineStr">
        <is>
          <t>VÄRMLANDS LÄN</t>
        </is>
      </c>
      <c r="E3222" t="inlineStr">
        <is>
          <t>TORSBY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14525-2025</t>
        </is>
      </c>
      <c r="B3223" s="1" t="n">
        <v>45741</v>
      </c>
      <c r="C3223" s="1" t="n">
        <v>45828</v>
      </c>
      <c r="D3223" t="inlineStr">
        <is>
          <t>VÄRMLANDS LÄN</t>
        </is>
      </c>
      <c r="E3223" t="inlineStr">
        <is>
          <t>TORSBY</t>
        </is>
      </c>
      <c r="F3223" t="inlineStr">
        <is>
          <t>Bergvik skog väst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14369-2025</t>
        </is>
      </c>
      <c r="B3224" s="1" t="n">
        <v>45741</v>
      </c>
      <c r="C3224" s="1" t="n">
        <v>45828</v>
      </c>
      <c r="D3224" t="inlineStr">
        <is>
          <t>VÄRMLANDS LÄN</t>
        </is>
      </c>
      <c r="E3224" t="inlineStr">
        <is>
          <t>TORSBY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14575-2025</t>
        </is>
      </c>
      <c r="B3225" s="1" t="n">
        <v>45742</v>
      </c>
      <c r="C3225" s="1" t="n">
        <v>45828</v>
      </c>
      <c r="D3225" t="inlineStr">
        <is>
          <t>VÄRMLANDS LÄN</t>
        </is>
      </c>
      <c r="E3225" t="inlineStr">
        <is>
          <t>TORSBY</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14613-2025</t>
        </is>
      </c>
      <c r="B3226" s="1" t="n">
        <v>45742</v>
      </c>
      <c r="C3226" s="1" t="n">
        <v>45828</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14614-2025</t>
        </is>
      </c>
      <c r="B3227" s="1" t="n">
        <v>45742</v>
      </c>
      <c r="C3227" s="1" t="n">
        <v>45828</v>
      </c>
      <c r="D3227" t="inlineStr">
        <is>
          <t>VÄRMLANDS LÄN</t>
        </is>
      </c>
      <c r="E3227" t="inlineStr">
        <is>
          <t>TORSBY</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15019-2025</t>
        </is>
      </c>
      <c r="B3228" s="1" t="n">
        <v>45743</v>
      </c>
      <c r="C3228" s="1" t="n">
        <v>45828</v>
      </c>
      <c r="D3228" t="inlineStr">
        <is>
          <t>VÄRMLANDS LÄN</t>
        </is>
      </c>
      <c r="E3228" t="inlineStr">
        <is>
          <t>TORSBY</t>
        </is>
      </c>
      <c r="F3228" t="inlineStr">
        <is>
          <t>Övriga statliga verk och myndigheter</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14967-2025</t>
        </is>
      </c>
      <c r="B3229" s="1" t="n">
        <v>45743</v>
      </c>
      <c r="C3229" s="1" t="n">
        <v>45828</v>
      </c>
      <c r="D3229" t="inlineStr">
        <is>
          <t>VÄRMLANDS LÄN</t>
        </is>
      </c>
      <c r="E3229" t="inlineStr">
        <is>
          <t>TORSBY</t>
        </is>
      </c>
      <c r="F3229" t="inlineStr">
        <is>
          <t>Bergvik skog väst AB</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14802-2025</t>
        </is>
      </c>
      <c r="B3230" s="1" t="n">
        <v>45743</v>
      </c>
      <c r="C3230" s="1" t="n">
        <v>45828</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14801-2025</t>
        </is>
      </c>
      <c r="B3231" s="1" t="n">
        <v>45743</v>
      </c>
      <c r="C3231" s="1" t="n">
        <v>45828</v>
      </c>
      <c r="D3231" t="inlineStr">
        <is>
          <t>VÄRMLANDS LÄN</t>
        </is>
      </c>
      <c r="E3231" t="inlineStr">
        <is>
          <t>TORSBY</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15170-2025</t>
        </is>
      </c>
      <c r="B3232" s="1" t="n">
        <v>45743</v>
      </c>
      <c r="C3232" s="1" t="n">
        <v>45828</v>
      </c>
      <c r="D3232" t="inlineStr">
        <is>
          <t>VÄRMLANDS LÄN</t>
        </is>
      </c>
      <c r="E3232" t="inlineStr">
        <is>
          <t>TORSBY</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15022-2025</t>
        </is>
      </c>
      <c r="B3233" s="1" t="n">
        <v>45743</v>
      </c>
      <c r="C3233" s="1" t="n">
        <v>45828</v>
      </c>
      <c r="D3233" t="inlineStr">
        <is>
          <t>VÄRMLANDS LÄN</t>
        </is>
      </c>
      <c r="E3233" t="inlineStr">
        <is>
          <t>TORSBY</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14800-2025</t>
        </is>
      </c>
      <c r="B3234" s="1" t="n">
        <v>45743</v>
      </c>
      <c r="C3234" s="1" t="n">
        <v>45828</v>
      </c>
      <c r="D3234" t="inlineStr">
        <is>
          <t>VÄRMLANDS LÄN</t>
        </is>
      </c>
      <c r="E3234" t="inlineStr">
        <is>
          <t>TORSBY</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15014-2025</t>
        </is>
      </c>
      <c r="B3235" s="1" t="n">
        <v>45743</v>
      </c>
      <c r="C3235" s="1" t="n">
        <v>45828</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15063-2025</t>
        </is>
      </c>
      <c r="B3236" s="1" t="n">
        <v>45743</v>
      </c>
      <c r="C3236" s="1" t="n">
        <v>45828</v>
      </c>
      <c r="D3236" t="inlineStr">
        <is>
          <t>VÄRMLANDS LÄN</t>
        </is>
      </c>
      <c r="E3236" t="inlineStr">
        <is>
          <t>TORSBY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15154-2025</t>
        </is>
      </c>
      <c r="B3237" s="1" t="n">
        <v>45744</v>
      </c>
      <c r="C3237" s="1" t="n">
        <v>45828</v>
      </c>
      <c r="D3237" t="inlineStr">
        <is>
          <t>VÄRMLANDS LÄN</t>
        </is>
      </c>
      <c r="E3237" t="inlineStr">
        <is>
          <t>TORSBY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15192-2025</t>
        </is>
      </c>
      <c r="B3238" s="1" t="n">
        <v>45744</v>
      </c>
      <c r="C3238" s="1" t="n">
        <v>45828</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15169-2025</t>
        </is>
      </c>
      <c r="B3239" s="1" t="n">
        <v>45744</v>
      </c>
      <c r="C3239" s="1" t="n">
        <v>45828</v>
      </c>
      <c r="D3239" t="inlineStr">
        <is>
          <t>VÄRMLANDS LÄN</t>
        </is>
      </c>
      <c r="E3239" t="inlineStr">
        <is>
          <t>TORSBY</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15398-2025</t>
        </is>
      </c>
      <c r="B3240" s="1" t="n">
        <v>45747</v>
      </c>
      <c r="C3240" s="1" t="n">
        <v>45828</v>
      </c>
      <c r="D3240" t="inlineStr">
        <is>
          <t>VÄRMLANDS LÄN</t>
        </is>
      </c>
      <c r="E3240" t="inlineStr">
        <is>
          <t>TORSBY</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15431-2025</t>
        </is>
      </c>
      <c r="B3241" s="1" t="n">
        <v>45747</v>
      </c>
      <c r="C3241" s="1" t="n">
        <v>45828</v>
      </c>
      <c r="D3241" t="inlineStr">
        <is>
          <t>VÄRMLANDS LÄN</t>
        </is>
      </c>
      <c r="E3241" t="inlineStr">
        <is>
          <t>TORSBY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15464-2025</t>
        </is>
      </c>
      <c r="B3242" s="1" t="n">
        <v>45747</v>
      </c>
      <c r="C3242" s="1" t="n">
        <v>45828</v>
      </c>
      <c r="D3242" t="inlineStr">
        <is>
          <t>VÄRMLANDS LÄN</t>
        </is>
      </c>
      <c r="E3242" t="inlineStr">
        <is>
          <t>TORSBY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15564-2025</t>
        </is>
      </c>
      <c r="B3243" s="1" t="n">
        <v>45747</v>
      </c>
      <c r="C3243" s="1" t="n">
        <v>45828</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15768-2025</t>
        </is>
      </c>
      <c r="B3244" s="1" t="n">
        <v>45748</v>
      </c>
      <c r="C3244" s="1" t="n">
        <v>45828</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15660-2025</t>
        </is>
      </c>
      <c r="B3245" s="1" t="n">
        <v>45748</v>
      </c>
      <c r="C3245" s="1" t="n">
        <v>45828</v>
      </c>
      <c r="D3245" t="inlineStr">
        <is>
          <t>VÄRMLANDS LÄN</t>
        </is>
      </c>
      <c r="E3245" t="inlineStr">
        <is>
          <t>TORSBY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15698-2025</t>
        </is>
      </c>
      <c r="B3246" s="1" t="n">
        <v>45748</v>
      </c>
      <c r="C3246" s="1" t="n">
        <v>45828</v>
      </c>
      <c r="D3246" t="inlineStr">
        <is>
          <t>VÄRMLANDS LÄN</t>
        </is>
      </c>
      <c r="E3246" t="inlineStr">
        <is>
          <t>TORSBY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15873-2025</t>
        </is>
      </c>
      <c r="B3247" s="1" t="n">
        <v>45749</v>
      </c>
      <c r="C3247" s="1" t="n">
        <v>45828</v>
      </c>
      <c r="D3247" t="inlineStr">
        <is>
          <t>VÄRMLANDS LÄN</t>
        </is>
      </c>
      <c r="E3247" t="inlineStr">
        <is>
          <t>TORSBY</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15931-2025</t>
        </is>
      </c>
      <c r="B3248" s="1" t="n">
        <v>45749</v>
      </c>
      <c r="C3248" s="1" t="n">
        <v>45828</v>
      </c>
      <c r="D3248" t="inlineStr">
        <is>
          <t>VÄRMLANDS LÄN</t>
        </is>
      </c>
      <c r="E3248" t="inlineStr">
        <is>
          <t>TORSBY</t>
        </is>
      </c>
      <c r="F3248" t="inlineStr">
        <is>
          <t>Bergvik skog väst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15959-2025</t>
        </is>
      </c>
      <c r="B3249" s="1" t="n">
        <v>45749</v>
      </c>
      <c r="C3249" s="1" t="n">
        <v>45828</v>
      </c>
      <c r="D3249" t="inlineStr">
        <is>
          <t>VÄRMLANDS LÄN</t>
        </is>
      </c>
      <c r="E3249" t="inlineStr">
        <is>
          <t>TORSBY</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15885-2025</t>
        </is>
      </c>
      <c r="B3250" s="1" t="n">
        <v>45749</v>
      </c>
      <c r="C3250" s="1" t="n">
        <v>45828</v>
      </c>
      <c r="D3250" t="inlineStr">
        <is>
          <t>VÄRMLANDS LÄN</t>
        </is>
      </c>
      <c r="E3250" t="inlineStr">
        <is>
          <t>TORSBY</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16017-2025</t>
        </is>
      </c>
      <c r="B3251" s="1" t="n">
        <v>45749</v>
      </c>
      <c r="C3251" s="1" t="n">
        <v>45828</v>
      </c>
      <c r="D3251" t="inlineStr">
        <is>
          <t>VÄRMLANDS LÄN</t>
        </is>
      </c>
      <c r="E3251" t="inlineStr">
        <is>
          <t>TORSBY</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16003-2025</t>
        </is>
      </c>
      <c r="B3252" s="1" t="n">
        <v>45749</v>
      </c>
      <c r="C3252" s="1" t="n">
        <v>45828</v>
      </c>
      <c r="D3252" t="inlineStr">
        <is>
          <t>VÄRMLANDS LÄN</t>
        </is>
      </c>
      <c r="E3252" t="inlineStr">
        <is>
          <t>TORSBY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16192-2025</t>
        </is>
      </c>
      <c r="B3253" s="1" t="n">
        <v>45750</v>
      </c>
      <c r="C3253" s="1" t="n">
        <v>45828</v>
      </c>
      <c r="D3253" t="inlineStr">
        <is>
          <t>VÄRMLANDS LÄN</t>
        </is>
      </c>
      <c r="E3253" t="inlineStr">
        <is>
          <t>TORSBY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16210-2025</t>
        </is>
      </c>
      <c r="B3254" s="1" t="n">
        <v>45750</v>
      </c>
      <c r="C3254" s="1" t="n">
        <v>45828</v>
      </c>
      <c r="D3254" t="inlineStr">
        <is>
          <t>VÄRMLANDS LÄN</t>
        </is>
      </c>
      <c r="E3254" t="inlineStr">
        <is>
          <t>TORSBY</t>
        </is>
      </c>
      <c r="F3254" t="inlineStr">
        <is>
          <t>Bergvik skog väst AB</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16222-2025</t>
        </is>
      </c>
      <c r="B3255" s="1" t="n">
        <v>45750</v>
      </c>
      <c r="C3255" s="1" t="n">
        <v>45828</v>
      </c>
      <c r="D3255" t="inlineStr">
        <is>
          <t>VÄRMLANDS LÄN</t>
        </is>
      </c>
      <c r="E3255" t="inlineStr">
        <is>
          <t>TORSBY</t>
        </is>
      </c>
      <c r="F3255" t="inlineStr">
        <is>
          <t>Bergvik skog väst AB</t>
        </is>
      </c>
      <c r="G3255" t="n">
        <v>20</v>
      </c>
      <c r="H3255" t="n">
        <v>0</v>
      </c>
      <c r="I3255" t="n">
        <v>0</v>
      </c>
      <c r="J3255" t="n">
        <v>0</v>
      </c>
      <c r="K3255" t="n">
        <v>0</v>
      </c>
      <c r="L3255" t="n">
        <v>0</v>
      </c>
      <c r="M3255" t="n">
        <v>0</v>
      </c>
      <c r="N3255" t="n">
        <v>0</v>
      </c>
      <c r="O3255" t="n">
        <v>0</v>
      </c>
      <c r="P3255" t="n">
        <v>0</v>
      </c>
      <c r="Q3255" t="n">
        <v>0</v>
      </c>
      <c r="R3255" s="2" t="inlineStr"/>
    </row>
    <row r="3256" ht="15" customHeight="1">
      <c r="A3256" t="inlineStr">
        <is>
          <t>A 16136-2025</t>
        </is>
      </c>
      <c r="B3256" s="1" t="n">
        <v>45750</v>
      </c>
      <c r="C3256" s="1" t="n">
        <v>45828</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16380-2025</t>
        </is>
      </c>
      <c r="B3257" s="1" t="n">
        <v>45751</v>
      </c>
      <c r="C3257" s="1" t="n">
        <v>45828</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16333-2025</t>
        </is>
      </c>
      <c r="B3258" s="1" t="n">
        <v>45751</v>
      </c>
      <c r="C3258" s="1" t="n">
        <v>45828</v>
      </c>
      <c r="D3258" t="inlineStr">
        <is>
          <t>VÄRMLANDS LÄN</t>
        </is>
      </c>
      <c r="E3258" t="inlineStr">
        <is>
          <t>TORSBY</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16362-2025</t>
        </is>
      </c>
      <c r="B3259" s="1" t="n">
        <v>45751</v>
      </c>
      <c r="C3259" s="1" t="n">
        <v>45828</v>
      </c>
      <c r="D3259" t="inlineStr">
        <is>
          <t>VÄRMLANDS LÄN</t>
        </is>
      </c>
      <c r="E3259" t="inlineStr">
        <is>
          <t>TORSBY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16329-2025</t>
        </is>
      </c>
      <c r="B3260" s="1" t="n">
        <v>45751</v>
      </c>
      <c r="C3260" s="1" t="n">
        <v>45828</v>
      </c>
      <c r="D3260" t="inlineStr">
        <is>
          <t>VÄRMLANDS LÄN</t>
        </is>
      </c>
      <c r="E3260" t="inlineStr">
        <is>
          <t>TORSBY</t>
        </is>
      </c>
      <c r="F3260" t="inlineStr">
        <is>
          <t>Bergvik skog väst AB</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17048-2025</t>
        </is>
      </c>
      <c r="B3261" s="1" t="n">
        <v>45754</v>
      </c>
      <c r="C3261" s="1" t="n">
        <v>45828</v>
      </c>
      <c r="D3261" t="inlineStr">
        <is>
          <t>VÄRMLANDS LÄN</t>
        </is>
      </c>
      <c r="E3261" t="inlineStr">
        <is>
          <t>TORSBY</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16872-2025</t>
        </is>
      </c>
      <c r="B3262" s="1" t="n">
        <v>45754</v>
      </c>
      <c r="C3262" s="1" t="n">
        <v>45828</v>
      </c>
      <c r="D3262" t="inlineStr">
        <is>
          <t>VÄRMLANDS LÄN</t>
        </is>
      </c>
      <c r="E3262" t="inlineStr">
        <is>
          <t>TORSBY</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17065-2025</t>
        </is>
      </c>
      <c r="B3263" s="1" t="n">
        <v>45754</v>
      </c>
      <c r="C3263" s="1" t="n">
        <v>45828</v>
      </c>
      <c r="D3263" t="inlineStr">
        <is>
          <t>VÄRMLANDS LÄN</t>
        </is>
      </c>
      <c r="E3263" t="inlineStr">
        <is>
          <t>TORSBY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17062-2025</t>
        </is>
      </c>
      <c r="B3264" s="1" t="n">
        <v>45754</v>
      </c>
      <c r="C3264" s="1" t="n">
        <v>45828</v>
      </c>
      <c r="D3264" t="inlineStr">
        <is>
          <t>VÄRMLANDS LÄN</t>
        </is>
      </c>
      <c r="E3264" t="inlineStr">
        <is>
          <t>TORSBY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17039-2025</t>
        </is>
      </c>
      <c r="B3265" s="1" t="n">
        <v>45754</v>
      </c>
      <c r="C3265" s="1" t="n">
        <v>45828</v>
      </c>
      <c r="D3265" t="inlineStr">
        <is>
          <t>VÄRMLANDS LÄN</t>
        </is>
      </c>
      <c r="E3265" t="inlineStr">
        <is>
          <t>TORSBY</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17053-2025</t>
        </is>
      </c>
      <c r="B3266" s="1" t="n">
        <v>45754</v>
      </c>
      <c r="C3266" s="1" t="n">
        <v>45828</v>
      </c>
      <c r="D3266" t="inlineStr">
        <is>
          <t>VÄRMLANDS LÄN</t>
        </is>
      </c>
      <c r="E3266" t="inlineStr">
        <is>
          <t>TORSBY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16994-2025</t>
        </is>
      </c>
      <c r="B3267" s="1" t="n">
        <v>45755</v>
      </c>
      <c r="C3267" s="1" t="n">
        <v>45828</v>
      </c>
      <c r="D3267" t="inlineStr">
        <is>
          <t>VÄRMLANDS LÄN</t>
        </is>
      </c>
      <c r="E3267" t="inlineStr">
        <is>
          <t>TORSBY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16949-2025</t>
        </is>
      </c>
      <c r="B3268" s="1" t="n">
        <v>45755</v>
      </c>
      <c r="C3268" s="1" t="n">
        <v>45828</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17018-2025</t>
        </is>
      </c>
      <c r="B3269" s="1" t="n">
        <v>45755</v>
      </c>
      <c r="C3269" s="1" t="n">
        <v>45828</v>
      </c>
      <c r="D3269" t="inlineStr">
        <is>
          <t>VÄRMLANDS LÄN</t>
        </is>
      </c>
      <c r="E3269" t="inlineStr">
        <is>
          <t>TORSBY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17175-2025</t>
        </is>
      </c>
      <c r="B3270" s="1" t="n">
        <v>45756</v>
      </c>
      <c r="C3270" s="1" t="n">
        <v>45828</v>
      </c>
      <c r="D3270" t="inlineStr">
        <is>
          <t>VÄRMLANDS LÄN</t>
        </is>
      </c>
      <c r="E3270" t="inlineStr">
        <is>
          <t>TORSBY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17153-2025</t>
        </is>
      </c>
      <c r="B3271" s="1" t="n">
        <v>45756</v>
      </c>
      <c r="C3271" s="1" t="n">
        <v>45828</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17417-2025</t>
        </is>
      </c>
      <c r="B3272" s="1" t="n">
        <v>45757</v>
      </c>
      <c r="C3272" s="1" t="n">
        <v>45828</v>
      </c>
      <c r="D3272" t="inlineStr">
        <is>
          <t>VÄRMLANDS LÄN</t>
        </is>
      </c>
      <c r="E3272" t="inlineStr">
        <is>
          <t>TORSBY</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17750-2025</t>
        </is>
      </c>
      <c r="B3273" s="1" t="n">
        <v>45758</v>
      </c>
      <c r="C3273" s="1" t="n">
        <v>45828</v>
      </c>
      <c r="D3273" t="inlineStr">
        <is>
          <t>VÄRMLANDS LÄN</t>
        </is>
      </c>
      <c r="E3273" t="inlineStr">
        <is>
          <t>TORSBY</t>
        </is>
      </c>
      <c r="F3273" t="inlineStr">
        <is>
          <t>Kommuner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17676-2025</t>
        </is>
      </c>
      <c r="B3274" s="1" t="n">
        <v>45758</v>
      </c>
      <c r="C3274" s="1" t="n">
        <v>45828</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17841-2025</t>
        </is>
      </c>
      <c r="B3275" s="1" t="n">
        <v>45758</v>
      </c>
      <c r="C3275" s="1" t="n">
        <v>45828</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17754-2025</t>
        </is>
      </c>
      <c r="B3276" s="1" t="n">
        <v>45758</v>
      </c>
      <c r="C3276" s="1" t="n">
        <v>45828</v>
      </c>
      <c r="D3276" t="inlineStr">
        <is>
          <t>VÄRMLANDS LÄN</t>
        </is>
      </c>
      <c r="E3276" t="inlineStr">
        <is>
          <t>TORSBY</t>
        </is>
      </c>
      <c r="F3276" t="inlineStr">
        <is>
          <t>Bergvik skog väst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18096-2025</t>
        </is>
      </c>
      <c r="B3277" s="1" t="n">
        <v>45761</v>
      </c>
      <c r="C3277" s="1" t="n">
        <v>45828</v>
      </c>
      <c r="D3277" t="inlineStr">
        <is>
          <t>VÄRMLANDS LÄN</t>
        </is>
      </c>
      <c r="E3277" t="inlineStr">
        <is>
          <t>TORSBY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18115-2025</t>
        </is>
      </c>
      <c r="B3278" s="1" t="n">
        <v>45761</v>
      </c>
      <c r="C3278" s="1" t="n">
        <v>45828</v>
      </c>
      <c r="D3278" t="inlineStr">
        <is>
          <t>VÄRMLANDS LÄN</t>
        </is>
      </c>
      <c r="E3278" t="inlineStr">
        <is>
          <t>TORSBY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18314-2025</t>
        </is>
      </c>
      <c r="B3279" s="1" t="n">
        <v>45762</v>
      </c>
      <c r="C3279" s="1" t="n">
        <v>45828</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18480-2025</t>
        </is>
      </c>
      <c r="B3280" s="1" t="n">
        <v>45763</v>
      </c>
      <c r="C3280" s="1" t="n">
        <v>45828</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18258-2025</t>
        </is>
      </c>
      <c r="B3281" s="1" t="n">
        <v>45762</v>
      </c>
      <c r="C3281" s="1" t="n">
        <v>45828</v>
      </c>
      <c r="D3281" t="inlineStr">
        <is>
          <t>VÄRMLANDS LÄN</t>
        </is>
      </c>
      <c r="E3281" t="inlineStr">
        <is>
          <t>TORSBY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18402-2025</t>
        </is>
      </c>
      <c r="B3282" s="1" t="n">
        <v>45762</v>
      </c>
      <c r="C3282" s="1" t="n">
        <v>45828</v>
      </c>
      <c r="D3282" t="inlineStr">
        <is>
          <t>VÄRMLANDS LÄN</t>
        </is>
      </c>
      <c r="E3282" t="inlineStr">
        <is>
          <t>TORSBY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18447-2025</t>
        </is>
      </c>
      <c r="B3283" s="1" t="n">
        <v>45762</v>
      </c>
      <c r="C3283" s="1" t="n">
        <v>45828</v>
      </c>
      <c r="D3283" t="inlineStr">
        <is>
          <t>VÄRMLANDS LÄN</t>
        </is>
      </c>
      <c r="E3283" t="inlineStr">
        <is>
          <t>TORSBY</t>
        </is>
      </c>
      <c r="G3283" t="n">
        <v>12.8</v>
      </c>
      <c r="H3283" t="n">
        <v>0</v>
      </c>
      <c r="I3283" t="n">
        <v>0</v>
      </c>
      <c r="J3283" t="n">
        <v>0</v>
      </c>
      <c r="K3283" t="n">
        <v>0</v>
      </c>
      <c r="L3283" t="n">
        <v>0</v>
      </c>
      <c r="M3283" t="n">
        <v>0</v>
      </c>
      <c r="N3283" t="n">
        <v>0</v>
      </c>
      <c r="O3283" t="n">
        <v>0</v>
      </c>
      <c r="P3283" t="n">
        <v>0</v>
      </c>
      <c r="Q3283" t="n">
        <v>0</v>
      </c>
      <c r="R3283" s="2" t="inlineStr"/>
    </row>
    <row r="3284" ht="15" customHeight="1">
      <c r="A3284" t="inlineStr">
        <is>
          <t>A 18462-2025</t>
        </is>
      </c>
      <c r="B3284" s="1" t="n">
        <v>45762</v>
      </c>
      <c r="C3284" s="1" t="n">
        <v>45828</v>
      </c>
      <c r="D3284" t="inlineStr">
        <is>
          <t>VÄRMLANDS LÄN</t>
        </is>
      </c>
      <c r="E3284" t="inlineStr">
        <is>
          <t>TORSBY</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18331-2025</t>
        </is>
      </c>
      <c r="B3285" s="1" t="n">
        <v>45762</v>
      </c>
      <c r="C3285" s="1" t="n">
        <v>45828</v>
      </c>
      <c r="D3285" t="inlineStr">
        <is>
          <t>VÄRMLANDS LÄN</t>
        </is>
      </c>
      <c r="E3285" t="inlineStr">
        <is>
          <t>TORSBY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18365-2025</t>
        </is>
      </c>
      <c r="B3286" s="1" t="n">
        <v>45762</v>
      </c>
      <c r="C3286" s="1" t="n">
        <v>45828</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18558-2025</t>
        </is>
      </c>
      <c r="B3287" s="1" t="n">
        <v>45763</v>
      </c>
      <c r="C3287" s="1" t="n">
        <v>45828</v>
      </c>
      <c r="D3287" t="inlineStr">
        <is>
          <t>VÄRMLANDS LÄN</t>
        </is>
      </c>
      <c r="E3287" t="inlineStr">
        <is>
          <t>TORSBY</t>
        </is>
      </c>
      <c r="F3287" t="inlineStr">
        <is>
          <t>Bergvik skog väst AB</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18501-2025</t>
        </is>
      </c>
      <c r="B3288" s="1" t="n">
        <v>45763</v>
      </c>
      <c r="C3288" s="1" t="n">
        <v>45828</v>
      </c>
      <c r="D3288" t="inlineStr">
        <is>
          <t>VÄRMLANDS LÄN</t>
        </is>
      </c>
      <c r="E3288" t="inlineStr">
        <is>
          <t>TORSBY</t>
        </is>
      </c>
      <c r="F3288" t="inlineStr">
        <is>
          <t>Bergvik skog väst AB</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18584-2025</t>
        </is>
      </c>
      <c r="B3289" s="1" t="n">
        <v>45763</v>
      </c>
      <c r="C3289" s="1" t="n">
        <v>45828</v>
      </c>
      <c r="D3289" t="inlineStr">
        <is>
          <t>VÄRMLANDS LÄN</t>
        </is>
      </c>
      <c r="E3289" t="inlineStr">
        <is>
          <t>TORSBY</t>
        </is>
      </c>
      <c r="F3289" t="inlineStr">
        <is>
          <t>Kyrkan</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18684-2025</t>
        </is>
      </c>
      <c r="B3290" s="1" t="n">
        <v>45763</v>
      </c>
      <c r="C3290" s="1" t="n">
        <v>45828</v>
      </c>
      <c r="D3290" t="inlineStr">
        <is>
          <t>VÄRMLANDS LÄN</t>
        </is>
      </c>
      <c r="E3290" t="inlineStr">
        <is>
          <t>TORSBY</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18564-2025</t>
        </is>
      </c>
      <c r="B3291" s="1" t="n">
        <v>45763</v>
      </c>
      <c r="C3291" s="1" t="n">
        <v>45828</v>
      </c>
      <c r="D3291" t="inlineStr">
        <is>
          <t>VÄRMLANDS LÄN</t>
        </is>
      </c>
      <c r="E3291" t="inlineStr">
        <is>
          <t>TORSBY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18595-2025</t>
        </is>
      </c>
      <c r="B3292" s="1" t="n">
        <v>45763</v>
      </c>
      <c r="C3292" s="1" t="n">
        <v>45828</v>
      </c>
      <c r="D3292" t="inlineStr">
        <is>
          <t>VÄRMLANDS LÄN</t>
        </is>
      </c>
      <c r="E3292" t="inlineStr">
        <is>
          <t>TORSBY</t>
        </is>
      </c>
      <c r="F3292" t="inlineStr">
        <is>
          <t>Kyrkan</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18676-2025</t>
        </is>
      </c>
      <c r="B3293" s="1" t="n">
        <v>45763</v>
      </c>
      <c r="C3293" s="1" t="n">
        <v>45828</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18576-2025</t>
        </is>
      </c>
      <c r="B3294" s="1" t="n">
        <v>45763</v>
      </c>
      <c r="C3294" s="1" t="n">
        <v>45828</v>
      </c>
      <c r="D3294" t="inlineStr">
        <is>
          <t>VÄRMLANDS LÄN</t>
        </is>
      </c>
      <c r="E3294" t="inlineStr">
        <is>
          <t>TORSBY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18973-2025</t>
        </is>
      </c>
      <c r="B3295" s="1" t="n">
        <v>45764</v>
      </c>
      <c r="C3295" s="1" t="n">
        <v>45828</v>
      </c>
      <c r="D3295" t="inlineStr">
        <is>
          <t>VÄRMLANDS LÄN</t>
        </is>
      </c>
      <c r="E3295" t="inlineStr">
        <is>
          <t>TORSBY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18977-2025</t>
        </is>
      </c>
      <c r="B3296" s="1" t="n">
        <v>45764</v>
      </c>
      <c r="C3296" s="1" t="n">
        <v>45828</v>
      </c>
      <c r="D3296" t="inlineStr">
        <is>
          <t>VÄRMLANDS LÄN</t>
        </is>
      </c>
      <c r="E3296" t="inlineStr">
        <is>
          <t>TORSBY</t>
        </is>
      </c>
      <c r="F3296" t="inlineStr">
        <is>
          <t>Bergvik skog väst AB</t>
        </is>
      </c>
      <c r="G3296" t="n">
        <v>24.8</v>
      </c>
      <c r="H3296" t="n">
        <v>0</v>
      </c>
      <c r="I3296" t="n">
        <v>0</v>
      </c>
      <c r="J3296" t="n">
        <v>0</v>
      </c>
      <c r="K3296" t="n">
        <v>0</v>
      </c>
      <c r="L3296" t="n">
        <v>0</v>
      </c>
      <c r="M3296" t="n">
        <v>0</v>
      </c>
      <c r="N3296" t="n">
        <v>0</v>
      </c>
      <c r="O3296" t="n">
        <v>0</v>
      </c>
      <c r="P3296" t="n">
        <v>0</v>
      </c>
      <c r="Q3296" t="n">
        <v>0</v>
      </c>
      <c r="R3296" s="2" t="inlineStr"/>
    </row>
    <row r="3297" ht="15" customHeight="1">
      <c r="A3297" t="inlineStr">
        <is>
          <t>A 19112-2025</t>
        </is>
      </c>
      <c r="B3297" s="1" t="n">
        <v>45768</v>
      </c>
      <c r="C3297" s="1" t="n">
        <v>45828</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19113-2025</t>
        </is>
      </c>
      <c r="B3298" s="1" t="n">
        <v>45768</v>
      </c>
      <c r="C3298" s="1" t="n">
        <v>45828</v>
      </c>
      <c r="D3298" t="inlineStr">
        <is>
          <t>VÄRMLANDS LÄN</t>
        </is>
      </c>
      <c r="E3298" t="inlineStr">
        <is>
          <t>TORSBY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19253-2025</t>
        </is>
      </c>
      <c r="B3299" s="1" t="n">
        <v>45769</v>
      </c>
      <c r="C3299" s="1" t="n">
        <v>45828</v>
      </c>
      <c r="D3299" t="inlineStr">
        <is>
          <t>VÄRMLANDS LÄN</t>
        </is>
      </c>
      <c r="E3299" t="inlineStr">
        <is>
          <t>TORSBY</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19159-2025</t>
        </is>
      </c>
      <c r="B3300" s="1" t="n">
        <v>45769</v>
      </c>
      <c r="C3300" s="1" t="n">
        <v>45828</v>
      </c>
      <c r="D3300" t="inlineStr">
        <is>
          <t>VÄRMLANDS LÄN</t>
        </is>
      </c>
      <c r="E3300" t="inlineStr">
        <is>
          <t>TORSBY</t>
        </is>
      </c>
      <c r="F3300" t="inlineStr">
        <is>
          <t>Bergvik skog väst AB</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19148-2025</t>
        </is>
      </c>
      <c r="B3301" s="1" t="n">
        <v>45769</v>
      </c>
      <c r="C3301" s="1" t="n">
        <v>45828</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19214-2025</t>
        </is>
      </c>
      <c r="B3302" s="1" t="n">
        <v>45769</v>
      </c>
      <c r="C3302" s="1" t="n">
        <v>45828</v>
      </c>
      <c r="D3302" t="inlineStr">
        <is>
          <t>VÄRMLANDS LÄN</t>
        </is>
      </c>
      <c r="E3302" t="inlineStr">
        <is>
          <t>TORSBY</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19630-2025</t>
        </is>
      </c>
      <c r="B3303" s="1" t="n">
        <v>45770</v>
      </c>
      <c r="C3303" s="1" t="n">
        <v>45828</v>
      </c>
      <c r="D3303" t="inlineStr">
        <is>
          <t>VÄRMLANDS LÄN</t>
        </is>
      </c>
      <c r="E3303" t="inlineStr">
        <is>
          <t>TORSBY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19653-2025</t>
        </is>
      </c>
      <c r="B3304" s="1" t="n">
        <v>45770</v>
      </c>
      <c r="C3304" s="1" t="n">
        <v>45828</v>
      </c>
      <c r="D3304" t="inlineStr">
        <is>
          <t>VÄRMLANDS LÄN</t>
        </is>
      </c>
      <c r="E3304" t="inlineStr">
        <is>
          <t>TORSBY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19575-2025</t>
        </is>
      </c>
      <c r="B3305" s="1" t="n">
        <v>45770</v>
      </c>
      <c r="C3305" s="1" t="n">
        <v>45828</v>
      </c>
      <c r="D3305" t="inlineStr">
        <is>
          <t>VÄRMLANDS LÄN</t>
        </is>
      </c>
      <c r="E3305" t="inlineStr">
        <is>
          <t>TORSBY</t>
        </is>
      </c>
      <c r="F3305" t="inlineStr">
        <is>
          <t>Bergvik skog väst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19625-2025</t>
        </is>
      </c>
      <c r="B3306" s="1" t="n">
        <v>45770</v>
      </c>
      <c r="C3306" s="1" t="n">
        <v>45828</v>
      </c>
      <c r="D3306" t="inlineStr">
        <is>
          <t>VÄRMLANDS LÄN</t>
        </is>
      </c>
      <c r="E3306" t="inlineStr">
        <is>
          <t>TORSBY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19662-2025</t>
        </is>
      </c>
      <c r="B3307" s="1" t="n">
        <v>45770</v>
      </c>
      <c r="C3307" s="1" t="n">
        <v>45828</v>
      </c>
      <c r="D3307" t="inlineStr">
        <is>
          <t>VÄRMLANDS LÄN</t>
        </is>
      </c>
      <c r="E3307" t="inlineStr">
        <is>
          <t>TORSBY</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19787-2025</t>
        </is>
      </c>
      <c r="B3308" s="1" t="n">
        <v>45771</v>
      </c>
      <c r="C3308" s="1" t="n">
        <v>45828</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19791-2025</t>
        </is>
      </c>
      <c r="B3309" s="1" t="n">
        <v>45771</v>
      </c>
      <c r="C3309" s="1" t="n">
        <v>45828</v>
      </c>
      <c r="D3309" t="inlineStr">
        <is>
          <t>VÄRMLANDS LÄN</t>
        </is>
      </c>
      <c r="E3309" t="inlineStr">
        <is>
          <t>TORSBY</t>
        </is>
      </c>
      <c r="F3309" t="inlineStr">
        <is>
          <t>Bergvik skog väst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19964-2025</t>
        </is>
      </c>
      <c r="B3310" s="1" t="n">
        <v>45771</v>
      </c>
      <c r="C3310" s="1" t="n">
        <v>45828</v>
      </c>
      <c r="D3310" t="inlineStr">
        <is>
          <t>VÄRMLANDS LÄN</t>
        </is>
      </c>
      <c r="E3310" t="inlineStr">
        <is>
          <t>TORSBY</t>
        </is>
      </c>
      <c r="F3310" t="inlineStr">
        <is>
          <t>Bergvik skog väst AB</t>
        </is>
      </c>
      <c r="G3310" t="n">
        <v>23.8</v>
      </c>
      <c r="H3310" t="n">
        <v>0</v>
      </c>
      <c r="I3310" t="n">
        <v>0</v>
      </c>
      <c r="J3310" t="n">
        <v>0</v>
      </c>
      <c r="K3310" t="n">
        <v>0</v>
      </c>
      <c r="L3310" t="n">
        <v>0</v>
      </c>
      <c r="M3310" t="n">
        <v>0</v>
      </c>
      <c r="N3310" t="n">
        <v>0</v>
      </c>
      <c r="O3310" t="n">
        <v>0</v>
      </c>
      <c r="P3310" t="n">
        <v>0</v>
      </c>
      <c r="Q3310" t="n">
        <v>0</v>
      </c>
      <c r="R3310" s="2" t="inlineStr"/>
    </row>
    <row r="3311" ht="15" customHeight="1">
      <c r="A3311" t="inlineStr">
        <is>
          <t>A 19743-2025</t>
        </is>
      </c>
      <c r="B3311" s="1" t="n">
        <v>45771</v>
      </c>
      <c r="C3311" s="1" t="n">
        <v>45828</v>
      </c>
      <c r="D3311" t="inlineStr">
        <is>
          <t>VÄRMLANDS LÄN</t>
        </is>
      </c>
      <c r="E3311" t="inlineStr">
        <is>
          <t>TORSBY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19763-2025</t>
        </is>
      </c>
      <c r="B3312" s="1" t="n">
        <v>45771</v>
      </c>
      <c r="C3312" s="1" t="n">
        <v>45828</v>
      </c>
      <c r="D3312" t="inlineStr">
        <is>
          <t>VÄRMLANDS LÄN</t>
        </is>
      </c>
      <c r="E3312" t="inlineStr">
        <is>
          <t>TORSBY</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19878-2025</t>
        </is>
      </c>
      <c r="B3313" s="1" t="n">
        <v>45771</v>
      </c>
      <c r="C3313" s="1" t="n">
        <v>45828</v>
      </c>
      <c r="D3313" t="inlineStr">
        <is>
          <t>VÄRMLANDS LÄN</t>
        </is>
      </c>
      <c r="E3313" t="inlineStr">
        <is>
          <t>TORSBY</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20060-2025</t>
        </is>
      </c>
      <c r="B3314" s="1" t="n">
        <v>45772</v>
      </c>
      <c r="C3314" s="1" t="n">
        <v>45828</v>
      </c>
      <c r="D3314" t="inlineStr">
        <is>
          <t>VÄRMLANDS LÄN</t>
        </is>
      </c>
      <c r="E3314" t="inlineStr">
        <is>
          <t>TORSBY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20255-2025</t>
        </is>
      </c>
      <c r="B3315" s="1" t="n">
        <v>45772</v>
      </c>
      <c r="C3315" s="1" t="n">
        <v>45828</v>
      </c>
      <c r="D3315" t="inlineStr">
        <is>
          <t>VÄRMLANDS LÄN</t>
        </is>
      </c>
      <c r="E3315" t="inlineStr">
        <is>
          <t>TORSBY</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20149-2025</t>
        </is>
      </c>
      <c r="B3316" s="1" t="n">
        <v>45772</v>
      </c>
      <c r="C3316" s="1" t="n">
        <v>45828</v>
      </c>
      <c r="D3316" t="inlineStr">
        <is>
          <t>VÄRMLANDS LÄN</t>
        </is>
      </c>
      <c r="E3316" t="inlineStr">
        <is>
          <t>TORSBY</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20191-2025</t>
        </is>
      </c>
      <c r="B3317" s="1" t="n">
        <v>45772</v>
      </c>
      <c r="C3317" s="1" t="n">
        <v>45828</v>
      </c>
      <c r="D3317" t="inlineStr">
        <is>
          <t>VÄRMLANDS LÄN</t>
        </is>
      </c>
      <c r="E3317" t="inlineStr">
        <is>
          <t>TORSBY</t>
        </is>
      </c>
      <c r="F3317" t="inlineStr">
        <is>
          <t>Bergvik skog väst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20309-2025</t>
        </is>
      </c>
      <c r="B3318" s="1" t="n">
        <v>45775</v>
      </c>
      <c r="C3318" s="1" t="n">
        <v>45828</v>
      </c>
      <c r="D3318" t="inlineStr">
        <is>
          <t>VÄRMLANDS LÄN</t>
        </is>
      </c>
      <c r="E3318" t="inlineStr">
        <is>
          <t>TORSBY</t>
        </is>
      </c>
      <c r="F3318" t="inlineStr">
        <is>
          <t>Bergvik skog väst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20461-2025</t>
        </is>
      </c>
      <c r="B3319" s="1" t="n">
        <v>45775</v>
      </c>
      <c r="C3319" s="1" t="n">
        <v>45828</v>
      </c>
      <c r="D3319" t="inlineStr">
        <is>
          <t>VÄRMLANDS LÄN</t>
        </is>
      </c>
      <c r="E3319" t="inlineStr">
        <is>
          <t>TORSBY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20816-2025</t>
        </is>
      </c>
      <c r="B3320" s="1" t="n">
        <v>45776</v>
      </c>
      <c r="C3320" s="1" t="n">
        <v>45828</v>
      </c>
      <c r="D3320" t="inlineStr">
        <is>
          <t>VÄRMLANDS LÄN</t>
        </is>
      </c>
      <c r="E3320" t="inlineStr">
        <is>
          <t>TORSBY</t>
        </is>
      </c>
      <c r="F3320" t="inlineStr">
        <is>
          <t>Bergvik skog väst AB</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20773-2025</t>
        </is>
      </c>
      <c r="B3321" s="1" t="n">
        <v>45776</v>
      </c>
      <c r="C3321" s="1" t="n">
        <v>45828</v>
      </c>
      <c r="D3321" t="inlineStr">
        <is>
          <t>VÄRMLANDS LÄN</t>
        </is>
      </c>
      <c r="E3321" t="inlineStr">
        <is>
          <t>TORSBY</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20740-2025</t>
        </is>
      </c>
      <c r="B3322" s="1" t="n">
        <v>45776</v>
      </c>
      <c r="C3322" s="1" t="n">
        <v>45828</v>
      </c>
      <c r="D3322" t="inlineStr">
        <is>
          <t>VÄRMLANDS LÄN</t>
        </is>
      </c>
      <c r="E3322" t="inlineStr">
        <is>
          <t>TORSBY</t>
        </is>
      </c>
      <c r="F3322" t="inlineStr">
        <is>
          <t>Bergvik skog väst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20843-2025</t>
        </is>
      </c>
      <c r="B3323" s="1" t="n">
        <v>45777</v>
      </c>
      <c r="C3323" s="1" t="n">
        <v>45828</v>
      </c>
      <c r="D3323" t="inlineStr">
        <is>
          <t>VÄRMLANDS LÄN</t>
        </is>
      </c>
      <c r="E3323" t="inlineStr">
        <is>
          <t>TORSBY</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20914-2025</t>
        </is>
      </c>
      <c r="B3324" s="1" t="n">
        <v>45777</v>
      </c>
      <c r="C3324" s="1" t="n">
        <v>45828</v>
      </c>
      <c r="D3324" t="inlineStr">
        <is>
          <t>VÄRMLANDS LÄN</t>
        </is>
      </c>
      <c r="E3324" t="inlineStr">
        <is>
          <t>TORSBY</t>
        </is>
      </c>
      <c r="F3324" t="inlineStr">
        <is>
          <t>Bergvik skog väst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20848-2025</t>
        </is>
      </c>
      <c r="B3325" s="1" t="n">
        <v>45777</v>
      </c>
      <c r="C3325" s="1" t="n">
        <v>45828</v>
      </c>
      <c r="D3325" t="inlineStr">
        <is>
          <t>VÄRMLANDS LÄN</t>
        </is>
      </c>
      <c r="E3325" t="inlineStr">
        <is>
          <t>TORSBY</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20917-2025</t>
        </is>
      </c>
      <c r="B3326" s="1" t="n">
        <v>45777</v>
      </c>
      <c r="C3326" s="1" t="n">
        <v>45828</v>
      </c>
      <c r="D3326" t="inlineStr">
        <is>
          <t>VÄRMLANDS LÄN</t>
        </is>
      </c>
      <c r="E3326" t="inlineStr">
        <is>
          <t>TORSBY</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21274-2025</t>
        </is>
      </c>
      <c r="B3327" s="1" t="n">
        <v>45779</v>
      </c>
      <c r="C3327" s="1" t="n">
        <v>45828</v>
      </c>
      <c r="D3327" t="inlineStr">
        <is>
          <t>VÄRMLANDS LÄN</t>
        </is>
      </c>
      <c r="E3327" t="inlineStr">
        <is>
          <t>TORSBY</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21324-2025</t>
        </is>
      </c>
      <c r="B3328" s="1" t="n">
        <v>45782</v>
      </c>
      <c r="C3328" s="1" t="n">
        <v>45828</v>
      </c>
      <c r="D3328" t="inlineStr">
        <is>
          <t>VÄRMLANDS LÄN</t>
        </is>
      </c>
      <c r="E3328" t="inlineStr">
        <is>
          <t>TORSBY</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21576-2025</t>
        </is>
      </c>
      <c r="B3329" s="1" t="n">
        <v>45782</v>
      </c>
      <c r="C3329" s="1" t="n">
        <v>45828</v>
      </c>
      <c r="D3329" t="inlineStr">
        <is>
          <t>VÄRMLANDS LÄN</t>
        </is>
      </c>
      <c r="E3329" t="inlineStr">
        <is>
          <t>TORSBY</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21529-2025</t>
        </is>
      </c>
      <c r="B3330" s="1" t="n">
        <v>45782</v>
      </c>
      <c r="C3330" s="1" t="n">
        <v>45828</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21462-2025</t>
        </is>
      </c>
      <c r="B3331" s="1" t="n">
        <v>45782</v>
      </c>
      <c r="C3331" s="1" t="n">
        <v>45828</v>
      </c>
      <c r="D3331" t="inlineStr">
        <is>
          <t>VÄRMLANDS LÄN</t>
        </is>
      </c>
      <c r="E3331" t="inlineStr">
        <is>
          <t>TORSBY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21808-2025</t>
        </is>
      </c>
      <c r="B3332" s="1" t="n">
        <v>45783</v>
      </c>
      <c r="C3332" s="1" t="n">
        <v>45828</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21759-2025</t>
        </is>
      </c>
      <c r="B3333" s="1" t="n">
        <v>45783</v>
      </c>
      <c r="C3333" s="1" t="n">
        <v>45828</v>
      </c>
      <c r="D3333" t="inlineStr">
        <is>
          <t>VÄRMLANDS LÄN</t>
        </is>
      </c>
      <c r="E3333" t="inlineStr">
        <is>
          <t>TORSBY</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21758-2025</t>
        </is>
      </c>
      <c r="B3334" s="1" t="n">
        <v>45783</v>
      </c>
      <c r="C3334" s="1" t="n">
        <v>45828</v>
      </c>
      <c r="D3334" t="inlineStr">
        <is>
          <t>VÄRMLANDS LÄN</t>
        </is>
      </c>
      <c r="E3334" t="inlineStr">
        <is>
          <t>TORSBY</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21870-2025</t>
        </is>
      </c>
      <c r="B3335" s="1" t="n">
        <v>45784</v>
      </c>
      <c r="C3335" s="1" t="n">
        <v>45828</v>
      </c>
      <c r="D3335" t="inlineStr">
        <is>
          <t>VÄRMLANDS LÄN</t>
        </is>
      </c>
      <c r="E3335" t="inlineStr">
        <is>
          <t>TORSBY</t>
        </is>
      </c>
      <c r="G3335" t="n">
        <v>29.4</v>
      </c>
      <c r="H3335" t="n">
        <v>0</v>
      </c>
      <c r="I3335" t="n">
        <v>0</v>
      </c>
      <c r="J3335" t="n">
        <v>0</v>
      </c>
      <c r="K3335" t="n">
        <v>0</v>
      </c>
      <c r="L3335" t="n">
        <v>0</v>
      </c>
      <c r="M3335" t="n">
        <v>0</v>
      </c>
      <c r="N3335" t="n">
        <v>0</v>
      </c>
      <c r="O3335" t="n">
        <v>0</v>
      </c>
      <c r="P3335" t="n">
        <v>0</v>
      </c>
      <c r="Q3335" t="n">
        <v>0</v>
      </c>
      <c r="R3335" s="2" t="inlineStr"/>
    </row>
    <row r="3336" ht="15" customHeight="1">
      <c r="A3336" t="inlineStr">
        <is>
          <t>A 21974-2025</t>
        </is>
      </c>
      <c r="B3336" s="1" t="n">
        <v>45784</v>
      </c>
      <c r="C3336" s="1" t="n">
        <v>45828</v>
      </c>
      <c r="D3336" t="inlineStr">
        <is>
          <t>VÄRMLANDS LÄN</t>
        </is>
      </c>
      <c r="E3336" t="inlineStr">
        <is>
          <t>TORSBY</t>
        </is>
      </c>
      <c r="F3336" t="inlineStr">
        <is>
          <t>Bergvik skog väst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21858-2025</t>
        </is>
      </c>
      <c r="B3337" s="1" t="n">
        <v>45784</v>
      </c>
      <c r="C3337" s="1" t="n">
        <v>45828</v>
      </c>
      <c r="D3337" t="inlineStr">
        <is>
          <t>VÄRMLANDS LÄN</t>
        </is>
      </c>
      <c r="E3337" t="inlineStr">
        <is>
          <t>TORSBY</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21860-2025</t>
        </is>
      </c>
      <c r="B3338" s="1" t="n">
        <v>45784</v>
      </c>
      <c r="C3338" s="1" t="n">
        <v>45828</v>
      </c>
      <c r="D3338" t="inlineStr">
        <is>
          <t>VÄRMLANDS LÄN</t>
        </is>
      </c>
      <c r="E3338" t="inlineStr">
        <is>
          <t>TORSBY</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21963-2025</t>
        </is>
      </c>
      <c r="B3339" s="1" t="n">
        <v>45784</v>
      </c>
      <c r="C3339" s="1" t="n">
        <v>45828</v>
      </c>
      <c r="D3339" t="inlineStr">
        <is>
          <t>VÄRMLANDS LÄN</t>
        </is>
      </c>
      <c r="E3339" t="inlineStr">
        <is>
          <t>TORSBY</t>
        </is>
      </c>
      <c r="F3339" t="inlineStr">
        <is>
          <t>Bergvik skog väst AB</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22076-2025</t>
        </is>
      </c>
      <c r="B3340" s="1" t="n">
        <v>45785</v>
      </c>
      <c r="C3340" s="1" t="n">
        <v>45828</v>
      </c>
      <c r="D3340" t="inlineStr">
        <is>
          <t>VÄRMLANDS LÄN</t>
        </is>
      </c>
      <c r="E3340" t="inlineStr">
        <is>
          <t>TORSBY</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22090-2025</t>
        </is>
      </c>
      <c r="B3341" s="1" t="n">
        <v>45785</v>
      </c>
      <c r="C3341" s="1" t="n">
        <v>45828</v>
      </c>
      <c r="D3341" t="inlineStr">
        <is>
          <t>VÄRMLANDS LÄN</t>
        </is>
      </c>
      <c r="E3341" t="inlineStr">
        <is>
          <t>TORSBY</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22269-2025</t>
        </is>
      </c>
      <c r="B3342" s="1" t="n">
        <v>45785</v>
      </c>
      <c r="C3342" s="1" t="n">
        <v>45828</v>
      </c>
      <c r="D3342" t="inlineStr">
        <is>
          <t>VÄRMLANDS LÄN</t>
        </is>
      </c>
      <c r="E3342" t="inlineStr">
        <is>
          <t>TORSBY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22316-2025</t>
        </is>
      </c>
      <c r="B3343" s="1" t="n">
        <v>45786</v>
      </c>
      <c r="C3343" s="1" t="n">
        <v>45828</v>
      </c>
      <c r="D3343" t="inlineStr">
        <is>
          <t>VÄRMLANDS LÄN</t>
        </is>
      </c>
      <c r="E3343" t="inlineStr">
        <is>
          <t>TORSBY</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22386-2025</t>
        </is>
      </c>
      <c r="B3344" s="1" t="n">
        <v>45786</v>
      </c>
      <c r="C3344" s="1" t="n">
        <v>45828</v>
      </c>
      <c r="D3344" t="inlineStr">
        <is>
          <t>VÄRMLANDS LÄN</t>
        </is>
      </c>
      <c r="E3344" t="inlineStr">
        <is>
          <t>TORSBY</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22315-2025</t>
        </is>
      </c>
      <c r="B3345" s="1" t="n">
        <v>45786</v>
      </c>
      <c r="C3345" s="1" t="n">
        <v>45828</v>
      </c>
      <c r="D3345" t="inlineStr">
        <is>
          <t>VÄRMLANDS LÄN</t>
        </is>
      </c>
      <c r="E3345" t="inlineStr">
        <is>
          <t>TORSBY</t>
        </is>
      </c>
      <c r="F3345" t="inlineStr">
        <is>
          <t>Bergvik skog väst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22320-2025</t>
        </is>
      </c>
      <c r="B3346" s="1" t="n">
        <v>45786</v>
      </c>
      <c r="C3346" s="1" t="n">
        <v>45828</v>
      </c>
      <c r="D3346" t="inlineStr">
        <is>
          <t>VÄRMLANDS LÄN</t>
        </is>
      </c>
      <c r="E3346" t="inlineStr">
        <is>
          <t>TORSBY</t>
        </is>
      </c>
      <c r="F3346" t="inlineStr">
        <is>
          <t>Bergvik skog väst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22278-2025</t>
        </is>
      </c>
      <c r="B3347" s="1" t="n">
        <v>45786</v>
      </c>
      <c r="C3347" s="1" t="n">
        <v>45828</v>
      </c>
      <c r="D3347" t="inlineStr">
        <is>
          <t>VÄRMLANDS LÄN</t>
        </is>
      </c>
      <c r="E3347" t="inlineStr">
        <is>
          <t>TORSBY</t>
        </is>
      </c>
      <c r="F3347" t="inlineStr">
        <is>
          <t>Bergvik skog väst AB</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22331-2025</t>
        </is>
      </c>
      <c r="B3348" s="1" t="n">
        <v>45786</v>
      </c>
      <c r="C3348" s="1" t="n">
        <v>45828</v>
      </c>
      <c r="D3348" t="inlineStr">
        <is>
          <t>VÄRMLANDS LÄN</t>
        </is>
      </c>
      <c r="E3348" t="inlineStr">
        <is>
          <t>TORSBY</t>
        </is>
      </c>
      <c r="F3348" t="inlineStr">
        <is>
          <t>Bergvik skog väst AB</t>
        </is>
      </c>
      <c r="G3348" t="n">
        <v>13.5</v>
      </c>
      <c r="H3348" t="n">
        <v>0</v>
      </c>
      <c r="I3348" t="n">
        <v>0</v>
      </c>
      <c r="J3348" t="n">
        <v>0</v>
      </c>
      <c r="K3348" t="n">
        <v>0</v>
      </c>
      <c r="L3348" t="n">
        <v>0</v>
      </c>
      <c r="M3348" t="n">
        <v>0</v>
      </c>
      <c r="N3348" t="n">
        <v>0</v>
      </c>
      <c r="O3348" t="n">
        <v>0</v>
      </c>
      <c r="P3348" t="n">
        <v>0</v>
      </c>
      <c r="Q3348" t="n">
        <v>0</v>
      </c>
      <c r="R3348" s="2" t="inlineStr"/>
    </row>
    <row r="3349" ht="15" customHeight="1">
      <c r="A3349" t="inlineStr">
        <is>
          <t>A 22339-2025</t>
        </is>
      </c>
      <c r="B3349" s="1" t="n">
        <v>45786</v>
      </c>
      <c r="C3349" s="1" t="n">
        <v>45828</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v>
      </c>
      <c r="C3350" s="1" t="n">
        <v>45828</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22757-2025</t>
        </is>
      </c>
      <c r="B3351" s="1" t="n">
        <v>45789</v>
      </c>
      <c r="C3351" s="1" t="n">
        <v>45828</v>
      </c>
      <c r="D3351" t="inlineStr">
        <is>
          <t>VÄRMLANDS LÄN</t>
        </is>
      </c>
      <c r="E3351" t="inlineStr">
        <is>
          <t>TORSBY</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22596-2025</t>
        </is>
      </c>
      <c r="B3352" s="1" t="n">
        <v>45789</v>
      </c>
      <c r="C3352" s="1" t="n">
        <v>45828</v>
      </c>
      <c r="D3352" t="inlineStr">
        <is>
          <t>VÄRMLANDS LÄN</t>
        </is>
      </c>
      <c r="E3352" t="inlineStr">
        <is>
          <t>TORSBY</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22604-2025</t>
        </is>
      </c>
      <c r="B3353" s="1" t="n">
        <v>45789</v>
      </c>
      <c r="C3353" s="1" t="n">
        <v>45828</v>
      </c>
      <c r="D3353" t="inlineStr">
        <is>
          <t>VÄRMLANDS LÄN</t>
        </is>
      </c>
      <c r="E3353" t="inlineStr">
        <is>
          <t>TORSBY</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22760-2025</t>
        </is>
      </c>
      <c r="B3354" s="1" t="n">
        <v>45789</v>
      </c>
      <c r="C3354" s="1" t="n">
        <v>45828</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22593-2025</t>
        </is>
      </c>
      <c r="B3355" s="1" t="n">
        <v>45789</v>
      </c>
      <c r="C3355" s="1" t="n">
        <v>45828</v>
      </c>
      <c r="D3355" t="inlineStr">
        <is>
          <t>VÄRMLANDS LÄN</t>
        </is>
      </c>
      <c r="E3355" t="inlineStr">
        <is>
          <t>TORSBY</t>
        </is>
      </c>
      <c r="F3355" t="inlineStr">
        <is>
          <t>Bergvik skog väst AB</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22708-2025</t>
        </is>
      </c>
      <c r="B3356" s="1" t="n">
        <v>45789</v>
      </c>
      <c r="C3356" s="1" t="n">
        <v>45828</v>
      </c>
      <c r="D3356" t="inlineStr">
        <is>
          <t>VÄRMLANDS LÄN</t>
        </is>
      </c>
      <c r="E3356" t="inlineStr">
        <is>
          <t>TORSBY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22845-2025</t>
        </is>
      </c>
      <c r="B3357" s="1" t="n">
        <v>45790</v>
      </c>
      <c r="C3357" s="1" t="n">
        <v>45828</v>
      </c>
      <c r="D3357" t="inlineStr">
        <is>
          <t>VÄRMLANDS LÄN</t>
        </is>
      </c>
      <c r="E3357" t="inlineStr">
        <is>
          <t>TORSBY</t>
        </is>
      </c>
      <c r="F3357" t="inlineStr">
        <is>
          <t>Bergvik skog väst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22954-2025</t>
        </is>
      </c>
      <c r="B3358" s="1" t="n">
        <v>45790</v>
      </c>
      <c r="C3358" s="1" t="n">
        <v>45828</v>
      </c>
      <c r="D3358" t="inlineStr">
        <is>
          <t>VÄRMLANDS LÄN</t>
        </is>
      </c>
      <c r="E3358" t="inlineStr">
        <is>
          <t>TORSBY</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23035-2025</t>
        </is>
      </c>
      <c r="B3359" s="1" t="n">
        <v>45790</v>
      </c>
      <c r="C3359" s="1" t="n">
        <v>45828</v>
      </c>
      <c r="D3359" t="inlineStr">
        <is>
          <t>VÄRMLANDS LÄN</t>
        </is>
      </c>
      <c r="E3359" t="inlineStr">
        <is>
          <t>TORSBY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23280-2025</t>
        </is>
      </c>
      <c r="B3360" s="1" t="n">
        <v>45791</v>
      </c>
      <c r="C3360" s="1" t="n">
        <v>45828</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23287-2025</t>
        </is>
      </c>
      <c r="B3361" s="1" t="n">
        <v>45791</v>
      </c>
      <c r="C3361" s="1" t="n">
        <v>45828</v>
      </c>
      <c r="D3361" t="inlineStr">
        <is>
          <t>VÄRMLANDS LÄN</t>
        </is>
      </c>
      <c r="E3361" t="inlineStr">
        <is>
          <t>TORSBY</t>
        </is>
      </c>
      <c r="F3361" t="inlineStr">
        <is>
          <t>Bergvik skog väst AB</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23367-2025</t>
        </is>
      </c>
      <c r="B3362" s="1" t="n">
        <v>45791</v>
      </c>
      <c r="C3362" s="1" t="n">
        <v>45828</v>
      </c>
      <c r="D3362" t="inlineStr">
        <is>
          <t>VÄRMLANDS LÄN</t>
        </is>
      </c>
      <c r="E3362" t="inlineStr">
        <is>
          <t>TORSBY</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23356-2025</t>
        </is>
      </c>
      <c r="B3363" s="1" t="n">
        <v>45791</v>
      </c>
      <c r="C3363" s="1" t="n">
        <v>45828</v>
      </c>
      <c r="D3363" t="inlineStr">
        <is>
          <t>VÄRMLANDS LÄN</t>
        </is>
      </c>
      <c r="E3363" t="inlineStr">
        <is>
          <t>TORSBY</t>
        </is>
      </c>
      <c r="F3363" t="inlineStr">
        <is>
          <t>Bergvik skog väst AB</t>
        </is>
      </c>
      <c r="G3363" t="n">
        <v>15.9</v>
      </c>
      <c r="H3363" t="n">
        <v>0</v>
      </c>
      <c r="I3363" t="n">
        <v>0</v>
      </c>
      <c r="J3363" t="n">
        <v>0</v>
      </c>
      <c r="K3363" t="n">
        <v>0</v>
      </c>
      <c r="L3363" t="n">
        <v>0</v>
      </c>
      <c r="M3363" t="n">
        <v>0</v>
      </c>
      <c r="N3363" t="n">
        <v>0</v>
      </c>
      <c r="O3363" t="n">
        <v>0</v>
      </c>
      <c r="P3363" t="n">
        <v>0</v>
      </c>
      <c r="Q3363" t="n">
        <v>0</v>
      </c>
      <c r="R3363" s="2" t="inlineStr"/>
    </row>
    <row r="3364" ht="15" customHeight="1">
      <c r="A3364" t="inlineStr">
        <is>
          <t>A 23126-2025</t>
        </is>
      </c>
      <c r="B3364" s="1" t="n">
        <v>45791</v>
      </c>
      <c r="C3364" s="1" t="n">
        <v>45828</v>
      </c>
      <c r="D3364" t="inlineStr">
        <is>
          <t>VÄRMLANDS LÄN</t>
        </is>
      </c>
      <c r="E3364" t="inlineStr">
        <is>
          <t>TORSBY</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23455-2025</t>
        </is>
      </c>
      <c r="B3365" s="1" t="n">
        <v>45792</v>
      </c>
      <c r="C3365" s="1" t="n">
        <v>45828</v>
      </c>
      <c r="D3365" t="inlineStr">
        <is>
          <t>VÄRMLANDS LÄN</t>
        </is>
      </c>
      <c r="E3365" t="inlineStr">
        <is>
          <t>TORSBY</t>
        </is>
      </c>
      <c r="F3365" t="inlineStr">
        <is>
          <t>Kyrkan</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23557-2025</t>
        </is>
      </c>
      <c r="B3366" s="1" t="n">
        <v>45792</v>
      </c>
      <c r="C3366" s="1" t="n">
        <v>45828</v>
      </c>
      <c r="D3366" t="inlineStr">
        <is>
          <t>VÄRMLANDS LÄN</t>
        </is>
      </c>
      <c r="E3366" t="inlineStr">
        <is>
          <t>TORSBY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23779-2025</t>
        </is>
      </c>
      <c r="B3367" s="1" t="n">
        <v>45793</v>
      </c>
      <c r="C3367" s="1" t="n">
        <v>45828</v>
      </c>
      <c r="D3367" t="inlineStr">
        <is>
          <t>VÄRMLANDS LÄN</t>
        </is>
      </c>
      <c r="E3367" t="inlineStr">
        <is>
          <t>TORSBY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23741-2025</t>
        </is>
      </c>
      <c r="B3368" s="1" t="n">
        <v>45793</v>
      </c>
      <c r="C3368" s="1" t="n">
        <v>45828</v>
      </c>
      <c r="D3368" t="inlineStr">
        <is>
          <t>VÄRMLANDS LÄN</t>
        </is>
      </c>
      <c r="E3368" t="inlineStr">
        <is>
          <t>TORSBY</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23677-2025</t>
        </is>
      </c>
      <c r="B3369" s="1" t="n">
        <v>45793</v>
      </c>
      <c r="C3369" s="1" t="n">
        <v>45828</v>
      </c>
      <c r="D3369" t="inlineStr">
        <is>
          <t>VÄRMLANDS LÄN</t>
        </is>
      </c>
      <c r="E3369" t="inlineStr">
        <is>
          <t>TORSBY</t>
        </is>
      </c>
      <c r="F3369" t="inlineStr">
        <is>
          <t>Kyrkan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23832-2025</t>
        </is>
      </c>
      <c r="B3370" s="1" t="n">
        <v>45793</v>
      </c>
      <c r="C3370" s="1" t="n">
        <v>45828</v>
      </c>
      <c r="D3370" t="inlineStr">
        <is>
          <t>VÄRMLANDS LÄN</t>
        </is>
      </c>
      <c r="E3370" t="inlineStr">
        <is>
          <t>TORSBY</t>
        </is>
      </c>
      <c r="F3370" t="inlineStr">
        <is>
          <t>Bergvik skog väst AB</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24026-2025</t>
        </is>
      </c>
      <c r="B3371" s="1" t="n">
        <v>45796</v>
      </c>
      <c r="C3371" s="1" t="n">
        <v>45828</v>
      </c>
      <c r="D3371" t="inlineStr">
        <is>
          <t>VÄRMLANDS LÄN</t>
        </is>
      </c>
      <c r="E3371" t="inlineStr">
        <is>
          <t>TORSBY</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24069-2025</t>
        </is>
      </c>
      <c r="B3372" s="1" t="n">
        <v>45796</v>
      </c>
      <c r="C3372" s="1" t="n">
        <v>45828</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24111-2025</t>
        </is>
      </c>
      <c r="B3373" s="1" t="n">
        <v>45796</v>
      </c>
      <c r="C3373" s="1" t="n">
        <v>45828</v>
      </c>
      <c r="D3373" t="inlineStr">
        <is>
          <t>VÄRMLANDS LÄN</t>
        </is>
      </c>
      <c r="E3373" t="inlineStr">
        <is>
          <t>TORSBY</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24112-2025</t>
        </is>
      </c>
      <c r="B3374" s="1" t="n">
        <v>45796</v>
      </c>
      <c r="C3374" s="1" t="n">
        <v>45828</v>
      </c>
      <c r="D3374" t="inlineStr">
        <is>
          <t>VÄRMLANDS LÄN</t>
        </is>
      </c>
      <c r="E3374" t="inlineStr">
        <is>
          <t>TORSBY</t>
        </is>
      </c>
      <c r="F3374" t="inlineStr">
        <is>
          <t>Bergvik skog väst AB</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24318-2025</t>
        </is>
      </c>
      <c r="B3375" s="1" t="n">
        <v>45797</v>
      </c>
      <c r="C3375" s="1" t="n">
        <v>45828</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24425-2025</t>
        </is>
      </c>
      <c r="B3376" s="1" t="n">
        <v>45797</v>
      </c>
      <c r="C3376" s="1" t="n">
        <v>45828</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24218-2025</t>
        </is>
      </c>
      <c r="B3377" s="1" t="n">
        <v>45797</v>
      </c>
      <c r="C3377" s="1" t="n">
        <v>45828</v>
      </c>
      <c r="D3377" t="inlineStr">
        <is>
          <t>VÄRMLANDS LÄN</t>
        </is>
      </c>
      <c r="E3377" t="inlineStr">
        <is>
          <t>TORSBY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24260-2025</t>
        </is>
      </c>
      <c r="B3378" s="1" t="n">
        <v>45797</v>
      </c>
      <c r="C3378" s="1" t="n">
        <v>45828</v>
      </c>
      <c r="D3378" t="inlineStr">
        <is>
          <t>VÄRMLANDS LÄN</t>
        </is>
      </c>
      <c r="E3378" t="inlineStr">
        <is>
          <t>TORSBY</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24251-2025</t>
        </is>
      </c>
      <c r="B3379" s="1" t="n">
        <v>45797</v>
      </c>
      <c r="C3379" s="1" t="n">
        <v>45828</v>
      </c>
      <c r="D3379" t="inlineStr">
        <is>
          <t>VÄRMLANDS LÄN</t>
        </is>
      </c>
      <c r="E3379" t="inlineStr">
        <is>
          <t>TORSBY</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24204-2025</t>
        </is>
      </c>
      <c r="B3380" s="1" t="n">
        <v>45797</v>
      </c>
      <c r="C3380" s="1" t="n">
        <v>45828</v>
      </c>
      <c r="D3380" t="inlineStr">
        <is>
          <t>VÄRMLANDS LÄN</t>
        </is>
      </c>
      <c r="E3380" t="inlineStr">
        <is>
          <t>TORSBY</t>
        </is>
      </c>
      <c r="F3380" t="inlineStr">
        <is>
          <t>Bergvik skog väst AB</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24411-2025</t>
        </is>
      </c>
      <c r="B3381" s="1" t="n">
        <v>45797</v>
      </c>
      <c r="C3381" s="1" t="n">
        <v>45828</v>
      </c>
      <c r="D3381" t="inlineStr">
        <is>
          <t>VÄRMLANDS LÄN</t>
        </is>
      </c>
      <c r="E3381" t="inlineStr">
        <is>
          <t>TORSBY</t>
        </is>
      </c>
      <c r="F3381" t="inlineStr">
        <is>
          <t>Övriga statliga verk och myndigheter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24455-2025</t>
        </is>
      </c>
      <c r="B3382" s="1" t="n">
        <v>45798</v>
      </c>
      <c r="C3382" s="1" t="n">
        <v>45828</v>
      </c>
      <c r="D3382" t="inlineStr">
        <is>
          <t>VÄRMLANDS LÄN</t>
        </is>
      </c>
      <c r="E3382" t="inlineStr">
        <is>
          <t>TORSBY</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24576-2025</t>
        </is>
      </c>
      <c r="B3383" s="1" t="n">
        <v>45798</v>
      </c>
      <c r="C3383" s="1" t="n">
        <v>45828</v>
      </c>
      <c r="D3383" t="inlineStr">
        <is>
          <t>VÄRMLANDS LÄN</t>
        </is>
      </c>
      <c r="E3383" t="inlineStr">
        <is>
          <t>TORSBY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24580-2025</t>
        </is>
      </c>
      <c r="B3384" s="1" t="n">
        <v>45798</v>
      </c>
      <c r="C3384" s="1" t="n">
        <v>45828</v>
      </c>
      <c r="D3384" t="inlineStr">
        <is>
          <t>VÄRMLANDS LÄN</t>
        </is>
      </c>
      <c r="E3384" t="inlineStr">
        <is>
          <t>TORSBY</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24607-2025</t>
        </is>
      </c>
      <c r="B3385" s="1" t="n">
        <v>45798</v>
      </c>
      <c r="C3385" s="1" t="n">
        <v>45828</v>
      </c>
      <c r="D3385" t="inlineStr">
        <is>
          <t>VÄRMLANDS LÄN</t>
        </is>
      </c>
      <c r="E3385" t="inlineStr">
        <is>
          <t>TORSBY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24528-2025</t>
        </is>
      </c>
      <c r="B3386" s="1" t="n">
        <v>45798</v>
      </c>
      <c r="C3386" s="1" t="n">
        <v>45828</v>
      </c>
      <c r="D3386" t="inlineStr">
        <is>
          <t>VÄRMLANDS LÄN</t>
        </is>
      </c>
      <c r="E3386" t="inlineStr">
        <is>
          <t>TORSBY</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24597-2025</t>
        </is>
      </c>
      <c r="B3387" s="1" t="n">
        <v>45798</v>
      </c>
      <c r="C3387" s="1" t="n">
        <v>45828</v>
      </c>
      <c r="D3387" t="inlineStr">
        <is>
          <t>VÄRMLANDS LÄN</t>
        </is>
      </c>
      <c r="E3387" t="inlineStr">
        <is>
          <t>TORSBY</t>
        </is>
      </c>
      <c r="F3387" t="inlineStr">
        <is>
          <t>Övriga statliga verk och myndigheter</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24599-2025</t>
        </is>
      </c>
      <c r="B3388" s="1" t="n">
        <v>45798</v>
      </c>
      <c r="C3388" s="1" t="n">
        <v>45828</v>
      </c>
      <c r="D3388" t="inlineStr">
        <is>
          <t>VÄRMLANDS LÄN</t>
        </is>
      </c>
      <c r="E3388" t="inlineStr">
        <is>
          <t>TORSBY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24827-2025</t>
        </is>
      </c>
      <c r="B3389" s="1" t="n">
        <v>45799</v>
      </c>
      <c r="C3389" s="1" t="n">
        <v>45828</v>
      </c>
      <c r="D3389" t="inlineStr">
        <is>
          <t>VÄRMLANDS LÄN</t>
        </is>
      </c>
      <c r="E3389" t="inlineStr">
        <is>
          <t>TORSBY</t>
        </is>
      </c>
      <c r="G3389" t="n">
        <v>27.5</v>
      </c>
      <c r="H3389" t="n">
        <v>0</v>
      </c>
      <c r="I3389" t="n">
        <v>0</v>
      </c>
      <c r="J3389" t="n">
        <v>0</v>
      </c>
      <c r="K3389" t="n">
        <v>0</v>
      </c>
      <c r="L3389" t="n">
        <v>0</v>
      </c>
      <c r="M3389" t="n">
        <v>0</v>
      </c>
      <c r="N3389" t="n">
        <v>0</v>
      </c>
      <c r="O3389" t="n">
        <v>0</v>
      </c>
      <c r="P3389" t="n">
        <v>0</v>
      </c>
      <c r="Q3389" t="n">
        <v>0</v>
      </c>
      <c r="R3389" s="2" t="inlineStr"/>
    </row>
    <row r="3390" ht="15" customHeight="1">
      <c r="A3390" t="inlineStr">
        <is>
          <t>A 24967-2025</t>
        </is>
      </c>
      <c r="B3390" s="1" t="n">
        <v>45799</v>
      </c>
      <c r="C3390" s="1" t="n">
        <v>45828</v>
      </c>
      <c r="D3390" t="inlineStr">
        <is>
          <t>VÄRMLANDS LÄN</t>
        </is>
      </c>
      <c r="E3390" t="inlineStr">
        <is>
          <t>TORSBY</t>
        </is>
      </c>
      <c r="F3390" t="inlineStr">
        <is>
          <t>Bergvik skog väst AB</t>
        </is>
      </c>
      <c r="G3390" t="n">
        <v>17.6</v>
      </c>
      <c r="H3390" t="n">
        <v>0</v>
      </c>
      <c r="I3390" t="n">
        <v>0</v>
      </c>
      <c r="J3390" t="n">
        <v>0</v>
      </c>
      <c r="K3390" t="n">
        <v>0</v>
      </c>
      <c r="L3390" t="n">
        <v>0</v>
      </c>
      <c r="M3390" t="n">
        <v>0</v>
      </c>
      <c r="N3390" t="n">
        <v>0</v>
      </c>
      <c r="O3390" t="n">
        <v>0</v>
      </c>
      <c r="P3390" t="n">
        <v>0</v>
      </c>
      <c r="Q3390" t="n">
        <v>0</v>
      </c>
      <c r="R3390" s="2" t="inlineStr"/>
    </row>
    <row r="3391" ht="15" customHeight="1">
      <c r="A3391" t="inlineStr">
        <is>
          <t>A 24726-2025</t>
        </is>
      </c>
      <c r="B3391" s="1" t="n">
        <v>45799</v>
      </c>
      <c r="C3391" s="1" t="n">
        <v>45828</v>
      </c>
      <c r="D3391" t="inlineStr">
        <is>
          <t>VÄRMLANDS LÄN</t>
        </is>
      </c>
      <c r="E3391" t="inlineStr">
        <is>
          <t>TORSBY</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24757-2025</t>
        </is>
      </c>
      <c r="B3392" s="1" t="n">
        <v>45799</v>
      </c>
      <c r="C3392" s="1" t="n">
        <v>45828</v>
      </c>
      <c r="D3392" t="inlineStr">
        <is>
          <t>VÄRMLANDS LÄN</t>
        </is>
      </c>
      <c r="E3392" t="inlineStr">
        <is>
          <t>TORSBY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25050-2025</t>
        </is>
      </c>
      <c r="B3393" s="1" t="n">
        <v>45799</v>
      </c>
      <c r="C3393" s="1" t="n">
        <v>45828</v>
      </c>
      <c r="D3393" t="inlineStr">
        <is>
          <t>VÄRMLANDS LÄN</t>
        </is>
      </c>
      <c r="E3393" t="inlineStr">
        <is>
          <t>TORSBY</t>
        </is>
      </c>
      <c r="F3393" t="inlineStr">
        <is>
          <t>Bergvik skog väst AB</t>
        </is>
      </c>
      <c r="G3393" t="n">
        <v>39.7</v>
      </c>
      <c r="H3393" t="n">
        <v>0</v>
      </c>
      <c r="I3393" t="n">
        <v>0</v>
      </c>
      <c r="J3393" t="n">
        <v>0</v>
      </c>
      <c r="K3393" t="n">
        <v>0</v>
      </c>
      <c r="L3393" t="n">
        <v>0</v>
      </c>
      <c r="M3393" t="n">
        <v>0</v>
      </c>
      <c r="N3393" t="n">
        <v>0</v>
      </c>
      <c r="O3393" t="n">
        <v>0</v>
      </c>
      <c r="P3393" t="n">
        <v>0</v>
      </c>
      <c r="Q3393" t="n">
        <v>0</v>
      </c>
      <c r="R3393" s="2" t="inlineStr"/>
    </row>
    <row r="3394" ht="15" customHeight="1">
      <c r="A3394" t="inlineStr">
        <is>
          <t>A 25227-2025</t>
        </is>
      </c>
      <c r="B3394" s="1" t="n">
        <v>45800</v>
      </c>
      <c r="C3394" s="1" t="n">
        <v>45828</v>
      </c>
      <c r="D3394" t="inlineStr">
        <is>
          <t>VÄRMLANDS LÄN</t>
        </is>
      </c>
      <c r="E3394" t="inlineStr">
        <is>
          <t>TORSBY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25369-2025</t>
        </is>
      </c>
      <c r="B3395" s="1" t="n">
        <v>45800</v>
      </c>
      <c r="C3395" s="1" t="n">
        <v>45828</v>
      </c>
      <c r="D3395" t="inlineStr">
        <is>
          <t>VÄRMLANDS LÄN</t>
        </is>
      </c>
      <c r="E3395" t="inlineStr">
        <is>
          <t>TORSBY</t>
        </is>
      </c>
      <c r="F3395" t="inlineStr">
        <is>
          <t>Bergvik skog väst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25218-2025</t>
        </is>
      </c>
      <c r="B3396" s="1" t="n">
        <v>45800</v>
      </c>
      <c r="C3396" s="1" t="n">
        <v>45828</v>
      </c>
      <c r="D3396" t="inlineStr">
        <is>
          <t>VÄRMLANDS LÄN</t>
        </is>
      </c>
      <c r="E3396" t="inlineStr">
        <is>
          <t>TORSBY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25186-2025</t>
        </is>
      </c>
      <c r="B3397" s="1" t="n">
        <v>45800</v>
      </c>
      <c r="C3397" s="1" t="n">
        <v>45828</v>
      </c>
      <c r="D3397" t="inlineStr">
        <is>
          <t>VÄRMLANDS LÄN</t>
        </is>
      </c>
      <c r="E3397" t="inlineStr">
        <is>
          <t>TORSBY</t>
        </is>
      </c>
      <c r="F3397" t="inlineStr">
        <is>
          <t>Kyrkan</t>
        </is>
      </c>
      <c r="G3397" t="n">
        <v>10.2</v>
      </c>
      <c r="H3397" t="n">
        <v>0</v>
      </c>
      <c r="I3397" t="n">
        <v>0</v>
      </c>
      <c r="J3397" t="n">
        <v>0</v>
      </c>
      <c r="K3397" t="n">
        <v>0</v>
      </c>
      <c r="L3397" t="n">
        <v>0</v>
      </c>
      <c r="M3397" t="n">
        <v>0</v>
      </c>
      <c r="N3397" t="n">
        <v>0</v>
      </c>
      <c r="O3397" t="n">
        <v>0</v>
      </c>
      <c r="P3397" t="n">
        <v>0</v>
      </c>
      <c r="Q3397" t="n">
        <v>0</v>
      </c>
      <c r="R3397" s="2" t="inlineStr"/>
    </row>
    <row r="3398" ht="15" customHeight="1">
      <c r="A3398" t="inlineStr">
        <is>
          <t>A 25428-2025</t>
        </is>
      </c>
      <c r="B3398" s="1" t="n">
        <v>45800</v>
      </c>
      <c r="C3398" s="1" t="n">
        <v>45828</v>
      </c>
      <c r="D3398" t="inlineStr">
        <is>
          <t>VÄRMLANDS LÄN</t>
        </is>
      </c>
      <c r="E3398" t="inlineStr">
        <is>
          <t>TORSBY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25296-2025</t>
        </is>
      </c>
      <c r="B3399" s="1" t="n">
        <v>45800</v>
      </c>
      <c r="C3399" s="1" t="n">
        <v>45828</v>
      </c>
      <c r="D3399" t="inlineStr">
        <is>
          <t>VÄRMLANDS LÄN</t>
        </is>
      </c>
      <c r="E3399" t="inlineStr">
        <is>
          <t>TORSBY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25328-2025</t>
        </is>
      </c>
      <c r="B3400" s="1" t="n">
        <v>45800</v>
      </c>
      <c r="C3400" s="1" t="n">
        <v>45828</v>
      </c>
      <c r="D3400" t="inlineStr">
        <is>
          <t>VÄRMLANDS LÄN</t>
        </is>
      </c>
      <c r="E3400" t="inlineStr">
        <is>
          <t>TORSBY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45828</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25443-2025</t>
        </is>
      </c>
      <c r="B3402" s="1" t="n">
        <v>45801</v>
      </c>
      <c r="C3402" s="1" t="n">
        <v>45828</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25465-2025</t>
        </is>
      </c>
      <c r="B3403" s="1" t="n">
        <v>45802</v>
      </c>
      <c r="C3403" s="1" t="n">
        <v>45828</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25464-2025</t>
        </is>
      </c>
      <c r="B3404" s="1" t="n">
        <v>45802</v>
      </c>
      <c r="C3404" s="1" t="n">
        <v>45828</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25653-2025</t>
        </is>
      </c>
      <c r="B3405" s="1" t="n">
        <v>45803</v>
      </c>
      <c r="C3405" s="1" t="n">
        <v>45828</v>
      </c>
      <c r="D3405" t="inlineStr">
        <is>
          <t>VÄRMLANDS LÄN</t>
        </is>
      </c>
      <c r="E3405" t="inlineStr">
        <is>
          <t>TORSBY</t>
        </is>
      </c>
      <c r="F3405" t="inlineStr">
        <is>
          <t>Bergvik skog väst AB</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25545-2025</t>
        </is>
      </c>
      <c r="B3406" s="1" t="n">
        <v>45803</v>
      </c>
      <c r="C3406" s="1" t="n">
        <v>45828</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25508-2025</t>
        </is>
      </c>
      <c r="B3407" s="1" t="n">
        <v>45803</v>
      </c>
      <c r="C3407" s="1" t="n">
        <v>45828</v>
      </c>
      <c r="D3407" t="inlineStr">
        <is>
          <t>VÄRMLANDS LÄN</t>
        </is>
      </c>
      <c r="E3407" t="inlineStr">
        <is>
          <t>TORSBY</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25959-2025</t>
        </is>
      </c>
      <c r="B3408" s="1" t="n">
        <v>45804</v>
      </c>
      <c r="C3408" s="1" t="n">
        <v>45828</v>
      </c>
      <c r="D3408" t="inlineStr">
        <is>
          <t>VÄRMLANDS LÄN</t>
        </is>
      </c>
      <c r="E3408" t="inlineStr">
        <is>
          <t>TORSBY</t>
        </is>
      </c>
      <c r="F3408" t="inlineStr">
        <is>
          <t>Bergvik skog väst AB</t>
        </is>
      </c>
      <c r="G3408" t="n">
        <v>17.6</v>
      </c>
      <c r="H3408" t="n">
        <v>0</v>
      </c>
      <c r="I3408" t="n">
        <v>0</v>
      </c>
      <c r="J3408" t="n">
        <v>0</v>
      </c>
      <c r="K3408" t="n">
        <v>0</v>
      </c>
      <c r="L3408" t="n">
        <v>0</v>
      </c>
      <c r="M3408" t="n">
        <v>0</v>
      </c>
      <c r="N3408" t="n">
        <v>0</v>
      </c>
      <c r="O3408" t="n">
        <v>0</v>
      </c>
      <c r="P3408" t="n">
        <v>0</v>
      </c>
      <c r="Q3408" t="n">
        <v>0</v>
      </c>
      <c r="R3408" s="2" t="inlineStr"/>
    </row>
    <row r="3409" ht="15" customHeight="1">
      <c r="A3409" t="inlineStr">
        <is>
          <t>A 25803-2025</t>
        </is>
      </c>
      <c r="B3409" s="1" t="n">
        <v>45804</v>
      </c>
      <c r="C3409" s="1" t="n">
        <v>45828</v>
      </c>
      <c r="D3409" t="inlineStr">
        <is>
          <t>VÄRMLANDS LÄN</t>
        </is>
      </c>
      <c r="E3409" t="inlineStr">
        <is>
          <t>TORSBY</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25807-2025</t>
        </is>
      </c>
      <c r="B3410" s="1" t="n">
        <v>45804</v>
      </c>
      <c r="C3410" s="1" t="n">
        <v>45828</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25808-2025</t>
        </is>
      </c>
      <c r="B3411" s="1" t="n">
        <v>45804</v>
      </c>
      <c r="C3411" s="1" t="n">
        <v>45828</v>
      </c>
      <c r="D3411" t="inlineStr">
        <is>
          <t>VÄRMLANDS LÄN</t>
        </is>
      </c>
      <c r="E3411" t="inlineStr">
        <is>
          <t>TORSBY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25974-2025</t>
        </is>
      </c>
      <c r="B3412" s="1" t="n">
        <v>45804</v>
      </c>
      <c r="C3412" s="1" t="n">
        <v>45828</v>
      </c>
      <c r="D3412" t="inlineStr">
        <is>
          <t>VÄRMLANDS LÄN</t>
        </is>
      </c>
      <c r="E3412" t="inlineStr">
        <is>
          <t>TORSBY</t>
        </is>
      </c>
      <c r="F3412" t="inlineStr">
        <is>
          <t>Bergvik skog väst AB</t>
        </is>
      </c>
      <c r="G3412" t="n">
        <v>24.6</v>
      </c>
      <c r="H3412" t="n">
        <v>0</v>
      </c>
      <c r="I3412" t="n">
        <v>0</v>
      </c>
      <c r="J3412" t="n">
        <v>0</v>
      </c>
      <c r="K3412" t="n">
        <v>0</v>
      </c>
      <c r="L3412" t="n">
        <v>0</v>
      </c>
      <c r="M3412" t="n">
        <v>0</v>
      </c>
      <c r="N3412" t="n">
        <v>0</v>
      </c>
      <c r="O3412" t="n">
        <v>0</v>
      </c>
      <c r="P3412" t="n">
        <v>0</v>
      </c>
      <c r="Q3412" t="n">
        <v>0</v>
      </c>
      <c r="R3412" s="2" t="inlineStr"/>
    </row>
    <row r="3413" ht="15" customHeight="1">
      <c r="A3413" t="inlineStr">
        <is>
          <t>A 25915-2025</t>
        </is>
      </c>
      <c r="B3413" s="1" t="n">
        <v>45804</v>
      </c>
      <c r="C3413" s="1" t="n">
        <v>45828</v>
      </c>
      <c r="D3413" t="inlineStr">
        <is>
          <t>VÄRMLANDS LÄN</t>
        </is>
      </c>
      <c r="E3413" t="inlineStr">
        <is>
          <t>TORSBY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25917-2025</t>
        </is>
      </c>
      <c r="B3414" s="1" t="n">
        <v>45804</v>
      </c>
      <c r="C3414" s="1" t="n">
        <v>45828</v>
      </c>
      <c r="D3414" t="inlineStr">
        <is>
          <t>VÄRMLANDS LÄN</t>
        </is>
      </c>
      <c r="E3414" t="inlineStr">
        <is>
          <t>TORSBY</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25956-2025</t>
        </is>
      </c>
      <c r="B3415" s="1" t="n">
        <v>45804</v>
      </c>
      <c r="C3415" s="1" t="n">
        <v>45828</v>
      </c>
      <c r="D3415" t="inlineStr">
        <is>
          <t>VÄRMLANDS LÄN</t>
        </is>
      </c>
      <c r="E3415" t="inlineStr">
        <is>
          <t>TORSBY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25961-2025</t>
        </is>
      </c>
      <c r="B3416" s="1" t="n">
        <v>45804</v>
      </c>
      <c r="C3416" s="1" t="n">
        <v>45828</v>
      </c>
      <c r="D3416" t="inlineStr">
        <is>
          <t>VÄRMLANDS LÄN</t>
        </is>
      </c>
      <c r="E3416" t="inlineStr">
        <is>
          <t>TORSBY</t>
        </is>
      </c>
      <c r="G3416" t="n">
        <v>17.8</v>
      </c>
      <c r="H3416" t="n">
        <v>0</v>
      </c>
      <c r="I3416" t="n">
        <v>0</v>
      </c>
      <c r="J3416" t="n">
        <v>0</v>
      </c>
      <c r="K3416" t="n">
        <v>0</v>
      </c>
      <c r="L3416" t="n">
        <v>0</v>
      </c>
      <c r="M3416" t="n">
        <v>0</v>
      </c>
      <c r="N3416" t="n">
        <v>0</v>
      </c>
      <c r="O3416" t="n">
        <v>0</v>
      </c>
      <c r="P3416" t="n">
        <v>0</v>
      </c>
      <c r="Q3416" t="n">
        <v>0</v>
      </c>
      <c r="R3416" s="2" t="inlineStr"/>
    </row>
    <row r="3417" ht="15" customHeight="1">
      <c r="A3417" t="inlineStr">
        <is>
          <t>A 25866-2025</t>
        </is>
      </c>
      <c r="B3417" s="1" t="n">
        <v>45804</v>
      </c>
      <c r="C3417" s="1" t="n">
        <v>45828</v>
      </c>
      <c r="D3417" t="inlineStr">
        <is>
          <t>VÄRMLANDS LÄN</t>
        </is>
      </c>
      <c r="E3417" t="inlineStr">
        <is>
          <t>TORSBY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25881-2025</t>
        </is>
      </c>
      <c r="B3418" s="1" t="n">
        <v>45804</v>
      </c>
      <c r="C3418" s="1" t="n">
        <v>45828</v>
      </c>
      <c r="D3418" t="inlineStr">
        <is>
          <t>VÄRMLANDS LÄN</t>
        </is>
      </c>
      <c r="E3418" t="inlineStr">
        <is>
          <t>TORSBY</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25859-2025</t>
        </is>
      </c>
      <c r="B3419" s="1" t="n">
        <v>45804</v>
      </c>
      <c r="C3419" s="1" t="n">
        <v>45828</v>
      </c>
      <c r="D3419" t="inlineStr">
        <is>
          <t>VÄRMLANDS LÄN</t>
        </is>
      </c>
      <c r="E3419" t="inlineStr">
        <is>
          <t>TORSBY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26342-2025</t>
        </is>
      </c>
      <c r="B3420" s="1" t="n">
        <v>45805</v>
      </c>
      <c r="C3420" s="1" t="n">
        <v>45828</v>
      </c>
      <c r="D3420" t="inlineStr">
        <is>
          <t>VÄRMLANDS LÄN</t>
        </is>
      </c>
      <c r="E3420" t="inlineStr">
        <is>
          <t>TORSBY</t>
        </is>
      </c>
      <c r="F3420" t="inlineStr">
        <is>
          <t>Bergvik skog väst AB</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26061-2025</t>
        </is>
      </c>
      <c r="B3421" s="1" t="n">
        <v>45805</v>
      </c>
      <c r="C3421" s="1" t="n">
        <v>45828</v>
      </c>
      <c r="D3421" t="inlineStr">
        <is>
          <t>VÄRMLANDS LÄN</t>
        </is>
      </c>
      <c r="E3421" t="inlineStr">
        <is>
          <t>TORSBY</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45828</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45828</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26231-2025</t>
        </is>
      </c>
      <c r="B3424" s="1" t="n">
        <v>45805</v>
      </c>
      <c r="C3424" s="1" t="n">
        <v>45828</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26158-2025</t>
        </is>
      </c>
      <c r="B3425" s="1" t="n">
        <v>45805</v>
      </c>
      <c r="C3425" s="1" t="n">
        <v>45828</v>
      </c>
      <c r="D3425" t="inlineStr">
        <is>
          <t>VÄRMLANDS LÄN</t>
        </is>
      </c>
      <c r="E3425" t="inlineStr">
        <is>
          <t>TORSBY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26418-2025</t>
        </is>
      </c>
      <c r="B3426" s="1" t="n">
        <v>45807</v>
      </c>
      <c r="C3426" s="1" t="n">
        <v>45828</v>
      </c>
      <c r="D3426" t="inlineStr">
        <is>
          <t>VÄRMLANDS LÄN</t>
        </is>
      </c>
      <c r="E3426" t="inlineStr">
        <is>
          <t>TORSBY</t>
        </is>
      </c>
      <c r="F3426" t="inlineStr">
        <is>
          <t>Bergvik skog väst AB</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26479-2025</t>
        </is>
      </c>
      <c r="B3427" s="1" t="n">
        <v>45807</v>
      </c>
      <c r="C3427" s="1" t="n">
        <v>45828</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26491-2025</t>
        </is>
      </c>
      <c r="B3428" s="1" t="n">
        <v>45807</v>
      </c>
      <c r="C3428" s="1" t="n">
        <v>45828</v>
      </c>
      <c r="D3428" t="inlineStr">
        <is>
          <t>VÄRMLANDS LÄN</t>
        </is>
      </c>
      <c r="E3428" t="inlineStr">
        <is>
          <t>TORSBY</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26504-2025</t>
        </is>
      </c>
      <c r="B3429" s="1" t="n">
        <v>45807</v>
      </c>
      <c r="C3429" s="1" t="n">
        <v>45828</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26505-2025</t>
        </is>
      </c>
      <c r="B3430" s="1" t="n">
        <v>45807</v>
      </c>
      <c r="C3430" s="1" t="n">
        <v>45828</v>
      </c>
      <c r="D3430" t="inlineStr">
        <is>
          <t>VÄRMLANDS LÄN</t>
        </is>
      </c>
      <c r="E3430" t="inlineStr">
        <is>
          <t>TORSBY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26539-2025</t>
        </is>
      </c>
      <c r="B3431" s="1" t="n">
        <v>45807</v>
      </c>
      <c r="C3431" s="1" t="n">
        <v>45828</v>
      </c>
      <c r="D3431" t="inlineStr">
        <is>
          <t>VÄRMLANDS LÄN</t>
        </is>
      </c>
      <c r="E3431" t="inlineStr">
        <is>
          <t>TORSBY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26563-2025</t>
        </is>
      </c>
      <c r="B3432" s="1" t="n">
        <v>45807</v>
      </c>
      <c r="C3432" s="1" t="n">
        <v>45828</v>
      </c>
      <c r="D3432" t="inlineStr">
        <is>
          <t>VÄRMLANDS LÄN</t>
        </is>
      </c>
      <c r="E3432" t="inlineStr">
        <is>
          <t>TORSBY</t>
        </is>
      </c>
      <c r="F3432" t="inlineStr">
        <is>
          <t>Bergvik skog väst AB</t>
        </is>
      </c>
      <c r="G3432" t="n">
        <v>19.5</v>
      </c>
      <c r="H3432" t="n">
        <v>0</v>
      </c>
      <c r="I3432" t="n">
        <v>0</v>
      </c>
      <c r="J3432" t="n">
        <v>0</v>
      </c>
      <c r="K3432" t="n">
        <v>0</v>
      </c>
      <c r="L3432" t="n">
        <v>0</v>
      </c>
      <c r="M3432" t="n">
        <v>0</v>
      </c>
      <c r="N3432" t="n">
        <v>0</v>
      </c>
      <c r="O3432" t="n">
        <v>0</v>
      </c>
      <c r="P3432" t="n">
        <v>0</v>
      </c>
      <c r="Q3432" t="n">
        <v>0</v>
      </c>
      <c r="R3432" s="2" t="inlineStr"/>
    </row>
    <row r="3433" ht="15" customHeight="1">
      <c r="A3433" t="inlineStr">
        <is>
          <t>A 26507-2025</t>
        </is>
      </c>
      <c r="B3433" s="1" t="n">
        <v>45807</v>
      </c>
      <c r="C3433" s="1" t="n">
        <v>45828</v>
      </c>
      <c r="D3433" t="inlineStr">
        <is>
          <t>VÄRMLANDS LÄN</t>
        </is>
      </c>
      <c r="E3433" t="inlineStr">
        <is>
          <t>TORSBY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26533-2025</t>
        </is>
      </c>
      <c r="B3434" s="1" t="n">
        <v>45807</v>
      </c>
      <c r="C3434" s="1" t="n">
        <v>45828</v>
      </c>
      <c r="D3434" t="inlineStr">
        <is>
          <t>VÄRMLANDS LÄN</t>
        </is>
      </c>
      <c r="E3434" t="inlineStr">
        <is>
          <t>TORSBY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26487-2025</t>
        </is>
      </c>
      <c r="B3435" s="1" t="n">
        <v>45807</v>
      </c>
      <c r="C3435" s="1" t="n">
        <v>45828</v>
      </c>
      <c r="D3435" t="inlineStr">
        <is>
          <t>VÄRMLANDS LÄN</t>
        </is>
      </c>
      <c r="E3435" t="inlineStr">
        <is>
          <t>TORSBY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26511-2025</t>
        </is>
      </c>
      <c r="B3436" s="1" t="n">
        <v>45807</v>
      </c>
      <c r="C3436" s="1" t="n">
        <v>45828</v>
      </c>
      <c r="D3436" t="inlineStr">
        <is>
          <t>VÄRMLANDS LÄN</t>
        </is>
      </c>
      <c r="E3436" t="inlineStr">
        <is>
          <t>TORSBY</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26564-2025</t>
        </is>
      </c>
      <c r="B3437" s="1" t="n">
        <v>45807</v>
      </c>
      <c r="C3437" s="1" t="n">
        <v>45828</v>
      </c>
      <c r="D3437" t="inlineStr">
        <is>
          <t>VÄRMLANDS LÄN</t>
        </is>
      </c>
      <c r="E3437" t="inlineStr">
        <is>
          <t>TORSBY</t>
        </is>
      </c>
      <c r="F3437" t="inlineStr">
        <is>
          <t>Bergvik skog väst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26607-2025</t>
        </is>
      </c>
      <c r="B3438" s="1" t="n">
        <v>45810</v>
      </c>
      <c r="C3438" s="1" t="n">
        <v>45828</v>
      </c>
      <c r="D3438" t="inlineStr">
        <is>
          <t>VÄRMLANDS LÄN</t>
        </is>
      </c>
      <c r="E3438" t="inlineStr">
        <is>
          <t>TORSBY</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26822-2025</t>
        </is>
      </c>
      <c r="B3439" s="1" t="n">
        <v>45810</v>
      </c>
      <c r="C3439" s="1" t="n">
        <v>45828</v>
      </c>
      <c r="D3439" t="inlineStr">
        <is>
          <t>VÄRMLANDS LÄN</t>
        </is>
      </c>
      <c r="E3439" t="inlineStr">
        <is>
          <t>TORSBY</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27093-2025</t>
        </is>
      </c>
      <c r="B3440" s="1" t="n">
        <v>45811</v>
      </c>
      <c r="C3440" s="1" t="n">
        <v>45828</v>
      </c>
      <c r="D3440" t="inlineStr">
        <is>
          <t>VÄRMLANDS LÄN</t>
        </is>
      </c>
      <c r="E3440" t="inlineStr">
        <is>
          <t>TORSBY</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45828</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26960-2025</t>
        </is>
      </c>
      <c r="B3442" s="1" t="n">
        <v>45811</v>
      </c>
      <c r="C3442" s="1" t="n">
        <v>45828</v>
      </c>
      <c r="D3442" t="inlineStr">
        <is>
          <t>VÄRMLANDS LÄN</t>
        </is>
      </c>
      <c r="E3442" t="inlineStr">
        <is>
          <t>TORSBY</t>
        </is>
      </c>
      <c r="F3442" t="inlineStr">
        <is>
          <t>Kyrkan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27043-2025</t>
        </is>
      </c>
      <c r="B3443" s="1" t="n">
        <v>45811</v>
      </c>
      <c r="C3443" s="1" t="n">
        <v>45828</v>
      </c>
      <c r="D3443" t="inlineStr">
        <is>
          <t>VÄRMLANDS LÄN</t>
        </is>
      </c>
      <c r="E3443" t="inlineStr">
        <is>
          <t>TORSBY</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26897-2025</t>
        </is>
      </c>
      <c r="B3444" s="1" t="n">
        <v>45811</v>
      </c>
      <c r="C3444" s="1" t="n">
        <v>45828</v>
      </c>
      <c r="D3444" t="inlineStr">
        <is>
          <t>VÄRMLANDS LÄN</t>
        </is>
      </c>
      <c r="E3444" t="inlineStr">
        <is>
          <t>TORSBY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27056-2025</t>
        </is>
      </c>
      <c r="B3445" s="1" t="n">
        <v>45811</v>
      </c>
      <c r="C3445" s="1" t="n">
        <v>45828</v>
      </c>
      <c r="D3445" t="inlineStr">
        <is>
          <t>VÄRMLANDS LÄN</t>
        </is>
      </c>
      <c r="E3445" t="inlineStr">
        <is>
          <t>TORSBY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45828</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27116-2025</t>
        </is>
      </c>
      <c r="B3447" s="1" t="n">
        <v>45811</v>
      </c>
      <c r="C3447" s="1" t="n">
        <v>45828</v>
      </c>
      <c r="D3447" t="inlineStr">
        <is>
          <t>VÄRMLANDS LÄN</t>
        </is>
      </c>
      <c r="E3447" t="inlineStr">
        <is>
          <t>TORSBY</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26898-2025</t>
        </is>
      </c>
      <c r="B3448" s="1" t="n">
        <v>45811</v>
      </c>
      <c r="C3448" s="1" t="n">
        <v>45828</v>
      </c>
      <c r="D3448" t="inlineStr">
        <is>
          <t>VÄRMLANDS LÄN</t>
        </is>
      </c>
      <c r="E3448" t="inlineStr">
        <is>
          <t>TORSBY</t>
        </is>
      </c>
      <c r="F3448" t="inlineStr">
        <is>
          <t>Övriga Aktiebolag</t>
        </is>
      </c>
      <c r="G3448" t="n">
        <v>37.8</v>
      </c>
      <c r="H3448" t="n">
        <v>0</v>
      </c>
      <c r="I3448" t="n">
        <v>0</v>
      </c>
      <c r="J3448" t="n">
        <v>0</v>
      </c>
      <c r="K3448" t="n">
        <v>0</v>
      </c>
      <c r="L3448" t="n">
        <v>0</v>
      </c>
      <c r="M3448" t="n">
        <v>0</v>
      </c>
      <c r="N3448" t="n">
        <v>0</v>
      </c>
      <c r="O3448" t="n">
        <v>0</v>
      </c>
      <c r="P3448" t="n">
        <v>0</v>
      </c>
      <c r="Q3448" t="n">
        <v>0</v>
      </c>
      <c r="R3448" s="2" t="inlineStr"/>
    </row>
    <row r="3449" ht="15" customHeight="1">
      <c r="A3449" t="inlineStr">
        <is>
          <t>A 26890-2025</t>
        </is>
      </c>
      <c r="B3449" s="1" t="n">
        <v>45811</v>
      </c>
      <c r="C3449" s="1" t="n">
        <v>45828</v>
      </c>
      <c r="D3449" t="inlineStr">
        <is>
          <t>VÄRMLANDS LÄN</t>
        </is>
      </c>
      <c r="E3449" t="inlineStr">
        <is>
          <t>TORSBY</t>
        </is>
      </c>
      <c r="F3449" t="inlineStr">
        <is>
          <t>Bergvik skog väst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27149-2025</t>
        </is>
      </c>
      <c r="B3450" s="1" t="n">
        <v>45812</v>
      </c>
      <c r="C3450" s="1" t="n">
        <v>45828</v>
      </c>
      <c r="D3450" t="inlineStr">
        <is>
          <t>VÄRMLANDS LÄN</t>
        </is>
      </c>
      <c r="E3450" t="inlineStr">
        <is>
          <t>TORSBY</t>
        </is>
      </c>
      <c r="F3450" t="inlineStr">
        <is>
          <t>Bergvik skog väst AB</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27174-2025</t>
        </is>
      </c>
      <c r="B3451" s="1" t="n">
        <v>45812</v>
      </c>
      <c r="C3451" s="1" t="n">
        <v>45828</v>
      </c>
      <c r="D3451" t="inlineStr">
        <is>
          <t>VÄRMLANDS LÄN</t>
        </is>
      </c>
      <c r="E3451" t="inlineStr">
        <is>
          <t>TORSBY</t>
        </is>
      </c>
      <c r="F3451" t="inlineStr">
        <is>
          <t>Kyrkan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27291-2025</t>
        </is>
      </c>
      <c r="B3452" s="1" t="n">
        <v>45812</v>
      </c>
      <c r="C3452" s="1" t="n">
        <v>45828</v>
      </c>
      <c r="D3452" t="inlineStr">
        <is>
          <t>VÄRMLANDS LÄN</t>
        </is>
      </c>
      <c r="E3452" t="inlineStr">
        <is>
          <t>TORSBY</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27450-2025</t>
        </is>
      </c>
      <c r="B3453" s="1" t="n">
        <v>45813</v>
      </c>
      <c r="C3453" s="1" t="n">
        <v>45828</v>
      </c>
      <c r="D3453" t="inlineStr">
        <is>
          <t>VÄRMLANDS LÄN</t>
        </is>
      </c>
      <c r="E3453" t="inlineStr">
        <is>
          <t>TORSBY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27467-2025</t>
        </is>
      </c>
      <c r="B3454" s="1" t="n">
        <v>45813</v>
      </c>
      <c r="C3454" s="1" t="n">
        <v>45828</v>
      </c>
      <c r="D3454" t="inlineStr">
        <is>
          <t>VÄRMLANDS LÄN</t>
        </is>
      </c>
      <c r="E3454" t="inlineStr">
        <is>
          <t>TORSBY</t>
        </is>
      </c>
      <c r="F3454" t="inlineStr">
        <is>
          <t>Bergvik skog väst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27674-2025</t>
        </is>
      </c>
      <c r="B3455" s="1" t="n">
        <v>45813</v>
      </c>
      <c r="C3455" s="1" t="n">
        <v>45828</v>
      </c>
      <c r="D3455" t="inlineStr">
        <is>
          <t>VÄRMLANDS LÄN</t>
        </is>
      </c>
      <c r="E3455" t="inlineStr">
        <is>
          <t>TORSBY</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27667-2025</t>
        </is>
      </c>
      <c r="B3456" s="1" t="n">
        <v>45813</v>
      </c>
      <c r="C3456" s="1" t="n">
        <v>45828</v>
      </c>
      <c r="D3456" t="inlineStr">
        <is>
          <t>VÄRMLANDS LÄN</t>
        </is>
      </c>
      <c r="E3456" t="inlineStr">
        <is>
          <t>TORSBY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27470-2025</t>
        </is>
      </c>
      <c r="B3457" s="1" t="n">
        <v>45813</v>
      </c>
      <c r="C3457" s="1" t="n">
        <v>45828</v>
      </c>
      <c r="D3457" t="inlineStr">
        <is>
          <t>VÄRMLANDS LÄN</t>
        </is>
      </c>
      <c r="E3457" t="inlineStr">
        <is>
          <t>TORSBY</t>
        </is>
      </c>
      <c r="G3457" t="n">
        <v>17.9</v>
      </c>
      <c r="H3457" t="n">
        <v>0</v>
      </c>
      <c r="I3457" t="n">
        <v>0</v>
      </c>
      <c r="J3457" t="n">
        <v>0</v>
      </c>
      <c r="K3457" t="n">
        <v>0</v>
      </c>
      <c r="L3457" t="n">
        <v>0</v>
      </c>
      <c r="M3457" t="n">
        <v>0</v>
      </c>
      <c r="N3457" t="n">
        <v>0</v>
      </c>
      <c r="O3457" t="n">
        <v>0</v>
      </c>
      <c r="P3457" t="n">
        <v>0</v>
      </c>
      <c r="Q3457" t="n">
        <v>0</v>
      </c>
      <c r="R3457" s="2" t="inlineStr"/>
    </row>
    <row r="3458" ht="15" customHeight="1">
      <c r="A3458" t="inlineStr">
        <is>
          <t>A 27728-2025</t>
        </is>
      </c>
      <c r="B3458" s="1" t="n">
        <v>45814</v>
      </c>
      <c r="C3458" s="1" t="n">
        <v>45828</v>
      </c>
      <c r="D3458" t="inlineStr">
        <is>
          <t>VÄRMLANDS LÄN</t>
        </is>
      </c>
      <c r="E3458" t="inlineStr">
        <is>
          <t>TORSBY</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27730-2025</t>
        </is>
      </c>
      <c r="B3459" s="1" t="n">
        <v>45814</v>
      </c>
      <c r="C3459" s="1" t="n">
        <v>45828</v>
      </c>
      <c r="D3459" t="inlineStr">
        <is>
          <t>VÄRMLANDS LÄN</t>
        </is>
      </c>
      <c r="E3459" t="inlineStr">
        <is>
          <t>TORSBY</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27758-2025</t>
        </is>
      </c>
      <c r="B3460" s="1" t="n">
        <v>45816</v>
      </c>
      <c r="C3460" s="1" t="n">
        <v>45828</v>
      </c>
      <c r="D3460" t="inlineStr">
        <is>
          <t>VÄRMLANDS LÄN</t>
        </is>
      </c>
      <c r="E3460" t="inlineStr">
        <is>
          <t>TORSBY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27759-2025</t>
        </is>
      </c>
      <c r="B3461" s="1" t="n">
        <v>45816</v>
      </c>
      <c r="C3461" s="1" t="n">
        <v>45828</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27906-2025</t>
        </is>
      </c>
      <c r="B3462" s="1" t="n">
        <v>45817</v>
      </c>
      <c r="C3462" s="1" t="n">
        <v>45828</v>
      </c>
      <c r="D3462" t="inlineStr">
        <is>
          <t>VÄRMLANDS LÄN</t>
        </is>
      </c>
      <c r="E3462" t="inlineStr">
        <is>
          <t>TORSBY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27962-2025</t>
        </is>
      </c>
      <c r="B3463" s="1" t="n">
        <v>45817</v>
      </c>
      <c r="C3463" s="1" t="n">
        <v>45828</v>
      </c>
      <c r="D3463" t="inlineStr">
        <is>
          <t>VÄRMLANDS LÄN</t>
        </is>
      </c>
      <c r="E3463" t="inlineStr">
        <is>
          <t>TORSBY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27968-2025</t>
        </is>
      </c>
      <c r="B3464" s="1" t="n">
        <v>45817</v>
      </c>
      <c r="C3464" s="1" t="n">
        <v>45828</v>
      </c>
      <c r="D3464" t="inlineStr">
        <is>
          <t>VÄRMLANDS LÄN</t>
        </is>
      </c>
      <c r="E3464" t="inlineStr">
        <is>
          <t>TORSBY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27856-2025</t>
        </is>
      </c>
      <c r="B3465" s="1" t="n">
        <v>45817</v>
      </c>
      <c r="C3465" s="1" t="n">
        <v>45828</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27863-2025</t>
        </is>
      </c>
      <c r="B3466" s="1" t="n">
        <v>45817</v>
      </c>
      <c r="C3466" s="1" t="n">
        <v>45828</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28116-2025</t>
        </is>
      </c>
      <c r="B3467" s="1" t="n">
        <v>45818</v>
      </c>
      <c r="C3467" s="1" t="n">
        <v>45828</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28117-2025</t>
        </is>
      </c>
      <c r="B3468" s="1" t="n">
        <v>45818</v>
      </c>
      <c r="C3468" s="1" t="n">
        <v>45828</v>
      </c>
      <c r="D3468" t="inlineStr">
        <is>
          <t>VÄRMLANDS LÄN</t>
        </is>
      </c>
      <c r="E3468" t="inlineStr">
        <is>
          <t>TORSBY</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28118-2025</t>
        </is>
      </c>
      <c r="B3469" s="1" t="n">
        <v>45818</v>
      </c>
      <c r="C3469" s="1" t="n">
        <v>45828</v>
      </c>
      <c r="D3469" t="inlineStr">
        <is>
          <t>VÄRMLANDS LÄN</t>
        </is>
      </c>
      <c r="E3469" t="inlineStr">
        <is>
          <t>TORSBY</t>
        </is>
      </c>
      <c r="F3469" t="inlineStr">
        <is>
          <t>Bergvik skog väst AB</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28214-2025</t>
        </is>
      </c>
      <c r="B3470" s="1" t="n">
        <v>45818</v>
      </c>
      <c r="C3470" s="1" t="n">
        <v>45828</v>
      </c>
      <c r="D3470" t="inlineStr">
        <is>
          <t>VÄRMLANDS LÄN</t>
        </is>
      </c>
      <c r="E3470" t="inlineStr">
        <is>
          <t>TORSBY</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28612-2025</t>
        </is>
      </c>
      <c r="B3471" s="1" t="n">
        <v>45819</v>
      </c>
      <c r="C3471" s="1" t="n">
        <v>45828</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28380-2025</t>
        </is>
      </c>
      <c r="B3472" s="1" t="n">
        <v>45819</v>
      </c>
      <c r="C3472" s="1" t="n">
        <v>45828</v>
      </c>
      <c r="D3472" t="inlineStr">
        <is>
          <t>VÄRMLANDS LÄN</t>
        </is>
      </c>
      <c r="E3472" t="inlineStr">
        <is>
          <t>TORSBY</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28511-2025</t>
        </is>
      </c>
      <c r="B3473" s="1" t="n">
        <v>45819</v>
      </c>
      <c r="C3473" s="1" t="n">
        <v>45828</v>
      </c>
      <c r="D3473" t="inlineStr">
        <is>
          <t>VÄRMLANDS LÄN</t>
        </is>
      </c>
      <c r="E3473" t="inlineStr">
        <is>
          <t>TORSBY</t>
        </is>
      </c>
      <c r="F3473" t="inlineStr">
        <is>
          <t>Bergvik skog väst AB</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28757-2025</t>
        </is>
      </c>
      <c r="B3474" s="1" t="n">
        <v>45820</v>
      </c>
      <c r="C3474" s="1" t="n">
        <v>45828</v>
      </c>
      <c r="D3474" t="inlineStr">
        <is>
          <t>VÄRMLANDS LÄN</t>
        </is>
      </c>
      <c r="E3474" t="inlineStr">
        <is>
          <t>TORSBY</t>
        </is>
      </c>
      <c r="G3474" t="n">
        <v>12.1</v>
      </c>
      <c r="H3474" t="n">
        <v>0</v>
      </c>
      <c r="I3474" t="n">
        <v>0</v>
      </c>
      <c r="J3474" t="n">
        <v>0</v>
      </c>
      <c r="K3474" t="n">
        <v>0</v>
      </c>
      <c r="L3474" t="n">
        <v>0</v>
      </c>
      <c r="M3474" t="n">
        <v>0</v>
      </c>
      <c r="N3474" t="n">
        <v>0</v>
      </c>
      <c r="O3474" t="n">
        <v>0</v>
      </c>
      <c r="P3474" t="n">
        <v>0</v>
      </c>
      <c r="Q3474" t="n">
        <v>0</v>
      </c>
      <c r="R3474" s="2" t="inlineStr"/>
    </row>
    <row r="3475" ht="15" customHeight="1">
      <c r="A3475" t="inlineStr">
        <is>
          <t>A 28765-2025</t>
        </is>
      </c>
      <c r="B3475" s="1" t="n">
        <v>45820</v>
      </c>
      <c r="C3475" s="1" t="n">
        <v>45828</v>
      </c>
      <c r="D3475" t="inlineStr">
        <is>
          <t>VÄRMLANDS LÄN</t>
        </is>
      </c>
      <c r="E3475" t="inlineStr">
        <is>
          <t>TORSBY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28791-2025</t>
        </is>
      </c>
      <c r="B3476" s="1" t="n">
        <v>45820</v>
      </c>
      <c r="C3476" s="1" t="n">
        <v>45828</v>
      </c>
      <c r="D3476" t="inlineStr">
        <is>
          <t>VÄRMLANDS LÄN</t>
        </is>
      </c>
      <c r="E3476" t="inlineStr">
        <is>
          <t>TORSBY</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28761-2025</t>
        </is>
      </c>
      <c r="B3477" s="1" t="n">
        <v>45820</v>
      </c>
      <c r="C3477" s="1" t="n">
        <v>45828</v>
      </c>
      <c r="D3477" t="inlineStr">
        <is>
          <t>VÄRMLANDS LÄN</t>
        </is>
      </c>
      <c r="E3477" t="inlineStr">
        <is>
          <t>TORSBY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28774-2025</t>
        </is>
      </c>
      <c r="B3478" s="1" t="n">
        <v>45820</v>
      </c>
      <c r="C3478" s="1" t="n">
        <v>45828</v>
      </c>
      <c r="D3478" t="inlineStr">
        <is>
          <t>VÄRMLANDS LÄN</t>
        </is>
      </c>
      <c r="E3478" t="inlineStr">
        <is>
          <t>TORSBY</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28784-2025</t>
        </is>
      </c>
      <c r="B3479" s="1" t="n">
        <v>45820</v>
      </c>
      <c r="C3479" s="1" t="n">
        <v>45828</v>
      </c>
      <c r="D3479" t="inlineStr">
        <is>
          <t>VÄRMLANDS LÄN</t>
        </is>
      </c>
      <c r="E3479" t="inlineStr">
        <is>
          <t>TORSBY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28939-2025</t>
        </is>
      </c>
      <c r="B3480" s="1" t="n">
        <v>45820</v>
      </c>
      <c r="C3480" s="1" t="n">
        <v>45828</v>
      </c>
      <c r="D3480" t="inlineStr">
        <is>
          <t>VÄRMLANDS LÄN</t>
        </is>
      </c>
      <c r="E3480" t="inlineStr">
        <is>
          <t>TORSBY</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28898-2025</t>
        </is>
      </c>
      <c r="B3481" s="1" t="n">
        <v>45820</v>
      </c>
      <c r="C3481" s="1" t="n">
        <v>45828</v>
      </c>
      <c r="D3481" t="inlineStr">
        <is>
          <t>VÄRMLANDS LÄN</t>
        </is>
      </c>
      <c r="E3481" t="inlineStr">
        <is>
          <t>TORSBY</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29063-2025</t>
        </is>
      </c>
      <c r="B3482" s="1" t="n">
        <v>45821</v>
      </c>
      <c r="C3482" s="1" t="n">
        <v>45828</v>
      </c>
      <c r="D3482" t="inlineStr">
        <is>
          <t>VÄRMLANDS LÄN</t>
        </is>
      </c>
      <c r="E3482" t="inlineStr">
        <is>
          <t>TORSBY</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29071-2025</t>
        </is>
      </c>
      <c r="B3483" s="1" t="n">
        <v>45821</v>
      </c>
      <c r="C3483" s="1" t="n">
        <v>45828</v>
      </c>
      <c r="D3483" t="inlineStr">
        <is>
          <t>VÄRMLANDS LÄN</t>
        </is>
      </c>
      <c r="E3483" t="inlineStr">
        <is>
          <t>TORSBY</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29312-2025</t>
        </is>
      </c>
      <c r="B3484" s="1" t="n">
        <v>45824</v>
      </c>
      <c r="C3484" s="1" t="n">
        <v>45828</v>
      </c>
      <c r="D3484" t="inlineStr">
        <is>
          <t>VÄRMLANDS LÄN</t>
        </is>
      </c>
      <c r="E3484" t="inlineStr">
        <is>
          <t>TORSBY</t>
        </is>
      </c>
      <c r="F3484" t="inlineStr">
        <is>
          <t>Övriga Aktiebolag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29307-2025</t>
        </is>
      </c>
      <c r="B3485" s="1" t="n">
        <v>45824</v>
      </c>
      <c r="C3485" s="1" t="n">
        <v>45828</v>
      </c>
      <c r="D3485" t="inlineStr">
        <is>
          <t>VÄRMLANDS LÄN</t>
        </is>
      </c>
      <c r="E3485" t="inlineStr">
        <is>
          <t>TORSBY</t>
        </is>
      </c>
      <c r="F3485" t="inlineStr">
        <is>
          <t>Övriga Aktiebolag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29251-2025</t>
        </is>
      </c>
      <c r="B3486" s="1" t="n">
        <v>45824</v>
      </c>
      <c r="C3486" s="1" t="n">
        <v>45828</v>
      </c>
      <c r="D3486" t="inlineStr">
        <is>
          <t>VÄRMLANDS LÄN</t>
        </is>
      </c>
      <c r="E3486" t="inlineStr">
        <is>
          <t>TORSBY</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29403-2025</t>
        </is>
      </c>
      <c r="B3487" s="1" t="n">
        <v>45824</v>
      </c>
      <c r="C3487" s="1" t="n">
        <v>45828</v>
      </c>
      <c r="D3487" t="inlineStr">
        <is>
          <t>VÄRMLANDS LÄN</t>
        </is>
      </c>
      <c r="E3487" t="inlineStr">
        <is>
          <t>TORSBY</t>
        </is>
      </c>
      <c r="F3487" t="inlineStr">
        <is>
          <t>Bergvik skog väst AB</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29512-2025</t>
        </is>
      </c>
      <c r="B3488" s="1" t="n">
        <v>45825</v>
      </c>
      <c r="C3488" s="1" t="n">
        <v>45828</v>
      </c>
      <c r="D3488" t="inlineStr">
        <is>
          <t>VÄRMLANDS LÄN</t>
        </is>
      </c>
      <c r="E3488" t="inlineStr">
        <is>
          <t>TORSBY</t>
        </is>
      </c>
      <c r="F3488" t="inlineStr">
        <is>
          <t>Bergvik skog väst AB</t>
        </is>
      </c>
      <c r="G3488" t="n">
        <v>17.9</v>
      </c>
      <c r="H3488" t="n">
        <v>0</v>
      </c>
      <c r="I3488" t="n">
        <v>0</v>
      </c>
      <c r="J3488" t="n">
        <v>0</v>
      </c>
      <c r="K3488" t="n">
        <v>0</v>
      </c>
      <c r="L3488" t="n">
        <v>0</v>
      </c>
      <c r="M3488" t="n">
        <v>0</v>
      </c>
      <c r="N3488" t="n">
        <v>0</v>
      </c>
      <c r="O3488" t="n">
        <v>0</v>
      </c>
      <c r="P3488" t="n">
        <v>0</v>
      </c>
      <c r="Q3488" t="n">
        <v>0</v>
      </c>
      <c r="R3488" s="2" t="inlineStr"/>
    </row>
    <row r="3489" ht="15" customHeight="1">
      <c r="A3489" t="inlineStr">
        <is>
          <t>A 29525-2025</t>
        </is>
      </c>
      <c r="B3489" s="1" t="n">
        <v>45825</v>
      </c>
      <c r="C3489" s="1" t="n">
        <v>45828</v>
      </c>
      <c r="D3489" t="inlineStr">
        <is>
          <t>VÄRMLANDS LÄN</t>
        </is>
      </c>
      <c r="E3489" t="inlineStr">
        <is>
          <t>TORSBY</t>
        </is>
      </c>
      <c r="F3489" t="inlineStr">
        <is>
          <t>Bergvik skog väst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29587-2025</t>
        </is>
      </c>
      <c r="B3490" s="1" t="n">
        <v>45825</v>
      </c>
      <c r="C3490" s="1" t="n">
        <v>45828</v>
      </c>
      <c r="D3490" t="inlineStr">
        <is>
          <t>VÄRMLANDS LÄN</t>
        </is>
      </c>
      <c r="E3490" t="inlineStr">
        <is>
          <t>TORSBY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29641-2025</t>
        </is>
      </c>
      <c r="B3491" s="1" t="n">
        <v>45825</v>
      </c>
      <c r="C3491" s="1" t="n">
        <v>45828</v>
      </c>
      <c r="D3491" t="inlineStr">
        <is>
          <t>VÄRMLANDS LÄN</t>
        </is>
      </c>
      <c r="E3491" t="inlineStr">
        <is>
          <t>TORSBY</t>
        </is>
      </c>
      <c r="G3491" t="n">
        <v>23.4</v>
      </c>
      <c r="H3491" t="n">
        <v>0</v>
      </c>
      <c r="I3491" t="n">
        <v>0</v>
      </c>
      <c r="J3491" t="n">
        <v>0</v>
      </c>
      <c r="K3491" t="n">
        <v>0</v>
      </c>
      <c r="L3491" t="n">
        <v>0</v>
      </c>
      <c r="M3491" t="n">
        <v>0</v>
      </c>
      <c r="N3491" t="n">
        <v>0</v>
      </c>
      <c r="O3491" t="n">
        <v>0</v>
      </c>
      <c r="P3491" t="n">
        <v>0</v>
      </c>
      <c r="Q3491" t="n">
        <v>0</v>
      </c>
      <c r="R3491" s="2" t="inlineStr"/>
    </row>
    <row r="3492" ht="15" customHeight="1">
      <c r="A3492" t="inlineStr">
        <is>
          <t>A 29650-2025</t>
        </is>
      </c>
      <c r="B3492" s="1" t="n">
        <v>45825</v>
      </c>
      <c r="C3492" s="1" t="n">
        <v>45828</v>
      </c>
      <c r="D3492" t="inlineStr">
        <is>
          <t>VÄRMLANDS LÄN</t>
        </is>
      </c>
      <c r="E3492" t="inlineStr">
        <is>
          <t>TORSBY</t>
        </is>
      </c>
      <c r="G3492" t="n">
        <v>16.8</v>
      </c>
      <c r="H3492" t="n">
        <v>0</v>
      </c>
      <c r="I3492" t="n">
        <v>0</v>
      </c>
      <c r="J3492" t="n">
        <v>0</v>
      </c>
      <c r="K3492" t="n">
        <v>0</v>
      </c>
      <c r="L3492" t="n">
        <v>0</v>
      </c>
      <c r="M3492" t="n">
        <v>0</v>
      </c>
      <c r="N3492" t="n">
        <v>0</v>
      </c>
      <c r="O3492" t="n">
        <v>0</v>
      </c>
      <c r="P3492" t="n">
        <v>0</v>
      </c>
      <c r="Q3492" t="n">
        <v>0</v>
      </c>
      <c r="R3492" s="2" t="inlineStr"/>
    </row>
    <row r="3493" ht="15" customHeight="1">
      <c r="A3493" t="inlineStr">
        <is>
          <t>A 29702-2025</t>
        </is>
      </c>
      <c r="B3493" s="1" t="n">
        <v>45825</v>
      </c>
      <c r="C3493" s="1" t="n">
        <v>45828</v>
      </c>
      <c r="D3493" t="inlineStr">
        <is>
          <t>VÄRMLANDS LÄN</t>
        </is>
      </c>
      <c r="E3493" t="inlineStr">
        <is>
          <t>TORSBY</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30026-2025</t>
        </is>
      </c>
      <c r="B3494" s="1" t="n">
        <v>45826</v>
      </c>
      <c r="C3494" s="1" t="n">
        <v>45828</v>
      </c>
      <c r="D3494" t="inlineStr">
        <is>
          <t>VÄRMLANDS LÄN</t>
        </is>
      </c>
      <c r="E3494" t="inlineStr">
        <is>
          <t>TORSBY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30078-2025</t>
        </is>
      </c>
      <c r="B3495" s="1" t="n">
        <v>45826</v>
      </c>
      <c r="C3495" s="1" t="n">
        <v>45828</v>
      </c>
      <c r="D3495" t="inlineStr">
        <is>
          <t>VÄRMLANDS LÄN</t>
        </is>
      </c>
      <c r="E3495" t="inlineStr">
        <is>
          <t>TORSBY</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30074-2025</t>
        </is>
      </c>
      <c r="B3496" s="1" t="n">
        <v>45826</v>
      </c>
      <c r="C3496" s="1" t="n">
        <v>45828</v>
      </c>
      <c r="D3496" t="inlineStr">
        <is>
          <t>VÄRMLANDS LÄN</t>
        </is>
      </c>
      <c r="E3496" t="inlineStr">
        <is>
          <t>TORSBY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30153-2025</t>
        </is>
      </c>
      <c r="B3497" s="1" t="n">
        <v>45827</v>
      </c>
      <c r="C3497" s="1" t="n">
        <v>45828</v>
      </c>
      <c r="D3497" t="inlineStr">
        <is>
          <t>VÄRMLANDS LÄN</t>
        </is>
      </c>
      <c r="E3497" t="inlineStr">
        <is>
          <t>TORSBY</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30377-2025</t>
        </is>
      </c>
      <c r="B3498" s="1" t="n">
        <v>45827</v>
      </c>
      <c r="C3498" s="1" t="n">
        <v>45828</v>
      </c>
      <c r="D3498" t="inlineStr">
        <is>
          <t>VÄRMLANDS LÄN</t>
        </is>
      </c>
      <c r="E3498" t="inlineStr">
        <is>
          <t>TORSBY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30388-2025</t>
        </is>
      </c>
      <c r="B3499" s="1" t="n">
        <v>45827</v>
      </c>
      <c r="C3499" s="1" t="n">
        <v>45828</v>
      </c>
      <c r="D3499" t="inlineStr">
        <is>
          <t>VÄRMLANDS LÄN</t>
        </is>
      </c>
      <c r="E3499" t="inlineStr">
        <is>
          <t>TORSBY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30433-2025</t>
        </is>
      </c>
      <c r="B3500" s="1" t="n">
        <v>45827</v>
      </c>
      <c r="C3500" s="1" t="n">
        <v>45828</v>
      </c>
      <c r="D3500" t="inlineStr">
        <is>
          <t>VÄRMLANDS LÄN</t>
        </is>
      </c>
      <c r="E3500" t="inlineStr">
        <is>
          <t>TORSBY</t>
        </is>
      </c>
      <c r="G3500" t="n">
        <v>13.4</v>
      </c>
      <c r="H3500" t="n">
        <v>0</v>
      </c>
      <c r="I3500" t="n">
        <v>0</v>
      </c>
      <c r="J3500" t="n">
        <v>0</v>
      </c>
      <c r="K3500" t="n">
        <v>0</v>
      </c>
      <c r="L3500" t="n">
        <v>0</v>
      </c>
      <c r="M3500" t="n">
        <v>0</v>
      </c>
      <c r="N3500" t="n">
        <v>0</v>
      </c>
      <c r="O3500" t="n">
        <v>0</v>
      </c>
      <c r="P3500" t="n">
        <v>0</v>
      </c>
      <c r="Q3500" t="n">
        <v>0</v>
      </c>
      <c r="R3500" s="2" t="inlineStr"/>
    </row>
    <row r="3501" ht="15" customHeight="1">
      <c r="A3501" t="inlineStr">
        <is>
          <t>A 30151-2025</t>
        </is>
      </c>
      <c r="B3501" s="1" t="n">
        <v>45827</v>
      </c>
      <c r="C3501" s="1" t="n">
        <v>45828</v>
      </c>
      <c r="D3501" t="inlineStr">
        <is>
          <t>VÄRMLANDS LÄN</t>
        </is>
      </c>
      <c r="E3501" t="inlineStr">
        <is>
          <t>TORSBY</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30214-2025</t>
        </is>
      </c>
      <c r="B3502" s="1" t="n">
        <v>45827</v>
      </c>
      <c r="C3502" s="1" t="n">
        <v>45828</v>
      </c>
      <c r="D3502" t="inlineStr">
        <is>
          <t>VÄRMLANDS LÄN</t>
        </is>
      </c>
      <c r="E3502" t="inlineStr">
        <is>
          <t>TORSBY</t>
        </is>
      </c>
      <c r="F3502" t="inlineStr">
        <is>
          <t>Bergvik skog väst AB</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30333-2025</t>
        </is>
      </c>
      <c r="B3503" s="1" t="n">
        <v>45827</v>
      </c>
      <c r="C3503" s="1" t="n">
        <v>45828</v>
      </c>
      <c r="D3503" t="inlineStr">
        <is>
          <t>VÄRMLANDS LÄN</t>
        </is>
      </c>
      <c r="E3503" t="inlineStr">
        <is>
          <t>TORSBY</t>
        </is>
      </c>
      <c r="G3503" t="n">
        <v>1.4</v>
      </c>
      <c r="H3503" t="n">
        <v>0</v>
      </c>
      <c r="I3503" t="n">
        <v>0</v>
      </c>
      <c r="J3503" t="n">
        <v>0</v>
      </c>
      <c r="K3503" t="n">
        <v>0</v>
      </c>
      <c r="L3503" t="n">
        <v>0</v>
      </c>
      <c r="M3503" t="n">
        <v>0</v>
      </c>
      <c r="N3503" t="n">
        <v>0</v>
      </c>
      <c r="O3503" t="n">
        <v>0</v>
      </c>
      <c r="P3503" t="n">
        <v>0</v>
      </c>
      <c r="Q3503" t="n">
        <v>0</v>
      </c>
      <c r="R3503" s="2" t="inlineStr"/>
    </row>
    <row r="3504">
      <c r="A3504" t="inlineStr">
        <is>
          <t>A 30380-2025</t>
        </is>
      </c>
      <c r="B3504" s="1" t="n">
        <v>45827</v>
      </c>
      <c r="C3504" s="1" t="n">
        <v>45828</v>
      </c>
      <c r="D3504" t="inlineStr">
        <is>
          <t>VÄRMLANDS LÄN</t>
        </is>
      </c>
      <c r="E3504" t="inlineStr">
        <is>
          <t>TORSBY</t>
        </is>
      </c>
      <c r="G3504" t="n">
        <v>5.8</v>
      </c>
      <c r="H3504" t="n">
        <v>0</v>
      </c>
      <c r="I3504" t="n">
        <v>0</v>
      </c>
      <c r="J3504" t="n">
        <v>0</v>
      </c>
      <c r="K3504" t="n">
        <v>0</v>
      </c>
      <c r="L3504" t="n">
        <v>0</v>
      </c>
      <c r="M3504" t="n">
        <v>0</v>
      </c>
      <c r="N3504" t="n">
        <v>0</v>
      </c>
      <c r="O3504" t="n">
        <v>0</v>
      </c>
      <c r="P3504" t="n">
        <v>0</v>
      </c>
      <c r="Q3504" t="n">
        <v>0</v>
      </c>
      <c r="R3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2025-06-20T19:18:09Z</dcterms:created>
  <dcterms:modified xmlns:dcterms="http://purl.org/dc/terms/" xmlns:xsi="http://www.w3.org/2001/XMLSchema-instance" xsi:type="dcterms:W3CDTF">2025-06-20T19:18:12Z</dcterms:modified>
</cp:coreProperties>
</file>