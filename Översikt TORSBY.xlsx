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46033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46033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46033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46033</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46033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46033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46033</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46033</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46033</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46033</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46033</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46033</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46033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46033</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26488-2025</t>
        </is>
      </c>
      <c r="B28" s="1" t="n">
        <v>45807.47668981482</v>
      </c>
      <c r="C28" s="1" t="n">
        <v>46033</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46033</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46033</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43822-2023</t>
        </is>
      </c>
      <c r="B31" s="1" t="n">
        <v>45182</v>
      </c>
      <c r="C31" s="1" t="n">
        <v>46033</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46033</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46033</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46033</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46033</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46033</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49109-2021</t>
        </is>
      </c>
      <c r="B37" s="1" t="n">
        <v>44453</v>
      </c>
      <c r="C37" s="1" t="n">
        <v>46033</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46033</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46033</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46033</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46033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46033</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46033</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46033</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46033</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46033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46033</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46033</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46033</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46033</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46033</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46033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46033</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20763-2025</t>
        </is>
      </c>
      <c r="B54" s="1" t="n">
        <v>45776.57929398148</v>
      </c>
      <c r="C54" s="1" t="n">
        <v>46033</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46033</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57190-2024</t>
        </is>
      </c>
      <c r="B56" s="1" t="n">
        <v>45629</v>
      </c>
      <c r="C56" s="1" t="n">
        <v>46033</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42480-2022</t>
        </is>
      </c>
      <c r="B57" s="1" t="n">
        <v>44831</v>
      </c>
      <c r="C57" s="1" t="n">
        <v>46033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46033</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45468-2025</t>
        </is>
      </c>
      <c r="B59" s="1" t="n">
        <v>45922</v>
      </c>
      <c r="C59" s="1" t="n">
        <v>46033</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59789-2024</t>
        </is>
      </c>
      <c r="B60" s="1" t="n">
        <v>45639</v>
      </c>
      <c r="C60" s="1" t="n">
        <v>46033</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46033</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46033</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46033</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42595-2025</t>
        </is>
      </c>
      <c r="B64" s="1" t="n">
        <v>45905</v>
      </c>
      <c r="C64" s="1" t="n">
        <v>46033</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17740-2025</t>
        </is>
      </c>
      <c r="B65" s="1" t="n">
        <v>45758</v>
      </c>
      <c r="C65" s="1" t="n">
        <v>46033</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46033</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46033</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46033</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46033</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46033</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46033</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1524-2021</t>
        </is>
      </c>
      <c r="B72" s="1" t="n">
        <v>44209</v>
      </c>
      <c r="C72" s="1" t="n">
        <v>46033</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46033</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62955-2023</t>
        </is>
      </c>
      <c r="B74" s="1" t="n">
        <v>45271</v>
      </c>
      <c r="C74" s="1" t="n">
        <v>46033</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46033</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4718-2023</t>
        </is>
      </c>
      <c r="B76" s="1" t="n">
        <v>44957</v>
      </c>
      <c r="C76" s="1" t="n">
        <v>46033</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23091-2024</t>
        </is>
      </c>
      <c r="B77" s="1" t="n">
        <v>45450</v>
      </c>
      <c r="C77" s="1" t="n">
        <v>46033</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46033</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46033</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16011-2025</t>
        </is>
      </c>
      <c r="B80" s="1" t="n">
        <v>45749</v>
      </c>
      <c r="C80" s="1" t="n">
        <v>46033</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48970-2025</t>
        </is>
      </c>
      <c r="B81" s="1" t="n">
        <v>45937.56392361111</v>
      </c>
      <c r="C81" s="1" t="n">
        <v>46033</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25212-2025</t>
        </is>
      </c>
      <c r="B82" s="1" t="n">
        <v>45800</v>
      </c>
      <c r="C82" s="1" t="n">
        <v>46033</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34930-2022</t>
        </is>
      </c>
      <c r="B83" s="1" t="n">
        <v>44796</v>
      </c>
      <c r="C83" s="1" t="n">
        <v>46033</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46033</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46033</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46033</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62250-2025</t>
        </is>
      </c>
      <c r="B87" s="1" t="n">
        <v>46006</v>
      </c>
      <c r="C87" s="1" t="n">
        <v>46033</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46033</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61950-2024</t>
        </is>
      </c>
      <c r="B89" s="1" t="n">
        <v>45653</v>
      </c>
      <c r="C89" s="1" t="n">
        <v>46033</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46033</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46033</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2000-2023</t>
        </is>
      </c>
      <c r="B92" s="1" t="n">
        <v>44939</v>
      </c>
      <c r="C92" s="1" t="n">
        <v>46033</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28156-2022</t>
        </is>
      </c>
      <c r="B93" s="1" t="n">
        <v>44746</v>
      </c>
      <c r="C93" s="1" t="n">
        <v>46033</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12375-2022</t>
        </is>
      </c>
      <c r="B94" s="1" t="n">
        <v>44637</v>
      </c>
      <c r="C94" s="1" t="n">
        <v>46033</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48292-2023</t>
        </is>
      </c>
      <c r="B95" s="1" t="n">
        <v>45205</v>
      </c>
      <c r="C95" s="1" t="n">
        <v>46033</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16442-2023</t>
        </is>
      </c>
      <c r="B96" s="1" t="n">
        <v>45026</v>
      </c>
      <c r="C96" s="1" t="n">
        <v>46033</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46033</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46033</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46033</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46033</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46033</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46033</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46033</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50712-2025</t>
        </is>
      </c>
      <c r="B104" s="1" t="n">
        <v>45946.34440972222</v>
      </c>
      <c r="C104" s="1" t="n">
        <v>46033</v>
      </c>
      <c r="D104" t="inlineStr">
        <is>
          <t>VÄRMLANDS LÄN</t>
        </is>
      </c>
      <c r="E104" t="inlineStr">
        <is>
          <t>TORSBY</t>
        </is>
      </c>
      <c r="F104" t="inlineStr">
        <is>
          <t>Bergvik skog väst AB</t>
        </is>
      </c>
      <c r="G104" t="n">
        <v>7.6</v>
      </c>
      <c r="H104" t="n">
        <v>0</v>
      </c>
      <c r="I104" t="n">
        <v>0</v>
      </c>
      <c r="J104" t="n">
        <v>1</v>
      </c>
      <c r="K104" t="n">
        <v>0</v>
      </c>
      <c r="L104" t="n">
        <v>0</v>
      </c>
      <c r="M104" t="n">
        <v>0</v>
      </c>
      <c r="N104" t="n">
        <v>0</v>
      </c>
      <c r="O104" t="n">
        <v>1</v>
      </c>
      <c r="P104" t="n">
        <v>0</v>
      </c>
      <c r="Q104" t="n">
        <v>1</v>
      </c>
      <c r="R104" s="2" t="inlineStr">
        <is>
          <t>Vedskivlav</t>
        </is>
      </c>
      <c r="S104">
        <f>HYPERLINK("https://klasma.github.io/Logging_1737/artfynd/A 50712-2025 artfynd.xlsx", "A 50712-2025")</f>
        <v/>
      </c>
      <c r="T104">
        <f>HYPERLINK("https://klasma.github.io/Logging_1737/kartor/A 50712-2025 karta.png", "A 50712-2025")</f>
        <v/>
      </c>
      <c r="V104">
        <f>HYPERLINK("https://klasma.github.io/Logging_1737/klagomål/A 50712-2025 FSC-klagomål.docx", "A 50712-2025")</f>
        <v/>
      </c>
      <c r="W104">
        <f>HYPERLINK("https://klasma.github.io/Logging_1737/klagomålsmail/A 50712-2025 FSC-klagomål mail.docx", "A 50712-2025")</f>
        <v/>
      </c>
      <c r="X104">
        <f>HYPERLINK("https://klasma.github.io/Logging_1737/tillsyn/A 50712-2025 tillsynsbegäran.docx", "A 50712-2025")</f>
        <v/>
      </c>
      <c r="Y104">
        <f>HYPERLINK("https://klasma.github.io/Logging_1737/tillsynsmail/A 50712-2025 tillsynsbegäran mail.docx", "A 50712-2025")</f>
        <v/>
      </c>
    </row>
    <row r="105" ht="15" customHeight="1">
      <c r="A105" t="inlineStr">
        <is>
          <t>A 1811-2024</t>
        </is>
      </c>
      <c r="B105" s="1" t="n">
        <v>45307</v>
      </c>
      <c r="C105" s="1" t="n">
        <v>46033</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47689-2024</t>
        </is>
      </c>
      <c r="B106" s="1" t="n">
        <v>45588</v>
      </c>
      <c r="C106" s="1" t="n">
        <v>46033</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50318-2024</t>
        </is>
      </c>
      <c r="B107" s="1" t="n">
        <v>45600</v>
      </c>
      <c r="C107" s="1" t="n">
        <v>46033</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46033</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46033</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46033</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46033</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54982-2021</t>
        </is>
      </c>
      <c r="B112" s="1" t="n">
        <v>44469</v>
      </c>
      <c r="C112" s="1" t="n">
        <v>46033</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46033</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29756-2025</t>
        </is>
      </c>
      <c r="B114" s="1" t="n">
        <v>45825.61525462963</v>
      </c>
      <c r="C114" s="1" t="n">
        <v>46033</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58470-2021</t>
        </is>
      </c>
      <c r="B115" s="1" t="n">
        <v>44488</v>
      </c>
      <c r="C115" s="1" t="n">
        <v>46033</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46033</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52418-2025</t>
        </is>
      </c>
      <c r="B117" s="1" t="n">
        <v>45954.36844907407</v>
      </c>
      <c r="C117" s="1" t="n">
        <v>46033</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44018-2025</t>
        </is>
      </c>
      <c r="B118" s="1" t="n">
        <v>45915</v>
      </c>
      <c r="C118" s="1" t="n">
        <v>46033</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32328-2025</t>
        </is>
      </c>
      <c r="B119" s="1" t="n">
        <v>45836.46289351852</v>
      </c>
      <c r="C119" s="1" t="n">
        <v>46033</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16164-2025</t>
        </is>
      </c>
      <c r="B120" s="1" t="n">
        <v>45750</v>
      </c>
      <c r="C120" s="1" t="n">
        <v>46033</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46033</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13359-2023</t>
        </is>
      </c>
      <c r="B122" s="1" t="n">
        <v>45005.46405092593</v>
      </c>
      <c r="C122" s="1" t="n">
        <v>46033</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46033</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15548-2023</t>
        </is>
      </c>
      <c r="B124" s="1" t="n">
        <v>45020</v>
      </c>
      <c r="C124" s="1" t="n">
        <v>46033</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25276-2025</t>
        </is>
      </c>
      <c r="B125" s="1" t="n">
        <v>45800</v>
      </c>
      <c r="C125" s="1" t="n">
        <v>46033</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53388-2025</t>
        </is>
      </c>
      <c r="B126" s="1" t="n">
        <v>45959.54763888889</v>
      </c>
      <c r="C126" s="1" t="n">
        <v>46033</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60688-2025</t>
        </is>
      </c>
      <c r="B127" s="1" t="n">
        <v>45996</v>
      </c>
      <c r="C127" s="1" t="n">
        <v>46033</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Späd bäckmossa</t>
        </is>
      </c>
      <c r="S127">
        <f>HYPERLINK("https://klasma.github.io/Logging_1737/artfynd/A 60688-2025 artfynd.xlsx", "A 60688-2025")</f>
        <v/>
      </c>
      <c r="T127">
        <f>HYPERLINK("https://klasma.github.io/Logging_1737/kartor/A 60688-2025 karta.png", "A 60688-2025")</f>
        <v/>
      </c>
      <c r="V127">
        <f>HYPERLINK("https://klasma.github.io/Logging_1737/klagomål/A 60688-2025 FSC-klagomål.docx", "A 60688-2025")</f>
        <v/>
      </c>
      <c r="W127">
        <f>HYPERLINK("https://klasma.github.io/Logging_1737/klagomålsmail/A 60688-2025 FSC-klagomål mail.docx", "A 60688-2025")</f>
        <v/>
      </c>
      <c r="X127">
        <f>HYPERLINK("https://klasma.github.io/Logging_1737/tillsyn/A 60688-2025 tillsynsbegäran.docx", "A 60688-2025")</f>
        <v/>
      </c>
      <c r="Y127">
        <f>HYPERLINK("https://klasma.github.io/Logging_1737/tillsynsmail/A 60688-2025 tillsynsbegäran mail.docx", "A 60688-2025")</f>
        <v/>
      </c>
    </row>
    <row r="128" ht="15" customHeight="1">
      <c r="A128" t="inlineStr">
        <is>
          <t>A 37327-2025</t>
        </is>
      </c>
      <c r="B128" s="1" t="n">
        <v>45876.64902777778</v>
      </c>
      <c r="C128" s="1" t="n">
        <v>46033</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46033</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37699-2025</t>
        </is>
      </c>
      <c r="B130" s="1" t="n">
        <v>45880</v>
      </c>
      <c r="C130" s="1" t="n">
        <v>46033</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46033</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38015-2025</t>
        </is>
      </c>
      <c r="B132" s="1" t="n">
        <v>45882</v>
      </c>
      <c r="C132" s="1" t="n">
        <v>46033</v>
      </c>
      <c r="D132" t="inlineStr">
        <is>
          <t>VÄRMLANDS LÄN</t>
        </is>
      </c>
      <c r="E132" t="inlineStr">
        <is>
          <t>TORSBY</t>
        </is>
      </c>
      <c r="F132" t="inlineStr">
        <is>
          <t>Bergvik skog väst AB</t>
        </is>
      </c>
      <c r="G132" t="n">
        <v>5</v>
      </c>
      <c r="H132" t="n">
        <v>0</v>
      </c>
      <c r="I132" t="n">
        <v>0</v>
      </c>
      <c r="J132" t="n">
        <v>1</v>
      </c>
      <c r="K132" t="n">
        <v>0</v>
      </c>
      <c r="L132" t="n">
        <v>0</v>
      </c>
      <c r="M132" t="n">
        <v>0</v>
      </c>
      <c r="N132" t="n">
        <v>0</v>
      </c>
      <c r="O132" t="n">
        <v>1</v>
      </c>
      <c r="P132" t="n">
        <v>0</v>
      </c>
      <c r="Q132" t="n">
        <v>1</v>
      </c>
      <c r="R132" s="2" t="inlineStr">
        <is>
          <t>Mörk kolflarnlav</t>
        </is>
      </c>
      <c r="S132">
        <f>HYPERLINK("https://klasma.github.io/Logging_1737/artfynd/A 38015-2025 artfynd.xlsx", "A 38015-2025")</f>
        <v/>
      </c>
      <c r="T132">
        <f>HYPERLINK("https://klasma.github.io/Logging_1737/kartor/A 38015-2025 karta.png", "A 38015-2025")</f>
        <v/>
      </c>
      <c r="V132">
        <f>HYPERLINK("https://klasma.github.io/Logging_1737/klagomål/A 38015-2025 FSC-klagomål.docx", "A 38015-2025")</f>
        <v/>
      </c>
      <c r="W132">
        <f>HYPERLINK("https://klasma.github.io/Logging_1737/klagomålsmail/A 38015-2025 FSC-klagomål mail.docx", "A 38015-2025")</f>
        <v/>
      </c>
      <c r="X132">
        <f>HYPERLINK("https://klasma.github.io/Logging_1737/tillsyn/A 38015-2025 tillsynsbegäran.docx", "A 38015-2025")</f>
        <v/>
      </c>
      <c r="Y132">
        <f>HYPERLINK("https://klasma.github.io/Logging_1737/tillsynsmail/A 38015-2025 tillsynsbegäran mail.docx", "A 38015-2025")</f>
        <v/>
      </c>
    </row>
    <row r="133" ht="15" customHeight="1">
      <c r="A133" t="inlineStr">
        <is>
          <t>A 62690-2025</t>
        </is>
      </c>
      <c r="B133" s="1" t="n">
        <v>46007</v>
      </c>
      <c r="C133" s="1" t="n">
        <v>46033</v>
      </c>
      <c r="D133" t="inlineStr">
        <is>
          <t>VÄRMLANDS LÄN</t>
        </is>
      </c>
      <c r="E133" t="inlineStr">
        <is>
          <t>TORSBY</t>
        </is>
      </c>
      <c r="G133" t="n">
        <v>2.2</v>
      </c>
      <c r="H133" t="n">
        <v>1</v>
      </c>
      <c r="I133" t="n">
        <v>0</v>
      </c>
      <c r="J133" t="n">
        <v>1</v>
      </c>
      <c r="K133" t="n">
        <v>0</v>
      </c>
      <c r="L133" t="n">
        <v>0</v>
      </c>
      <c r="M133" t="n">
        <v>0</v>
      </c>
      <c r="N133" t="n">
        <v>0</v>
      </c>
      <c r="O133" t="n">
        <v>1</v>
      </c>
      <c r="P133" t="n">
        <v>0</v>
      </c>
      <c r="Q133" t="n">
        <v>1</v>
      </c>
      <c r="R133" s="2" t="inlineStr">
        <is>
          <t>Utter</t>
        </is>
      </c>
      <c r="S133">
        <f>HYPERLINK("https://klasma.github.io/Logging_1737/artfynd/A 62690-2025 artfynd.xlsx", "A 62690-2025")</f>
        <v/>
      </c>
      <c r="T133">
        <f>HYPERLINK("https://klasma.github.io/Logging_1737/kartor/A 62690-2025 karta.png", "A 62690-2025")</f>
        <v/>
      </c>
      <c r="V133">
        <f>HYPERLINK("https://klasma.github.io/Logging_1737/klagomål/A 62690-2025 FSC-klagomål.docx", "A 62690-2025")</f>
        <v/>
      </c>
      <c r="W133">
        <f>HYPERLINK("https://klasma.github.io/Logging_1737/klagomålsmail/A 62690-2025 FSC-klagomål mail.docx", "A 62690-2025")</f>
        <v/>
      </c>
      <c r="X133">
        <f>HYPERLINK("https://klasma.github.io/Logging_1737/tillsyn/A 62690-2025 tillsynsbegäran.docx", "A 62690-2025")</f>
        <v/>
      </c>
      <c r="Y133">
        <f>HYPERLINK("https://klasma.github.io/Logging_1737/tillsynsmail/A 62690-2025 tillsynsbegäran mail.docx", "A 62690-2025")</f>
        <v/>
      </c>
    </row>
    <row r="134" ht="15" customHeight="1">
      <c r="A134" t="inlineStr">
        <is>
          <t>A 56186-2025</t>
        </is>
      </c>
      <c r="B134" s="1" t="n">
        <v>45974</v>
      </c>
      <c r="C134" s="1" t="n">
        <v>46033</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40033-2024</t>
        </is>
      </c>
      <c r="B135" s="1" t="n">
        <v>45553</v>
      </c>
      <c r="C135" s="1" t="n">
        <v>46033</v>
      </c>
      <c r="D135" t="inlineStr">
        <is>
          <t>VÄRMLANDS LÄN</t>
        </is>
      </c>
      <c r="E135" t="inlineStr">
        <is>
          <t>TORSBY</t>
        </is>
      </c>
      <c r="G135" t="n">
        <v>6.2</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40033-2024 artfynd.xlsx", "A 40033-2024")</f>
        <v/>
      </c>
      <c r="T135">
        <f>HYPERLINK("https://klasma.github.io/Logging_1737/kartor/A 40033-2024 karta.png", "A 40033-2024")</f>
        <v/>
      </c>
      <c r="V135">
        <f>HYPERLINK("https://klasma.github.io/Logging_1737/klagomål/A 40033-2024 FSC-klagomål.docx", "A 40033-2024")</f>
        <v/>
      </c>
      <c r="W135">
        <f>HYPERLINK("https://klasma.github.io/Logging_1737/klagomålsmail/A 40033-2024 FSC-klagomål mail.docx", "A 40033-2024")</f>
        <v/>
      </c>
      <c r="X135">
        <f>HYPERLINK("https://klasma.github.io/Logging_1737/tillsyn/A 40033-2024 tillsynsbegäran.docx", "A 40033-2024")</f>
        <v/>
      </c>
      <c r="Y135">
        <f>HYPERLINK("https://klasma.github.io/Logging_1737/tillsynsmail/A 40033-2024 tillsynsbegäran mail.docx", "A 40033-2024")</f>
        <v/>
      </c>
    </row>
    <row r="136" ht="15" customHeight="1">
      <c r="A136" t="inlineStr">
        <is>
          <t>A 39681-2023</t>
        </is>
      </c>
      <c r="B136" s="1" t="n">
        <v>45167</v>
      </c>
      <c r="C136" s="1" t="n">
        <v>46033</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42500-2022</t>
        </is>
      </c>
      <c r="B137" s="1" t="n">
        <v>44831</v>
      </c>
      <c r="C137" s="1" t="n">
        <v>46033</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744-2026</t>
        </is>
      </c>
      <c r="B138" s="1" t="n">
        <v>46029.66675925926</v>
      </c>
      <c r="C138" s="1" t="n">
        <v>46033</v>
      </c>
      <c r="D138" t="inlineStr">
        <is>
          <t>VÄRMLANDS LÄN</t>
        </is>
      </c>
      <c r="E138" t="inlineStr">
        <is>
          <t>TORSBY</t>
        </is>
      </c>
      <c r="G138" t="n">
        <v>2.5</v>
      </c>
      <c r="H138" t="n">
        <v>0</v>
      </c>
      <c r="I138" t="n">
        <v>0</v>
      </c>
      <c r="J138" t="n">
        <v>1</v>
      </c>
      <c r="K138" t="n">
        <v>0</v>
      </c>
      <c r="L138" t="n">
        <v>0</v>
      </c>
      <c r="M138" t="n">
        <v>0</v>
      </c>
      <c r="N138" t="n">
        <v>0</v>
      </c>
      <c r="O138" t="n">
        <v>1</v>
      </c>
      <c r="P138" t="n">
        <v>0</v>
      </c>
      <c r="Q138" t="n">
        <v>1</v>
      </c>
      <c r="R138" s="2" t="inlineStr">
        <is>
          <t>Garnlav</t>
        </is>
      </c>
      <c r="S138">
        <f>HYPERLINK("https://klasma.github.io/Logging_1737/artfynd/A 744-2026 artfynd.xlsx", "A 744-2026")</f>
        <v/>
      </c>
      <c r="T138">
        <f>HYPERLINK("https://klasma.github.io/Logging_1737/kartor/A 744-2026 karta.png", "A 744-2026")</f>
        <v/>
      </c>
      <c r="V138">
        <f>HYPERLINK("https://klasma.github.io/Logging_1737/klagomål/A 744-2026 FSC-klagomål.docx", "A 744-2026")</f>
        <v/>
      </c>
      <c r="W138">
        <f>HYPERLINK("https://klasma.github.io/Logging_1737/klagomålsmail/A 744-2026 FSC-klagomål mail.docx", "A 744-2026")</f>
        <v/>
      </c>
      <c r="X138">
        <f>HYPERLINK("https://klasma.github.io/Logging_1737/tillsyn/A 744-2026 tillsynsbegäran.docx", "A 744-2026")</f>
        <v/>
      </c>
      <c r="Y138">
        <f>HYPERLINK("https://klasma.github.io/Logging_1737/tillsynsmail/A 744-2026 tillsynsbegäran mail.docx", "A 744-2026")</f>
        <v/>
      </c>
    </row>
    <row r="139" ht="15" customHeight="1">
      <c r="A139" t="inlineStr">
        <is>
          <t>A 49724-2023</t>
        </is>
      </c>
      <c r="B139" s="1" t="n">
        <v>45208</v>
      </c>
      <c r="C139" s="1" t="n">
        <v>46033</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16572-2022</t>
        </is>
      </c>
      <c r="B140" s="1" t="n">
        <v>44672</v>
      </c>
      <c r="C140" s="1" t="n">
        <v>46033</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Skogsklocka</t>
        </is>
      </c>
      <c r="S140">
        <f>HYPERLINK("https://klasma.github.io/Logging_1737/artfynd/A 16572-2022 artfynd.xlsx", "A 16572-2022")</f>
        <v/>
      </c>
      <c r="T140">
        <f>HYPERLINK("https://klasma.github.io/Logging_1737/kartor/A 16572-2022 karta.png", "A 16572-2022")</f>
        <v/>
      </c>
      <c r="V140">
        <f>HYPERLINK("https://klasma.github.io/Logging_1737/klagomål/A 16572-2022 FSC-klagomål.docx", "A 16572-2022")</f>
        <v/>
      </c>
      <c r="W140">
        <f>HYPERLINK("https://klasma.github.io/Logging_1737/klagomålsmail/A 16572-2022 FSC-klagomål mail.docx", "A 16572-2022")</f>
        <v/>
      </c>
      <c r="X140">
        <f>HYPERLINK("https://klasma.github.io/Logging_1737/tillsyn/A 16572-2022 tillsynsbegäran.docx", "A 16572-2022")</f>
        <v/>
      </c>
      <c r="Y140">
        <f>HYPERLINK("https://klasma.github.io/Logging_1737/tillsynsmail/A 16572-2022 tillsynsbegäran mail.docx", "A 16572-2022")</f>
        <v/>
      </c>
    </row>
    <row r="141" ht="15" customHeight="1">
      <c r="A141" t="inlineStr">
        <is>
          <t>A 56133-2024</t>
        </is>
      </c>
      <c r="B141" s="1" t="n">
        <v>45624</v>
      </c>
      <c r="C141" s="1" t="n">
        <v>46033</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54009-2024</t>
        </is>
      </c>
      <c r="B142" s="1" t="n">
        <v>45616</v>
      </c>
      <c r="C142" s="1" t="n">
        <v>46033</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40934-2024</t>
        </is>
      </c>
      <c r="B143" s="1" t="n">
        <v>45558</v>
      </c>
      <c r="C143" s="1" t="n">
        <v>46033</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46033</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46033</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8747-2021</t>
        </is>
      </c>
      <c r="B146" s="1" t="n">
        <v>44246</v>
      </c>
      <c r="C146" s="1" t="n">
        <v>46033</v>
      </c>
      <c r="D146" t="inlineStr">
        <is>
          <t>VÄRMLANDS LÄN</t>
        </is>
      </c>
      <c r="E146" t="inlineStr">
        <is>
          <t>TORSBY</t>
        </is>
      </c>
      <c r="G146" t="n">
        <v>8.5</v>
      </c>
      <c r="H146" t="n">
        <v>0</v>
      </c>
      <c r="I146" t="n">
        <v>0</v>
      </c>
      <c r="J146" t="n">
        <v>1</v>
      </c>
      <c r="K146" t="n">
        <v>0</v>
      </c>
      <c r="L146" t="n">
        <v>0</v>
      </c>
      <c r="M146" t="n">
        <v>0</v>
      </c>
      <c r="N146" t="n">
        <v>0</v>
      </c>
      <c r="O146" t="n">
        <v>1</v>
      </c>
      <c r="P146" t="n">
        <v>0</v>
      </c>
      <c r="Q146" t="n">
        <v>1</v>
      </c>
      <c r="R146" s="2" t="inlineStr">
        <is>
          <t>Garnlav</t>
        </is>
      </c>
      <c r="S146">
        <f>HYPERLINK("https://klasma.github.io/Logging_1737/artfynd/A 8747-2021 artfynd.xlsx", "A 8747-2021")</f>
        <v/>
      </c>
      <c r="T146">
        <f>HYPERLINK("https://klasma.github.io/Logging_1737/kartor/A 8747-2021 karta.png", "A 8747-2021")</f>
        <v/>
      </c>
      <c r="V146">
        <f>HYPERLINK("https://klasma.github.io/Logging_1737/klagomål/A 8747-2021 FSC-klagomål.docx", "A 8747-2021")</f>
        <v/>
      </c>
      <c r="W146">
        <f>HYPERLINK("https://klasma.github.io/Logging_1737/klagomålsmail/A 8747-2021 FSC-klagomål mail.docx", "A 8747-2021")</f>
        <v/>
      </c>
      <c r="X146">
        <f>HYPERLINK("https://klasma.github.io/Logging_1737/tillsyn/A 8747-2021 tillsynsbegäran.docx", "A 8747-2021")</f>
        <v/>
      </c>
      <c r="Y146">
        <f>HYPERLINK("https://klasma.github.io/Logging_1737/tillsynsmail/A 8747-2021 tillsynsbegäran mail.docx", "A 8747-2021")</f>
        <v/>
      </c>
    </row>
    <row r="147" ht="15" customHeight="1">
      <c r="A147" t="inlineStr">
        <is>
          <t>A 50236-2022</t>
        </is>
      </c>
      <c r="B147" s="1" t="n">
        <v>44865</v>
      </c>
      <c r="C147" s="1" t="n">
        <v>46033</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37292-2024</t>
        </is>
      </c>
      <c r="B148" s="1" t="n">
        <v>45540</v>
      </c>
      <c r="C148" s="1" t="n">
        <v>46033</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58014-2024</t>
        </is>
      </c>
      <c r="B149" s="1" t="n">
        <v>45631</v>
      </c>
      <c r="C149" s="1" t="n">
        <v>46033</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5726-2025</t>
        </is>
      </c>
      <c r="B150" s="1" t="n">
        <v>45694</v>
      </c>
      <c r="C150" s="1" t="n">
        <v>46033</v>
      </c>
      <c r="D150" t="inlineStr">
        <is>
          <t>VÄRMLANDS LÄN</t>
        </is>
      </c>
      <c r="E150" t="inlineStr">
        <is>
          <t>TORSBY</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5726-2025 artfynd.xlsx", "A 5726-2025")</f>
        <v/>
      </c>
      <c r="T150">
        <f>HYPERLINK("https://klasma.github.io/Logging_1737/kartor/A 5726-2025 karta.png", "A 5726-2025")</f>
        <v/>
      </c>
      <c r="V150">
        <f>HYPERLINK("https://klasma.github.io/Logging_1737/klagomål/A 5726-2025 FSC-klagomål.docx", "A 5726-2025")</f>
        <v/>
      </c>
      <c r="W150">
        <f>HYPERLINK("https://klasma.github.io/Logging_1737/klagomålsmail/A 5726-2025 FSC-klagomål mail.docx", "A 5726-2025")</f>
        <v/>
      </c>
      <c r="X150">
        <f>HYPERLINK("https://klasma.github.io/Logging_1737/tillsyn/A 5726-2025 tillsynsbegäran.docx", "A 5726-2025")</f>
        <v/>
      </c>
      <c r="Y150">
        <f>HYPERLINK("https://klasma.github.io/Logging_1737/tillsynsmail/A 5726-2025 tillsynsbegäran mail.docx", "A 5726-2025")</f>
        <v/>
      </c>
    </row>
    <row r="151" ht="15" customHeight="1">
      <c r="A151" t="inlineStr">
        <is>
          <t>A 1526-2021</t>
        </is>
      </c>
      <c r="B151" s="1" t="n">
        <v>44209</v>
      </c>
      <c r="C151" s="1" t="n">
        <v>46033</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46033</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46033</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46033</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46033</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46033</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46033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46033</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46033</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46033</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46033</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46033</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46033</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46033</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46033</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46033</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46033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46033</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46033</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46033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46033</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46033</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46033</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46033</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46033</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46033</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46033</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46033</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46033</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46033</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46033</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46033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46033</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46033</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46033</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46033</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46033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46033</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46033</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46033</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46033</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46033</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46033</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46033</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46033</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46033</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46033</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46033</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46033</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46033</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46033</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46033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46033</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46033</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46033</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46033</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27411-2021</t>
        </is>
      </c>
      <c r="B208" s="1" t="n">
        <v>44351</v>
      </c>
      <c r="C208" s="1" t="n">
        <v>46033</v>
      </c>
      <c r="D208" t="inlineStr">
        <is>
          <t>VÄRMLANDS LÄN</t>
        </is>
      </c>
      <c r="E208" t="inlineStr">
        <is>
          <t>TORSBY</t>
        </is>
      </c>
      <c r="G208" t="n">
        <v>2.5</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46033</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46033</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46033</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46033</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46033</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46033</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46033</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46033</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46033</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46033</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3369-2022</t>
        </is>
      </c>
      <c r="B219" s="1" t="n">
        <v>44585</v>
      </c>
      <c r="C219" s="1" t="n">
        <v>46033</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2421-2022</t>
        </is>
      </c>
      <c r="B220" s="1" t="n">
        <v>44579.50670138889</v>
      </c>
      <c r="C220" s="1" t="n">
        <v>46033</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46033</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46033</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46033</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46033</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46033</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46033</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46033</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8034-2021</t>
        </is>
      </c>
      <c r="B228" s="1" t="n">
        <v>44243</v>
      </c>
      <c r="C228" s="1" t="n">
        <v>46033</v>
      </c>
      <c r="D228" t="inlineStr">
        <is>
          <t>VÄRMLANDS LÄN</t>
        </is>
      </c>
      <c r="E228" t="inlineStr">
        <is>
          <t>TORSBY</t>
        </is>
      </c>
      <c r="G228" t="n">
        <v>15.4</v>
      </c>
      <c r="H228" t="n">
        <v>0</v>
      </c>
      <c r="I228" t="n">
        <v>0</v>
      </c>
      <c r="J228" t="n">
        <v>0</v>
      </c>
      <c r="K228" t="n">
        <v>0</v>
      </c>
      <c r="L228" t="n">
        <v>0</v>
      </c>
      <c r="M228" t="n">
        <v>0</v>
      </c>
      <c r="N228" t="n">
        <v>0</v>
      </c>
      <c r="O228" t="n">
        <v>0</v>
      </c>
      <c r="P228" t="n">
        <v>0</v>
      </c>
      <c r="Q228" t="n">
        <v>0</v>
      </c>
      <c r="R228" s="2" t="inlineStr"/>
    </row>
    <row r="229" ht="15" customHeight="1">
      <c r="A229" t="inlineStr">
        <is>
          <t>A 31511-2021</t>
        </is>
      </c>
      <c r="B229" s="1" t="n">
        <v>44369.45956018518</v>
      </c>
      <c r="C229" s="1" t="n">
        <v>46033</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46033</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41678-2021</t>
        </is>
      </c>
      <c r="B231" s="1" t="n">
        <v>44425</v>
      </c>
      <c r="C231" s="1" t="n">
        <v>46033</v>
      </c>
      <c r="D231" t="inlineStr">
        <is>
          <t>VÄRMLANDS LÄN</t>
        </is>
      </c>
      <c r="E231" t="inlineStr">
        <is>
          <t>TORSBY</t>
        </is>
      </c>
      <c r="G231" t="n">
        <v>4.3</v>
      </c>
      <c r="H231" t="n">
        <v>0</v>
      </c>
      <c r="I231" t="n">
        <v>0</v>
      </c>
      <c r="J231" t="n">
        <v>0</v>
      </c>
      <c r="K231" t="n">
        <v>0</v>
      </c>
      <c r="L231" t="n">
        <v>0</v>
      </c>
      <c r="M231" t="n">
        <v>0</v>
      </c>
      <c r="N231" t="n">
        <v>0</v>
      </c>
      <c r="O231" t="n">
        <v>0</v>
      </c>
      <c r="P231" t="n">
        <v>0</v>
      </c>
      <c r="Q231" t="n">
        <v>0</v>
      </c>
      <c r="R231" s="2" t="inlineStr"/>
    </row>
    <row r="232" ht="15" customHeight="1">
      <c r="A232" t="inlineStr">
        <is>
          <t>A 10118-2021</t>
        </is>
      </c>
      <c r="B232" s="1" t="n">
        <v>44256</v>
      </c>
      <c r="C232" s="1" t="n">
        <v>46033</v>
      </c>
      <c r="D232" t="inlineStr">
        <is>
          <t>VÄRMLANDS LÄN</t>
        </is>
      </c>
      <c r="E232" t="inlineStr">
        <is>
          <t>TORSBY</t>
        </is>
      </c>
      <c r="G232" t="n">
        <v>12.5</v>
      </c>
      <c r="H232" t="n">
        <v>0</v>
      </c>
      <c r="I232" t="n">
        <v>0</v>
      </c>
      <c r="J232" t="n">
        <v>0</v>
      </c>
      <c r="K232" t="n">
        <v>0</v>
      </c>
      <c r="L232" t="n">
        <v>0</v>
      </c>
      <c r="M232" t="n">
        <v>0</v>
      </c>
      <c r="N232" t="n">
        <v>0</v>
      </c>
      <c r="O232" t="n">
        <v>0</v>
      </c>
      <c r="P232" t="n">
        <v>0</v>
      </c>
      <c r="Q232" t="n">
        <v>0</v>
      </c>
      <c r="R232" s="2" t="inlineStr"/>
    </row>
    <row r="233" ht="15" customHeight="1">
      <c r="A233" t="inlineStr">
        <is>
          <t>A 13857-2021</t>
        </is>
      </c>
      <c r="B233" s="1" t="n">
        <v>44277</v>
      </c>
      <c r="C233" s="1" t="n">
        <v>46033</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54811-2022</t>
        </is>
      </c>
      <c r="B234" s="1" t="n">
        <v>44883.7496875</v>
      </c>
      <c r="C234" s="1" t="n">
        <v>46033</v>
      </c>
      <c r="D234" t="inlineStr">
        <is>
          <t>VÄRMLANDS LÄN</t>
        </is>
      </c>
      <c r="E234" t="inlineStr">
        <is>
          <t>TORSBY</t>
        </is>
      </c>
      <c r="G234" t="n">
        <v>2.5</v>
      </c>
      <c r="H234" t="n">
        <v>0</v>
      </c>
      <c r="I234" t="n">
        <v>0</v>
      </c>
      <c r="J234" t="n">
        <v>0</v>
      </c>
      <c r="K234" t="n">
        <v>0</v>
      </c>
      <c r="L234" t="n">
        <v>0</v>
      </c>
      <c r="M234" t="n">
        <v>0</v>
      </c>
      <c r="N234" t="n">
        <v>0</v>
      </c>
      <c r="O234" t="n">
        <v>0</v>
      </c>
      <c r="P234" t="n">
        <v>0</v>
      </c>
      <c r="Q234" t="n">
        <v>0</v>
      </c>
      <c r="R234" s="2" t="inlineStr"/>
    </row>
    <row r="235" ht="15" customHeight="1">
      <c r="A235" t="inlineStr">
        <is>
          <t>A 18174-2021</t>
        </is>
      </c>
      <c r="B235" s="1" t="n">
        <v>44302.63314814815</v>
      </c>
      <c r="C235" s="1" t="n">
        <v>46033</v>
      </c>
      <c r="D235" t="inlineStr">
        <is>
          <t>VÄRMLANDS LÄN</t>
        </is>
      </c>
      <c r="E235" t="inlineStr">
        <is>
          <t>TORSBY</t>
        </is>
      </c>
      <c r="G235" t="n">
        <v>4.5</v>
      </c>
      <c r="H235" t="n">
        <v>0</v>
      </c>
      <c r="I235" t="n">
        <v>0</v>
      </c>
      <c r="J235" t="n">
        <v>0</v>
      </c>
      <c r="K235" t="n">
        <v>0</v>
      </c>
      <c r="L235" t="n">
        <v>0</v>
      </c>
      <c r="M235" t="n">
        <v>0</v>
      </c>
      <c r="N235" t="n">
        <v>0</v>
      </c>
      <c r="O235" t="n">
        <v>0</v>
      </c>
      <c r="P235" t="n">
        <v>0</v>
      </c>
      <c r="Q235" t="n">
        <v>0</v>
      </c>
      <c r="R235" s="2" t="inlineStr"/>
    </row>
    <row r="236" ht="15" customHeight="1">
      <c r="A236" t="inlineStr">
        <is>
          <t>A 44923-2021</t>
        </is>
      </c>
      <c r="B236" s="1" t="n">
        <v>44438.6662037037</v>
      </c>
      <c r="C236" s="1" t="n">
        <v>46033</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10778-2021</t>
        </is>
      </c>
      <c r="B237" s="1" t="n">
        <v>44259</v>
      </c>
      <c r="C237" s="1" t="n">
        <v>46033</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46033</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33145-2021</t>
        </is>
      </c>
      <c r="B239" s="1" t="n">
        <v>44376.67375</v>
      </c>
      <c r="C239" s="1" t="n">
        <v>46033</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30802-2021</t>
        </is>
      </c>
      <c r="B240" s="1" t="n">
        <v>44365.52390046296</v>
      </c>
      <c r="C240" s="1" t="n">
        <v>46033</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23803-2022</t>
        </is>
      </c>
      <c r="B241" s="1" t="n">
        <v>44720</v>
      </c>
      <c r="C241" s="1" t="n">
        <v>46033</v>
      </c>
      <c r="D241" t="inlineStr">
        <is>
          <t>VÄRMLANDS LÄN</t>
        </is>
      </c>
      <c r="E241" t="inlineStr">
        <is>
          <t>TORSBY</t>
        </is>
      </c>
      <c r="G241" t="n">
        <v>3</v>
      </c>
      <c r="H241" t="n">
        <v>0</v>
      </c>
      <c r="I241" t="n">
        <v>0</v>
      </c>
      <c r="J241" t="n">
        <v>0</v>
      </c>
      <c r="K241" t="n">
        <v>0</v>
      </c>
      <c r="L241" t="n">
        <v>0</v>
      </c>
      <c r="M241" t="n">
        <v>0</v>
      </c>
      <c r="N241" t="n">
        <v>0</v>
      </c>
      <c r="O241" t="n">
        <v>0</v>
      </c>
      <c r="P241" t="n">
        <v>0</v>
      </c>
      <c r="Q241" t="n">
        <v>0</v>
      </c>
      <c r="R241" s="2" t="inlineStr"/>
    </row>
    <row r="242" ht="15" customHeight="1">
      <c r="A242" t="inlineStr">
        <is>
          <t>A 33959-2022</t>
        </is>
      </c>
      <c r="B242" s="1" t="n">
        <v>44790.6815625</v>
      </c>
      <c r="C242" s="1" t="n">
        <v>46033</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11922-2022</t>
        </is>
      </c>
      <c r="B243" s="1" t="n">
        <v>44635</v>
      </c>
      <c r="C243" s="1" t="n">
        <v>46033</v>
      </c>
      <c r="D243" t="inlineStr">
        <is>
          <t>VÄRMLANDS LÄN</t>
        </is>
      </c>
      <c r="E243" t="inlineStr">
        <is>
          <t>TORSBY</t>
        </is>
      </c>
      <c r="G243" t="n">
        <v>2.6</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46033</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33254-2022</t>
        </is>
      </c>
      <c r="B245" s="1" t="n">
        <v>44787</v>
      </c>
      <c r="C245" s="1" t="n">
        <v>46033</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17249-2021</t>
        </is>
      </c>
      <c r="B246" s="1" t="n">
        <v>44298</v>
      </c>
      <c r="C246" s="1" t="n">
        <v>46033</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31494-2021</t>
        </is>
      </c>
      <c r="B247" s="1" t="n">
        <v>44369</v>
      </c>
      <c r="C247" s="1" t="n">
        <v>46033</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27362-2021</t>
        </is>
      </c>
      <c r="B248" s="1" t="n">
        <v>44351</v>
      </c>
      <c r="C248" s="1" t="n">
        <v>46033</v>
      </c>
      <c r="D248" t="inlineStr">
        <is>
          <t>VÄRMLANDS LÄN</t>
        </is>
      </c>
      <c r="E248" t="inlineStr">
        <is>
          <t>TORSBY</t>
        </is>
      </c>
      <c r="G248" t="n">
        <v>2.9</v>
      </c>
      <c r="H248" t="n">
        <v>0</v>
      </c>
      <c r="I248" t="n">
        <v>0</v>
      </c>
      <c r="J248" t="n">
        <v>0</v>
      </c>
      <c r="K248" t="n">
        <v>0</v>
      </c>
      <c r="L248" t="n">
        <v>0</v>
      </c>
      <c r="M248" t="n">
        <v>0</v>
      </c>
      <c r="N248" t="n">
        <v>0</v>
      </c>
      <c r="O248" t="n">
        <v>0</v>
      </c>
      <c r="P248" t="n">
        <v>0</v>
      </c>
      <c r="Q248" t="n">
        <v>0</v>
      </c>
      <c r="R248" s="2" t="inlineStr"/>
    </row>
    <row r="249" ht="15" customHeight="1">
      <c r="A249" t="inlineStr">
        <is>
          <t>A 28172-2022</t>
        </is>
      </c>
      <c r="B249" s="1" t="n">
        <v>44746</v>
      </c>
      <c r="C249" s="1" t="n">
        <v>46033</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37225-2021</t>
        </is>
      </c>
      <c r="B250" s="1" t="n">
        <v>44396</v>
      </c>
      <c r="C250" s="1" t="n">
        <v>46033</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44018-2021</t>
        </is>
      </c>
      <c r="B251" s="1" t="n">
        <v>44434</v>
      </c>
      <c r="C251" s="1" t="n">
        <v>46033</v>
      </c>
      <c r="D251" t="inlineStr">
        <is>
          <t>VÄRMLANDS LÄN</t>
        </is>
      </c>
      <c r="E251" t="inlineStr">
        <is>
          <t>TORSBY</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34626-2021</t>
        </is>
      </c>
      <c r="B252" s="1" t="n">
        <v>44382</v>
      </c>
      <c r="C252" s="1" t="n">
        <v>46033</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34885-2021</t>
        </is>
      </c>
      <c r="B253" s="1" t="n">
        <v>44383</v>
      </c>
      <c r="C253" s="1" t="n">
        <v>46033</v>
      </c>
      <c r="D253" t="inlineStr">
        <is>
          <t>VÄRMLANDS LÄN</t>
        </is>
      </c>
      <c r="E253" t="inlineStr">
        <is>
          <t>TORSBY</t>
        </is>
      </c>
      <c r="G253" t="n">
        <v>8.9</v>
      </c>
      <c r="H253" t="n">
        <v>0</v>
      </c>
      <c r="I253" t="n">
        <v>0</v>
      </c>
      <c r="J253" t="n">
        <v>0</v>
      </c>
      <c r="K253" t="n">
        <v>0</v>
      </c>
      <c r="L253" t="n">
        <v>0</v>
      </c>
      <c r="M253" t="n">
        <v>0</v>
      </c>
      <c r="N253" t="n">
        <v>0</v>
      </c>
      <c r="O253" t="n">
        <v>0</v>
      </c>
      <c r="P253" t="n">
        <v>0</v>
      </c>
      <c r="Q253" t="n">
        <v>0</v>
      </c>
      <c r="R253" s="2" t="inlineStr"/>
    </row>
    <row r="254" ht="15" customHeight="1">
      <c r="A254" t="inlineStr">
        <is>
          <t>A 65959-2021</t>
        </is>
      </c>
      <c r="B254" s="1" t="n">
        <v>44517</v>
      </c>
      <c r="C254" s="1" t="n">
        <v>46033</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46033</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62576-2021</t>
        </is>
      </c>
      <c r="B256" s="1" t="n">
        <v>44502</v>
      </c>
      <c r="C256" s="1" t="n">
        <v>46033</v>
      </c>
      <c r="D256" t="inlineStr">
        <is>
          <t>VÄRMLANDS LÄN</t>
        </is>
      </c>
      <c r="E256" t="inlineStr">
        <is>
          <t>TORSBY</t>
        </is>
      </c>
      <c r="G256" t="n">
        <v>3.3</v>
      </c>
      <c r="H256" t="n">
        <v>0</v>
      </c>
      <c r="I256" t="n">
        <v>0</v>
      </c>
      <c r="J256" t="n">
        <v>0</v>
      </c>
      <c r="K256" t="n">
        <v>0</v>
      </c>
      <c r="L256" t="n">
        <v>0</v>
      </c>
      <c r="M256" t="n">
        <v>0</v>
      </c>
      <c r="N256" t="n">
        <v>0</v>
      </c>
      <c r="O256" t="n">
        <v>0</v>
      </c>
      <c r="P256" t="n">
        <v>0</v>
      </c>
      <c r="Q256" t="n">
        <v>0</v>
      </c>
      <c r="R256" s="2" t="inlineStr"/>
    </row>
    <row r="257" ht="15" customHeight="1">
      <c r="A257" t="inlineStr">
        <is>
          <t>A 19877-2021</t>
        </is>
      </c>
      <c r="B257" s="1" t="n">
        <v>44313</v>
      </c>
      <c r="C257" s="1" t="n">
        <v>46033</v>
      </c>
      <c r="D257" t="inlineStr">
        <is>
          <t>VÄRMLANDS LÄN</t>
        </is>
      </c>
      <c r="E257" t="inlineStr">
        <is>
          <t>TORSBY</t>
        </is>
      </c>
      <c r="G257" t="n">
        <v>1.7</v>
      </c>
      <c r="H257" t="n">
        <v>0</v>
      </c>
      <c r="I257" t="n">
        <v>0</v>
      </c>
      <c r="J257" t="n">
        <v>0</v>
      </c>
      <c r="K257" t="n">
        <v>0</v>
      </c>
      <c r="L257" t="n">
        <v>0</v>
      </c>
      <c r="M257" t="n">
        <v>0</v>
      </c>
      <c r="N257" t="n">
        <v>0</v>
      </c>
      <c r="O257" t="n">
        <v>0</v>
      </c>
      <c r="P257" t="n">
        <v>0</v>
      </c>
      <c r="Q257" t="n">
        <v>0</v>
      </c>
      <c r="R257" s="2" t="inlineStr"/>
    </row>
    <row r="258" ht="15" customHeight="1">
      <c r="A258" t="inlineStr">
        <is>
          <t>A 32821-2021</t>
        </is>
      </c>
      <c r="B258" s="1" t="n">
        <v>44375</v>
      </c>
      <c r="C258" s="1" t="n">
        <v>46033</v>
      </c>
      <c r="D258" t="inlineStr">
        <is>
          <t>VÄRMLANDS LÄN</t>
        </is>
      </c>
      <c r="E258" t="inlineStr">
        <is>
          <t>TORSBY</t>
        </is>
      </c>
      <c r="G258" t="n">
        <v>3.9</v>
      </c>
      <c r="H258" t="n">
        <v>0</v>
      </c>
      <c r="I258" t="n">
        <v>0</v>
      </c>
      <c r="J258" t="n">
        <v>0</v>
      </c>
      <c r="K258" t="n">
        <v>0</v>
      </c>
      <c r="L258" t="n">
        <v>0</v>
      </c>
      <c r="M258" t="n">
        <v>0</v>
      </c>
      <c r="N258" t="n">
        <v>0</v>
      </c>
      <c r="O258" t="n">
        <v>0</v>
      </c>
      <c r="P258" t="n">
        <v>0</v>
      </c>
      <c r="Q258" t="n">
        <v>0</v>
      </c>
      <c r="R258" s="2" t="inlineStr"/>
    </row>
    <row r="259" ht="15" customHeight="1">
      <c r="A259" t="inlineStr">
        <is>
          <t>A 50549-2021</t>
        </is>
      </c>
      <c r="B259" s="1" t="n">
        <v>44459</v>
      </c>
      <c r="C259" s="1" t="n">
        <v>46033</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46033</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20199-2021</t>
        </is>
      </c>
      <c r="B261" s="1" t="n">
        <v>44312</v>
      </c>
      <c r="C261" s="1" t="n">
        <v>46033</v>
      </c>
      <c r="D261" t="inlineStr">
        <is>
          <t>VÄRMLANDS LÄN</t>
        </is>
      </c>
      <c r="E261" t="inlineStr">
        <is>
          <t>TORSBY</t>
        </is>
      </c>
      <c r="G261" t="n">
        <v>11.4</v>
      </c>
      <c r="H261" t="n">
        <v>0</v>
      </c>
      <c r="I261" t="n">
        <v>0</v>
      </c>
      <c r="J261" t="n">
        <v>0</v>
      </c>
      <c r="K261" t="n">
        <v>0</v>
      </c>
      <c r="L261" t="n">
        <v>0</v>
      </c>
      <c r="M261" t="n">
        <v>0</v>
      </c>
      <c r="N261" t="n">
        <v>0</v>
      </c>
      <c r="O261" t="n">
        <v>0</v>
      </c>
      <c r="P261" t="n">
        <v>0</v>
      </c>
      <c r="Q261" t="n">
        <v>0</v>
      </c>
      <c r="R261" s="2" t="inlineStr"/>
    </row>
    <row r="262" ht="15" customHeight="1">
      <c r="A262" t="inlineStr">
        <is>
          <t>A 14942-2021</t>
        </is>
      </c>
      <c r="B262" s="1" t="n">
        <v>44281</v>
      </c>
      <c r="C262" s="1" t="n">
        <v>46033</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46033</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23524-2021</t>
        </is>
      </c>
      <c r="B264" s="1" t="n">
        <v>44301</v>
      </c>
      <c r="C264" s="1" t="n">
        <v>46033</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35545-2021</t>
        </is>
      </c>
      <c r="B265" s="1" t="n">
        <v>44385</v>
      </c>
      <c r="C265" s="1" t="n">
        <v>46033</v>
      </c>
      <c r="D265" t="inlineStr">
        <is>
          <t>VÄRMLANDS LÄN</t>
        </is>
      </c>
      <c r="E265" t="inlineStr">
        <is>
          <t>TORSBY</t>
        </is>
      </c>
      <c r="G265" t="n">
        <v>6</v>
      </c>
      <c r="H265" t="n">
        <v>0</v>
      </c>
      <c r="I265" t="n">
        <v>0</v>
      </c>
      <c r="J265" t="n">
        <v>0</v>
      </c>
      <c r="K265" t="n">
        <v>0</v>
      </c>
      <c r="L265" t="n">
        <v>0</v>
      </c>
      <c r="M265" t="n">
        <v>0</v>
      </c>
      <c r="N265" t="n">
        <v>0</v>
      </c>
      <c r="O265" t="n">
        <v>0</v>
      </c>
      <c r="P265" t="n">
        <v>0</v>
      </c>
      <c r="Q265" t="n">
        <v>0</v>
      </c>
      <c r="R265" s="2" t="inlineStr"/>
    </row>
    <row r="266" ht="15" customHeight="1">
      <c r="A266" t="inlineStr">
        <is>
          <t>A 25247-2021</t>
        </is>
      </c>
      <c r="B266" s="1" t="n">
        <v>44342</v>
      </c>
      <c r="C266" s="1" t="n">
        <v>46033</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52543-2022</t>
        </is>
      </c>
      <c r="B267" s="1" t="n">
        <v>44874</v>
      </c>
      <c r="C267" s="1" t="n">
        <v>46033</v>
      </c>
      <c r="D267" t="inlineStr">
        <is>
          <t>VÄRMLANDS LÄN</t>
        </is>
      </c>
      <c r="E267" t="inlineStr">
        <is>
          <t>TORSBY</t>
        </is>
      </c>
      <c r="G267" t="n">
        <v>10.1</v>
      </c>
      <c r="H267" t="n">
        <v>0</v>
      </c>
      <c r="I267" t="n">
        <v>0</v>
      </c>
      <c r="J267" t="n">
        <v>0</v>
      </c>
      <c r="K267" t="n">
        <v>0</v>
      </c>
      <c r="L267" t="n">
        <v>0</v>
      </c>
      <c r="M267" t="n">
        <v>0</v>
      </c>
      <c r="N267" t="n">
        <v>0</v>
      </c>
      <c r="O267" t="n">
        <v>0</v>
      </c>
      <c r="P267" t="n">
        <v>0</v>
      </c>
      <c r="Q267" t="n">
        <v>0</v>
      </c>
      <c r="R267" s="2" t="inlineStr"/>
    </row>
    <row r="268" ht="15" customHeight="1">
      <c r="A268" t="inlineStr">
        <is>
          <t>A 43095-2021</t>
        </is>
      </c>
      <c r="B268" s="1" t="n">
        <v>44431</v>
      </c>
      <c r="C268" s="1" t="n">
        <v>46033</v>
      </c>
      <c r="D268" t="inlineStr">
        <is>
          <t>VÄRMLANDS LÄN</t>
        </is>
      </c>
      <c r="E268" t="inlineStr">
        <is>
          <t>TORSBY</t>
        </is>
      </c>
      <c r="G268" t="n">
        <v>1.4</v>
      </c>
      <c r="H268" t="n">
        <v>0</v>
      </c>
      <c r="I268" t="n">
        <v>0</v>
      </c>
      <c r="J268" t="n">
        <v>0</v>
      </c>
      <c r="K268" t="n">
        <v>0</v>
      </c>
      <c r="L268" t="n">
        <v>0</v>
      </c>
      <c r="M268" t="n">
        <v>0</v>
      </c>
      <c r="N268" t="n">
        <v>0</v>
      </c>
      <c r="O268" t="n">
        <v>0</v>
      </c>
      <c r="P268" t="n">
        <v>0</v>
      </c>
      <c r="Q268" t="n">
        <v>0</v>
      </c>
      <c r="R268" s="2" t="inlineStr"/>
    </row>
    <row r="269" ht="15" customHeight="1">
      <c r="A269" t="inlineStr">
        <is>
          <t>A 65998-2021</t>
        </is>
      </c>
      <c r="B269" s="1" t="n">
        <v>44517</v>
      </c>
      <c r="C269" s="1" t="n">
        <v>46033</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17765-2022</t>
        </is>
      </c>
      <c r="B270" s="1" t="n">
        <v>44681.41195601852</v>
      </c>
      <c r="C270" s="1" t="n">
        <v>46033</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20819-2022</t>
        </is>
      </c>
      <c r="B271" s="1" t="n">
        <v>44699</v>
      </c>
      <c r="C271" s="1" t="n">
        <v>46033</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49192-2021</t>
        </is>
      </c>
      <c r="B272" s="1" t="n">
        <v>44454.33175925926</v>
      </c>
      <c r="C272" s="1" t="n">
        <v>46033</v>
      </c>
      <c r="D272" t="inlineStr">
        <is>
          <t>VÄRMLANDS LÄN</t>
        </is>
      </c>
      <c r="E272" t="inlineStr">
        <is>
          <t>TORSBY</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28562-2021</t>
        </is>
      </c>
      <c r="B273" s="1" t="n">
        <v>44356.69538194445</v>
      </c>
      <c r="C273" s="1" t="n">
        <v>46033</v>
      </c>
      <c r="D273" t="inlineStr">
        <is>
          <t>VÄRMLANDS LÄN</t>
        </is>
      </c>
      <c r="E273" t="inlineStr">
        <is>
          <t>TORSBY</t>
        </is>
      </c>
      <c r="G273" t="n">
        <v>4.4</v>
      </c>
      <c r="H273" t="n">
        <v>0</v>
      </c>
      <c r="I273" t="n">
        <v>0</v>
      </c>
      <c r="J273" t="n">
        <v>0</v>
      </c>
      <c r="K273" t="n">
        <v>0</v>
      </c>
      <c r="L273" t="n">
        <v>0</v>
      </c>
      <c r="M273" t="n">
        <v>0</v>
      </c>
      <c r="N273" t="n">
        <v>0</v>
      </c>
      <c r="O273" t="n">
        <v>0</v>
      </c>
      <c r="P273" t="n">
        <v>0</v>
      </c>
      <c r="Q273" t="n">
        <v>0</v>
      </c>
      <c r="R273" s="2" t="inlineStr"/>
    </row>
    <row r="274" ht="15" customHeight="1">
      <c r="A274" t="inlineStr">
        <is>
          <t>A 33149-2021</t>
        </is>
      </c>
      <c r="B274" s="1" t="n">
        <v>44376.67658564815</v>
      </c>
      <c r="C274" s="1" t="n">
        <v>46033</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56062-2021</t>
        </is>
      </c>
      <c r="B275" s="1" t="n">
        <v>44477.51216435185</v>
      </c>
      <c r="C275" s="1" t="n">
        <v>46033</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33515-2021</t>
        </is>
      </c>
      <c r="B276" s="1" t="n">
        <v>44377</v>
      </c>
      <c r="C276" s="1" t="n">
        <v>46033</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33517-2021</t>
        </is>
      </c>
      <c r="B277" s="1" t="n">
        <v>44377</v>
      </c>
      <c r="C277" s="1" t="n">
        <v>46033</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46033</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21031-2021</t>
        </is>
      </c>
      <c r="B279" s="1" t="n">
        <v>44319</v>
      </c>
      <c r="C279" s="1" t="n">
        <v>46033</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43136-2021</t>
        </is>
      </c>
      <c r="B280" s="1" t="n">
        <v>44431.6690625</v>
      </c>
      <c r="C280" s="1" t="n">
        <v>46033</v>
      </c>
      <c r="D280" t="inlineStr">
        <is>
          <t>VÄRMLANDS LÄN</t>
        </is>
      </c>
      <c r="E280" t="inlineStr">
        <is>
          <t>TORSBY</t>
        </is>
      </c>
      <c r="G280" t="n">
        <v>14.4</v>
      </c>
      <c r="H280" t="n">
        <v>0</v>
      </c>
      <c r="I280" t="n">
        <v>0</v>
      </c>
      <c r="J280" t="n">
        <v>0</v>
      </c>
      <c r="K280" t="n">
        <v>0</v>
      </c>
      <c r="L280" t="n">
        <v>0</v>
      </c>
      <c r="M280" t="n">
        <v>0</v>
      </c>
      <c r="N280" t="n">
        <v>0</v>
      </c>
      <c r="O280" t="n">
        <v>0</v>
      </c>
      <c r="P280" t="n">
        <v>0</v>
      </c>
      <c r="Q280" t="n">
        <v>0</v>
      </c>
      <c r="R280" s="2" t="inlineStr"/>
    </row>
    <row r="281" ht="15" customHeight="1">
      <c r="A281" t="inlineStr">
        <is>
          <t>A 14320-2022</t>
        </is>
      </c>
      <c r="B281" s="1" t="n">
        <v>44652</v>
      </c>
      <c r="C281" s="1" t="n">
        <v>46033</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8739-2022</t>
        </is>
      </c>
      <c r="B282" s="1" t="n">
        <v>44615</v>
      </c>
      <c r="C282" s="1" t="n">
        <v>46033</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18628-2022</t>
        </is>
      </c>
      <c r="B283" s="1" t="n">
        <v>44687</v>
      </c>
      <c r="C283" s="1" t="n">
        <v>46033</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46934-2021</t>
        </is>
      </c>
      <c r="B284" s="1" t="n">
        <v>44446.49893518518</v>
      </c>
      <c r="C284" s="1" t="n">
        <v>46033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3382-2022</t>
        </is>
      </c>
      <c r="B285" s="1" t="n">
        <v>44585</v>
      </c>
      <c r="C285" s="1" t="n">
        <v>46033</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71255-2021</t>
        </is>
      </c>
      <c r="B286" s="1" t="n">
        <v>44538</v>
      </c>
      <c r="C286" s="1" t="n">
        <v>46033</v>
      </c>
      <c r="D286" t="inlineStr">
        <is>
          <t>VÄRMLANDS LÄN</t>
        </is>
      </c>
      <c r="E286" t="inlineStr">
        <is>
          <t>TORSBY</t>
        </is>
      </c>
      <c r="G286" t="n">
        <v>3.1</v>
      </c>
      <c r="H286" t="n">
        <v>0</v>
      </c>
      <c r="I286" t="n">
        <v>0</v>
      </c>
      <c r="J286" t="n">
        <v>0</v>
      </c>
      <c r="K286" t="n">
        <v>0</v>
      </c>
      <c r="L286" t="n">
        <v>0</v>
      </c>
      <c r="M286" t="n">
        <v>0</v>
      </c>
      <c r="N286" t="n">
        <v>0</v>
      </c>
      <c r="O286" t="n">
        <v>0</v>
      </c>
      <c r="P286" t="n">
        <v>0</v>
      </c>
      <c r="Q286" t="n">
        <v>0</v>
      </c>
      <c r="R286" s="2" t="inlineStr"/>
    </row>
    <row r="287" ht="15" customHeight="1">
      <c r="A287" t="inlineStr">
        <is>
          <t>A 37917-2022</t>
        </is>
      </c>
      <c r="B287" s="1" t="n">
        <v>44811.44335648148</v>
      </c>
      <c r="C287" s="1" t="n">
        <v>46033</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52386-2022</t>
        </is>
      </c>
      <c r="B288" s="1" t="n">
        <v>44874.3750462963</v>
      </c>
      <c r="C288" s="1" t="n">
        <v>46033</v>
      </c>
      <c r="D288" t="inlineStr">
        <is>
          <t>VÄRMLANDS LÄN</t>
        </is>
      </c>
      <c r="E288" t="inlineStr">
        <is>
          <t>TORSBY</t>
        </is>
      </c>
      <c r="G288" t="n">
        <v>6.7</v>
      </c>
      <c r="H288" t="n">
        <v>0</v>
      </c>
      <c r="I288" t="n">
        <v>0</v>
      </c>
      <c r="J288" t="n">
        <v>0</v>
      </c>
      <c r="K288" t="n">
        <v>0</v>
      </c>
      <c r="L288" t="n">
        <v>0</v>
      </c>
      <c r="M288" t="n">
        <v>0</v>
      </c>
      <c r="N288" t="n">
        <v>0</v>
      </c>
      <c r="O288" t="n">
        <v>0</v>
      </c>
      <c r="P288" t="n">
        <v>0</v>
      </c>
      <c r="Q288" t="n">
        <v>0</v>
      </c>
      <c r="R288" s="2" t="inlineStr"/>
    </row>
    <row r="289" ht="15" customHeight="1">
      <c r="A289" t="inlineStr">
        <is>
          <t>A 38179-2022</t>
        </is>
      </c>
      <c r="B289" s="1" t="n">
        <v>44812</v>
      </c>
      <c r="C289" s="1" t="n">
        <v>46033</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30162-2021</t>
        </is>
      </c>
      <c r="B290" s="1" t="n">
        <v>44363</v>
      </c>
      <c r="C290" s="1" t="n">
        <v>46033</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47466-2022</t>
        </is>
      </c>
      <c r="B291" s="1" t="n">
        <v>44852</v>
      </c>
      <c r="C291" s="1" t="n">
        <v>46033</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16375-2021</t>
        </is>
      </c>
      <c r="B292" s="1" t="n">
        <v>44292</v>
      </c>
      <c r="C292" s="1" t="n">
        <v>46033</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46033</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1516-2021</t>
        </is>
      </c>
      <c r="B294" s="1" t="n">
        <v>44209</v>
      </c>
      <c r="C294" s="1" t="n">
        <v>46033</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32003-2022</t>
        </is>
      </c>
      <c r="B295" s="1" t="n">
        <v>44778</v>
      </c>
      <c r="C295" s="1" t="n">
        <v>46033</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46033</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46033</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33181-2022</t>
        </is>
      </c>
      <c r="B298" s="1" t="n">
        <v>44785</v>
      </c>
      <c r="C298" s="1" t="n">
        <v>46033</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46033</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46033</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11664-2022</t>
        </is>
      </c>
      <c r="B301" s="1" t="n">
        <v>44632.86525462963</v>
      </c>
      <c r="C301" s="1" t="n">
        <v>46033</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53044-2022</t>
        </is>
      </c>
      <c r="B302" s="1" t="n">
        <v>44876</v>
      </c>
      <c r="C302" s="1" t="n">
        <v>46033</v>
      </c>
      <c r="D302" t="inlineStr">
        <is>
          <t>VÄRMLANDS LÄN</t>
        </is>
      </c>
      <c r="E302" t="inlineStr">
        <is>
          <t>TORSBY</t>
        </is>
      </c>
      <c r="G302" t="n">
        <v>0.2</v>
      </c>
      <c r="H302" t="n">
        <v>0</v>
      </c>
      <c r="I302" t="n">
        <v>0</v>
      </c>
      <c r="J302" t="n">
        <v>0</v>
      </c>
      <c r="K302" t="n">
        <v>0</v>
      </c>
      <c r="L302" t="n">
        <v>0</v>
      </c>
      <c r="M302" t="n">
        <v>0</v>
      </c>
      <c r="N302" t="n">
        <v>0</v>
      </c>
      <c r="O302" t="n">
        <v>0</v>
      </c>
      <c r="P302" t="n">
        <v>0</v>
      </c>
      <c r="Q302" t="n">
        <v>0</v>
      </c>
      <c r="R302" s="2" t="inlineStr"/>
    </row>
    <row r="303" ht="15" customHeight="1">
      <c r="A303" t="inlineStr">
        <is>
          <t>A 53076-2022</t>
        </is>
      </c>
      <c r="B303" s="1" t="n">
        <v>44876.38284722222</v>
      </c>
      <c r="C303" s="1" t="n">
        <v>46033</v>
      </c>
      <c r="D303" t="inlineStr">
        <is>
          <t>VÄRMLANDS LÄN</t>
        </is>
      </c>
      <c r="E303" t="inlineStr">
        <is>
          <t>TORSBY</t>
        </is>
      </c>
      <c r="G303" t="n">
        <v>0.4</v>
      </c>
      <c r="H303" t="n">
        <v>0</v>
      </c>
      <c r="I303" t="n">
        <v>0</v>
      </c>
      <c r="J303" t="n">
        <v>0</v>
      </c>
      <c r="K303" t="n">
        <v>0</v>
      </c>
      <c r="L303" t="n">
        <v>0</v>
      </c>
      <c r="M303" t="n">
        <v>0</v>
      </c>
      <c r="N303" t="n">
        <v>0</v>
      </c>
      <c r="O303" t="n">
        <v>0</v>
      </c>
      <c r="P303" t="n">
        <v>0</v>
      </c>
      <c r="Q303" t="n">
        <v>0</v>
      </c>
      <c r="R303" s="2" t="inlineStr"/>
    </row>
    <row r="304" ht="15" customHeight="1">
      <c r="A304" t="inlineStr">
        <is>
          <t>A 45445-2021</t>
        </is>
      </c>
      <c r="B304" s="1" t="n">
        <v>44440</v>
      </c>
      <c r="C304" s="1" t="n">
        <v>46033</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48159-2021</t>
        </is>
      </c>
      <c r="B305" s="1" t="n">
        <v>44449.51302083334</v>
      </c>
      <c r="C305" s="1" t="n">
        <v>46033</v>
      </c>
      <c r="D305" t="inlineStr">
        <is>
          <t>VÄRMLANDS LÄN</t>
        </is>
      </c>
      <c r="E305" t="inlineStr">
        <is>
          <t>TORSBY</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46033</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46033</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46033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46033</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46033</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20907-2022</t>
        </is>
      </c>
      <c r="B311" s="1" t="n">
        <v>44701.60076388889</v>
      </c>
      <c r="C311" s="1" t="n">
        <v>46033</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5050-2021</t>
        </is>
      </c>
      <c r="B312" s="1" t="n">
        <v>44228.5018287037</v>
      </c>
      <c r="C312" s="1" t="n">
        <v>46033</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46033</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46033</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46033</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46033</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46033</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44446.66114583334</v>
      </c>
      <c r="C318" s="1" t="n">
        <v>46033</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44446.67429398148</v>
      </c>
      <c r="C319" s="1" t="n">
        <v>46033</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46033</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33182-2021</t>
        </is>
      </c>
      <c r="B321" s="1" t="n">
        <v>44376</v>
      </c>
      <c r="C321" s="1" t="n">
        <v>46033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29495-2021</t>
        </is>
      </c>
      <c r="B322" s="1" t="n">
        <v>44361</v>
      </c>
      <c r="C322" s="1" t="n">
        <v>46033</v>
      </c>
      <c r="D322" t="inlineStr">
        <is>
          <t>VÄRMLANDS LÄN</t>
        </is>
      </c>
      <c r="E322" t="inlineStr">
        <is>
          <t>TORSBY</t>
        </is>
      </c>
      <c r="F322" t="inlineStr">
        <is>
          <t>Övriga Aktiebolag</t>
        </is>
      </c>
      <c r="G322" t="n">
        <v>38.2</v>
      </c>
      <c r="H322" t="n">
        <v>0</v>
      </c>
      <c r="I322" t="n">
        <v>0</v>
      </c>
      <c r="J322" t="n">
        <v>0</v>
      </c>
      <c r="K322" t="n">
        <v>0</v>
      </c>
      <c r="L322" t="n">
        <v>0</v>
      </c>
      <c r="M322" t="n">
        <v>0</v>
      </c>
      <c r="N322" t="n">
        <v>0</v>
      </c>
      <c r="O322" t="n">
        <v>0</v>
      </c>
      <c r="P322" t="n">
        <v>0</v>
      </c>
      <c r="Q322" t="n">
        <v>0</v>
      </c>
      <c r="R322" s="2" t="inlineStr"/>
    </row>
    <row r="323" ht="15" customHeight="1">
      <c r="A323" t="inlineStr">
        <is>
          <t>A 43169-2021</t>
        </is>
      </c>
      <c r="B323" s="1" t="n">
        <v>44431</v>
      </c>
      <c r="C323" s="1" t="n">
        <v>46033</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29142-2022</t>
        </is>
      </c>
      <c r="B324" s="1" t="n">
        <v>44750</v>
      </c>
      <c r="C324" s="1" t="n">
        <v>46033</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46033</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23011-2022</t>
        </is>
      </c>
      <c r="B326" s="1" t="n">
        <v>44719.35471064815</v>
      </c>
      <c r="C326" s="1" t="n">
        <v>46033</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46033</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36527-2022</t>
        </is>
      </c>
      <c r="B328" s="1" t="n">
        <v>44804</v>
      </c>
      <c r="C328" s="1" t="n">
        <v>46033</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60428-2021</t>
        </is>
      </c>
      <c r="B329" s="1" t="n">
        <v>44496.42145833333</v>
      </c>
      <c r="C329" s="1" t="n">
        <v>46033</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40278-2021</t>
        </is>
      </c>
      <c r="B330" s="1" t="n">
        <v>44419</v>
      </c>
      <c r="C330" s="1" t="n">
        <v>46033</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46033</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33937-2021</t>
        </is>
      </c>
      <c r="B332" s="1" t="n">
        <v>44378.79297453703</v>
      </c>
      <c r="C332" s="1" t="n">
        <v>46033</v>
      </c>
      <c r="D332" t="inlineStr">
        <is>
          <t>VÄRMLANDS LÄN</t>
        </is>
      </c>
      <c r="E332" t="inlineStr">
        <is>
          <t>TORSBY</t>
        </is>
      </c>
      <c r="G332" t="n">
        <v>3.1</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46033</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46033</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46033</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8910-2021</t>
        </is>
      </c>
      <c r="B336" s="1" t="n">
        <v>44246</v>
      </c>
      <c r="C336" s="1" t="n">
        <v>46033</v>
      </c>
      <c r="D336" t="inlineStr">
        <is>
          <t>VÄRMLANDS LÄN</t>
        </is>
      </c>
      <c r="E336" t="inlineStr">
        <is>
          <t>TORSBY</t>
        </is>
      </c>
      <c r="G336" t="n">
        <v>3.7</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44840.43184027778</v>
      </c>
      <c r="C337" s="1" t="n">
        <v>46033</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30384-2021</t>
        </is>
      </c>
      <c r="B338" s="1" t="n">
        <v>44364.4903587963</v>
      </c>
      <c r="C338" s="1" t="n">
        <v>46033</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46033</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24960-2022</t>
        </is>
      </c>
      <c r="B340" s="1" t="n">
        <v>44728</v>
      </c>
      <c r="C340" s="1" t="n">
        <v>46033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46033</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46033</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46033</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44428.45663194444</v>
      </c>
      <c r="C344" s="1" t="n">
        <v>46033</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46033</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27686-2022</t>
        </is>
      </c>
      <c r="B346" s="1" t="n">
        <v>44743.43273148148</v>
      </c>
      <c r="C346" s="1" t="n">
        <v>46033</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46033</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40221-2022</t>
        </is>
      </c>
      <c r="B348" s="1" t="n">
        <v>44820.6512037037</v>
      </c>
      <c r="C348" s="1" t="n">
        <v>46033</v>
      </c>
      <c r="D348" t="inlineStr">
        <is>
          <t>VÄRMLANDS LÄN</t>
        </is>
      </c>
      <c r="E348" t="inlineStr">
        <is>
          <t>TORSBY</t>
        </is>
      </c>
      <c r="G348" t="n">
        <v>2.1</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46033</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46033</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7898-2021</t>
        </is>
      </c>
      <c r="B351" s="1" t="n">
        <v>44243</v>
      </c>
      <c r="C351" s="1" t="n">
        <v>46033</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26558-2021</t>
        </is>
      </c>
      <c r="B352" s="1" t="n">
        <v>44348</v>
      </c>
      <c r="C352" s="1" t="n">
        <v>46033</v>
      </c>
      <c r="D352" t="inlineStr">
        <is>
          <t>VÄRMLANDS LÄN</t>
        </is>
      </c>
      <c r="E352" t="inlineStr">
        <is>
          <t>TORSBY</t>
        </is>
      </c>
      <c r="G352" t="n">
        <v>19.7</v>
      </c>
      <c r="H352" t="n">
        <v>0</v>
      </c>
      <c r="I352" t="n">
        <v>0</v>
      </c>
      <c r="J352" t="n">
        <v>0</v>
      </c>
      <c r="K352" t="n">
        <v>0</v>
      </c>
      <c r="L352" t="n">
        <v>0</v>
      </c>
      <c r="M352" t="n">
        <v>0</v>
      </c>
      <c r="N352" t="n">
        <v>0</v>
      </c>
      <c r="O352" t="n">
        <v>0</v>
      </c>
      <c r="P352" t="n">
        <v>0</v>
      </c>
      <c r="Q352" t="n">
        <v>0</v>
      </c>
      <c r="R352" s="2" t="inlineStr"/>
    </row>
    <row r="353" ht="15" customHeight="1">
      <c r="A353" t="inlineStr">
        <is>
          <t>A 7543-2022</t>
        </is>
      </c>
      <c r="B353" s="1" t="n">
        <v>44607</v>
      </c>
      <c r="C353" s="1" t="n">
        <v>46033</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46033</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62039-2021</t>
        </is>
      </c>
      <c r="B355" s="1" t="n">
        <v>44502</v>
      </c>
      <c r="C355" s="1" t="n">
        <v>46033</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13698-2022</t>
        </is>
      </c>
      <c r="B356" s="1" t="n">
        <v>44648</v>
      </c>
      <c r="C356" s="1" t="n">
        <v>46033</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4960-2022</t>
        </is>
      </c>
      <c r="B357" s="1" t="n">
        <v>44593</v>
      </c>
      <c r="C357" s="1" t="n">
        <v>46033</v>
      </c>
      <c r="D357" t="inlineStr">
        <is>
          <t>VÄRMLANDS LÄN</t>
        </is>
      </c>
      <c r="E357" t="inlineStr">
        <is>
          <t>TORSBY</t>
        </is>
      </c>
      <c r="G357" t="n">
        <v>4.8</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46033</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71084-2021</t>
        </is>
      </c>
      <c r="B359" s="1" t="n">
        <v>44538.96543981481</v>
      </c>
      <c r="C359" s="1" t="n">
        <v>46033</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46033</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46033</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46033</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46033</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34581-2022</t>
        </is>
      </c>
      <c r="B364" s="1" t="n">
        <v>44792</v>
      </c>
      <c r="C364" s="1" t="n">
        <v>46033</v>
      </c>
      <c r="D364" t="inlineStr">
        <is>
          <t>VÄRMLANDS LÄN</t>
        </is>
      </c>
      <c r="E364" t="inlineStr">
        <is>
          <t>TORSBY</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37754-2022</t>
        </is>
      </c>
      <c r="B365" s="1" t="n">
        <v>44810</v>
      </c>
      <c r="C365" s="1" t="n">
        <v>46033</v>
      </c>
      <c r="D365" t="inlineStr">
        <is>
          <t>VÄRMLANDS LÄN</t>
        </is>
      </c>
      <c r="E365" t="inlineStr">
        <is>
          <t>TORSBY</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46795-2021</t>
        </is>
      </c>
      <c r="B366" s="1" t="n">
        <v>44446</v>
      </c>
      <c r="C366" s="1" t="n">
        <v>46033</v>
      </c>
      <c r="D366" t="inlineStr">
        <is>
          <t>VÄRMLANDS LÄN</t>
        </is>
      </c>
      <c r="E366" t="inlineStr">
        <is>
          <t>TORSBY</t>
        </is>
      </c>
      <c r="G366" t="n">
        <v>6</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46033</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9775-2021</t>
        </is>
      </c>
      <c r="B368" s="1" t="n">
        <v>44252</v>
      </c>
      <c r="C368" s="1" t="n">
        <v>46033</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29457-2021</t>
        </is>
      </c>
      <c r="B369" s="1" t="n">
        <v>44361</v>
      </c>
      <c r="C369" s="1" t="n">
        <v>46033</v>
      </c>
      <c r="D369" t="inlineStr">
        <is>
          <t>VÄRMLANDS LÄN</t>
        </is>
      </c>
      <c r="E369" t="inlineStr">
        <is>
          <t>TORSBY</t>
        </is>
      </c>
      <c r="G369" t="n">
        <v>7.6</v>
      </c>
      <c r="H369" t="n">
        <v>0</v>
      </c>
      <c r="I369" t="n">
        <v>0</v>
      </c>
      <c r="J369" t="n">
        <v>0</v>
      </c>
      <c r="K369" t="n">
        <v>0</v>
      </c>
      <c r="L369" t="n">
        <v>0</v>
      </c>
      <c r="M369" t="n">
        <v>0</v>
      </c>
      <c r="N369" t="n">
        <v>0</v>
      </c>
      <c r="O369" t="n">
        <v>0</v>
      </c>
      <c r="P369" t="n">
        <v>0</v>
      </c>
      <c r="Q369" t="n">
        <v>0</v>
      </c>
      <c r="R369" s="2" t="inlineStr"/>
    </row>
    <row r="370" ht="15" customHeight="1">
      <c r="A370" t="inlineStr">
        <is>
          <t>A 41808-2021</t>
        </is>
      </c>
      <c r="B370" s="1" t="n">
        <v>44425</v>
      </c>
      <c r="C370" s="1" t="n">
        <v>46033</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46033</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46033</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63251-2021</t>
        </is>
      </c>
      <c r="B373" s="1" t="n">
        <v>44508.37935185185</v>
      </c>
      <c r="C373" s="1" t="n">
        <v>46033</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46033</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46033</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46033</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46033</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15873-2025</t>
        </is>
      </c>
      <c r="B378" s="1" t="n">
        <v>45749.3759375</v>
      </c>
      <c r="C378" s="1" t="n">
        <v>46033</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58869-2022</t>
        </is>
      </c>
      <c r="B379" s="1" t="n">
        <v>44903</v>
      </c>
      <c r="C379" s="1" t="n">
        <v>46033</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28284-2024</t>
        </is>
      </c>
      <c r="B380" s="1" t="n">
        <v>45477</v>
      </c>
      <c r="C380" s="1" t="n">
        <v>46033</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2981-2025</t>
        </is>
      </c>
      <c r="B381" s="1" t="n">
        <v>45678.48844907407</v>
      </c>
      <c r="C381" s="1" t="n">
        <v>46033</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58951-2022</t>
        </is>
      </c>
      <c r="B382" s="1" t="n">
        <v>44903.65313657407</v>
      </c>
      <c r="C382" s="1" t="n">
        <v>46033</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4479-2021</t>
        </is>
      </c>
      <c r="B383" s="1" t="n">
        <v>44224</v>
      </c>
      <c r="C383" s="1" t="n">
        <v>46033</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23996-2024</t>
        </is>
      </c>
      <c r="B384" s="1" t="n">
        <v>45456</v>
      </c>
      <c r="C384" s="1" t="n">
        <v>46033</v>
      </c>
      <c r="D384" t="inlineStr">
        <is>
          <t>VÄRMLANDS LÄN</t>
        </is>
      </c>
      <c r="E384" t="inlineStr">
        <is>
          <t>TORSBY</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522-2023</t>
        </is>
      </c>
      <c r="B385" s="1" t="n">
        <v>44930</v>
      </c>
      <c r="C385" s="1" t="n">
        <v>46033</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16329-2025</t>
        </is>
      </c>
      <c r="B386" s="1" t="n">
        <v>45751</v>
      </c>
      <c r="C386" s="1" t="n">
        <v>46033</v>
      </c>
      <c r="D386" t="inlineStr">
        <is>
          <t>VÄRMLANDS LÄN</t>
        </is>
      </c>
      <c r="E386" t="inlineStr">
        <is>
          <t>TORSBY</t>
        </is>
      </c>
      <c r="F386" t="inlineStr">
        <is>
          <t>Bergvik skog väst AB</t>
        </is>
      </c>
      <c r="G386" t="n">
        <v>4.8</v>
      </c>
      <c r="H386" t="n">
        <v>0</v>
      </c>
      <c r="I386" t="n">
        <v>0</v>
      </c>
      <c r="J386" t="n">
        <v>0</v>
      </c>
      <c r="K386" t="n">
        <v>0</v>
      </c>
      <c r="L386" t="n">
        <v>0</v>
      </c>
      <c r="M386" t="n">
        <v>0</v>
      </c>
      <c r="N386" t="n">
        <v>0</v>
      </c>
      <c r="O386" t="n">
        <v>0</v>
      </c>
      <c r="P386" t="n">
        <v>0</v>
      </c>
      <c r="Q386" t="n">
        <v>0</v>
      </c>
      <c r="R386" s="2" t="inlineStr"/>
    </row>
    <row r="387" ht="15" customHeight="1">
      <c r="A387" t="inlineStr">
        <is>
          <t>A 23423-2024</t>
        </is>
      </c>
      <c r="B387" s="1" t="n">
        <v>45453.60787037037</v>
      </c>
      <c r="C387" s="1" t="n">
        <v>46033</v>
      </c>
      <c r="D387" t="inlineStr">
        <is>
          <t>VÄRMLANDS LÄN</t>
        </is>
      </c>
      <c r="E387" t="inlineStr">
        <is>
          <t>TORSBY</t>
        </is>
      </c>
      <c r="G387" t="n">
        <v>3.1</v>
      </c>
      <c r="H387" t="n">
        <v>0</v>
      </c>
      <c r="I387" t="n">
        <v>0</v>
      </c>
      <c r="J387" t="n">
        <v>0</v>
      </c>
      <c r="K387" t="n">
        <v>0</v>
      </c>
      <c r="L387" t="n">
        <v>0</v>
      </c>
      <c r="M387" t="n">
        <v>0</v>
      </c>
      <c r="N387" t="n">
        <v>0</v>
      </c>
      <c r="O387" t="n">
        <v>0</v>
      </c>
      <c r="P387" t="n">
        <v>0</v>
      </c>
      <c r="Q387" t="n">
        <v>0</v>
      </c>
      <c r="R387" s="2" t="inlineStr"/>
    </row>
    <row r="388" ht="15" customHeight="1">
      <c r="A388" t="inlineStr">
        <is>
          <t>A 15465-2024</t>
        </is>
      </c>
      <c r="B388" s="1" t="n">
        <v>45401.47399305556</v>
      </c>
      <c r="C388" s="1" t="n">
        <v>46033</v>
      </c>
      <c r="D388" t="inlineStr">
        <is>
          <t>VÄRMLANDS LÄN</t>
        </is>
      </c>
      <c r="E388" t="inlineStr">
        <is>
          <t>TORSBY</t>
        </is>
      </c>
      <c r="F388" t="inlineStr">
        <is>
          <t>Bergvik skog väst AB</t>
        </is>
      </c>
      <c r="G388" t="n">
        <v>24.6</v>
      </c>
      <c r="H388" t="n">
        <v>0</v>
      </c>
      <c r="I388" t="n">
        <v>0</v>
      </c>
      <c r="J388" t="n">
        <v>0</v>
      </c>
      <c r="K388" t="n">
        <v>0</v>
      </c>
      <c r="L388" t="n">
        <v>0</v>
      </c>
      <c r="M388" t="n">
        <v>0</v>
      </c>
      <c r="N388" t="n">
        <v>0</v>
      </c>
      <c r="O388" t="n">
        <v>0</v>
      </c>
      <c r="P388" t="n">
        <v>0</v>
      </c>
      <c r="Q388" t="n">
        <v>0</v>
      </c>
      <c r="R388" s="2" t="inlineStr"/>
    </row>
    <row r="389" ht="15" customHeight="1">
      <c r="A389" t="inlineStr">
        <is>
          <t>A 35629-2023</t>
        </is>
      </c>
      <c r="B389" s="1" t="n">
        <v>45147.55939814815</v>
      </c>
      <c r="C389" s="1" t="n">
        <v>46033</v>
      </c>
      <c r="D389" t="inlineStr">
        <is>
          <t>VÄRMLANDS LÄN</t>
        </is>
      </c>
      <c r="E389" t="inlineStr">
        <is>
          <t>TORSBY</t>
        </is>
      </c>
      <c r="G389" t="n">
        <v>10.3</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46033</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22662-2022</t>
        </is>
      </c>
      <c r="B391" s="1" t="n">
        <v>44714</v>
      </c>
      <c r="C391" s="1" t="n">
        <v>46033</v>
      </c>
      <c r="D391" t="inlineStr">
        <is>
          <t>VÄRMLANDS LÄN</t>
        </is>
      </c>
      <c r="E391" t="inlineStr">
        <is>
          <t>TORSBY</t>
        </is>
      </c>
      <c r="G391" t="n">
        <v>4.8</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46033</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39780-2022</t>
        </is>
      </c>
      <c r="B393" s="1" t="n">
        <v>44819.46672453704</v>
      </c>
      <c r="C393" s="1" t="n">
        <v>46033</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46033</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46033</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55808-2024</t>
        </is>
      </c>
      <c r="B396" s="1" t="n">
        <v>45622</v>
      </c>
      <c r="C396" s="1" t="n">
        <v>46033</v>
      </c>
      <c r="D396" t="inlineStr">
        <is>
          <t>VÄRMLANDS LÄN</t>
        </is>
      </c>
      <c r="E396" t="inlineStr">
        <is>
          <t>TORSBY</t>
        </is>
      </c>
      <c r="G396" t="n">
        <v>0.4</v>
      </c>
      <c r="H396" t="n">
        <v>0</v>
      </c>
      <c r="I396" t="n">
        <v>0</v>
      </c>
      <c r="J396" t="n">
        <v>0</v>
      </c>
      <c r="K396" t="n">
        <v>0</v>
      </c>
      <c r="L396" t="n">
        <v>0</v>
      </c>
      <c r="M396" t="n">
        <v>0</v>
      </c>
      <c r="N396" t="n">
        <v>0</v>
      </c>
      <c r="O396" t="n">
        <v>0</v>
      </c>
      <c r="P396" t="n">
        <v>0</v>
      </c>
      <c r="Q396" t="n">
        <v>0</v>
      </c>
      <c r="R396" s="2" t="inlineStr"/>
    </row>
    <row r="397" ht="15" customHeight="1">
      <c r="A397" t="inlineStr">
        <is>
          <t>A 200-2025</t>
        </is>
      </c>
      <c r="B397" s="1" t="n">
        <v>45659.93418981481</v>
      </c>
      <c r="C397" s="1" t="n">
        <v>46033</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46033</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73521-2021</t>
        </is>
      </c>
      <c r="B399" s="1" t="n">
        <v>44551</v>
      </c>
      <c r="C399" s="1" t="n">
        <v>46033</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45134-2024</t>
        </is>
      </c>
      <c r="B400" s="1" t="n">
        <v>45575</v>
      </c>
      <c r="C400" s="1" t="n">
        <v>46033</v>
      </c>
      <c r="D400" t="inlineStr">
        <is>
          <t>VÄRMLANDS LÄN</t>
        </is>
      </c>
      <c r="E400" t="inlineStr">
        <is>
          <t>TORSBY</t>
        </is>
      </c>
      <c r="F400" t="inlineStr">
        <is>
          <t>Bergvik skog väst AB</t>
        </is>
      </c>
      <c r="G400" t="n">
        <v>1.6</v>
      </c>
      <c r="H400" t="n">
        <v>0</v>
      </c>
      <c r="I400" t="n">
        <v>0</v>
      </c>
      <c r="J400" t="n">
        <v>0</v>
      </c>
      <c r="K400" t="n">
        <v>0</v>
      </c>
      <c r="L400" t="n">
        <v>0</v>
      </c>
      <c r="M400" t="n">
        <v>0</v>
      </c>
      <c r="N400" t="n">
        <v>0</v>
      </c>
      <c r="O400" t="n">
        <v>0</v>
      </c>
      <c r="P400" t="n">
        <v>0</v>
      </c>
      <c r="Q400" t="n">
        <v>0</v>
      </c>
      <c r="R400" s="2" t="inlineStr"/>
    </row>
    <row r="401" ht="15" customHeight="1">
      <c r="A401" t="inlineStr">
        <is>
          <t>A 27588-2024</t>
        </is>
      </c>
      <c r="B401" s="1" t="n">
        <v>45474</v>
      </c>
      <c r="C401" s="1" t="n">
        <v>46033</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29375-2024</t>
        </is>
      </c>
      <c r="B402" s="1" t="n">
        <v>45483.58712962963</v>
      </c>
      <c r="C402" s="1" t="n">
        <v>46033</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59080-2024</t>
        </is>
      </c>
      <c r="B403" s="1" t="n">
        <v>45637</v>
      </c>
      <c r="C403" s="1" t="n">
        <v>46033</v>
      </c>
      <c r="D403" t="inlineStr">
        <is>
          <t>VÄRMLANDS LÄN</t>
        </is>
      </c>
      <c r="E403" t="inlineStr">
        <is>
          <t>TORSBY</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17754-2025</t>
        </is>
      </c>
      <c r="B404" s="1" t="n">
        <v>45758</v>
      </c>
      <c r="C404" s="1" t="n">
        <v>46033</v>
      </c>
      <c r="D404" t="inlineStr">
        <is>
          <t>VÄRMLANDS LÄN</t>
        </is>
      </c>
      <c r="E404" t="inlineStr">
        <is>
          <t>TORSBY</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15450-2023</t>
        </is>
      </c>
      <c r="B405" s="1" t="n">
        <v>45020</v>
      </c>
      <c r="C405" s="1" t="n">
        <v>46033</v>
      </c>
      <c r="D405" t="inlineStr">
        <is>
          <t>VÄRMLANDS LÄN</t>
        </is>
      </c>
      <c r="E405" t="inlineStr">
        <is>
          <t>TORSBY</t>
        </is>
      </c>
      <c r="G405" t="n">
        <v>3.8</v>
      </c>
      <c r="H405" t="n">
        <v>0</v>
      </c>
      <c r="I405" t="n">
        <v>0</v>
      </c>
      <c r="J405" t="n">
        <v>0</v>
      </c>
      <c r="K405" t="n">
        <v>0</v>
      </c>
      <c r="L405" t="n">
        <v>0</v>
      </c>
      <c r="M405" t="n">
        <v>0</v>
      </c>
      <c r="N405" t="n">
        <v>0</v>
      </c>
      <c r="O405" t="n">
        <v>0</v>
      </c>
      <c r="P405" t="n">
        <v>0</v>
      </c>
      <c r="Q405" t="n">
        <v>0</v>
      </c>
      <c r="R405" s="2" t="inlineStr"/>
    </row>
    <row r="406" ht="15" customHeight="1">
      <c r="A406" t="inlineStr">
        <is>
          <t>A 24261-2024</t>
        </is>
      </c>
      <c r="B406" s="1" t="n">
        <v>45457</v>
      </c>
      <c r="C406" s="1" t="n">
        <v>46033</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10583-2023</t>
        </is>
      </c>
      <c r="B407" s="1" t="n">
        <v>44988.36435185185</v>
      </c>
      <c r="C407" s="1" t="n">
        <v>46033</v>
      </c>
      <c r="D407" t="inlineStr">
        <is>
          <t>VÄRMLANDS LÄN</t>
        </is>
      </c>
      <c r="E407" t="inlineStr">
        <is>
          <t>TORSBY</t>
        </is>
      </c>
      <c r="G407" t="n">
        <v>3.6</v>
      </c>
      <c r="H407" t="n">
        <v>0</v>
      </c>
      <c r="I407" t="n">
        <v>0</v>
      </c>
      <c r="J407" t="n">
        <v>0</v>
      </c>
      <c r="K407" t="n">
        <v>0</v>
      </c>
      <c r="L407" t="n">
        <v>0</v>
      </c>
      <c r="M407" t="n">
        <v>0</v>
      </c>
      <c r="N407" t="n">
        <v>0</v>
      </c>
      <c r="O407" t="n">
        <v>0</v>
      </c>
      <c r="P407" t="n">
        <v>0</v>
      </c>
      <c r="Q407" t="n">
        <v>0</v>
      </c>
      <c r="R407" s="2" t="inlineStr"/>
    </row>
    <row r="408" ht="15" customHeight="1">
      <c r="A408" t="inlineStr">
        <is>
          <t>A 39260-2021</t>
        </is>
      </c>
      <c r="B408" s="1" t="n">
        <v>44413</v>
      </c>
      <c r="C408" s="1" t="n">
        <v>46033</v>
      </c>
      <c r="D408" t="inlineStr">
        <is>
          <t>VÄRMLANDS LÄN</t>
        </is>
      </c>
      <c r="E408" t="inlineStr">
        <is>
          <t>TORSBY</t>
        </is>
      </c>
      <c r="G408" t="n">
        <v>4.7</v>
      </c>
      <c r="H408" t="n">
        <v>0</v>
      </c>
      <c r="I408" t="n">
        <v>0</v>
      </c>
      <c r="J408" t="n">
        <v>0</v>
      </c>
      <c r="K408" t="n">
        <v>0</v>
      </c>
      <c r="L408" t="n">
        <v>0</v>
      </c>
      <c r="M408" t="n">
        <v>0</v>
      </c>
      <c r="N408" t="n">
        <v>0</v>
      </c>
      <c r="O408" t="n">
        <v>0</v>
      </c>
      <c r="P408" t="n">
        <v>0</v>
      </c>
      <c r="Q408" t="n">
        <v>0</v>
      </c>
      <c r="R408" s="2" t="inlineStr"/>
    </row>
    <row r="409" ht="15" customHeight="1">
      <c r="A409" t="inlineStr">
        <is>
          <t>A 33338-2024</t>
        </is>
      </c>
      <c r="B409" s="1" t="n">
        <v>45519</v>
      </c>
      <c r="C409" s="1" t="n">
        <v>46033</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6317-2025</t>
        </is>
      </c>
      <c r="B410" s="1" t="n">
        <v>45698.74826388889</v>
      </c>
      <c r="C410" s="1" t="n">
        <v>46033</v>
      </c>
      <c r="D410" t="inlineStr">
        <is>
          <t>VÄRMLANDS LÄN</t>
        </is>
      </c>
      <c r="E410" t="inlineStr">
        <is>
          <t>TORSBY</t>
        </is>
      </c>
      <c r="G410" t="n">
        <v>5.8</v>
      </c>
      <c r="H410" t="n">
        <v>0</v>
      </c>
      <c r="I410" t="n">
        <v>0</v>
      </c>
      <c r="J410" t="n">
        <v>0</v>
      </c>
      <c r="K410" t="n">
        <v>0</v>
      </c>
      <c r="L410" t="n">
        <v>0</v>
      </c>
      <c r="M410" t="n">
        <v>0</v>
      </c>
      <c r="N410" t="n">
        <v>0</v>
      </c>
      <c r="O410" t="n">
        <v>0</v>
      </c>
      <c r="P410" t="n">
        <v>0</v>
      </c>
      <c r="Q410" t="n">
        <v>0</v>
      </c>
      <c r="R410" s="2" t="inlineStr"/>
    </row>
    <row r="411" ht="15" customHeight="1">
      <c r="A411" t="inlineStr">
        <is>
          <t>A 73324-2021</t>
        </is>
      </c>
      <c r="B411" s="1" t="n">
        <v>44550</v>
      </c>
      <c r="C411" s="1" t="n">
        <v>46033</v>
      </c>
      <c r="D411" t="inlineStr">
        <is>
          <t>VÄRMLANDS LÄN</t>
        </is>
      </c>
      <c r="E411" t="inlineStr">
        <is>
          <t>TORSBY</t>
        </is>
      </c>
      <c r="G411" t="n">
        <v>9.9</v>
      </c>
      <c r="H411" t="n">
        <v>0</v>
      </c>
      <c r="I411" t="n">
        <v>0</v>
      </c>
      <c r="J411" t="n">
        <v>0</v>
      </c>
      <c r="K411" t="n">
        <v>0</v>
      </c>
      <c r="L411" t="n">
        <v>0</v>
      </c>
      <c r="M411" t="n">
        <v>0</v>
      </c>
      <c r="N411" t="n">
        <v>0</v>
      </c>
      <c r="O411" t="n">
        <v>0</v>
      </c>
      <c r="P411" t="n">
        <v>0</v>
      </c>
      <c r="Q411" t="n">
        <v>0</v>
      </c>
      <c r="R411" s="2" t="inlineStr"/>
    </row>
    <row r="412" ht="15" customHeight="1">
      <c r="A412" t="inlineStr">
        <is>
          <t>A 39567-2024</t>
        </is>
      </c>
      <c r="B412" s="1" t="n">
        <v>45552.3584375</v>
      </c>
      <c r="C412" s="1" t="n">
        <v>46033</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21759-2025</t>
        </is>
      </c>
      <c r="B413" s="1" t="n">
        <v>45783</v>
      </c>
      <c r="C413" s="1" t="n">
        <v>46033</v>
      </c>
      <c r="D413" t="inlineStr">
        <is>
          <t>VÄRMLANDS LÄN</t>
        </is>
      </c>
      <c r="E413" t="inlineStr">
        <is>
          <t>TORSBY</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21324-2025</t>
        </is>
      </c>
      <c r="B414" s="1" t="n">
        <v>45782.34947916667</v>
      </c>
      <c r="C414" s="1" t="n">
        <v>46033</v>
      </c>
      <c r="D414" t="inlineStr">
        <is>
          <t>VÄRMLANDS LÄN</t>
        </is>
      </c>
      <c r="E414" t="inlineStr">
        <is>
          <t>TORSBY</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13285-2025</t>
        </is>
      </c>
      <c r="B415" s="1" t="n">
        <v>45735</v>
      </c>
      <c r="C415" s="1" t="n">
        <v>46033</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21576-2025</t>
        </is>
      </c>
      <c r="B416" s="1" t="n">
        <v>45782.86440972222</v>
      </c>
      <c r="C416" s="1" t="n">
        <v>46033</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1275-2024</t>
        </is>
      </c>
      <c r="B417" s="1" t="n">
        <v>45302</v>
      </c>
      <c r="C417" s="1" t="n">
        <v>46033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38662-2025</t>
        </is>
      </c>
      <c r="B418" s="1" t="n">
        <v>45884.61193287037</v>
      </c>
      <c r="C418" s="1" t="n">
        <v>46033</v>
      </c>
      <c r="D418" t="inlineStr">
        <is>
          <t>VÄRMLANDS LÄN</t>
        </is>
      </c>
      <c r="E418" t="inlineStr">
        <is>
          <t>TORSBY</t>
        </is>
      </c>
      <c r="F418" t="inlineStr">
        <is>
          <t>Bergvik skog väst AB</t>
        </is>
      </c>
      <c r="G418" t="n">
        <v>5.1</v>
      </c>
      <c r="H418" t="n">
        <v>0</v>
      </c>
      <c r="I418" t="n">
        <v>0</v>
      </c>
      <c r="J418" t="n">
        <v>0</v>
      </c>
      <c r="K418" t="n">
        <v>0</v>
      </c>
      <c r="L418" t="n">
        <v>0</v>
      </c>
      <c r="M418" t="n">
        <v>0</v>
      </c>
      <c r="N418" t="n">
        <v>0</v>
      </c>
      <c r="O418" t="n">
        <v>0</v>
      </c>
      <c r="P418" t="n">
        <v>0</v>
      </c>
      <c r="Q418" t="n">
        <v>0</v>
      </c>
      <c r="R418" s="2" t="inlineStr"/>
    </row>
    <row r="419" ht="15" customHeight="1">
      <c r="A419" t="inlineStr">
        <is>
          <t>A 41633-2021</t>
        </is>
      </c>
      <c r="B419" s="1" t="n">
        <v>44425</v>
      </c>
      <c r="C419" s="1" t="n">
        <v>46033</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6863-2023</t>
        </is>
      </c>
      <c r="B420" s="1" t="n">
        <v>44964</v>
      </c>
      <c r="C420" s="1" t="n">
        <v>46033</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25313-2024</t>
        </is>
      </c>
      <c r="B421" s="1" t="n">
        <v>45462</v>
      </c>
      <c r="C421" s="1" t="n">
        <v>46033</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33495-2024</t>
        </is>
      </c>
      <c r="B422" s="1" t="n">
        <v>45519</v>
      </c>
      <c r="C422" s="1" t="n">
        <v>46033</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33085-2024</t>
        </is>
      </c>
      <c r="B423" s="1" t="n">
        <v>45517.67784722222</v>
      </c>
      <c r="C423" s="1" t="n">
        <v>46033</v>
      </c>
      <c r="D423" t="inlineStr">
        <is>
          <t>VÄRMLANDS LÄN</t>
        </is>
      </c>
      <c r="E423" t="inlineStr">
        <is>
          <t>TORSBY</t>
        </is>
      </c>
      <c r="G423" t="n">
        <v>4.4</v>
      </c>
      <c r="H423" t="n">
        <v>0</v>
      </c>
      <c r="I423" t="n">
        <v>0</v>
      </c>
      <c r="J423" t="n">
        <v>0</v>
      </c>
      <c r="K423" t="n">
        <v>0</v>
      </c>
      <c r="L423" t="n">
        <v>0</v>
      </c>
      <c r="M423" t="n">
        <v>0</v>
      </c>
      <c r="N423" t="n">
        <v>0</v>
      </c>
      <c r="O423" t="n">
        <v>0</v>
      </c>
      <c r="P423" t="n">
        <v>0</v>
      </c>
      <c r="Q423" t="n">
        <v>0</v>
      </c>
      <c r="R423" s="2" t="inlineStr"/>
    </row>
    <row r="424" ht="15" customHeight="1">
      <c r="A424" t="inlineStr">
        <is>
          <t>A 6448-2025</t>
        </is>
      </c>
      <c r="B424" s="1" t="n">
        <v>45699</v>
      </c>
      <c r="C424" s="1" t="n">
        <v>46033</v>
      </c>
      <c r="D424" t="inlineStr">
        <is>
          <t>VÄRMLANDS LÄN</t>
        </is>
      </c>
      <c r="E424" t="inlineStr">
        <is>
          <t>TORSBY</t>
        </is>
      </c>
      <c r="G424" t="n">
        <v>6.4</v>
      </c>
      <c r="H424" t="n">
        <v>0</v>
      </c>
      <c r="I424" t="n">
        <v>0</v>
      </c>
      <c r="J424" t="n">
        <v>0</v>
      </c>
      <c r="K424" t="n">
        <v>0</v>
      </c>
      <c r="L424" t="n">
        <v>0</v>
      </c>
      <c r="M424" t="n">
        <v>0</v>
      </c>
      <c r="N424" t="n">
        <v>0</v>
      </c>
      <c r="O424" t="n">
        <v>0</v>
      </c>
      <c r="P424" t="n">
        <v>0</v>
      </c>
      <c r="Q424" t="n">
        <v>0</v>
      </c>
      <c r="R424" s="2" t="inlineStr"/>
    </row>
    <row r="425" ht="15" customHeight="1">
      <c r="A425" t="inlineStr">
        <is>
          <t>A 21744-2024</t>
        </is>
      </c>
      <c r="B425" s="1" t="n">
        <v>45442</v>
      </c>
      <c r="C425" s="1" t="n">
        <v>46033</v>
      </c>
      <c r="D425" t="inlineStr">
        <is>
          <t>VÄRMLANDS LÄN</t>
        </is>
      </c>
      <c r="E425" t="inlineStr">
        <is>
          <t>TORSBY</t>
        </is>
      </c>
      <c r="G425" t="n">
        <v>3.3</v>
      </c>
      <c r="H425" t="n">
        <v>0</v>
      </c>
      <c r="I425" t="n">
        <v>0</v>
      </c>
      <c r="J425" t="n">
        <v>0</v>
      </c>
      <c r="K425" t="n">
        <v>0</v>
      </c>
      <c r="L425" t="n">
        <v>0</v>
      </c>
      <c r="M425" t="n">
        <v>0</v>
      </c>
      <c r="N425" t="n">
        <v>0</v>
      </c>
      <c r="O425" t="n">
        <v>0</v>
      </c>
      <c r="P425" t="n">
        <v>0</v>
      </c>
      <c r="Q425" t="n">
        <v>0</v>
      </c>
      <c r="R425" s="2" t="inlineStr"/>
    </row>
    <row r="426" ht="15" customHeight="1">
      <c r="A426" t="inlineStr">
        <is>
          <t>A 20170-2021</t>
        </is>
      </c>
      <c r="B426" s="1" t="n">
        <v>44312</v>
      </c>
      <c r="C426" s="1" t="n">
        <v>46033</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34378-2022</t>
        </is>
      </c>
      <c r="B427" s="1" t="n">
        <v>44792.48787037037</v>
      </c>
      <c r="C427" s="1" t="n">
        <v>46033</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22090-2025</t>
        </is>
      </c>
      <c r="B428" s="1" t="n">
        <v>45785.45212962963</v>
      </c>
      <c r="C428" s="1" t="n">
        <v>46033</v>
      </c>
      <c r="D428" t="inlineStr">
        <is>
          <t>VÄRMLANDS LÄN</t>
        </is>
      </c>
      <c r="E428" t="inlineStr">
        <is>
          <t>TORSBY</t>
        </is>
      </c>
      <c r="G428" t="n">
        <v>3.9</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46033</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2130-2024</t>
        </is>
      </c>
      <c r="B430" s="1" t="n">
        <v>45309.51518518518</v>
      </c>
      <c r="C430" s="1" t="n">
        <v>46033</v>
      </c>
      <c r="D430" t="inlineStr">
        <is>
          <t>VÄRMLANDS LÄN</t>
        </is>
      </c>
      <c r="E430" t="inlineStr">
        <is>
          <t>TORSBY</t>
        </is>
      </c>
      <c r="G430" t="n">
        <v>4</v>
      </c>
      <c r="H430" t="n">
        <v>0</v>
      </c>
      <c r="I430" t="n">
        <v>0</v>
      </c>
      <c r="J430" t="n">
        <v>0</v>
      </c>
      <c r="K430" t="n">
        <v>0</v>
      </c>
      <c r="L430" t="n">
        <v>0</v>
      </c>
      <c r="M430" t="n">
        <v>0</v>
      </c>
      <c r="N430" t="n">
        <v>0</v>
      </c>
      <c r="O430" t="n">
        <v>0</v>
      </c>
      <c r="P430" t="n">
        <v>0</v>
      </c>
      <c r="Q430" t="n">
        <v>0</v>
      </c>
      <c r="R430" s="2" t="inlineStr"/>
    </row>
    <row r="431" ht="15" customHeight="1">
      <c r="A431" t="inlineStr">
        <is>
          <t>A 21988-2023</t>
        </is>
      </c>
      <c r="B431" s="1" t="n">
        <v>45068</v>
      </c>
      <c r="C431" s="1" t="n">
        <v>46033</v>
      </c>
      <c r="D431" t="inlineStr">
        <is>
          <t>VÄRMLANDS LÄN</t>
        </is>
      </c>
      <c r="E431" t="inlineStr">
        <is>
          <t>TORSBY</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21963-2025</t>
        </is>
      </c>
      <c r="B432" s="1" t="n">
        <v>45784</v>
      </c>
      <c r="C432" s="1" t="n">
        <v>46033</v>
      </c>
      <c r="D432" t="inlineStr">
        <is>
          <t>VÄRMLANDS LÄN</t>
        </is>
      </c>
      <c r="E432" t="inlineStr">
        <is>
          <t>TORSBY</t>
        </is>
      </c>
      <c r="F432" t="inlineStr">
        <is>
          <t>Bergvik skog väst AB</t>
        </is>
      </c>
      <c r="G432" t="n">
        <v>12.3</v>
      </c>
      <c r="H432" t="n">
        <v>0</v>
      </c>
      <c r="I432" t="n">
        <v>0</v>
      </c>
      <c r="J432" t="n">
        <v>0</v>
      </c>
      <c r="K432" t="n">
        <v>0</v>
      </c>
      <c r="L432" t="n">
        <v>0</v>
      </c>
      <c r="M432" t="n">
        <v>0</v>
      </c>
      <c r="N432" t="n">
        <v>0</v>
      </c>
      <c r="O432" t="n">
        <v>0</v>
      </c>
      <c r="P432" t="n">
        <v>0</v>
      </c>
      <c r="Q432" t="n">
        <v>0</v>
      </c>
      <c r="R432" s="2" t="inlineStr"/>
    </row>
    <row r="433" ht="15" customHeight="1">
      <c r="A433" t="inlineStr">
        <is>
          <t>A 56430-2024</t>
        </is>
      </c>
      <c r="B433" s="1" t="n">
        <v>45625</v>
      </c>
      <c r="C433" s="1" t="n">
        <v>46033</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21974-2025</t>
        </is>
      </c>
      <c r="B434" s="1" t="n">
        <v>45784.63689814815</v>
      </c>
      <c r="C434" s="1" t="n">
        <v>46033</v>
      </c>
      <c r="D434" t="inlineStr">
        <is>
          <t>VÄRMLANDS LÄN</t>
        </is>
      </c>
      <c r="E434" t="inlineStr">
        <is>
          <t>TORSBY</t>
        </is>
      </c>
      <c r="F434" t="inlineStr">
        <is>
          <t>Bergvik skog väst AB</t>
        </is>
      </c>
      <c r="G434" t="n">
        <v>6.9</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44628.60393518519</v>
      </c>
      <c r="C435" s="1" t="n">
        <v>46033</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50906-2025</t>
        </is>
      </c>
      <c r="B436" s="1" t="n">
        <v>45946.65119212963</v>
      </c>
      <c r="C436" s="1" t="n">
        <v>46033</v>
      </c>
      <c r="D436" t="inlineStr">
        <is>
          <t>VÄRMLANDS LÄN</t>
        </is>
      </c>
      <c r="E436" t="inlineStr">
        <is>
          <t>TORSBY</t>
        </is>
      </c>
      <c r="F436" t="inlineStr">
        <is>
          <t>Kommuner</t>
        </is>
      </c>
      <c r="G436" t="n">
        <v>4.7</v>
      </c>
      <c r="H436" t="n">
        <v>0</v>
      </c>
      <c r="I436" t="n">
        <v>0</v>
      </c>
      <c r="J436" t="n">
        <v>0</v>
      </c>
      <c r="K436" t="n">
        <v>0</v>
      </c>
      <c r="L436" t="n">
        <v>0</v>
      </c>
      <c r="M436" t="n">
        <v>0</v>
      </c>
      <c r="N436" t="n">
        <v>0</v>
      </c>
      <c r="O436" t="n">
        <v>0</v>
      </c>
      <c r="P436" t="n">
        <v>0</v>
      </c>
      <c r="Q436" t="n">
        <v>0</v>
      </c>
      <c r="R436" s="2" t="inlineStr"/>
    </row>
    <row r="437" ht="15" customHeight="1">
      <c r="A437" t="inlineStr">
        <is>
          <t>A 50918-2025</t>
        </is>
      </c>
      <c r="B437" s="1" t="n">
        <v>45946.66516203704</v>
      </c>
      <c r="C437" s="1" t="n">
        <v>46033</v>
      </c>
      <c r="D437" t="inlineStr">
        <is>
          <t>VÄRMLANDS LÄN</t>
        </is>
      </c>
      <c r="E437" t="inlineStr">
        <is>
          <t>TORSBY</t>
        </is>
      </c>
      <c r="F437" t="inlineStr">
        <is>
          <t>Kommuner</t>
        </is>
      </c>
      <c r="G437" t="n">
        <v>4.5</v>
      </c>
      <c r="H437" t="n">
        <v>0</v>
      </c>
      <c r="I437" t="n">
        <v>0</v>
      </c>
      <c r="J437" t="n">
        <v>0</v>
      </c>
      <c r="K437" t="n">
        <v>0</v>
      </c>
      <c r="L437" t="n">
        <v>0</v>
      </c>
      <c r="M437" t="n">
        <v>0</v>
      </c>
      <c r="N437" t="n">
        <v>0</v>
      </c>
      <c r="O437" t="n">
        <v>0</v>
      </c>
      <c r="P437" t="n">
        <v>0</v>
      </c>
      <c r="Q437" t="n">
        <v>0</v>
      </c>
      <c r="R437" s="2" t="inlineStr"/>
    </row>
    <row r="438" ht="15" customHeight="1">
      <c r="A438" t="inlineStr">
        <is>
          <t>A 50927-2025</t>
        </is>
      </c>
      <c r="B438" s="1" t="n">
        <v>45946.67895833333</v>
      </c>
      <c r="C438" s="1" t="n">
        <v>46033</v>
      </c>
      <c r="D438" t="inlineStr">
        <is>
          <t>VÄRMLANDS LÄN</t>
        </is>
      </c>
      <c r="E438" t="inlineStr">
        <is>
          <t>TORSBY</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24113-2024</t>
        </is>
      </c>
      <c r="B439" s="1" t="n">
        <v>45456.61590277778</v>
      </c>
      <c r="C439" s="1" t="n">
        <v>46033</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55036-2024</t>
        </is>
      </c>
      <c r="B440" s="1" t="n">
        <v>45621.38342592592</v>
      </c>
      <c r="C440" s="1" t="n">
        <v>46033</v>
      </c>
      <c r="D440" t="inlineStr">
        <is>
          <t>VÄRMLANDS LÄN</t>
        </is>
      </c>
      <c r="E440" t="inlineStr">
        <is>
          <t>TORSBY</t>
        </is>
      </c>
      <c r="G440" t="n">
        <v>5.5</v>
      </c>
      <c r="H440" t="n">
        <v>0</v>
      </c>
      <c r="I440" t="n">
        <v>0</v>
      </c>
      <c r="J440" t="n">
        <v>0</v>
      </c>
      <c r="K440" t="n">
        <v>0</v>
      </c>
      <c r="L440" t="n">
        <v>0</v>
      </c>
      <c r="M440" t="n">
        <v>0</v>
      </c>
      <c r="N440" t="n">
        <v>0</v>
      </c>
      <c r="O440" t="n">
        <v>0</v>
      </c>
      <c r="P440" t="n">
        <v>0</v>
      </c>
      <c r="Q440" t="n">
        <v>0</v>
      </c>
      <c r="R440" s="2" t="inlineStr"/>
    </row>
    <row r="441" ht="15" customHeight="1">
      <c r="A441" t="inlineStr">
        <is>
          <t>A 19031-2021</t>
        </is>
      </c>
      <c r="B441" s="1" t="n">
        <v>44308.51076388889</v>
      </c>
      <c r="C441" s="1" t="n">
        <v>46033</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22178-2025</t>
        </is>
      </c>
      <c r="B442" s="1" t="n">
        <v>45785</v>
      </c>
      <c r="C442" s="1" t="n">
        <v>46033</v>
      </c>
      <c r="D442" t="inlineStr">
        <is>
          <t>VÄRMLANDS LÄN</t>
        </is>
      </c>
      <c r="E442" t="inlineStr">
        <is>
          <t>TORSBY</t>
        </is>
      </c>
      <c r="G442" t="n">
        <v>25.5</v>
      </c>
      <c r="H442" t="n">
        <v>0</v>
      </c>
      <c r="I442" t="n">
        <v>0</v>
      </c>
      <c r="J442" t="n">
        <v>0</v>
      </c>
      <c r="K442" t="n">
        <v>0</v>
      </c>
      <c r="L442" t="n">
        <v>0</v>
      </c>
      <c r="M442" t="n">
        <v>0</v>
      </c>
      <c r="N442" t="n">
        <v>0</v>
      </c>
      <c r="O442" t="n">
        <v>0</v>
      </c>
      <c r="P442" t="n">
        <v>0</v>
      </c>
      <c r="Q442" t="n">
        <v>0</v>
      </c>
      <c r="R442" s="2" t="inlineStr"/>
    </row>
    <row r="443" ht="15" customHeight="1">
      <c r="A443" t="inlineStr">
        <is>
          <t>A 43536-2023</t>
        </is>
      </c>
      <c r="B443" s="1" t="n">
        <v>45181</v>
      </c>
      <c r="C443" s="1" t="n">
        <v>46033</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51215-2025</t>
        </is>
      </c>
      <c r="B444" s="1" t="n">
        <v>45947.64357638889</v>
      </c>
      <c r="C444" s="1" t="n">
        <v>46033</v>
      </c>
      <c r="D444" t="inlineStr">
        <is>
          <t>VÄRMLANDS LÄN</t>
        </is>
      </c>
      <c r="E444" t="inlineStr">
        <is>
          <t>TORSBY</t>
        </is>
      </c>
      <c r="F444" t="inlineStr">
        <is>
          <t>Bergvik skog väst AB</t>
        </is>
      </c>
      <c r="G444" t="n">
        <v>7.8</v>
      </c>
      <c r="H444" t="n">
        <v>0</v>
      </c>
      <c r="I444" t="n">
        <v>0</v>
      </c>
      <c r="J444" t="n">
        <v>0</v>
      </c>
      <c r="K444" t="n">
        <v>0</v>
      </c>
      <c r="L444" t="n">
        <v>0</v>
      </c>
      <c r="M444" t="n">
        <v>0</v>
      </c>
      <c r="N444" t="n">
        <v>0</v>
      </c>
      <c r="O444" t="n">
        <v>0</v>
      </c>
      <c r="P444" t="n">
        <v>0</v>
      </c>
      <c r="Q444" t="n">
        <v>0</v>
      </c>
      <c r="R444" s="2" t="inlineStr"/>
    </row>
    <row r="445" ht="15" customHeight="1">
      <c r="A445" t="inlineStr">
        <is>
          <t>A 51219-2025</t>
        </is>
      </c>
      <c r="B445" s="1" t="n">
        <v>45947.64710648148</v>
      </c>
      <c r="C445" s="1" t="n">
        <v>46033</v>
      </c>
      <c r="D445" t="inlineStr">
        <is>
          <t>VÄRMLANDS LÄN</t>
        </is>
      </c>
      <c r="E445" t="inlineStr">
        <is>
          <t>TORSBY</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73874-2021</t>
        </is>
      </c>
      <c r="B446" s="1" t="n">
        <v>44553.39755787037</v>
      </c>
      <c r="C446" s="1" t="n">
        <v>46033</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47465-2024</t>
        </is>
      </c>
      <c r="B447" s="1" t="n">
        <v>45587</v>
      </c>
      <c r="C447" s="1" t="n">
        <v>46033</v>
      </c>
      <c r="D447" t="inlineStr">
        <is>
          <t>VÄRMLANDS LÄN</t>
        </is>
      </c>
      <c r="E447" t="inlineStr">
        <is>
          <t>TORSBY</t>
        </is>
      </c>
      <c r="F447" t="inlineStr">
        <is>
          <t>Övriga Aktiebolag</t>
        </is>
      </c>
      <c r="G447" t="n">
        <v>4.6</v>
      </c>
      <c r="H447" t="n">
        <v>0</v>
      </c>
      <c r="I447" t="n">
        <v>0</v>
      </c>
      <c r="J447" t="n">
        <v>0</v>
      </c>
      <c r="K447" t="n">
        <v>0</v>
      </c>
      <c r="L447" t="n">
        <v>0</v>
      </c>
      <c r="M447" t="n">
        <v>0</v>
      </c>
      <c r="N447" t="n">
        <v>0</v>
      </c>
      <c r="O447" t="n">
        <v>0</v>
      </c>
      <c r="P447" t="n">
        <v>0</v>
      </c>
      <c r="Q447" t="n">
        <v>0</v>
      </c>
      <c r="R447" s="2" t="inlineStr"/>
    </row>
    <row r="448" ht="15" customHeight="1">
      <c r="A448" t="inlineStr">
        <is>
          <t>A 38795-2025</t>
        </is>
      </c>
      <c r="B448" s="1" t="n">
        <v>45887</v>
      </c>
      <c r="C448" s="1" t="n">
        <v>46033</v>
      </c>
      <c r="D448" t="inlineStr">
        <is>
          <t>VÄRMLANDS LÄN</t>
        </is>
      </c>
      <c r="E448" t="inlineStr">
        <is>
          <t>TORSBY</t>
        </is>
      </c>
      <c r="F448" t="inlineStr">
        <is>
          <t>Bergvik skog väst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22269-2025</t>
        </is>
      </c>
      <c r="B449" s="1" t="n">
        <v>45785</v>
      </c>
      <c r="C449" s="1" t="n">
        <v>46033</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22076-2025</t>
        </is>
      </c>
      <c r="B450" s="1" t="n">
        <v>45785.41473379629</v>
      </c>
      <c r="C450" s="1" t="n">
        <v>46033</v>
      </c>
      <c r="D450" t="inlineStr">
        <is>
          <t>VÄRMLANDS LÄN</t>
        </is>
      </c>
      <c r="E450" t="inlineStr">
        <is>
          <t>TORSBY</t>
        </is>
      </c>
      <c r="G450" t="n">
        <v>5.4</v>
      </c>
      <c r="H450" t="n">
        <v>0</v>
      </c>
      <c r="I450" t="n">
        <v>0</v>
      </c>
      <c r="J450" t="n">
        <v>0</v>
      </c>
      <c r="K450" t="n">
        <v>0</v>
      </c>
      <c r="L450" t="n">
        <v>0</v>
      </c>
      <c r="M450" t="n">
        <v>0</v>
      </c>
      <c r="N450" t="n">
        <v>0</v>
      </c>
      <c r="O450" t="n">
        <v>0</v>
      </c>
      <c r="P450" t="n">
        <v>0</v>
      </c>
      <c r="Q450" t="n">
        <v>0</v>
      </c>
      <c r="R450" s="2" t="inlineStr"/>
    </row>
    <row r="451" ht="15" customHeight="1">
      <c r="A451" t="inlineStr">
        <is>
          <t>A 51113-2025</t>
        </is>
      </c>
      <c r="B451" s="1" t="n">
        <v>45947.51290509259</v>
      </c>
      <c r="C451" s="1" t="n">
        <v>46033</v>
      </c>
      <c r="D451" t="inlineStr">
        <is>
          <t>VÄRMLANDS LÄN</t>
        </is>
      </c>
      <c r="E451" t="inlineStr">
        <is>
          <t>TORSBY</t>
        </is>
      </c>
      <c r="F451" t="inlineStr">
        <is>
          <t>Kommuner</t>
        </is>
      </c>
      <c r="G451" t="n">
        <v>1.8</v>
      </c>
      <c r="H451" t="n">
        <v>0</v>
      </c>
      <c r="I451" t="n">
        <v>0</v>
      </c>
      <c r="J451" t="n">
        <v>0</v>
      </c>
      <c r="K451" t="n">
        <v>0</v>
      </c>
      <c r="L451" t="n">
        <v>0</v>
      </c>
      <c r="M451" t="n">
        <v>0</v>
      </c>
      <c r="N451" t="n">
        <v>0</v>
      </c>
      <c r="O451" t="n">
        <v>0</v>
      </c>
      <c r="P451" t="n">
        <v>0</v>
      </c>
      <c r="Q451" t="n">
        <v>0</v>
      </c>
      <c r="R451" s="2" t="inlineStr"/>
    </row>
    <row r="452" ht="15" customHeight="1">
      <c r="A452" t="inlineStr">
        <is>
          <t>A 38771-2025</t>
        </is>
      </c>
      <c r="B452" s="1" t="n">
        <v>45887</v>
      </c>
      <c r="C452" s="1" t="n">
        <v>46033</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21858-2025</t>
        </is>
      </c>
      <c r="B453" s="1" t="n">
        <v>45784.36265046296</v>
      </c>
      <c r="C453" s="1" t="n">
        <v>46033</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56240-2024</t>
        </is>
      </c>
      <c r="B454" s="1" t="n">
        <v>45624.63012731481</v>
      </c>
      <c r="C454" s="1" t="n">
        <v>46033</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29897-2024</t>
        </is>
      </c>
      <c r="B455" s="1" t="n">
        <v>45487.51834490741</v>
      </c>
      <c r="C455" s="1" t="n">
        <v>46033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17048-2025</t>
        </is>
      </c>
      <c r="B456" s="1" t="n">
        <v>45754</v>
      </c>
      <c r="C456" s="1" t="n">
        <v>46033</v>
      </c>
      <c r="D456" t="inlineStr">
        <is>
          <t>VÄRMLANDS LÄN</t>
        </is>
      </c>
      <c r="E456" t="inlineStr">
        <is>
          <t>TORSBY</t>
        </is>
      </c>
      <c r="G456" t="n">
        <v>3.4</v>
      </c>
      <c r="H456" t="n">
        <v>0</v>
      </c>
      <c r="I456" t="n">
        <v>0</v>
      </c>
      <c r="J456" t="n">
        <v>0</v>
      </c>
      <c r="K456" t="n">
        <v>0</v>
      </c>
      <c r="L456" t="n">
        <v>0</v>
      </c>
      <c r="M456" t="n">
        <v>0</v>
      </c>
      <c r="N456" t="n">
        <v>0</v>
      </c>
      <c r="O456" t="n">
        <v>0</v>
      </c>
      <c r="P456" t="n">
        <v>0</v>
      </c>
      <c r="Q456" t="n">
        <v>0</v>
      </c>
      <c r="R456" s="2" t="inlineStr"/>
    </row>
    <row r="457" ht="15" customHeight="1">
      <c r="A457" t="inlineStr">
        <is>
          <t>A 17053-2025</t>
        </is>
      </c>
      <c r="B457" s="1" t="n">
        <v>45754</v>
      </c>
      <c r="C457" s="1" t="n">
        <v>46033</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38536-2025</t>
        </is>
      </c>
      <c r="B458" s="1" t="n">
        <v>45884.42</v>
      </c>
      <c r="C458" s="1" t="n">
        <v>46033</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33088-2024</t>
        </is>
      </c>
      <c r="B459" s="1" t="n">
        <v>45517</v>
      </c>
      <c r="C459" s="1" t="n">
        <v>46033</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1700-2024</t>
        </is>
      </c>
      <c r="B460" s="1" t="n">
        <v>45307.37347222222</v>
      </c>
      <c r="C460" s="1" t="n">
        <v>46033</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22715-2025</t>
        </is>
      </c>
      <c r="B461" s="1" t="n">
        <v>45789.56496527778</v>
      </c>
      <c r="C461" s="1" t="n">
        <v>46033</v>
      </c>
      <c r="D461" t="inlineStr">
        <is>
          <t>VÄRMLANDS LÄN</t>
        </is>
      </c>
      <c r="E461" t="inlineStr">
        <is>
          <t>TORSBY</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60626-2024</t>
        </is>
      </c>
      <c r="B462" s="1" t="n">
        <v>45642</v>
      </c>
      <c r="C462" s="1" t="n">
        <v>46033</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9729-2025</t>
        </is>
      </c>
      <c r="B463" s="1" t="n">
        <v>45715</v>
      </c>
      <c r="C463" s="1" t="n">
        <v>46033</v>
      </c>
      <c r="D463" t="inlineStr">
        <is>
          <t>VÄRMLANDS LÄN</t>
        </is>
      </c>
      <c r="E463" t="inlineStr">
        <is>
          <t>TORSBY</t>
        </is>
      </c>
      <c r="G463" t="n">
        <v>3.4</v>
      </c>
      <c r="H463" t="n">
        <v>0</v>
      </c>
      <c r="I463" t="n">
        <v>0</v>
      </c>
      <c r="J463" t="n">
        <v>0</v>
      </c>
      <c r="K463" t="n">
        <v>0</v>
      </c>
      <c r="L463" t="n">
        <v>0</v>
      </c>
      <c r="M463" t="n">
        <v>0</v>
      </c>
      <c r="N463" t="n">
        <v>0</v>
      </c>
      <c r="O463" t="n">
        <v>0</v>
      </c>
      <c r="P463" t="n">
        <v>0</v>
      </c>
      <c r="Q463" t="n">
        <v>0</v>
      </c>
      <c r="R463" s="2" t="inlineStr"/>
    </row>
    <row r="464" ht="15" customHeight="1">
      <c r="A464" t="inlineStr">
        <is>
          <t>A 36879-2024</t>
        </is>
      </c>
      <c r="B464" s="1" t="n">
        <v>45538</v>
      </c>
      <c r="C464" s="1" t="n">
        <v>46033</v>
      </c>
      <c r="D464" t="inlineStr">
        <is>
          <t>VÄRMLANDS LÄN</t>
        </is>
      </c>
      <c r="E464" t="inlineStr">
        <is>
          <t>TORSBY</t>
        </is>
      </c>
      <c r="G464" t="n">
        <v>3.2</v>
      </c>
      <c r="H464" t="n">
        <v>0</v>
      </c>
      <c r="I464" t="n">
        <v>0</v>
      </c>
      <c r="J464" t="n">
        <v>0</v>
      </c>
      <c r="K464" t="n">
        <v>0</v>
      </c>
      <c r="L464" t="n">
        <v>0</v>
      </c>
      <c r="M464" t="n">
        <v>0</v>
      </c>
      <c r="N464" t="n">
        <v>0</v>
      </c>
      <c r="O464" t="n">
        <v>0</v>
      </c>
      <c r="P464" t="n">
        <v>0</v>
      </c>
      <c r="Q464" t="n">
        <v>0</v>
      </c>
      <c r="R464" s="2" t="inlineStr"/>
    </row>
    <row r="465" ht="15" customHeight="1">
      <c r="A465" t="inlineStr">
        <is>
          <t>A 22596-2025</t>
        </is>
      </c>
      <c r="B465" s="1" t="n">
        <v>45789.41362268518</v>
      </c>
      <c r="C465" s="1" t="n">
        <v>46033</v>
      </c>
      <c r="D465" t="inlineStr">
        <is>
          <t>VÄRMLANDS LÄN</t>
        </is>
      </c>
      <c r="E465" t="inlineStr">
        <is>
          <t>TORSBY</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45399-2023</t>
        </is>
      </c>
      <c r="B466" s="1" t="n">
        <v>45194</v>
      </c>
      <c r="C466" s="1" t="n">
        <v>46033</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492-2025</t>
        </is>
      </c>
      <c r="B467" s="1" t="n">
        <v>45664.46337962963</v>
      </c>
      <c r="C467" s="1" t="n">
        <v>46033</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22278-2025</t>
        </is>
      </c>
      <c r="B468" s="1" t="n">
        <v>45786.33332175926</v>
      </c>
      <c r="C468" s="1" t="n">
        <v>46033</v>
      </c>
      <c r="D468" t="inlineStr">
        <is>
          <t>VÄRMLANDS LÄN</t>
        </is>
      </c>
      <c r="E468" t="inlineStr">
        <is>
          <t>TORSBY</t>
        </is>
      </c>
      <c r="F468" t="inlineStr">
        <is>
          <t>Bergvik skog väst AB</t>
        </is>
      </c>
      <c r="G468" t="n">
        <v>6.9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46033</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38808-2025</t>
        </is>
      </c>
      <c r="B470" s="1" t="n">
        <v>45887.47344907407</v>
      </c>
      <c r="C470" s="1" t="n">
        <v>46033</v>
      </c>
      <c r="D470" t="inlineStr">
        <is>
          <t>VÄRMLANDS LÄN</t>
        </is>
      </c>
      <c r="E470" t="inlineStr">
        <is>
          <t>TORSBY</t>
        </is>
      </c>
      <c r="G470" t="n">
        <v>4.6</v>
      </c>
      <c r="H470" t="n">
        <v>0</v>
      </c>
      <c r="I470" t="n">
        <v>0</v>
      </c>
      <c r="J470" t="n">
        <v>0</v>
      </c>
      <c r="K470" t="n">
        <v>0</v>
      </c>
      <c r="L470" t="n">
        <v>0</v>
      </c>
      <c r="M470" t="n">
        <v>0</v>
      </c>
      <c r="N470" t="n">
        <v>0</v>
      </c>
      <c r="O470" t="n">
        <v>0</v>
      </c>
      <c r="P470" t="n">
        <v>0</v>
      </c>
      <c r="Q470" t="n">
        <v>0</v>
      </c>
      <c r="R470" s="2" t="inlineStr"/>
    </row>
    <row r="471" ht="15" customHeight="1">
      <c r="A471" t="inlineStr">
        <is>
          <t>A 22593-2025</t>
        </is>
      </c>
      <c r="B471" s="1" t="n">
        <v>45789.41113425926</v>
      </c>
      <c r="C471" s="1" t="n">
        <v>46033</v>
      </c>
      <c r="D471" t="inlineStr">
        <is>
          <t>VÄRMLANDS LÄN</t>
        </is>
      </c>
      <c r="E471" t="inlineStr">
        <is>
          <t>TORSBY</t>
        </is>
      </c>
      <c r="F471" t="inlineStr">
        <is>
          <t>Bergvik skog väst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46033</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22708-2025</t>
        </is>
      </c>
      <c r="B473" s="1" t="n">
        <v>45789.55561342592</v>
      </c>
      <c r="C473" s="1" t="n">
        <v>46033</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54618-2024</t>
        </is>
      </c>
      <c r="B474" s="1" t="n">
        <v>45617</v>
      </c>
      <c r="C474" s="1" t="n">
        <v>46033</v>
      </c>
      <c r="D474" t="inlineStr">
        <is>
          <t>VÄRMLANDS LÄN</t>
        </is>
      </c>
      <c r="E474" t="inlineStr">
        <is>
          <t>TORSBY</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50892-2025</t>
        </is>
      </c>
      <c r="B475" s="1" t="n">
        <v>45946.63763888889</v>
      </c>
      <c r="C475" s="1" t="n">
        <v>46033</v>
      </c>
      <c r="D475" t="inlineStr">
        <is>
          <t>VÄRMLANDS LÄN</t>
        </is>
      </c>
      <c r="E475" t="inlineStr">
        <is>
          <t>TORSBY</t>
        </is>
      </c>
      <c r="F475" t="inlineStr">
        <is>
          <t>Kommuner</t>
        </is>
      </c>
      <c r="G475" t="n">
        <v>2.2</v>
      </c>
      <c r="H475" t="n">
        <v>0</v>
      </c>
      <c r="I475" t="n">
        <v>0</v>
      </c>
      <c r="J475" t="n">
        <v>0</v>
      </c>
      <c r="K475" t="n">
        <v>0</v>
      </c>
      <c r="L475" t="n">
        <v>0</v>
      </c>
      <c r="M475" t="n">
        <v>0</v>
      </c>
      <c r="N475" t="n">
        <v>0</v>
      </c>
      <c r="O475" t="n">
        <v>0</v>
      </c>
      <c r="P475" t="n">
        <v>0</v>
      </c>
      <c r="Q475" t="n">
        <v>0</v>
      </c>
      <c r="R475" s="2" t="inlineStr"/>
    </row>
    <row r="476" ht="15" customHeight="1">
      <c r="A476" t="inlineStr">
        <is>
          <t>A 16425-2022</t>
        </is>
      </c>
      <c r="B476" s="1" t="n">
        <v>44671</v>
      </c>
      <c r="C476" s="1" t="n">
        <v>46033</v>
      </c>
      <c r="D476" t="inlineStr">
        <is>
          <t>VÄRMLANDS LÄN</t>
        </is>
      </c>
      <c r="E476" t="inlineStr">
        <is>
          <t>TORSBY</t>
        </is>
      </c>
      <c r="G476" t="n">
        <v>3</v>
      </c>
      <c r="H476" t="n">
        <v>0</v>
      </c>
      <c r="I476" t="n">
        <v>0</v>
      </c>
      <c r="J476" t="n">
        <v>0</v>
      </c>
      <c r="K476" t="n">
        <v>0</v>
      </c>
      <c r="L476" t="n">
        <v>0</v>
      </c>
      <c r="M476" t="n">
        <v>0</v>
      </c>
      <c r="N476" t="n">
        <v>0</v>
      </c>
      <c r="O476" t="n">
        <v>0</v>
      </c>
      <c r="P476" t="n">
        <v>0</v>
      </c>
      <c r="Q476" t="n">
        <v>0</v>
      </c>
      <c r="R476" s="2" t="inlineStr"/>
    </row>
    <row r="477" ht="15" customHeight="1">
      <c r="A477" t="inlineStr">
        <is>
          <t>A 38738-2025</t>
        </is>
      </c>
      <c r="B477" s="1" t="n">
        <v>45887.3715162037</v>
      </c>
      <c r="C477" s="1" t="n">
        <v>46033</v>
      </c>
      <c r="D477" t="inlineStr">
        <is>
          <t>VÄRMLANDS LÄN</t>
        </is>
      </c>
      <c r="E477" t="inlineStr">
        <is>
          <t>TORSBY</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15014-2025</t>
        </is>
      </c>
      <c r="B478" s="1" t="n">
        <v>45743</v>
      </c>
      <c r="C478" s="1" t="n">
        <v>46033</v>
      </c>
      <c r="D478" t="inlineStr">
        <is>
          <t>VÄRMLANDS LÄN</t>
        </is>
      </c>
      <c r="E478" t="inlineStr">
        <is>
          <t>TORSBY</t>
        </is>
      </c>
      <c r="G478" t="n">
        <v>2.3</v>
      </c>
      <c r="H478" t="n">
        <v>0</v>
      </c>
      <c r="I478" t="n">
        <v>0</v>
      </c>
      <c r="J478" t="n">
        <v>0</v>
      </c>
      <c r="K478" t="n">
        <v>0</v>
      </c>
      <c r="L478" t="n">
        <v>0</v>
      </c>
      <c r="M478" t="n">
        <v>0</v>
      </c>
      <c r="N478" t="n">
        <v>0</v>
      </c>
      <c r="O478" t="n">
        <v>0</v>
      </c>
      <c r="P478" t="n">
        <v>0</v>
      </c>
      <c r="Q478" t="n">
        <v>0</v>
      </c>
      <c r="R478" s="2" t="inlineStr"/>
    </row>
    <row r="479" ht="15" customHeight="1">
      <c r="A479" t="inlineStr">
        <is>
          <t>A 19253-2025</t>
        </is>
      </c>
      <c r="B479" s="1" t="n">
        <v>45769</v>
      </c>
      <c r="C479" s="1" t="n">
        <v>46033</v>
      </c>
      <c r="D479" t="inlineStr">
        <is>
          <t>VÄRMLANDS LÄN</t>
        </is>
      </c>
      <c r="E479" t="inlineStr">
        <is>
          <t>TORSBY</t>
        </is>
      </c>
      <c r="G479" t="n">
        <v>3.9</v>
      </c>
      <c r="H479" t="n">
        <v>0</v>
      </c>
      <c r="I479" t="n">
        <v>0</v>
      </c>
      <c r="J479" t="n">
        <v>0</v>
      </c>
      <c r="K479" t="n">
        <v>0</v>
      </c>
      <c r="L479" t="n">
        <v>0</v>
      </c>
      <c r="M479" t="n">
        <v>0</v>
      </c>
      <c r="N479" t="n">
        <v>0</v>
      </c>
      <c r="O479" t="n">
        <v>0</v>
      </c>
      <c r="P479" t="n">
        <v>0</v>
      </c>
      <c r="Q479" t="n">
        <v>0</v>
      </c>
      <c r="R479" s="2" t="inlineStr"/>
    </row>
    <row r="480" ht="15" customHeight="1">
      <c r="A480" t="inlineStr">
        <is>
          <t>A 22320-2025</t>
        </is>
      </c>
      <c r="B480" s="1" t="n">
        <v>45786.40542824074</v>
      </c>
      <c r="C480" s="1" t="n">
        <v>46033</v>
      </c>
      <c r="D480" t="inlineStr">
        <is>
          <t>VÄRMLANDS LÄN</t>
        </is>
      </c>
      <c r="E480" t="inlineStr">
        <is>
          <t>TORSBY</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22339-2025</t>
        </is>
      </c>
      <c r="B481" s="1" t="n">
        <v>45786</v>
      </c>
      <c r="C481" s="1" t="n">
        <v>46033</v>
      </c>
      <c r="D481" t="inlineStr">
        <is>
          <t>VÄRMLANDS LÄN</t>
        </is>
      </c>
      <c r="E481" t="inlineStr">
        <is>
          <t>TORSBY</t>
        </is>
      </c>
      <c r="F481" t="inlineStr">
        <is>
          <t>Bergvik skog väst AB</t>
        </is>
      </c>
      <c r="G481" t="n">
        <v>0.6</v>
      </c>
      <c r="H481" t="n">
        <v>0</v>
      </c>
      <c r="I481" t="n">
        <v>0</v>
      </c>
      <c r="J481" t="n">
        <v>0</v>
      </c>
      <c r="K481" t="n">
        <v>0</v>
      </c>
      <c r="L481" t="n">
        <v>0</v>
      </c>
      <c r="M481" t="n">
        <v>0</v>
      </c>
      <c r="N481" t="n">
        <v>0</v>
      </c>
      <c r="O481" t="n">
        <v>0</v>
      </c>
      <c r="P481" t="n">
        <v>0</v>
      </c>
      <c r="Q481" t="n">
        <v>0</v>
      </c>
      <c r="R481" s="2" t="inlineStr"/>
    </row>
    <row r="482" ht="15" customHeight="1">
      <c r="A482" t="inlineStr">
        <is>
          <t>A 44879-2022</t>
        </is>
      </c>
      <c r="B482" s="1" t="n">
        <v>44839</v>
      </c>
      <c r="C482" s="1" t="n">
        <v>46033</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22760-2025</t>
        </is>
      </c>
      <c r="B483" s="1" t="n">
        <v>45789</v>
      </c>
      <c r="C483" s="1" t="n">
        <v>46033</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46917-2024</t>
        </is>
      </c>
      <c r="B484" s="1" t="n">
        <v>45583</v>
      </c>
      <c r="C484" s="1" t="n">
        <v>46033</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38611-2025</t>
        </is>
      </c>
      <c r="B485" s="1" t="n">
        <v>45884.53958333333</v>
      </c>
      <c r="C485" s="1" t="n">
        <v>46033</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22331-2025</t>
        </is>
      </c>
      <c r="B486" s="1" t="n">
        <v>45786</v>
      </c>
      <c r="C486" s="1" t="n">
        <v>46033</v>
      </c>
      <c r="D486" t="inlineStr">
        <is>
          <t>VÄRMLANDS LÄN</t>
        </is>
      </c>
      <c r="E486" t="inlineStr">
        <is>
          <t>TORSBY</t>
        </is>
      </c>
      <c r="F486" t="inlineStr">
        <is>
          <t>Bergvik skog väst AB</t>
        </is>
      </c>
      <c r="G486" t="n">
        <v>13.5</v>
      </c>
      <c r="H486" t="n">
        <v>0</v>
      </c>
      <c r="I486" t="n">
        <v>0</v>
      </c>
      <c r="J486" t="n">
        <v>0</v>
      </c>
      <c r="K486" t="n">
        <v>0</v>
      </c>
      <c r="L486" t="n">
        <v>0</v>
      </c>
      <c r="M486" t="n">
        <v>0</v>
      </c>
      <c r="N486" t="n">
        <v>0</v>
      </c>
      <c r="O486" t="n">
        <v>0</v>
      </c>
      <c r="P486" t="n">
        <v>0</v>
      </c>
      <c r="Q486" t="n">
        <v>0</v>
      </c>
      <c r="R486" s="2" t="inlineStr"/>
    </row>
    <row r="487" ht="15" customHeight="1">
      <c r="A487" t="inlineStr">
        <is>
          <t>A 66133-2021</t>
        </is>
      </c>
      <c r="B487" s="1" t="n">
        <v>44517</v>
      </c>
      <c r="C487" s="1" t="n">
        <v>46033</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50921-2025</t>
        </is>
      </c>
      <c r="B488" s="1" t="n">
        <v>45946.67092592592</v>
      </c>
      <c r="C488" s="1" t="n">
        <v>46033</v>
      </c>
      <c r="D488" t="inlineStr">
        <is>
          <t>VÄRMLANDS LÄN</t>
        </is>
      </c>
      <c r="E488" t="inlineStr">
        <is>
          <t>TORSBY</t>
        </is>
      </c>
      <c r="F488" t="inlineStr">
        <is>
          <t>Kommuner</t>
        </is>
      </c>
      <c r="G488" t="n">
        <v>2.5</v>
      </c>
      <c r="H488" t="n">
        <v>0</v>
      </c>
      <c r="I488" t="n">
        <v>0</v>
      </c>
      <c r="J488" t="n">
        <v>0</v>
      </c>
      <c r="K488" t="n">
        <v>0</v>
      </c>
      <c r="L488" t="n">
        <v>0</v>
      </c>
      <c r="M488" t="n">
        <v>0</v>
      </c>
      <c r="N488" t="n">
        <v>0</v>
      </c>
      <c r="O488" t="n">
        <v>0</v>
      </c>
      <c r="P488" t="n">
        <v>0</v>
      </c>
      <c r="Q488" t="n">
        <v>0</v>
      </c>
      <c r="R488" s="2" t="inlineStr"/>
    </row>
    <row r="489" ht="15" customHeight="1">
      <c r="A489" t="inlineStr">
        <is>
          <t>A 22757-2025</t>
        </is>
      </c>
      <c r="B489" s="1" t="n">
        <v>45789.61908564815</v>
      </c>
      <c r="C489" s="1" t="n">
        <v>46033</v>
      </c>
      <c r="D489" t="inlineStr">
        <is>
          <t>VÄRMLANDS LÄN</t>
        </is>
      </c>
      <c r="E489" t="inlineStr">
        <is>
          <t>TORSBY</t>
        </is>
      </c>
      <c r="G489" t="n">
        <v>7.1</v>
      </c>
      <c r="H489" t="n">
        <v>0</v>
      </c>
      <c r="I489" t="n">
        <v>0</v>
      </c>
      <c r="J489" t="n">
        <v>0</v>
      </c>
      <c r="K489" t="n">
        <v>0</v>
      </c>
      <c r="L489" t="n">
        <v>0</v>
      </c>
      <c r="M489" t="n">
        <v>0</v>
      </c>
      <c r="N489" t="n">
        <v>0</v>
      </c>
      <c r="O489" t="n">
        <v>0</v>
      </c>
      <c r="P489" t="n">
        <v>0</v>
      </c>
      <c r="Q489" t="n">
        <v>0</v>
      </c>
      <c r="R489" s="2" t="inlineStr"/>
    </row>
    <row r="490" ht="15" customHeight="1">
      <c r="A490" t="inlineStr">
        <is>
          <t>A 60207-2024</t>
        </is>
      </c>
      <c r="B490" s="1" t="n">
        <v>45642.67428240741</v>
      </c>
      <c r="C490" s="1" t="n">
        <v>46033</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23367-2025</t>
        </is>
      </c>
      <c r="B491" s="1" t="n">
        <v>45791.69582175926</v>
      </c>
      <c r="C491" s="1" t="n">
        <v>46033</v>
      </c>
      <c r="D491" t="inlineStr">
        <is>
          <t>VÄRMLANDS LÄN</t>
        </is>
      </c>
      <c r="E491" t="inlineStr">
        <is>
          <t>TORSBY</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7101-2025</t>
        </is>
      </c>
      <c r="B492" s="1" t="n">
        <v>45701</v>
      </c>
      <c r="C492" s="1" t="n">
        <v>46033</v>
      </c>
      <c r="D492" t="inlineStr">
        <is>
          <t>VÄRMLANDS LÄN</t>
        </is>
      </c>
      <c r="E492" t="inlineStr">
        <is>
          <t>TORSBY</t>
        </is>
      </c>
      <c r="G492" t="n">
        <v>4.2</v>
      </c>
      <c r="H492" t="n">
        <v>0</v>
      </c>
      <c r="I492" t="n">
        <v>0</v>
      </c>
      <c r="J492" t="n">
        <v>0</v>
      </c>
      <c r="K492" t="n">
        <v>0</v>
      </c>
      <c r="L492" t="n">
        <v>0</v>
      </c>
      <c r="M492" t="n">
        <v>0</v>
      </c>
      <c r="N492" t="n">
        <v>0</v>
      </c>
      <c r="O492" t="n">
        <v>0</v>
      </c>
      <c r="P492" t="n">
        <v>0</v>
      </c>
      <c r="Q492" t="n">
        <v>0</v>
      </c>
      <c r="R492" s="2" t="inlineStr"/>
    </row>
    <row r="493" ht="15" customHeight="1">
      <c r="A493" t="inlineStr">
        <is>
          <t>A 50750-2025</t>
        </is>
      </c>
      <c r="B493" s="1" t="n">
        <v>45946.39091435185</v>
      </c>
      <c r="C493" s="1" t="n">
        <v>46033</v>
      </c>
      <c r="D493" t="inlineStr">
        <is>
          <t>VÄRMLANDS LÄN</t>
        </is>
      </c>
      <c r="E493" t="inlineStr">
        <is>
          <t>TORSBY</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32845-2024</t>
        </is>
      </c>
      <c r="B494" s="1" t="n">
        <v>45516.62422453704</v>
      </c>
      <c r="C494" s="1" t="n">
        <v>46033</v>
      </c>
      <c r="D494" t="inlineStr">
        <is>
          <t>VÄRMLANDS LÄN</t>
        </is>
      </c>
      <c r="E494" t="inlineStr">
        <is>
          <t>TORSBY</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23287-2025</t>
        </is>
      </c>
      <c r="B495" s="1" t="n">
        <v>45791.5816087963</v>
      </c>
      <c r="C495" s="1" t="n">
        <v>46033</v>
      </c>
      <c r="D495" t="inlineStr">
        <is>
          <t>VÄRMLANDS LÄN</t>
        </is>
      </c>
      <c r="E495" t="inlineStr">
        <is>
          <t>TORSBY</t>
        </is>
      </c>
      <c r="F495" t="inlineStr">
        <is>
          <t>Bergvik skog väst AB</t>
        </is>
      </c>
      <c r="G495" t="n">
        <v>8.5</v>
      </c>
      <c r="H495" t="n">
        <v>0</v>
      </c>
      <c r="I495" t="n">
        <v>0</v>
      </c>
      <c r="J495" t="n">
        <v>0</v>
      </c>
      <c r="K495" t="n">
        <v>0</v>
      </c>
      <c r="L495" t="n">
        <v>0</v>
      </c>
      <c r="M495" t="n">
        <v>0</v>
      </c>
      <c r="N495" t="n">
        <v>0</v>
      </c>
      <c r="O495" t="n">
        <v>0</v>
      </c>
      <c r="P495" t="n">
        <v>0</v>
      </c>
      <c r="Q495" t="n">
        <v>0</v>
      </c>
      <c r="R495" s="2" t="inlineStr"/>
    </row>
    <row r="496" ht="15" customHeight="1">
      <c r="A496" t="inlineStr">
        <is>
          <t>A 58259-2024</t>
        </is>
      </c>
      <c r="B496" s="1" t="n">
        <v>45632.56155092592</v>
      </c>
      <c r="C496" s="1" t="n">
        <v>46033</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22845-2025</t>
        </is>
      </c>
      <c r="B497" s="1" t="n">
        <v>45790</v>
      </c>
      <c r="C497" s="1" t="n">
        <v>46033</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34906-2024</t>
        </is>
      </c>
      <c r="B498" s="1" t="n">
        <v>45527</v>
      </c>
      <c r="C498" s="1" t="n">
        <v>46033</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22954-2025</t>
        </is>
      </c>
      <c r="B499" s="1" t="n">
        <v>45790.5184375</v>
      </c>
      <c r="C499" s="1" t="n">
        <v>46033</v>
      </c>
      <c r="D499" t="inlineStr">
        <is>
          <t>VÄRMLANDS LÄN</t>
        </is>
      </c>
      <c r="E499" t="inlineStr">
        <is>
          <t>TORSBY</t>
        </is>
      </c>
      <c r="G499" t="n">
        <v>5.4</v>
      </c>
      <c r="H499" t="n">
        <v>0</v>
      </c>
      <c r="I499" t="n">
        <v>0</v>
      </c>
      <c r="J499" t="n">
        <v>0</v>
      </c>
      <c r="K499" t="n">
        <v>0</v>
      </c>
      <c r="L499" t="n">
        <v>0</v>
      </c>
      <c r="M499" t="n">
        <v>0</v>
      </c>
      <c r="N499" t="n">
        <v>0</v>
      </c>
      <c r="O499" t="n">
        <v>0</v>
      </c>
      <c r="P499" t="n">
        <v>0</v>
      </c>
      <c r="Q499" t="n">
        <v>0</v>
      </c>
      <c r="R499" s="2" t="inlineStr"/>
    </row>
    <row r="500" ht="15" customHeight="1">
      <c r="A500" t="inlineStr">
        <is>
          <t>A 38905-2025</t>
        </is>
      </c>
      <c r="B500" s="1" t="n">
        <v>45884</v>
      </c>
      <c r="C500" s="1" t="n">
        <v>46033</v>
      </c>
      <c r="D500" t="inlineStr">
        <is>
          <t>VÄRMLANDS LÄN</t>
        </is>
      </c>
      <c r="E500" t="inlineStr">
        <is>
          <t>TORSBY</t>
        </is>
      </c>
      <c r="G500" t="n">
        <v>5.4</v>
      </c>
      <c r="H500" t="n">
        <v>0</v>
      </c>
      <c r="I500" t="n">
        <v>0</v>
      </c>
      <c r="J500" t="n">
        <v>0</v>
      </c>
      <c r="K500" t="n">
        <v>0</v>
      </c>
      <c r="L500" t="n">
        <v>0</v>
      </c>
      <c r="M500" t="n">
        <v>0</v>
      </c>
      <c r="N500" t="n">
        <v>0</v>
      </c>
      <c r="O500" t="n">
        <v>0</v>
      </c>
      <c r="P500" t="n">
        <v>0</v>
      </c>
      <c r="Q500" t="n">
        <v>0</v>
      </c>
      <c r="R500" s="2" t="inlineStr"/>
    </row>
    <row r="501" ht="15" customHeight="1">
      <c r="A501" t="inlineStr">
        <is>
          <t>A 51793-2025</t>
        </is>
      </c>
      <c r="B501" s="1" t="n">
        <v>45951.71525462963</v>
      </c>
      <c r="C501" s="1" t="n">
        <v>46033</v>
      </c>
      <c r="D501" t="inlineStr">
        <is>
          <t>VÄRMLANDS LÄN</t>
        </is>
      </c>
      <c r="E501" t="inlineStr">
        <is>
          <t>TORSBY</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42403-2023</t>
        </is>
      </c>
      <c r="B502" s="1" t="n">
        <v>45180.59174768518</v>
      </c>
      <c r="C502" s="1" t="n">
        <v>46033</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39208-2025</t>
        </is>
      </c>
      <c r="B503" s="1" t="n">
        <v>45888</v>
      </c>
      <c r="C503" s="1" t="n">
        <v>46033</v>
      </c>
      <c r="D503" t="inlineStr">
        <is>
          <t>VÄRMLANDS LÄN</t>
        </is>
      </c>
      <c r="E503" t="inlineStr">
        <is>
          <t>TORSBY</t>
        </is>
      </c>
      <c r="F503" t="inlineStr">
        <is>
          <t>Bergvik skog väst AB</t>
        </is>
      </c>
      <c r="G503" t="n">
        <v>39.1</v>
      </c>
      <c r="H503" t="n">
        <v>0</v>
      </c>
      <c r="I503" t="n">
        <v>0</v>
      </c>
      <c r="J503" t="n">
        <v>0</v>
      </c>
      <c r="K503" t="n">
        <v>0</v>
      </c>
      <c r="L503" t="n">
        <v>0</v>
      </c>
      <c r="M503" t="n">
        <v>0</v>
      </c>
      <c r="N503" t="n">
        <v>0</v>
      </c>
      <c r="O503" t="n">
        <v>0</v>
      </c>
      <c r="P503" t="n">
        <v>0</v>
      </c>
      <c r="Q503" t="n">
        <v>0</v>
      </c>
      <c r="R503" s="2" t="inlineStr"/>
    </row>
    <row r="504" ht="15" customHeight="1">
      <c r="A504" t="inlineStr">
        <is>
          <t>A 34568-2024</t>
        </is>
      </c>
      <c r="B504" s="1" t="n">
        <v>45526</v>
      </c>
      <c r="C504" s="1" t="n">
        <v>46033</v>
      </c>
      <c r="D504" t="inlineStr">
        <is>
          <t>VÄRMLANDS LÄN</t>
        </is>
      </c>
      <c r="E504" t="inlineStr">
        <is>
          <t>TORSBY</t>
        </is>
      </c>
      <c r="G504" t="n">
        <v>3.1</v>
      </c>
      <c r="H504" t="n">
        <v>0</v>
      </c>
      <c r="I504" t="n">
        <v>0</v>
      </c>
      <c r="J504" t="n">
        <v>0</v>
      </c>
      <c r="K504" t="n">
        <v>0</v>
      </c>
      <c r="L504" t="n">
        <v>0</v>
      </c>
      <c r="M504" t="n">
        <v>0</v>
      </c>
      <c r="N504" t="n">
        <v>0</v>
      </c>
      <c r="O504" t="n">
        <v>0</v>
      </c>
      <c r="P504" t="n">
        <v>0</v>
      </c>
      <c r="Q504" t="n">
        <v>0</v>
      </c>
      <c r="R504" s="2" t="inlineStr"/>
    </row>
    <row r="505" ht="15" customHeight="1">
      <c r="A505" t="inlineStr">
        <is>
          <t>A 39451-2025</t>
        </is>
      </c>
      <c r="B505" s="1" t="n">
        <v>45889.72677083333</v>
      </c>
      <c r="C505" s="1" t="n">
        <v>46033</v>
      </c>
      <c r="D505" t="inlineStr">
        <is>
          <t>VÄRMLANDS LÄN</t>
        </is>
      </c>
      <c r="E505" t="inlineStr">
        <is>
          <t>TORSBY</t>
        </is>
      </c>
      <c r="F505" t="inlineStr">
        <is>
          <t>Bergvik skog väst AB</t>
        </is>
      </c>
      <c r="G505" t="n">
        <v>7.5</v>
      </c>
      <c r="H505" t="n">
        <v>0</v>
      </c>
      <c r="I505" t="n">
        <v>0</v>
      </c>
      <c r="J505" t="n">
        <v>0</v>
      </c>
      <c r="K505" t="n">
        <v>0</v>
      </c>
      <c r="L505" t="n">
        <v>0</v>
      </c>
      <c r="M505" t="n">
        <v>0</v>
      </c>
      <c r="N505" t="n">
        <v>0</v>
      </c>
      <c r="O505" t="n">
        <v>0</v>
      </c>
      <c r="P505" t="n">
        <v>0</v>
      </c>
      <c r="Q505" t="n">
        <v>0</v>
      </c>
      <c r="R505" s="2" t="inlineStr"/>
    </row>
    <row r="506" ht="15" customHeight="1">
      <c r="A506" t="inlineStr">
        <is>
          <t>A 54790-2024</t>
        </is>
      </c>
      <c r="B506" s="1" t="n">
        <v>45618</v>
      </c>
      <c r="C506" s="1" t="n">
        <v>46033</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14575-2025</t>
        </is>
      </c>
      <c r="B507" s="1" t="n">
        <v>45742.29048611111</v>
      </c>
      <c r="C507" s="1" t="n">
        <v>46033</v>
      </c>
      <c r="D507" t="inlineStr">
        <is>
          <t>VÄRMLANDS LÄN</t>
        </is>
      </c>
      <c r="E507" t="inlineStr">
        <is>
          <t>TORSBY</t>
        </is>
      </c>
      <c r="G507" t="n">
        <v>6.5</v>
      </c>
      <c r="H507" t="n">
        <v>0</v>
      </c>
      <c r="I507" t="n">
        <v>0</v>
      </c>
      <c r="J507" t="n">
        <v>0</v>
      </c>
      <c r="K507" t="n">
        <v>0</v>
      </c>
      <c r="L507" t="n">
        <v>0</v>
      </c>
      <c r="M507" t="n">
        <v>0</v>
      </c>
      <c r="N507" t="n">
        <v>0</v>
      </c>
      <c r="O507" t="n">
        <v>0</v>
      </c>
      <c r="P507" t="n">
        <v>0</v>
      </c>
      <c r="Q507" t="n">
        <v>0</v>
      </c>
      <c r="R507" s="2" t="inlineStr"/>
    </row>
    <row r="508" ht="15" customHeight="1">
      <c r="A508" t="inlineStr">
        <is>
          <t>A 57469-2024</t>
        </is>
      </c>
      <c r="B508" s="1" t="n">
        <v>45630</v>
      </c>
      <c r="C508" s="1" t="n">
        <v>46033</v>
      </c>
      <c r="D508" t="inlineStr">
        <is>
          <t>VÄRMLANDS LÄN</t>
        </is>
      </c>
      <c r="E508" t="inlineStr">
        <is>
          <t>TORSBY</t>
        </is>
      </c>
      <c r="F508" t="inlineStr">
        <is>
          <t>Bergvik skog väst AB</t>
        </is>
      </c>
      <c r="G508" t="n">
        <v>12.8</v>
      </c>
      <c r="H508" t="n">
        <v>0</v>
      </c>
      <c r="I508" t="n">
        <v>0</v>
      </c>
      <c r="J508" t="n">
        <v>0</v>
      </c>
      <c r="K508" t="n">
        <v>0</v>
      </c>
      <c r="L508" t="n">
        <v>0</v>
      </c>
      <c r="M508" t="n">
        <v>0</v>
      </c>
      <c r="N508" t="n">
        <v>0</v>
      </c>
      <c r="O508" t="n">
        <v>0</v>
      </c>
      <c r="P508" t="n">
        <v>0</v>
      </c>
      <c r="Q508" t="n">
        <v>0</v>
      </c>
      <c r="R508" s="2" t="inlineStr"/>
    </row>
    <row r="509" ht="15" customHeight="1">
      <c r="A509" t="inlineStr">
        <is>
          <t>A 39258-2025</t>
        </is>
      </c>
      <c r="B509" s="1" t="n">
        <v>45889</v>
      </c>
      <c r="C509" s="1" t="n">
        <v>46033</v>
      </c>
      <c r="D509" t="inlineStr">
        <is>
          <t>VÄRMLANDS LÄN</t>
        </is>
      </c>
      <c r="E509" t="inlineStr">
        <is>
          <t>TORSBY</t>
        </is>
      </c>
      <c r="F509" t="inlineStr">
        <is>
          <t>Bergvik skog väst AB</t>
        </is>
      </c>
      <c r="G509" t="n">
        <v>12.1</v>
      </c>
      <c r="H509" t="n">
        <v>0</v>
      </c>
      <c r="I509" t="n">
        <v>0</v>
      </c>
      <c r="J509" t="n">
        <v>0</v>
      </c>
      <c r="K509" t="n">
        <v>0</v>
      </c>
      <c r="L509" t="n">
        <v>0</v>
      </c>
      <c r="M509" t="n">
        <v>0</v>
      </c>
      <c r="N509" t="n">
        <v>0</v>
      </c>
      <c r="O509" t="n">
        <v>0</v>
      </c>
      <c r="P509" t="n">
        <v>0</v>
      </c>
      <c r="Q509" t="n">
        <v>0</v>
      </c>
      <c r="R509" s="2" t="inlineStr"/>
    </row>
    <row r="510" ht="15" customHeight="1">
      <c r="A510" t="inlineStr">
        <is>
          <t>A 4070-2024</t>
        </is>
      </c>
      <c r="B510" s="1" t="n">
        <v>45323</v>
      </c>
      <c r="C510" s="1" t="n">
        <v>46033</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30370-2023</t>
        </is>
      </c>
      <c r="B511" s="1" t="n">
        <v>45111</v>
      </c>
      <c r="C511" s="1" t="n">
        <v>46033</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4231-2024</t>
        </is>
      </c>
      <c r="B512" s="1" t="n">
        <v>45324.42771990741</v>
      </c>
      <c r="C512" s="1" t="n">
        <v>46033</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37238-2024</t>
        </is>
      </c>
      <c r="B513" s="1" t="n">
        <v>45540</v>
      </c>
      <c r="C513" s="1" t="n">
        <v>46033</v>
      </c>
      <c r="D513" t="inlineStr">
        <is>
          <t>VÄRMLANDS LÄN</t>
        </is>
      </c>
      <c r="E513" t="inlineStr">
        <is>
          <t>TORSBY</t>
        </is>
      </c>
      <c r="F513" t="inlineStr">
        <is>
          <t>Bergvik skog väst AB</t>
        </is>
      </c>
      <c r="G513" t="n">
        <v>11.9</v>
      </c>
      <c r="H513" t="n">
        <v>0</v>
      </c>
      <c r="I513" t="n">
        <v>0</v>
      </c>
      <c r="J513" t="n">
        <v>0</v>
      </c>
      <c r="K513" t="n">
        <v>0</v>
      </c>
      <c r="L513" t="n">
        <v>0</v>
      </c>
      <c r="M513" t="n">
        <v>0</v>
      </c>
      <c r="N513" t="n">
        <v>0</v>
      </c>
      <c r="O513" t="n">
        <v>0</v>
      </c>
      <c r="P513" t="n">
        <v>0</v>
      </c>
      <c r="Q513" t="n">
        <v>0</v>
      </c>
      <c r="R513" s="2" t="inlineStr"/>
    </row>
    <row r="514" ht="15" customHeight="1">
      <c r="A514" t="inlineStr">
        <is>
          <t>A 24182-2024</t>
        </is>
      </c>
      <c r="B514" s="1" t="n">
        <v>45456</v>
      </c>
      <c r="C514" s="1" t="n">
        <v>46033</v>
      </c>
      <c r="D514" t="inlineStr">
        <is>
          <t>VÄRMLANDS LÄN</t>
        </is>
      </c>
      <c r="E514" t="inlineStr">
        <is>
          <t>TORSBY</t>
        </is>
      </c>
      <c r="F514" t="inlineStr">
        <is>
          <t>Bergvik skog väst AB</t>
        </is>
      </c>
      <c r="G514" t="n">
        <v>28.9</v>
      </c>
      <c r="H514" t="n">
        <v>0</v>
      </c>
      <c r="I514" t="n">
        <v>0</v>
      </c>
      <c r="J514" t="n">
        <v>0</v>
      </c>
      <c r="K514" t="n">
        <v>0</v>
      </c>
      <c r="L514" t="n">
        <v>0</v>
      </c>
      <c r="M514" t="n">
        <v>0</v>
      </c>
      <c r="N514" t="n">
        <v>0</v>
      </c>
      <c r="O514" t="n">
        <v>0</v>
      </c>
      <c r="P514" t="n">
        <v>0</v>
      </c>
      <c r="Q514" t="n">
        <v>0</v>
      </c>
      <c r="R514" s="2" t="inlineStr"/>
    </row>
    <row r="515" ht="15" customHeight="1">
      <c r="A515" t="inlineStr">
        <is>
          <t>A 2471-2023</t>
        </is>
      </c>
      <c r="B515" s="1" t="n">
        <v>44943.48373842592</v>
      </c>
      <c r="C515" s="1" t="n">
        <v>46033</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23280-2025</t>
        </is>
      </c>
      <c r="B516" s="1" t="n">
        <v>45791.57217592592</v>
      </c>
      <c r="C516" s="1" t="n">
        <v>46033</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31945-2024</t>
        </is>
      </c>
      <c r="B517" s="1" t="n">
        <v>45510</v>
      </c>
      <c r="C517" s="1" t="n">
        <v>46033</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36419-2024</t>
        </is>
      </c>
      <c r="B518" s="1" t="n">
        <v>45536.58380787037</v>
      </c>
      <c r="C518" s="1" t="n">
        <v>46033</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18576-2025</t>
        </is>
      </c>
      <c r="B519" s="1" t="n">
        <v>45763</v>
      </c>
      <c r="C519" s="1" t="n">
        <v>46033</v>
      </c>
      <c r="D519" t="inlineStr">
        <is>
          <t>VÄRMLANDS LÄN</t>
        </is>
      </c>
      <c r="E519" t="inlineStr">
        <is>
          <t>TORSBY</t>
        </is>
      </c>
      <c r="G519" t="n">
        <v>0.6</v>
      </c>
      <c r="H519" t="n">
        <v>0</v>
      </c>
      <c r="I519" t="n">
        <v>0</v>
      </c>
      <c r="J519" t="n">
        <v>0</v>
      </c>
      <c r="K519" t="n">
        <v>0</v>
      </c>
      <c r="L519" t="n">
        <v>0</v>
      </c>
      <c r="M519" t="n">
        <v>0</v>
      </c>
      <c r="N519" t="n">
        <v>0</v>
      </c>
      <c r="O519" t="n">
        <v>0</v>
      </c>
      <c r="P519" t="n">
        <v>0</v>
      </c>
      <c r="Q519" t="n">
        <v>0</v>
      </c>
      <c r="R519" s="2" t="inlineStr"/>
    </row>
    <row r="520" ht="15" customHeight="1">
      <c r="A520" t="inlineStr">
        <is>
          <t>A 18584-2025</t>
        </is>
      </c>
      <c r="B520" s="1" t="n">
        <v>45763.46973379629</v>
      </c>
      <c r="C520" s="1" t="n">
        <v>46033</v>
      </c>
      <c r="D520" t="inlineStr">
        <is>
          <t>VÄRMLANDS LÄN</t>
        </is>
      </c>
      <c r="E520" t="inlineStr">
        <is>
          <t>TORSBY</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46033</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58728-2021</t>
        </is>
      </c>
      <c r="B522" s="1" t="n">
        <v>44489</v>
      </c>
      <c r="C522" s="1" t="n">
        <v>46033</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23557-2025</t>
        </is>
      </c>
      <c r="B523" s="1" t="n">
        <v>45792.58086805556</v>
      </c>
      <c r="C523" s="1" t="n">
        <v>46033</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59685-2025</t>
        </is>
      </c>
      <c r="B524" s="1" t="n">
        <v>45992.47407407407</v>
      </c>
      <c r="C524" s="1" t="n">
        <v>46033</v>
      </c>
      <c r="D524" t="inlineStr">
        <is>
          <t>VÄRMLANDS LÄN</t>
        </is>
      </c>
      <c r="E524" t="inlineStr">
        <is>
          <t>TORSBY</t>
        </is>
      </c>
      <c r="G524" t="n">
        <v>3.1</v>
      </c>
      <c r="H524" t="n">
        <v>0</v>
      </c>
      <c r="I524" t="n">
        <v>0</v>
      </c>
      <c r="J524" t="n">
        <v>0</v>
      </c>
      <c r="K524" t="n">
        <v>0</v>
      </c>
      <c r="L524" t="n">
        <v>0</v>
      </c>
      <c r="M524" t="n">
        <v>0</v>
      </c>
      <c r="N524" t="n">
        <v>0</v>
      </c>
      <c r="O524" t="n">
        <v>0</v>
      </c>
      <c r="P524" t="n">
        <v>0</v>
      </c>
      <c r="Q524" t="n">
        <v>0</v>
      </c>
      <c r="R524" s="2" t="inlineStr"/>
    </row>
    <row r="525" ht="15" customHeight="1">
      <c r="A525" t="inlineStr">
        <is>
          <t>A 39033-2025</t>
        </is>
      </c>
      <c r="B525" s="1" t="n">
        <v>45888</v>
      </c>
      <c r="C525" s="1" t="n">
        <v>46033</v>
      </c>
      <c r="D525" t="inlineStr">
        <is>
          <t>VÄRMLANDS LÄN</t>
        </is>
      </c>
      <c r="E525" t="inlineStr">
        <is>
          <t>TORSBY</t>
        </is>
      </c>
      <c r="G525" t="n">
        <v>6.4</v>
      </c>
      <c r="H525" t="n">
        <v>0</v>
      </c>
      <c r="I525" t="n">
        <v>0</v>
      </c>
      <c r="J525" t="n">
        <v>0</v>
      </c>
      <c r="K525" t="n">
        <v>0</v>
      </c>
      <c r="L525" t="n">
        <v>0</v>
      </c>
      <c r="M525" t="n">
        <v>0</v>
      </c>
      <c r="N525" t="n">
        <v>0</v>
      </c>
      <c r="O525" t="n">
        <v>0</v>
      </c>
      <c r="P525" t="n">
        <v>0</v>
      </c>
      <c r="Q525" t="n">
        <v>0</v>
      </c>
      <c r="R525" s="2" t="inlineStr"/>
    </row>
    <row r="526" ht="15" customHeight="1">
      <c r="A526" t="inlineStr">
        <is>
          <t>A 46152-2024</t>
        </is>
      </c>
      <c r="B526" s="1" t="n">
        <v>45581</v>
      </c>
      <c r="C526" s="1" t="n">
        <v>46033</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42656-2023</t>
        </is>
      </c>
      <c r="B527" s="1" t="n">
        <v>45181.53928240741</v>
      </c>
      <c r="C527" s="1" t="n">
        <v>46033</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39039-2025</t>
        </is>
      </c>
      <c r="B528" s="1" t="n">
        <v>45888.42684027777</v>
      </c>
      <c r="C528" s="1" t="n">
        <v>46033</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34093-2024</t>
        </is>
      </c>
      <c r="B529" s="1" t="n">
        <v>45523</v>
      </c>
      <c r="C529" s="1" t="n">
        <v>46033</v>
      </c>
      <c r="D529" t="inlineStr">
        <is>
          <t>VÄRMLANDS LÄN</t>
        </is>
      </c>
      <c r="E529" t="inlineStr">
        <is>
          <t>TORSBY</t>
        </is>
      </c>
      <c r="F529" t="inlineStr">
        <is>
          <t>Bergvik skog väst AB</t>
        </is>
      </c>
      <c r="G529" t="n">
        <v>5.9</v>
      </c>
      <c r="H529" t="n">
        <v>0</v>
      </c>
      <c r="I529" t="n">
        <v>0</v>
      </c>
      <c r="J529" t="n">
        <v>0</v>
      </c>
      <c r="K529" t="n">
        <v>0</v>
      </c>
      <c r="L529" t="n">
        <v>0</v>
      </c>
      <c r="M529" t="n">
        <v>0</v>
      </c>
      <c r="N529" t="n">
        <v>0</v>
      </c>
      <c r="O529" t="n">
        <v>0</v>
      </c>
      <c r="P529" t="n">
        <v>0</v>
      </c>
      <c r="Q529" t="n">
        <v>0</v>
      </c>
      <c r="R529" s="2" t="inlineStr"/>
    </row>
    <row r="530" ht="15" customHeight="1">
      <c r="A530" t="inlineStr">
        <is>
          <t>A 62957-2023</t>
        </is>
      </c>
      <c r="B530" s="1" t="n">
        <v>45271</v>
      </c>
      <c r="C530" s="1" t="n">
        <v>46033</v>
      </c>
      <c r="D530" t="inlineStr">
        <is>
          <t>VÄRMLANDS LÄN</t>
        </is>
      </c>
      <c r="E530" t="inlineStr">
        <is>
          <t>TORSBY</t>
        </is>
      </c>
      <c r="F530" t="inlineStr">
        <is>
          <t>Övriga statliga verk och myndigheter</t>
        </is>
      </c>
      <c r="G530" t="n">
        <v>3.5</v>
      </c>
      <c r="H530" t="n">
        <v>0</v>
      </c>
      <c r="I530" t="n">
        <v>0</v>
      </c>
      <c r="J530" t="n">
        <v>0</v>
      </c>
      <c r="K530" t="n">
        <v>0</v>
      </c>
      <c r="L530" t="n">
        <v>0</v>
      </c>
      <c r="M530" t="n">
        <v>0</v>
      </c>
      <c r="N530" t="n">
        <v>0</v>
      </c>
      <c r="O530" t="n">
        <v>0</v>
      </c>
      <c r="P530" t="n">
        <v>0</v>
      </c>
      <c r="Q530" t="n">
        <v>0</v>
      </c>
      <c r="R530" s="2" t="inlineStr"/>
    </row>
    <row r="531" ht="15" customHeight="1">
      <c r="A531" t="inlineStr">
        <is>
          <t>A 59864-2025</t>
        </is>
      </c>
      <c r="B531" s="1" t="n">
        <v>45992.83108796296</v>
      </c>
      <c r="C531" s="1" t="n">
        <v>46033</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39059-2025</t>
        </is>
      </c>
      <c r="B532" s="1" t="n">
        <v>45888</v>
      </c>
      <c r="C532" s="1" t="n">
        <v>46033</v>
      </c>
      <c r="D532" t="inlineStr">
        <is>
          <t>VÄRMLANDS LÄN</t>
        </is>
      </c>
      <c r="E532" t="inlineStr">
        <is>
          <t>TORSBY</t>
        </is>
      </c>
      <c r="G532" t="n">
        <v>8.6</v>
      </c>
      <c r="H532" t="n">
        <v>0</v>
      </c>
      <c r="I532" t="n">
        <v>0</v>
      </c>
      <c r="J532" t="n">
        <v>0</v>
      </c>
      <c r="K532" t="n">
        <v>0</v>
      </c>
      <c r="L532" t="n">
        <v>0</v>
      </c>
      <c r="M532" t="n">
        <v>0</v>
      </c>
      <c r="N532" t="n">
        <v>0</v>
      </c>
      <c r="O532" t="n">
        <v>0</v>
      </c>
      <c r="P532" t="n">
        <v>0</v>
      </c>
      <c r="Q532" t="n">
        <v>0</v>
      </c>
      <c r="R532" s="2" t="inlineStr"/>
    </row>
    <row r="533" ht="15" customHeight="1">
      <c r="A533" t="inlineStr">
        <is>
          <t>A 23677-2025</t>
        </is>
      </c>
      <c r="B533" s="1" t="n">
        <v>45793.31969907408</v>
      </c>
      <c r="C533" s="1" t="n">
        <v>46033</v>
      </c>
      <c r="D533" t="inlineStr">
        <is>
          <t>VÄRMLANDS LÄN</t>
        </is>
      </c>
      <c r="E533" t="inlineStr">
        <is>
          <t>TORSBY</t>
        </is>
      </c>
      <c r="F533" t="inlineStr">
        <is>
          <t>Kyrkan</t>
        </is>
      </c>
      <c r="G533" t="n">
        <v>2.4</v>
      </c>
      <c r="H533" t="n">
        <v>0</v>
      </c>
      <c r="I533" t="n">
        <v>0</v>
      </c>
      <c r="J533" t="n">
        <v>0</v>
      </c>
      <c r="K533" t="n">
        <v>0</v>
      </c>
      <c r="L533" t="n">
        <v>0</v>
      </c>
      <c r="M533" t="n">
        <v>0</v>
      </c>
      <c r="N533" t="n">
        <v>0</v>
      </c>
      <c r="O533" t="n">
        <v>0</v>
      </c>
      <c r="P533" t="n">
        <v>0</v>
      </c>
      <c r="Q533" t="n">
        <v>0</v>
      </c>
      <c r="R533" s="2" t="inlineStr"/>
    </row>
    <row r="534" ht="15" customHeight="1">
      <c r="A534" t="inlineStr">
        <is>
          <t>A 39321-2025</t>
        </is>
      </c>
      <c r="B534" s="1" t="n">
        <v>45889</v>
      </c>
      <c r="C534" s="1" t="n">
        <v>46033</v>
      </c>
      <c r="D534" t="inlineStr">
        <is>
          <t>VÄRMLANDS LÄN</t>
        </is>
      </c>
      <c r="E534" t="inlineStr">
        <is>
          <t>TORSBY</t>
        </is>
      </c>
      <c r="F534" t="inlineStr">
        <is>
          <t>Bergvik skog väst AB</t>
        </is>
      </c>
      <c r="G534" t="n">
        <v>47.1</v>
      </c>
      <c r="H534" t="n">
        <v>0</v>
      </c>
      <c r="I534" t="n">
        <v>0</v>
      </c>
      <c r="J534" t="n">
        <v>0</v>
      </c>
      <c r="K534" t="n">
        <v>0</v>
      </c>
      <c r="L534" t="n">
        <v>0</v>
      </c>
      <c r="M534" t="n">
        <v>0</v>
      </c>
      <c r="N534" t="n">
        <v>0</v>
      </c>
      <c r="O534" t="n">
        <v>0</v>
      </c>
      <c r="P534" t="n">
        <v>0</v>
      </c>
      <c r="Q534" t="n">
        <v>0</v>
      </c>
      <c r="R534" s="2" t="inlineStr"/>
    </row>
    <row r="535" ht="15" customHeight="1">
      <c r="A535" t="inlineStr">
        <is>
          <t>A 23741-2025</t>
        </is>
      </c>
      <c r="B535" s="1" t="n">
        <v>45793</v>
      </c>
      <c r="C535" s="1" t="n">
        <v>46033</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4078-2024</t>
        </is>
      </c>
      <c r="B536" s="1" t="n">
        <v>45323</v>
      </c>
      <c r="C536" s="1" t="n">
        <v>46033</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38979-2025</t>
        </is>
      </c>
      <c r="B537" s="1" t="n">
        <v>45887.99758101852</v>
      </c>
      <c r="C537" s="1" t="n">
        <v>46033</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51823-2024</t>
        </is>
      </c>
      <c r="B538" s="1" t="n">
        <v>45607</v>
      </c>
      <c r="C538" s="1" t="n">
        <v>46033</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46033</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39815-2025</t>
        </is>
      </c>
      <c r="B540" s="1" t="n">
        <v>45891.52760416667</v>
      </c>
      <c r="C540" s="1" t="n">
        <v>46033</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39652-2025</t>
        </is>
      </c>
      <c r="B541" s="1" t="n">
        <v>45890.61689814815</v>
      </c>
      <c r="C541" s="1" t="n">
        <v>46033</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16309-2023</t>
        </is>
      </c>
      <c r="B542" s="1" t="n">
        <v>45028.58873842593</v>
      </c>
      <c r="C542" s="1" t="n">
        <v>46033</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13848-2024</t>
        </is>
      </c>
      <c r="B543" s="1" t="n">
        <v>45390</v>
      </c>
      <c r="C543" s="1" t="n">
        <v>46033</v>
      </c>
      <c r="D543" t="inlineStr">
        <is>
          <t>VÄRMLANDS LÄN</t>
        </is>
      </c>
      <c r="E543" t="inlineStr">
        <is>
          <t>TORSBY</t>
        </is>
      </c>
      <c r="G543" t="n">
        <v>4.5</v>
      </c>
      <c r="H543" t="n">
        <v>0</v>
      </c>
      <c r="I543" t="n">
        <v>0</v>
      </c>
      <c r="J543" t="n">
        <v>0</v>
      </c>
      <c r="K543" t="n">
        <v>0</v>
      </c>
      <c r="L543" t="n">
        <v>0</v>
      </c>
      <c r="M543" t="n">
        <v>0</v>
      </c>
      <c r="N543" t="n">
        <v>0</v>
      </c>
      <c r="O543" t="n">
        <v>0</v>
      </c>
      <c r="P543" t="n">
        <v>0</v>
      </c>
      <c r="Q543" t="n">
        <v>0</v>
      </c>
      <c r="R543" s="2" t="inlineStr"/>
    </row>
    <row r="544" ht="15" customHeight="1">
      <c r="A544" t="inlineStr">
        <is>
          <t>A 46456-2024</t>
        </is>
      </c>
      <c r="B544" s="1" t="n">
        <v>45582</v>
      </c>
      <c r="C544" s="1" t="n">
        <v>46033</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33069-2022</t>
        </is>
      </c>
      <c r="B545" s="1" t="n">
        <v>44785</v>
      </c>
      <c r="C545" s="1" t="n">
        <v>46033</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23455-2025</t>
        </is>
      </c>
      <c r="B546" s="1" t="n">
        <v>45792.42520833333</v>
      </c>
      <c r="C546" s="1" t="n">
        <v>46033</v>
      </c>
      <c r="D546" t="inlineStr">
        <is>
          <t>VÄRMLANDS LÄN</t>
        </is>
      </c>
      <c r="E546" t="inlineStr">
        <is>
          <t>TORSBY</t>
        </is>
      </c>
      <c r="F546" t="inlineStr">
        <is>
          <t>Kyrkan</t>
        </is>
      </c>
      <c r="G546" t="n">
        <v>10.7</v>
      </c>
      <c r="H546" t="n">
        <v>0</v>
      </c>
      <c r="I546" t="n">
        <v>0</v>
      </c>
      <c r="J546" t="n">
        <v>0</v>
      </c>
      <c r="K546" t="n">
        <v>0</v>
      </c>
      <c r="L546" t="n">
        <v>0</v>
      </c>
      <c r="M546" t="n">
        <v>0</v>
      </c>
      <c r="N546" t="n">
        <v>0</v>
      </c>
      <c r="O546" t="n">
        <v>0</v>
      </c>
      <c r="P546" t="n">
        <v>0</v>
      </c>
      <c r="Q546" t="n">
        <v>0</v>
      </c>
      <c r="R546" s="2" t="inlineStr"/>
    </row>
    <row r="547" ht="15" customHeight="1">
      <c r="A547" t="inlineStr">
        <is>
          <t>A 2203-2025</t>
        </is>
      </c>
      <c r="B547" s="1" t="n">
        <v>45672</v>
      </c>
      <c r="C547" s="1" t="n">
        <v>46033</v>
      </c>
      <c r="D547" t="inlineStr">
        <is>
          <t>VÄRMLANDS LÄN</t>
        </is>
      </c>
      <c r="E547" t="inlineStr">
        <is>
          <t>TORSBY</t>
        </is>
      </c>
      <c r="G547" t="n">
        <v>11.3</v>
      </c>
      <c r="H547" t="n">
        <v>0</v>
      </c>
      <c r="I547" t="n">
        <v>0</v>
      </c>
      <c r="J547" t="n">
        <v>0</v>
      </c>
      <c r="K547" t="n">
        <v>0</v>
      </c>
      <c r="L547" t="n">
        <v>0</v>
      </c>
      <c r="M547" t="n">
        <v>0</v>
      </c>
      <c r="N547" t="n">
        <v>0</v>
      </c>
      <c r="O547" t="n">
        <v>0</v>
      </c>
      <c r="P547" t="n">
        <v>0</v>
      </c>
      <c r="Q547" t="n">
        <v>0</v>
      </c>
      <c r="R547" s="2" t="inlineStr"/>
    </row>
    <row r="548" ht="15" customHeight="1">
      <c r="A548" t="inlineStr">
        <is>
          <t>A 42473-2023</t>
        </is>
      </c>
      <c r="B548" s="1" t="n">
        <v>45180</v>
      </c>
      <c r="C548" s="1" t="n">
        <v>46033</v>
      </c>
      <c r="D548" t="inlineStr">
        <is>
          <t>VÄRMLANDS LÄN</t>
        </is>
      </c>
      <c r="E548" t="inlineStr">
        <is>
          <t>TORSBY</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39743-2025</t>
        </is>
      </c>
      <c r="B549" s="1" t="n">
        <v>45891</v>
      </c>
      <c r="C549" s="1" t="n">
        <v>46033</v>
      </c>
      <c r="D549" t="inlineStr">
        <is>
          <t>VÄRMLANDS LÄN</t>
        </is>
      </c>
      <c r="E549" t="inlineStr">
        <is>
          <t>TORSBY</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39731-2025</t>
        </is>
      </c>
      <c r="B550" s="1" t="n">
        <v>45891</v>
      </c>
      <c r="C550" s="1" t="n">
        <v>46033</v>
      </c>
      <c r="D550" t="inlineStr">
        <is>
          <t>VÄRMLANDS LÄN</t>
        </is>
      </c>
      <c r="E550" t="inlineStr">
        <is>
          <t>TORSBY</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39499-2025</t>
        </is>
      </c>
      <c r="B551" s="1" t="n">
        <v>45890</v>
      </c>
      <c r="C551" s="1" t="n">
        <v>46033</v>
      </c>
      <c r="D551" t="inlineStr">
        <is>
          <t>VÄRMLANDS LÄN</t>
        </is>
      </c>
      <c r="E551" t="inlineStr">
        <is>
          <t>TORSBY</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15413-2023</t>
        </is>
      </c>
      <c r="B552" s="1" t="n">
        <v>45019</v>
      </c>
      <c r="C552" s="1" t="n">
        <v>46033</v>
      </c>
      <c r="D552" t="inlineStr">
        <is>
          <t>VÄRMLANDS LÄN</t>
        </is>
      </c>
      <c r="E552" t="inlineStr">
        <is>
          <t>TORSBY</t>
        </is>
      </c>
      <c r="G552" t="n">
        <v>17.1</v>
      </c>
      <c r="H552" t="n">
        <v>0</v>
      </c>
      <c r="I552" t="n">
        <v>0</v>
      </c>
      <c r="J552" t="n">
        <v>0</v>
      </c>
      <c r="K552" t="n">
        <v>0</v>
      </c>
      <c r="L552" t="n">
        <v>0</v>
      </c>
      <c r="M552" t="n">
        <v>0</v>
      </c>
      <c r="N552" t="n">
        <v>0</v>
      </c>
      <c r="O552" t="n">
        <v>0</v>
      </c>
      <c r="P552" t="n">
        <v>0</v>
      </c>
      <c r="Q552" t="n">
        <v>0</v>
      </c>
      <c r="R552" s="2" t="inlineStr"/>
    </row>
    <row r="553" ht="15" customHeight="1">
      <c r="A553" t="inlineStr">
        <is>
          <t>A 11427-2025</t>
        </is>
      </c>
      <c r="B553" s="1" t="n">
        <v>45726</v>
      </c>
      <c r="C553" s="1" t="n">
        <v>46033</v>
      </c>
      <c r="D553" t="inlineStr">
        <is>
          <t>VÄRMLANDS LÄN</t>
        </is>
      </c>
      <c r="E553" t="inlineStr">
        <is>
          <t>TORSBY</t>
        </is>
      </c>
      <c r="G553" t="n">
        <v>2.8</v>
      </c>
      <c r="H553" t="n">
        <v>0</v>
      </c>
      <c r="I553" t="n">
        <v>0</v>
      </c>
      <c r="J553" t="n">
        <v>0</v>
      </c>
      <c r="K553" t="n">
        <v>0</v>
      </c>
      <c r="L553" t="n">
        <v>0</v>
      </c>
      <c r="M553" t="n">
        <v>0</v>
      </c>
      <c r="N553" t="n">
        <v>0</v>
      </c>
      <c r="O553" t="n">
        <v>0</v>
      </c>
      <c r="P553" t="n">
        <v>0</v>
      </c>
      <c r="Q553" t="n">
        <v>0</v>
      </c>
      <c r="R553" s="2" t="inlineStr"/>
    </row>
    <row r="554" ht="15" customHeight="1">
      <c r="A554" t="inlineStr">
        <is>
          <t>A 39845-2025</t>
        </is>
      </c>
      <c r="B554" s="1" t="n">
        <v>45891</v>
      </c>
      <c r="C554" s="1" t="n">
        <v>46033</v>
      </c>
      <c r="D554" t="inlineStr">
        <is>
          <t>VÄRMLANDS LÄN</t>
        </is>
      </c>
      <c r="E554" t="inlineStr">
        <is>
          <t>TORSBY</t>
        </is>
      </c>
      <c r="F554" t="inlineStr">
        <is>
          <t>Bergvik skog väst AB</t>
        </is>
      </c>
      <c r="G554" t="n">
        <v>14.1</v>
      </c>
      <c r="H554" t="n">
        <v>0</v>
      </c>
      <c r="I554" t="n">
        <v>0</v>
      </c>
      <c r="J554" t="n">
        <v>0</v>
      </c>
      <c r="K554" t="n">
        <v>0</v>
      </c>
      <c r="L554" t="n">
        <v>0</v>
      </c>
      <c r="M554" t="n">
        <v>0</v>
      </c>
      <c r="N554" t="n">
        <v>0</v>
      </c>
      <c r="O554" t="n">
        <v>0</v>
      </c>
      <c r="P554" t="n">
        <v>0</v>
      </c>
      <c r="Q554" t="n">
        <v>0</v>
      </c>
      <c r="R554" s="2" t="inlineStr"/>
    </row>
    <row r="555" ht="15" customHeight="1">
      <c r="A555" t="inlineStr">
        <is>
          <t>A 39565-2025</t>
        </is>
      </c>
      <c r="B555" s="1" t="n">
        <v>45890</v>
      </c>
      <c r="C555" s="1" t="n">
        <v>46033</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39473-2025</t>
        </is>
      </c>
      <c r="B556" s="1" t="n">
        <v>45890</v>
      </c>
      <c r="C556" s="1" t="n">
        <v>46033</v>
      </c>
      <c r="D556" t="inlineStr">
        <is>
          <t>VÄRMLANDS LÄN</t>
        </is>
      </c>
      <c r="E556" t="inlineStr">
        <is>
          <t>TORSBY</t>
        </is>
      </c>
      <c r="G556" t="n">
        <v>2.5</v>
      </c>
      <c r="H556" t="n">
        <v>0</v>
      </c>
      <c r="I556" t="n">
        <v>0</v>
      </c>
      <c r="J556" t="n">
        <v>0</v>
      </c>
      <c r="K556" t="n">
        <v>0</v>
      </c>
      <c r="L556" t="n">
        <v>0</v>
      </c>
      <c r="M556" t="n">
        <v>0</v>
      </c>
      <c r="N556" t="n">
        <v>0</v>
      </c>
      <c r="O556" t="n">
        <v>0</v>
      </c>
      <c r="P556" t="n">
        <v>0</v>
      </c>
      <c r="Q556" t="n">
        <v>0</v>
      </c>
      <c r="R556" s="2" t="inlineStr"/>
    </row>
    <row r="557" ht="15" customHeight="1">
      <c r="A557" t="inlineStr">
        <is>
          <t>A 24069-2025</t>
        </is>
      </c>
      <c r="B557" s="1" t="n">
        <v>45796.53997685185</v>
      </c>
      <c r="C557" s="1" t="n">
        <v>46033</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39919-2025</t>
        </is>
      </c>
      <c r="B558" s="1" t="n">
        <v>45891.66664351852</v>
      </c>
      <c r="C558" s="1" t="n">
        <v>46033</v>
      </c>
      <c r="D558" t="inlineStr">
        <is>
          <t>VÄRMLANDS LÄN</t>
        </is>
      </c>
      <c r="E558" t="inlineStr">
        <is>
          <t>TORSBY</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24580-2025</t>
        </is>
      </c>
      <c r="B559" s="1" t="n">
        <v>45798</v>
      </c>
      <c r="C559" s="1" t="n">
        <v>46033</v>
      </c>
      <c r="D559" t="inlineStr">
        <is>
          <t>VÄRMLANDS LÄN</t>
        </is>
      </c>
      <c r="E559" t="inlineStr">
        <is>
          <t>TORSBY</t>
        </is>
      </c>
      <c r="G559" t="n">
        <v>12.2</v>
      </c>
      <c r="H559" t="n">
        <v>0</v>
      </c>
      <c r="I559" t="n">
        <v>0</v>
      </c>
      <c r="J559" t="n">
        <v>0</v>
      </c>
      <c r="K559" t="n">
        <v>0</v>
      </c>
      <c r="L559" t="n">
        <v>0</v>
      </c>
      <c r="M559" t="n">
        <v>0</v>
      </c>
      <c r="N559" t="n">
        <v>0</v>
      </c>
      <c r="O559" t="n">
        <v>0</v>
      </c>
      <c r="P559" t="n">
        <v>0</v>
      </c>
      <c r="Q559" t="n">
        <v>0</v>
      </c>
      <c r="R559" s="2" t="inlineStr"/>
    </row>
    <row r="560" ht="15" customHeight="1">
      <c r="A560" t="inlineStr">
        <is>
          <t>A 37985-2022</t>
        </is>
      </c>
      <c r="B560" s="1" t="n">
        <v>44811</v>
      </c>
      <c r="C560" s="1" t="n">
        <v>46033</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14624-2023</t>
        </is>
      </c>
      <c r="B561" s="1" t="n">
        <v>45013</v>
      </c>
      <c r="C561" s="1" t="n">
        <v>46033</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24204-2025</t>
        </is>
      </c>
      <c r="B562" s="1" t="n">
        <v>45797.31824074074</v>
      </c>
      <c r="C562" s="1" t="n">
        <v>46033</v>
      </c>
      <c r="D562" t="inlineStr">
        <is>
          <t>VÄRMLANDS LÄN</t>
        </is>
      </c>
      <c r="E562" t="inlineStr">
        <is>
          <t>TORSBY</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57172-2022</t>
        </is>
      </c>
      <c r="B563" s="1" t="n">
        <v>44895</v>
      </c>
      <c r="C563" s="1" t="n">
        <v>46033</v>
      </c>
      <c r="D563" t="inlineStr">
        <is>
          <t>VÄRMLANDS LÄN</t>
        </is>
      </c>
      <c r="E563" t="inlineStr">
        <is>
          <t>TORSBY</t>
        </is>
      </c>
      <c r="G563" t="n">
        <v>3.8</v>
      </c>
      <c r="H563" t="n">
        <v>0</v>
      </c>
      <c r="I563" t="n">
        <v>0</v>
      </c>
      <c r="J563" t="n">
        <v>0</v>
      </c>
      <c r="K563" t="n">
        <v>0</v>
      </c>
      <c r="L563" t="n">
        <v>0</v>
      </c>
      <c r="M563" t="n">
        <v>0</v>
      </c>
      <c r="N563" t="n">
        <v>0</v>
      </c>
      <c r="O563" t="n">
        <v>0</v>
      </c>
      <c r="P563" t="n">
        <v>0</v>
      </c>
      <c r="Q563" t="n">
        <v>0</v>
      </c>
      <c r="R563" s="2" t="inlineStr"/>
    </row>
    <row r="564" ht="15" customHeight="1">
      <c r="A564" t="inlineStr">
        <is>
          <t>A 40034-2025</t>
        </is>
      </c>
      <c r="B564" s="1" t="n">
        <v>45894.38159722222</v>
      </c>
      <c r="C564" s="1" t="n">
        <v>46033</v>
      </c>
      <c r="D564" t="inlineStr">
        <is>
          <t>VÄRMLANDS LÄN</t>
        </is>
      </c>
      <c r="E564" t="inlineStr">
        <is>
          <t>TORSBY</t>
        </is>
      </c>
      <c r="G564" t="n">
        <v>5.3</v>
      </c>
      <c r="H564" t="n">
        <v>0</v>
      </c>
      <c r="I564" t="n">
        <v>0</v>
      </c>
      <c r="J564" t="n">
        <v>0</v>
      </c>
      <c r="K564" t="n">
        <v>0</v>
      </c>
      <c r="L564" t="n">
        <v>0</v>
      </c>
      <c r="M564" t="n">
        <v>0</v>
      </c>
      <c r="N564" t="n">
        <v>0</v>
      </c>
      <c r="O564" t="n">
        <v>0</v>
      </c>
      <c r="P564" t="n">
        <v>0</v>
      </c>
      <c r="Q564" t="n">
        <v>0</v>
      </c>
      <c r="R564" s="2" t="inlineStr"/>
    </row>
    <row r="565" ht="15" customHeight="1">
      <c r="A565" t="inlineStr">
        <is>
          <t>A 24112-2025</t>
        </is>
      </c>
      <c r="B565" s="1" t="n">
        <v>45796</v>
      </c>
      <c r="C565" s="1" t="n">
        <v>46033</v>
      </c>
      <c r="D565" t="inlineStr">
        <is>
          <t>VÄRMLANDS LÄN</t>
        </is>
      </c>
      <c r="E565" t="inlineStr">
        <is>
          <t>TORSBY</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3536-2024</t>
        </is>
      </c>
      <c r="B566" s="1" t="n">
        <v>45320</v>
      </c>
      <c r="C566" s="1" t="n">
        <v>46033</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24260-2025</t>
        </is>
      </c>
      <c r="B567" s="1" t="n">
        <v>45797</v>
      </c>
      <c r="C567" s="1" t="n">
        <v>46033</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24425-2025</t>
        </is>
      </c>
      <c r="B568" s="1" t="n">
        <v>45797</v>
      </c>
      <c r="C568" s="1" t="n">
        <v>46033</v>
      </c>
      <c r="D568" t="inlineStr">
        <is>
          <t>VÄRMLANDS LÄN</t>
        </is>
      </c>
      <c r="E568" t="inlineStr">
        <is>
          <t>TORSBY</t>
        </is>
      </c>
      <c r="G568" t="n">
        <v>1.7</v>
      </c>
      <c r="H568" t="n">
        <v>0</v>
      </c>
      <c r="I568" t="n">
        <v>0</v>
      </c>
      <c r="J568" t="n">
        <v>0</v>
      </c>
      <c r="K568" t="n">
        <v>0</v>
      </c>
      <c r="L568" t="n">
        <v>0</v>
      </c>
      <c r="M568" t="n">
        <v>0</v>
      </c>
      <c r="N568" t="n">
        <v>0</v>
      </c>
      <c r="O568" t="n">
        <v>0</v>
      </c>
      <c r="P568" t="n">
        <v>0</v>
      </c>
      <c r="Q568" t="n">
        <v>0</v>
      </c>
      <c r="R568" s="2" t="inlineStr"/>
    </row>
    <row r="569" ht="15" customHeight="1">
      <c r="A569" t="inlineStr">
        <is>
          <t>A 53945-2023</t>
        </is>
      </c>
      <c r="B569" s="1" t="n">
        <v>45231.6009837963</v>
      </c>
      <c r="C569" s="1" t="n">
        <v>46033</v>
      </c>
      <c r="D569" t="inlineStr">
        <is>
          <t>VÄRMLANDS LÄN</t>
        </is>
      </c>
      <c r="E569" t="inlineStr">
        <is>
          <t>TORSBY</t>
        </is>
      </c>
      <c r="G569" t="n">
        <v>1.4</v>
      </c>
      <c r="H569" t="n">
        <v>0</v>
      </c>
      <c r="I569" t="n">
        <v>0</v>
      </c>
      <c r="J569" t="n">
        <v>0</v>
      </c>
      <c r="K569" t="n">
        <v>0</v>
      </c>
      <c r="L569" t="n">
        <v>0</v>
      </c>
      <c r="M569" t="n">
        <v>0</v>
      </c>
      <c r="N569" t="n">
        <v>0</v>
      </c>
      <c r="O569" t="n">
        <v>0</v>
      </c>
      <c r="P569" t="n">
        <v>0</v>
      </c>
      <c r="Q569" t="n">
        <v>0</v>
      </c>
      <c r="R569" s="2" t="inlineStr"/>
    </row>
    <row r="570" ht="15" customHeight="1">
      <c r="A570" t="inlineStr">
        <is>
          <t>A 40195-2025</t>
        </is>
      </c>
      <c r="B570" s="1" t="n">
        <v>45894.65922453703</v>
      </c>
      <c r="C570" s="1" t="n">
        <v>46033</v>
      </c>
      <c r="D570" t="inlineStr">
        <is>
          <t>VÄRMLANDS LÄN</t>
        </is>
      </c>
      <c r="E570" t="inlineStr">
        <is>
          <t>TORSBY</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24026-2025</t>
        </is>
      </c>
      <c r="B571" s="1" t="n">
        <v>45796.46841435185</v>
      </c>
      <c r="C571" s="1" t="n">
        <v>46033</v>
      </c>
      <c r="D571" t="inlineStr">
        <is>
          <t>VÄRMLANDS LÄN</t>
        </is>
      </c>
      <c r="E571" t="inlineStr">
        <is>
          <t>TORSBY</t>
        </is>
      </c>
      <c r="G571" t="n">
        <v>11.9</v>
      </c>
      <c r="H571" t="n">
        <v>0</v>
      </c>
      <c r="I571" t="n">
        <v>0</v>
      </c>
      <c r="J571" t="n">
        <v>0</v>
      </c>
      <c r="K571" t="n">
        <v>0</v>
      </c>
      <c r="L571" t="n">
        <v>0</v>
      </c>
      <c r="M571" t="n">
        <v>0</v>
      </c>
      <c r="N571" t="n">
        <v>0</v>
      </c>
      <c r="O571" t="n">
        <v>0</v>
      </c>
      <c r="P571" t="n">
        <v>0</v>
      </c>
      <c r="Q571" t="n">
        <v>0</v>
      </c>
      <c r="R571" s="2" t="inlineStr"/>
    </row>
    <row r="572" ht="15" customHeight="1">
      <c r="A572" t="inlineStr">
        <is>
          <t>A 9793-2024</t>
        </is>
      </c>
      <c r="B572" s="1" t="n">
        <v>45362.71013888889</v>
      </c>
      <c r="C572" s="1" t="n">
        <v>46033</v>
      </c>
      <c r="D572" t="inlineStr">
        <is>
          <t>VÄRMLANDS LÄN</t>
        </is>
      </c>
      <c r="E572" t="inlineStr">
        <is>
          <t>TORSBY</t>
        </is>
      </c>
      <c r="G572" t="n">
        <v>6</v>
      </c>
      <c r="H572" t="n">
        <v>0</v>
      </c>
      <c r="I572" t="n">
        <v>0</v>
      </c>
      <c r="J572" t="n">
        <v>0</v>
      </c>
      <c r="K572" t="n">
        <v>0</v>
      </c>
      <c r="L572" t="n">
        <v>0</v>
      </c>
      <c r="M572" t="n">
        <v>0</v>
      </c>
      <c r="N572" t="n">
        <v>0</v>
      </c>
      <c r="O572" t="n">
        <v>0</v>
      </c>
      <c r="P572" t="n">
        <v>0</v>
      </c>
      <c r="Q572" t="n">
        <v>0</v>
      </c>
      <c r="R572" s="2" t="inlineStr"/>
    </row>
    <row r="573" ht="15" customHeight="1">
      <c r="A573" t="inlineStr">
        <is>
          <t>A 24318-2025</t>
        </is>
      </c>
      <c r="B573" s="1" t="n">
        <v>45797.54879629629</v>
      </c>
      <c r="C573" s="1" t="n">
        <v>46033</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38257-2023</t>
        </is>
      </c>
      <c r="B574" s="1" t="n">
        <v>45161.58917824074</v>
      </c>
      <c r="C574" s="1" t="n">
        <v>46033</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40051-2025</t>
        </is>
      </c>
      <c r="B575" s="1" t="n">
        <v>45894.40730324074</v>
      </c>
      <c r="C575" s="1" t="n">
        <v>46033</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24251-2025</t>
        </is>
      </c>
      <c r="B576" s="1" t="n">
        <v>45797</v>
      </c>
      <c r="C576" s="1" t="n">
        <v>46033</v>
      </c>
      <c r="D576" t="inlineStr">
        <is>
          <t>VÄRMLANDS LÄN</t>
        </is>
      </c>
      <c r="E576" t="inlineStr">
        <is>
          <t>TORSBY</t>
        </is>
      </c>
      <c r="G576" t="n">
        <v>5.1</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46033</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11868-2025</t>
        </is>
      </c>
      <c r="B578" s="1" t="n">
        <v>45728.4225</v>
      </c>
      <c r="C578" s="1" t="n">
        <v>46033</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24411-2025</t>
        </is>
      </c>
      <c r="B579" s="1" t="n">
        <v>45797</v>
      </c>
      <c r="C579" s="1" t="n">
        <v>46033</v>
      </c>
      <c r="D579" t="inlineStr">
        <is>
          <t>VÄRMLANDS LÄN</t>
        </is>
      </c>
      <c r="E579" t="inlineStr">
        <is>
          <t>TORSBY</t>
        </is>
      </c>
      <c r="F579" t="inlineStr">
        <is>
          <t>Övriga statliga verk och myndigheter</t>
        </is>
      </c>
      <c r="G579" t="n">
        <v>3.2</v>
      </c>
      <c r="H579" t="n">
        <v>0</v>
      </c>
      <c r="I579" t="n">
        <v>0</v>
      </c>
      <c r="J579" t="n">
        <v>0</v>
      </c>
      <c r="K579" t="n">
        <v>0</v>
      </c>
      <c r="L579" t="n">
        <v>0</v>
      </c>
      <c r="M579" t="n">
        <v>0</v>
      </c>
      <c r="N579" t="n">
        <v>0</v>
      </c>
      <c r="O579" t="n">
        <v>0</v>
      </c>
      <c r="P579" t="n">
        <v>0</v>
      </c>
      <c r="Q579" t="n">
        <v>0</v>
      </c>
      <c r="R579" s="2" t="inlineStr"/>
    </row>
    <row r="580" ht="15" customHeight="1">
      <c r="A580" t="inlineStr">
        <is>
          <t>A 18096-2025</t>
        </is>
      </c>
      <c r="B580" s="1" t="n">
        <v>45761</v>
      </c>
      <c r="C580" s="1" t="n">
        <v>46033</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24827-2025</t>
        </is>
      </c>
      <c r="B581" s="1" t="n">
        <v>45799</v>
      </c>
      <c r="C581" s="1" t="n">
        <v>46033</v>
      </c>
      <c r="D581" t="inlineStr">
        <is>
          <t>VÄRMLANDS LÄN</t>
        </is>
      </c>
      <c r="E581" t="inlineStr">
        <is>
          <t>TORSBY</t>
        </is>
      </c>
      <c r="G581" t="n">
        <v>27.5</v>
      </c>
      <c r="H581" t="n">
        <v>0</v>
      </c>
      <c r="I581" t="n">
        <v>0</v>
      </c>
      <c r="J581" t="n">
        <v>0</v>
      </c>
      <c r="K581" t="n">
        <v>0</v>
      </c>
      <c r="L581" t="n">
        <v>0</v>
      </c>
      <c r="M581" t="n">
        <v>0</v>
      </c>
      <c r="N581" t="n">
        <v>0</v>
      </c>
      <c r="O581" t="n">
        <v>0</v>
      </c>
      <c r="P581" t="n">
        <v>0</v>
      </c>
      <c r="Q581" t="n">
        <v>0</v>
      </c>
      <c r="R581" s="2" t="inlineStr"/>
    </row>
    <row r="582" ht="15" customHeight="1">
      <c r="A582" t="inlineStr">
        <is>
          <t>A 11143-2024</t>
        </is>
      </c>
      <c r="B582" s="1" t="n">
        <v>45371</v>
      </c>
      <c r="C582" s="1" t="n">
        <v>46033</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51694-2025</t>
        </is>
      </c>
      <c r="B583" s="1" t="n">
        <v>45951.54628472222</v>
      </c>
      <c r="C583" s="1" t="n">
        <v>46033</v>
      </c>
      <c r="D583" t="inlineStr">
        <is>
          <t>VÄRMLANDS LÄN</t>
        </is>
      </c>
      <c r="E583" t="inlineStr">
        <is>
          <t>TORSBY</t>
        </is>
      </c>
      <c r="F583" t="inlineStr">
        <is>
          <t>Bergvik skog väst AB</t>
        </is>
      </c>
      <c r="G583" t="n">
        <v>7.5</v>
      </c>
      <c r="H583" t="n">
        <v>0</v>
      </c>
      <c r="I583" t="n">
        <v>0</v>
      </c>
      <c r="J583" t="n">
        <v>0</v>
      </c>
      <c r="K583" t="n">
        <v>0</v>
      </c>
      <c r="L583" t="n">
        <v>0</v>
      </c>
      <c r="M583" t="n">
        <v>0</v>
      </c>
      <c r="N583" t="n">
        <v>0</v>
      </c>
      <c r="O583" t="n">
        <v>0</v>
      </c>
      <c r="P583" t="n">
        <v>0</v>
      </c>
      <c r="Q583" t="n">
        <v>0</v>
      </c>
      <c r="R583" s="2" t="inlineStr"/>
    </row>
    <row r="584" ht="15" customHeight="1">
      <c r="A584" t="inlineStr">
        <is>
          <t>A 24726-2025</t>
        </is>
      </c>
      <c r="B584" s="1" t="n">
        <v>45799.32805555555</v>
      </c>
      <c r="C584" s="1" t="n">
        <v>46033</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46033</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19662-2025</t>
        </is>
      </c>
      <c r="B586" s="1" t="n">
        <v>45770</v>
      </c>
      <c r="C586" s="1" t="n">
        <v>46033</v>
      </c>
      <c r="D586" t="inlineStr">
        <is>
          <t>VÄRMLANDS LÄN</t>
        </is>
      </c>
      <c r="E586" t="inlineStr">
        <is>
          <t>TORSBY</t>
        </is>
      </c>
      <c r="F586" t="inlineStr">
        <is>
          <t>Bergvik skog väst AB</t>
        </is>
      </c>
      <c r="G586" t="n">
        <v>11.6</v>
      </c>
      <c r="H586" t="n">
        <v>0</v>
      </c>
      <c r="I586" t="n">
        <v>0</v>
      </c>
      <c r="J586" t="n">
        <v>0</v>
      </c>
      <c r="K586" t="n">
        <v>0</v>
      </c>
      <c r="L586" t="n">
        <v>0</v>
      </c>
      <c r="M586" t="n">
        <v>0</v>
      </c>
      <c r="N586" t="n">
        <v>0</v>
      </c>
      <c r="O586" t="n">
        <v>0</v>
      </c>
      <c r="P586" t="n">
        <v>0</v>
      </c>
      <c r="Q586" t="n">
        <v>0</v>
      </c>
      <c r="R586" s="2" t="inlineStr"/>
    </row>
    <row r="587" ht="15" customHeight="1">
      <c r="A587" t="inlineStr">
        <is>
          <t>A 40128-2025</t>
        </is>
      </c>
      <c r="B587" s="1" t="n">
        <v>45894</v>
      </c>
      <c r="C587" s="1" t="n">
        <v>46033</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23843-2024</t>
        </is>
      </c>
      <c r="B588" s="1" t="n">
        <v>45455</v>
      </c>
      <c r="C588" s="1" t="n">
        <v>46033</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19763-2025</t>
        </is>
      </c>
      <c r="B589" s="1" t="n">
        <v>45771.40707175926</v>
      </c>
      <c r="C589" s="1" t="n">
        <v>46033</v>
      </c>
      <c r="D589" t="inlineStr">
        <is>
          <t>VÄRMLANDS LÄN</t>
        </is>
      </c>
      <c r="E589" t="inlineStr">
        <is>
          <t>TORSBY</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40729-2025</t>
        </is>
      </c>
      <c r="B590" s="1" t="n">
        <v>45897.35421296296</v>
      </c>
      <c r="C590" s="1" t="n">
        <v>46033</v>
      </c>
      <c r="D590" t="inlineStr">
        <is>
          <t>VÄRMLANDS LÄN</t>
        </is>
      </c>
      <c r="E590" t="inlineStr">
        <is>
          <t>TORSBY</t>
        </is>
      </c>
      <c r="F590" t="inlineStr">
        <is>
          <t>Bergvik skog väst AB</t>
        </is>
      </c>
      <c r="G590" t="n">
        <v>25.4</v>
      </c>
      <c r="H590" t="n">
        <v>0</v>
      </c>
      <c r="I590" t="n">
        <v>0</v>
      </c>
      <c r="J590" t="n">
        <v>0</v>
      </c>
      <c r="K590" t="n">
        <v>0</v>
      </c>
      <c r="L590" t="n">
        <v>0</v>
      </c>
      <c r="M590" t="n">
        <v>0</v>
      </c>
      <c r="N590" t="n">
        <v>0</v>
      </c>
      <c r="O590" t="n">
        <v>0</v>
      </c>
      <c r="P590" t="n">
        <v>0</v>
      </c>
      <c r="Q590" t="n">
        <v>0</v>
      </c>
      <c r="R590" s="2" t="inlineStr"/>
    </row>
    <row r="591" ht="15" customHeight="1">
      <c r="A591" t="inlineStr">
        <is>
          <t>A 9226-2025</t>
        </is>
      </c>
      <c r="B591" s="1" t="n">
        <v>45714</v>
      </c>
      <c r="C591" s="1" t="n">
        <v>46033</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24528-2025</t>
        </is>
      </c>
      <c r="B592" s="1" t="n">
        <v>45798.42680555556</v>
      </c>
      <c r="C592" s="1" t="n">
        <v>46033</v>
      </c>
      <c r="D592" t="inlineStr">
        <is>
          <t>VÄRMLANDS LÄN</t>
        </is>
      </c>
      <c r="E592" t="inlineStr">
        <is>
          <t>TORSBY</t>
        </is>
      </c>
      <c r="G592" t="n">
        <v>5.8</v>
      </c>
      <c r="H592" t="n">
        <v>0</v>
      </c>
      <c r="I592" t="n">
        <v>0</v>
      </c>
      <c r="J592" t="n">
        <v>0</v>
      </c>
      <c r="K592" t="n">
        <v>0</v>
      </c>
      <c r="L592" t="n">
        <v>0</v>
      </c>
      <c r="M592" t="n">
        <v>0</v>
      </c>
      <c r="N592" t="n">
        <v>0</v>
      </c>
      <c r="O592" t="n">
        <v>0</v>
      </c>
      <c r="P592" t="n">
        <v>0</v>
      </c>
      <c r="Q592" t="n">
        <v>0</v>
      </c>
      <c r="R592" s="2" t="inlineStr"/>
    </row>
    <row r="593" ht="15" customHeight="1">
      <c r="A593" t="inlineStr">
        <is>
          <t>A 47602-2021</t>
        </is>
      </c>
      <c r="B593" s="1" t="n">
        <v>44448</v>
      </c>
      <c r="C593" s="1" t="n">
        <v>46033</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24597-2025</t>
        </is>
      </c>
      <c r="B594" s="1" t="n">
        <v>45798</v>
      </c>
      <c r="C594" s="1" t="n">
        <v>46033</v>
      </c>
      <c r="D594" t="inlineStr">
        <is>
          <t>VÄRMLANDS LÄN</t>
        </is>
      </c>
      <c r="E594" t="inlineStr">
        <is>
          <t>TORSBY</t>
        </is>
      </c>
      <c r="F594" t="inlineStr">
        <is>
          <t>Övriga statliga verk och myndigheter</t>
        </is>
      </c>
      <c r="G594" t="n">
        <v>4</v>
      </c>
      <c r="H594" t="n">
        <v>0</v>
      </c>
      <c r="I594" t="n">
        <v>0</v>
      </c>
      <c r="J594" t="n">
        <v>0</v>
      </c>
      <c r="K594" t="n">
        <v>0</v>
      </c>
      <c r="L594" t="n">
        <v>0</v>
      </c>
      <c r="M594" t="n">
        <v>0</v>
      </c>
      <c r="N594" t="n">
        <v>0</v>
      </c>
      <c r="O594" t="n">
        <v>0</v>
      </c>
      <c r="P594" t="n">
        <v>0</v>
      </c>
      <c r="Q594" t="n">
        <v>0</v>
      </c>
      <c r="R594" s="2" t="inlineStr"/>
    </row>
    <row r="595" ht="15" customHeight="1">
      <c r="A595" t="inlineStr">
        <is>
          <t>A 44838-2024</t>
        </is>
      </c>
      <c r="B595" s="1" t="n">
        <v>45574.7069675926</v>
      </c>
      <c r="C595" s="1" t="n">
        <v>46033</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24599-2025</t>
        </is>
      </c>
      <c r="B596" s="1" t="n">
        <v>45798.56230324074</v>
      </c>
      <c r="C596" s="1" t="n">
        <v>46033</v>
      </c>
      <c r="D596" t="inlineStr">
        <is>
          <t>VÄRMLANDS LÄN</t>
        </is>
      </c>
      <c r="E596" t="inlineStr">
        <is>
          <t>TORSBY</t>
        </is>
      </c>
      <c r="G596" t="n">
        <v>2.6</v>
      </c>
      <c r="H596" t="n">
        <v>0</v>
      </c>
      <c r="I596" t="n">
        <v>0</v>
      </c>
      <c r="J596" t="n">
        <v>0</v>
      </c>
      <c r="K596" t="n">
        <v>0</v>
      </c>
      <c r="L596" t="n">
        <v>0</v>
      </c>
      <c r="M596" t="n">
        <v>0</v>
      </c>
      <c r="N596" t="n">
        <v>0</v>
      </c>
      <c r="O596" t="n">
        <v>0</v>
      </c>
      <c r="P596" t="n">
        <v>0</v>
      </c>
      <c r="Q596" t="n">
        <v>0</v>
      </c>
      <c r="R596" s="2" t="inlineStr"/>
    </row>
    <row r="597" ht="15" customHeight="1">
      <c r="A597" t="inlineStr">
        <is>
          <t>A 24607-2025</t>
        </is>
      </c>
      <c r="B597" s="1" t="n">
        <v>45798.57608796296</v>
      </c>
      <c r="C597" s="1" t="n">
        <v>46033</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15768-2025</t>
        </is>
      </c>
      <c r="B598" s="1" t="n">
        <v>45748.58782407407</v>
      </c>
      <c r="C598" s="1" t="n">
        <v>46033</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7221-2024</t>
        </is>
      </c>
      <c r="B599" s="1" t="n">
        <v>45344.63927083334</v>
      </c>
      <c r="C599" s="1" t="n">
        <v>46033</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32319-2024</t>
        </is>
      </c>
      <c r="B600" s="1" t="n">
        <v>45512.4621875</v>
      </c>
      <c r="C600" s="1" t="n">
        <v>46033</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52314-2024</t>
        </is>
      </c>
      <c r="B601" s="1" t="n">
        <v>45608.87075231481</v>
      </c>
      <c r="C601" s="1" t="n">
        <v>46033</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39767-2024</t>
        </is>
      </c>
      <c r="B602" s="1" t="n">
        <v>45552</v>
      </c>
      <c r="C602" s="1" t="n">
        <v>46033</v>
      </c>
      <c r="D602" t="inlineStr">
        <is>
          <t>VÄRMLANDS LÄN</t>
        </is>
      </c>
      <c r="E602" t="inlineStr">
        <is>
          <t>TORSBY</t>
        </is>
      </c>
      <c r="G602" t="n">
        <v>7</v>
      </c>
      <c r="H602" t="n">
        <v>0</v>
      </c>
      <c r="I602" t="n">
        <v>0</v>
      </c>
      <c r="J602" t="n">
        <v>0</v>
      </c>
      <c r="K602" t="n">
        <v>0</v>
      </c>
      <c r="L602" t="n">
        <v>0</v>
      </c>
      <c r="M602" t="n">
        <v>0</v>
      </c>
      <c r="N602" t="n">
        <v>0</v>
      </c>
      <c r="O602" t="n">
        <v>0</v>
      </c>
      <c r="P602" t="n">
        <v>0</v>
      </c>
      <c r="Q602" t="n">
        <v>0</v>
      </c>
      <c r="R602" s="2" t="inlineStr"/>
    </row>
    <row r="603" ht="15" customHeight="1">
      <c r="A603" t="inlineStr">
        <is>
          <t>A 39772-2024</t>
        </is>
      </c>
      <c r="B603" s="1" t="n">
        <v>45552</v>
      </c>
      <c r="C603" s="1" t="n">
        <v>46033</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32588-2024</t>
        </is>
      </c>
      <c r="B604" s="1" t="n">
        <v>45513.59612268519</v>
      </c>
      <c r="C604" s="1" t="n">
        <v>46033</v>
      </c>
      <c r="D604" t="inlineStr">
        <is>
          <t>VÄRMLANDS LÄN</t>
        </is>
      </c>
      <c r="E604" t="inlineStr">
        <is>
          <t>TORSBY</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33227-2024</t>
        </is>
      </c>
      <c r="B605" s="1" t="n">
        <v>45518.5708912037</v>
      </c>
      <c r="C605" s="1" t="n">
        <v>46033</v>
      </c>
      <c r="D605" t="inlineStr">
        <is>
          <t>VÄRMLANDS LÄN</t>
        </is>
      </c>
      <c r="E605" t="inlineStr">
        <is>
          <t>TORSBY</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40519-2025</t>
        </is>
      </c>
      <c r="B606" s="1" t="n">
        <v>45896.3640162037</v>
      </c>
      <c r="C606" s="1" t="n">
        <v>46033</v>
      </c>
      <c r="D606" t="inlineStr">
        <is>
          <t>VÄRMLANDS LÄN</t>
        </is>
      </c>
      <c r="E606" t="inlineStr">
        <is>
          <t>TORSBY</t>
        </is>
      </c>
      <c r="F606" t="inlineStr">
        <is>
          <t>Bergvik skog väst AB</t>
        </is>
      </c>
      <c r="G606" t="n">
        <v>0.4</v>
      </c>
      <c r="H606" t="n">
        <v>0</v>
      </c>
      <c r="I606" t="n">
        <v>0</v>
      </c>
      <c r="J606" t="n">
        <v>0</v>
      </c>
      <c r="K606" t="n">
        <v>0</v>
      </c>
      <c r="L606" t="n">
        <v>0</v>
      </c>
      <c r="M606" t="n">
        <v>0</v>
      </c>
      <c r="N606" t="n">
        <v>0</v>
      </c>
      <c r="O606" t="n">
        <v>0</v>
      </c>
      <c r="P606" t="n">
        <v>0</v>
      </c>
      <c r="Q606" t="n">
        <v>0</v>
      </c>
      <c r="R606" s="2" t="inlineStr"/>
    </row>
    <row r="607" ht="15" customHeight="1">
      <c r="A607" t="inlineStr">
        <is>
          <t>A 25050-2025</t>
        </is>
      </c>
      <c r="B607" s="1" t="n">
        <v>45799</v>
      </c>
      <c r="C607" s="1" t="n">
        <v>46033</v>
      </c>
      <c r="D607" t="inlineStr">
        <is>
          <t>VÄRMLANDS LÄN</t>
        </is>
      </c>
      <c r="E607" t="inlineStr">
        <is>
          <t>TORSBY</t>
        </is>
      </c>
      <c r="F607" t="inlineStr">
        <is>
          <t>Bergvik skog väst AB</t>
        </is>
      </c>
      <c r="G607" t="n">
        <v>39.7</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46033</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24757-2025</t>
        </is>
      </c>
      <c r="B609" s="1" t="n">
        <v>45799</v>
      </c>
      <c r="C609" s="1" t="n">
        <v>46033</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25866-2025</t>
        </is>
      </c>
      <c r="B610" s="1" t="n">
        <v>45804.48143518518</v>
      </c>
      <c r="C610" s="1" t="n">
        <v>46033</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41168-2025</t>
        </is>
      </c>
      <c r="B611" s="1" t="n">
        <v>45898</v>
      </c>
      <c r="C611" s="1" t="n">
        <v>46033</v>
      </c>
      <c r="D611" t="inlineStr">
        <is>
          <t>VÄRMLANDS LÄN</t>
        </is>
      </c>
      <c r="E611" t="inlineStr">
        <is>
          <t>TORSBY</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51587-2025</t>
        </is>
      </c>
      <c r="B612" s="1" t="n">
        <v>45951.35355324074</v>
      </c>
      <c r="C612" s="1" t="n">
        <v>46033</v>
      </c>
      <c r="D612" t="inlineStr">
        <is>
          <t>VÄRMLANDS LÄN</t>
        </is>
      </c>
      <c r="E612" t="inlineStr">
        <is>
          <t>TORSBY</t>
        </is>
      </c>
      <c r="G612" t="n">
        <v>9</v>
      </c>
      <c r="H612" t="n">
        <v>0</v>
      </c>
      <c r="I612" t="n">
        <v>0</v>
      </c>
      <c r="J612" t="n">
        <v>0</v>
      </c>
      <c r="K612" t="n">
        <v>0</v>
      </c>
      <c r="L612" t="n">
        <v>0</v>
      </c>
      <c r="M612" t="n">
        <v>0</v>
      </c>
      <c r="N612" t="n">
        <v>0</v>
      </c>
      <c r="O612" t="n">
        <v>0</v>
      </c>
      <c r="P612" t="n">
        <v>0</v>
      </c>
      <c r="Q612" t="n">
        <v>0</v>
      </c>
      <c r="R612" s="2" t="inlineStr"/>
    </row>
    <row r="613" ht="15" customHeight="1">
      <c r="A613" t="inlineStr">
        <is>
          <t>A 11672-2025</t>
        </is>
      </c>
      <c r="B613" s="1" t="n">
        <v>45727</v>
      </c>
      <c r="C613" s="1" t="n">
        <v>46033</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41416-2025</t>
        </is>
      </c>
      <c r="B614" s="1" t="n">
        <v>45901</v>
      </c>
      <c r="C614" s="1" t="n">
        <v>46033</v>
      </c>
      <c r="D614" t="inlineStr">
        <is>
          <t>VÄRMLANDS LÄN</t>
        </is>
      </c>
      <c r="E614" t="inlineStr">
        <is>
          <t>TORSBY</t>
        </is>
      </c>
      <c r="G614" t="n">
        <v>7.8</v>
      </c>
      <c r="H614" t="n">
        <v>0</v>
      </c>
      <c r="I614" t="n">
        <v>0</v>
      </c>
      <c r="J614" t="n">
        <v>0</v>
      </c>
      <c r="K614" t="n">
        <v>0</v>
      </c>
      <c r="L614" t="n">
        <v>0</v>
      </c>
      <c r="M614" t="n">
        <v>0</v>
      </c>
      <c r="N614" t="n">
        <v>0</v>
      </c>
      <c r="O614" t="n">
        <v>0</v>
      </c>
      <c r="P614" t="n">
        <v>0</v>
      </c>
      <c r="Q614" t="n">
        <v>0</v>
      </c>
      <c r="R614" s="2" t="inlineStr"/>
    </row>
    <row r="615" ht="15" customHeight="1">
      <c r="A615" t="inlineStr">
        <is>
          <t>A 24967-2025</t>
        </is>
      </c>
      <c r="B615" s="1" t="n">
        <v>45799.58332175926</v>
      </c>
      <c r="C615" s="1" t="n">
        <v>46033</v>
      </c>
      <c r="D615" t="inlineStr">
        <is>
          <t>VÄRMLANDS LÄN</t>
        </is>
      </c>
      <c r="E615" t="inlineStr">
        <is>
          <t>TORSBY</t>
        </is>
      </c>
      <c r="F615" t="inlineStr">
        <is>
          <t>Bergvik skog väst AB</t>
        </is>
      </c>
      <c r="G615" t="n">
        <v>17.6</v>
      </c>
      <c r="H615" t="n">
        <v>0</v>
      </c>
      <c r="I615" t="n">
        <v>0</v>
      </c>
      <c r="J615" t="n">
        <v>0</v>
      </c>
      <c r="K615" t="n">
        <v>0</v>
      </c>
      <c r="L615" t="n">
        <v>0</v>
      </c>
      <c r="M615" t="n">
        <v>0</v>
      </c>
      <c r="N615" t="n">
        <v>0</v>
      </c>
      <c r="O615" t="n">
        <v>0</v>
      </c>
      <c r="P615" t="n">
        <v>0</v>
      </c>
      <c r="Q615" t="n">
        <v>0</v>
      </c>
      <c r="R615" s="2" t="inlineStr"/>
    </row>
    <row r="616" ht="15" customHeight="1">
      <c r="A616" t="inlineStr">
        <is>
          <t>A 57785-2024</t>
        </is>
      </c>
      <c r="B616" s="1" t="n">
        <v>45631</v>
      </c>
      <c r="C616" s="1" t="n">
        <v>46033</v>
      </c>
      <c r="D616" t="inlineStr">
        <is>
          <t>VÄRMLANDS LÄN</t>
        </is>
      </c>
      <c r="E616" t="inlineStr">
        <is>
          <t>TORSBY</t>
        </is>
      </c>
      <c r="F616" t="inlineStr">
        <is>
          <t>Bergvik skog väst AB</t>
        </is>
      </c>
      <c r="G616" t="n">
        <v>10.9</v>
      </c>
      <c r="H616" t="n">
        <v>0</v>
      </c>
      <c r="I616" t="n">
        <v>0</v>
      </c>
      <c r="J616" t="n">
        <v>0</v>
      </c>
      <c r="K616" t="n">
        <v>0</v>
      </c>
      <c r="L616" t="n">
        <v>0</v>
      </c>
      <c r="M616" t="n">
        <v>0</v>
      </c>
      <c r="N616" t="n">
        <v>0</v>
      </c>
      <c r="O616" t="n">
        <v>0</v>
      </c>
      <c r="P616" t="n">
        <v>0</v>
      </c>
      <c r="Q616" t="n">
        <v>0</v>
      </c>
      <c r="R616" s="2" t="inlineStr"/>
    </row>
    <row r="617" ht="15" customHeight="1">
      <c r="A617" t="inlineStr">
        <is>
          <t>A 41232-2025</t>
        </is>
      </c>
      <c r="B617" s="1" t="n">
        <v>45898</v>
      </c>
      <c r="C617" s="1" t="n">
        <v>46033</v>
      </c>
      <c r="D617" t="inlineStr">
        <is>
          <t>VÄRMLANDS LÄN</t>
        </is>
      </c>
      <c r="E617" t="inlineStr">
        <is>
          <t>TORSBY</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51659-2025</t>
        </is>
      </c>
      <c r="B618" s="1" t="n">
        <v>45951.47482638889</v>
      </c>
      <c r="C618" s="1" t="n">
        <v>46033</v>
      </c>
      <c r="D618" t="inlineStr">
        <is>
          <t>VÄRMLANDS LÄN</t>
        </is>
      </c>
      <c r="E618" t="inlineStr">
        <is>
          <t>TORSBY</t>
        </is>
      </c>
      <c r="G618" t="n">
        <v>3.8</v>
      </c>
      <c r="H618" t="n">
        <v>0</v>
      </c>
      <c r="I618" t="n">
        <v>0</v>
      </c>
      <c r="J618" t="n">
        <v>0</v>
      </c>
      <c r="K618" t="n">
        <v>0</v>
      </c>
      <c r="L618" t="n">
        <v>0</v>
      </c>
      <c r="M618" t="n">
        <v>0</v>
      </c>
      <c r="N618" t="n">
        <v>0</v>
      </c>
      <c r="O618" t="n">
        <v>0</v>
      </c>
      <c r="P618" t="n">
        <v>0</v>
      </c>
      <c r="Q618" t="n">
        <v>0</v>
      </c>
      <c r="R618" s="2" t="inlineStr"/>
    </row>
    <row r="619" ht="15" customHeight="1">
      <c r="A619" t="inlineStr">
        <is>
          <t>A 33149-2025</t>
        </is>
      </c>
      <c r="B619" s="1" t="n">
        <v>45840.54246527778</v>
      </c>
      <c r="C619" s="1" t="n">
        <v>46033</v>
      </c>
      <c r="D619" t="inlineStr">
        <is>
          <t>VÄRMLANDS LÄN</t>
        </is>
      </c>
      <c r="E619" t="inlineStr">
        <is>
          <t>TORSBY</t>
        </is>
      </c>
      <c r="G619" t="n">
        <v>2.8</v>
      </c>
      <c r="H619" t="n">
        <v>0</v>
      </c>
      <c r="I619" t="n">
        <v>0</v>
      </c>
      <c r="J619" t="n">
        <v>0</v>
      </c>
      <c r="K619" t="n">
        <v>0</v>
      </c>
      <c r="L619" t="n">
        <v>0</v>
      </c>
      <c r="M619" t="n">
        <v>0</v>
      </c>
      <c r="N619" t="n">
        <v>0</v>
      </c>
      <c r="O619" t="n">
        <v>0</v>
      </c>
      <c r="P619" t="n">
        <v>0</v>
      </c>
      <c r="Q619" t="n">
        <v>0</v>
      </c>
      <c r="R619" s="2" t="inlineStr"/>
    </row>
    <row r="620" ht="15" customHeight="1">
      <c r="A620" t="inlineStr">
        <is>
          <t>A 41137-2025</t>
        </is>
      </c>
      <c r="B620" s="1" t="n">
        <v>45898</v>
      </c>
      <c r="C620" s="1" t="n">
        <v>46033</v>
      </c>
      <c r="D620" t="inlineStr">
        <is>
          <t>VÄRMLANDS LÄN</t>
        </is>
      </c>
      <c r="E620" t="inlineStr">
        <is>
          <t>TORSBY</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50494-2024</t>
        </is>
      </c>
      <c r="B621" s="1" t="n">
        <v>45601.50818287037</v>
      </c>
      <c r="C621" s="1" t="n">
        <v>46033</v>
      </c>
      <c r="D621" t="inlineStr">
        <is>
          <t>VÄRMLANDS LÄN</t>
        </is>
      </c>
      <c r="E621" t="inlineStr">
        <is>
          <t>TORSBY</t>
        </is>
      </c>
      <c r="G621" t="n">
        <v>5.4</v>
      </c>
      <c r="H621" t="n">
        <v>0</v>
      </c>
      <c r="I621" t="n">
        <v>0</v>
      </c>
      <c r="J621" t="n">
        <v>0</v>
      </c>
      <c r="K621" t="n">
        <v>0</v>
      </c>
      <c r="L621" t="n">
        <v>0</v>
      </c>
      <c r="M621" t="n">
        <v>0</v>
      </c>
      <c r="N621" t="n">
        <v>0</v>
      </c>
      <c r="O621" t="n">
        <v>0</v>
      </c>
      <c r="P621" t="n">
        <v>0</v>
      </c>
      <c r="Q621" t="n">
        <v>0</v>
      </c>
      <c r="R621" s="2" t="inlineStr"/>
    </row>
    <row r="622" ht="15" customHeight="1">
      <c r="A622" t="inlineStr">
        <is>
          <t>A 41124-2025</t>
        </is>
      </c>
      <c r="B622" s="1" t="n">
        <v>45898.47166666666</v>
      </c>
      <c r="C622" s="1" t="n">
        <v>46033</v>
      </c>
      <c r="D622" t="inlineStr">
        <is>
          <t>VÄRMLANDS LÄN</t>
        </is>
      </c>
      <c r="E622" t="inlineStr">
        <is>
          <t>TORSBY</t>
        </is>
      </c>
      <c r="F622" t="inlineStr">
        <is>
          <t>Bergvik skog väst AB</t>
        </is>
      </c>
      <c r="G622" t="n">
        <v>8.9</v>
      </c>
      <c r="H622" t="n">
        <v>0</v>
      </c>
      <c r="I622" t="n">
        <v>0</v>
      </c>
      <c r="J622" t="n">
        <v>0</v>
      </c>
      <c r="K622" t="n">
        <v>0</v>
      </c>
      <c r="L622" t="n">
        <v>0</v>
      </c>
      <c r="M622" t="n">
        <v>0</v>
      </c>
      <c r="N622" t="n">
        <v>0</v>
      </c>
      <c r="O622" t="n">
        <v>0</v>
      </c>
      <c r="P622" t="n">
        <v>0</v>
      </c>
      <c r="Q622" t="n">
        <v>0</v>
      </c>
      <c r="R622" s="2" t="inlineStr"/>
    </row>
    <row r="623" ht="15" customHeight="1">
      <c r="A623" t="inlineStr">
        <is>
          <t>A 54162-2023</t>
        </is>
      </c>
      <c r="B623" s="1" t="n">
        <v>45232.47539351852</v>
      </c>
      <c r="C623" s="1" t="n">
        <v>46033</v>
      </c>
      <c r="D623" t="inlineStr">
        <is>
          <t>VÄRMLANDS LÄN</t>
        </is>
      </c>
      <c r="E623" t="inlineStr">
        <is>
          <t>TORSBY</t>
        </is>
      </c>
      <c r="F623" t="inlineStr">
        <is>
          <t>Bergvik skog väst AB</t>
        </is>
      </c>
      <c r="G623" t="n">
        <v>8.4</v>
      </c>
      <c r="H623" t="n">
        <v>0</v>
      </c>
      <c r="I623" t="n">
        <v>0</v>
      </c>
      <c r="J623" t="n">
        <v>0</v>
      </c>
      <c r="K623" t="n">
        <v>0</v>
      </c>
      <c r="L623" t="n">
        <v>0</v>
      </c>
      <c r="M623" t="n">
        <v>0</v>
      </c>
      <c r="N623" t="n">
        <v>0</v>
      </c>
      <c r="O623" t="n">
        <v>0</v>
      </c>
      <c r="P623" t="n">
        <v>0</v>
      </c>
      <c r="Q623" t="n">
        <v>0</v>
      </c>
      <c r="R623" s="2" t="inlineStr"/>
    </row>
    <row r="624" ht="15" customHeight="1">
      <c r="A624" t="inlineStr">
        <is>
          <t>A 54191-2023</t>
        </is>
      </c>
      <c r="B624" s="1" t="n">
        <v>45232</v>
      </c>
      <c r="C624" s="1" t="n">
        <v>46033</v>
      </c>
      <c r="D624" t="inlineStr">
        <is>
          <t>VÄRMLANDS LÄN</t>
        </is>
      </c>
      <c r="E624" t="inlineStr">
        <is>
          <t>TORSBY</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41209-2025</t>
        </is>
      </c>
      <c r="B625" s="1" t="n">
        <v>45898</v>
      </c>
      <c r="C625" s="1" t="n">
        <v>46033</v>
      </c>
      <c r="D625" t="inlineStr">
        <is>
          <t>VÄRMLANDS LÄN</t>
        </is>
      </c>
      <c r="E625" t="inlineStr">
        <is>
          <t>TORSBY</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27144-2024</t>
        </is>
      </c>
      <c r="B626" s="1" t="n">
        <v>45471.55459490741</v>
      </c>
      <c r="C626" s="1" t="n">
        <v>46033</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25653-2025</t>
        </is>
      </c>
      <c r="B627" s="1" t="n">
        <v>45803.61072916666</v>
      </c>
      <c r="C627" s="1" t="n">
        <v>46033</v>
      </c>
      <c r="D627" t="inlineStr">
        <is>
          <t>VÄRMLANDS LÄN</t>
        </is>
      </c>
      <c r="E627" t="inlineStr">
        <is>
          <t>TORSBY</t>
        </is>
      </c>
      <c r="F627" t="inlineStr">
        <is>
          <t>Bergvik skog väst AB</t>
        </is>
      </c>
      <c r="G627" t="n">
        <v>6.1</v>
      </c>
      <c r="H627" t="n">
        <v>0</v>
      </c>
      <c r="I627" t="n">
        <v>0</v>
      </c>
      <c r="J627" t="n">
        <v>0</v>
      </c>
      <c r="K627" t="n">
        <v>0</v>
      </c>
      <c r="L627" t="n">
        <v>0</v>
      </c>
      <c r="M627" t="n">
        <v>0</v>
      </c>
      <c r="N627" t="n">
        <v>0</v>
      </c>
      <c r="O627" t="n">
        <v>0</v>
      </c>
      <c r="P627" t="n">
        <v>0</v>
      </c>
      <c r="Q627" t="n">
        <v>0</v>
      </c>
      <c r="R627" s="2" t="inlineStr"/>
    </row>
    <row r="628" ht="15" customHeight="1">
      <c r="A628" t="inlineStr">
        <is>
          <t>A 26799-2024</t>
        </is>
      </c>
      <c r="B628" s="1" t="n">
        <v>45470.5071875</v>
      </c>
      <c r="C628" s="1" t="n">
        <v>46033</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41478-2025</t>
        </is>
      </c>
      <c r="B629" s="1" t="n">
        <v>45901</v>
      </c>
      <c r="C629" s="1" t="n">
        <v>46033</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25508-2025</t>
        </is>
      </c>
      <c r="B630" s="1" t="n">
        <v>45803.35520833333</v>
      </c>
      <c r="C630" s="1" t="n">
        <v>46033</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41293-2025</t>
        </is>
      </c>
      <c r="B631" s="1" t="n">
        <v>45898</v>
      </c>
      <c r="C631" s="1" t="n">
        <v>46033</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40546-2024</t>
        </is>
      </c>
      <c r="B632" s="1" t="n">
        <v>45555</v>
      </c>
      <c r="C632" s="1" t="n">
        <v>46033</v>
      </c>
      <c r="D632" t="inlineStr">
        <is>
          <t>VÄRMLANDS LÄN</t>
        </is>
      </c>
      <c r="E632" t="inlineStr">
        <is>
          <t>TORSBY</t>
        </is>
      </c>
      <c r="F632" t="inlineStr">
        <is>
          <t>Bergvik skog väst AB</t>
        </is>
      </c>
      <c r="G632" t="n">
        <v>13.9</v>
      </c>
      <c r="H632" t="n">
        <v>0</v>
      </c>
      <c r="I632" t="n">
        <v>0</v>
      </c>
      <c r="J632" t="n">
        <v>0</v>
      </c>
      <c r="K632" t="n">
        <v>0</v>
      </c>
      <c r="L632" t="n">
        <v>0</v>
      </c>
      <c r="M632" t="n">
        <v>0</v>
      </c>
      <c r="N632" t="n">
        <v>0</v>
      </c>
      <c r="O632" t="n">
        <v>0</v>
      </c>
      <c r="P632" t="n">
        <v>0</v>
      </c>
      <c r="Q632" t="n">
        <v>0</v>
      </c>
      <c r="R632" s="2" t="inlineStr"/>
    </row>
    <row r="633" ht="15" customHeight="1">
      <c r="A633" t="inlineStr">
        <is>
          <t>A 41189-2025</t>
        </is>
      </c>
      <c r="B633" s="1" t="n">
        <v>45898</v>
      </c>
      <c r="C633" s="1" t="n">
        <v>46033</v>
      </c>
      <c r="D633" t="inlineStr">
        <is>
          <t>VÄRMLANDS LÄN</t>
        </is>
      </c>
      <c r="E633" t="inlineStr">
        <is>
          <t>TORSBY</t>
        </is>
      </c>
      <c r="F633" t="inlineStr">
        <is>
          <t>Övriga Aktiebolag</t>
        </is>
      </c>
      <c r="G633" t="n">
        <v>10.3</v>
      </c>
      <c r="H633" t="n">
        <v>0</v>
      </c>
      <c r="I633" t="n">
        <v>0</v>
      </c>
      <c r="J633" t="n">
        <v>0</v>
      </c>
      <c r="K633" t="n">
        <v>0</v>
      </c>
      <c r="L633" t="n">
        <v>0</v>
      </c>
      <c r="M633" t="n">
        <v>0</v>
      </c>
      <c r="N633" t="n">
        <v>0</v>
      </c>
      <c r="O633" t="n">
        <v>0</v>
      </c>
      <c r="P633" t="n">
        <v>0</v>
      </c>
      <c r="Q633" t="n">
        <v>0</v>
      </c>
      <c r="R633" s="2" t="inlineStr"/>
    </row>
    <row r="634" ht="15" customHeight="1">
      <c r="A634" t="inlineStr">
        <is>
          <t>A 41194-2025</t>
        </is>
      </c>
      <c r="B634" s="1" t="n">
        <v>45898.57028935185</v>
      </c>
      <c r="C634" s="1" t="n">
        <v>46033</v>
      </c>
      <c r="D634" t="inlineStr">
        <is>
          <t>VÄRMLANDS LÄN</t>
        </is>
      </c>
      <c r="E634" t="inlineStr">
        <is>
          <t>TORSBY</t>
        </is>
      </c>
      <c r="F634" t="inlineStr">
        <is>
          <t>Bergvik skog väst AB</t>
        </is>
      </c>
      <c r="G634" t="n">
        <v>5.6</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46033</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15931-2025</t>
        </is>
      </c>
      <c r="B636" s="1" t="n">
        <v>45749.46791666667</v>
      </c>
      <c r="C636" s="1" t="n">
        <v>46033</v>
      </c>
      <c r="D636" t="inlineStr">
        <is>
          <t>VÄRMLANDS LÄN</t>
        </is>
      </c>
      <c r="E636" t="inlineStr">
        <is>
          <t>TORSBY</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24111-2025</t>
        </is>
      </c>
      <c r="B637" s="1" t="n">
        <v>45796.60822916667</v>
      </c>
      <c r="C637" s="1" t="n">
        <v>46033</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24876-2023</t>
        </is>
      </c>
      <c r="B638" s="1" t="n">
        <v>45085.42391203704</v>
      </c>
      <c r="C638" s="1" t="n">
        <v>46033</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28329-2024</t>
        </is>
      </c>
      <c r="B639" s="1" t="n">
        <v>45477</v>
      </c>
      <c r="C639" s="1" t="n">
        <v>46033</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25464-2025</t>
        </is>
      </c>
      <c r="B640" s="1" t="n">
        <v>45802.46032407408</v>
      </c>
      <c r="C640" s="1" t="n">
        <v>46033</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25465-2025</t>
        </is>
      </c>
      <c r="B641" s="1" t="n">
        <v>45802.48196759259</v>
      </c>
      <c r="C641" s="1" t="n">
        <v>46033</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24576-2025</t>
        </is>
      </c>
      <c r="B642" s="1" t="n">
        <v>45798</v>
      </c>
      <c r="C642" s="1" t="n">
        <v>46033</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25218-2025</t>
        </is>
      </c>
      <c r="B643" s="1" t="n">
        <v>45800.4766087963</v>
      </c>
      <c r="C643" s="1" t="n">
        <v>46033</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51662-2024</t>
        </is>
      </c>
      <c r="B644" s="1" t="n">
        <v>45606.75559027777</v>
      </c>
      <c r="C644" s="1" t="n">
        <v>46033</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34353-2025</t>
        </is>
      </c>
      <c r="B645" s="1" t="n">
        <v>45846.4775</v>
      </c>
      <c r="C645" s="1" t="n">
        <v>46033</v>
      </c>
      <c r="D645" t="inlineStr">
        <is>
          <t>VÄRMLANDS LÄN</t>
        </is>
      </c>
      <c r="E645" t="inlineStr">
        <is>
          <t>TORSBY</t>
        </is>
      </c>
      <c r="G645" t="n">
        <v>14.5</v>
      </c>
      <c r="H645" t="n">
        <v>0</v>
      </c>
      <c r="I645" t="n">
        <v>0</v>
      </c>
      <c r="J645" t="n">
        <v>0</v>
      </c>
      <c r="K645" t="n">
        <v>0</v>
      </c>
      <c r="L645" t="n">
        <v>0</v>
      </c>
      <c r="M645" t="n">
        <v>0</v>
      </c>
      <c r="N645" t="n">
        <v>0</v>
      </c>
      <c r="O645" t="n">
        <v>0</v>
      </c>
      <c r="P645" t="n">
        <v>0</v>
      </c>
      <c r="Q645" t="n">
        <v>0</v>
      </c>
      <c r="R645" s="2" t="inlineStr"/>
    </row>
    <row r="646" ht="15" customHeight="1">
      <c r="A646" t="inlineStr">
        <is>
          <t>A 41376-2025</t>
        </is>
      </c>
      <c r="B646" s="1" t="n">
        <v>45900.84105324074</v>
      </c>
      <c r="C646" s="1" t="n">
        <v>46033</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25186-2025</t>
        </is>
      </c>
      <c r="B647" s="1" t="n">
        <v>45800.45247685185</v>
      </c>
      <c r="C647" s="1" t="n">
        <v>46033</v>
      </c>
      <c r="D647" t="inlineStr">
        <is>
          <t>VÄRMLANDS LÄN</t>
        </is>
      </c>
      <c r="E647" t="inlineStr">
        <is>
          <t>TORSBY</t>
        </is>
      </c>
      <c r="F647" t="inlineStr">
        <is>
          <t>Kyrkan</t>
        </is>
      </c>
      <c r="G647" t="n">
        <v>10.2</v>
      </c>
      <c r="H647" t="n">
        <v>0</v>
      </c>
      <c r="I647" t="n">
        <v>0</v>
      </c>
      <c r="J647" t="n">
        <v>0</v>
      </c>
      <c r="K647" t="n">
        <v>0</v>
      </c>
      <c r="L647" t="n">
        <v>0</v>
      </c>
      <c r="M647" t="n">
        <v>0</v>
      </c>
      <c r="N647" t="n">
        <v>0</v>
      </c>
      <c r="O647" t="n">
        <v>0</v>
      </c>
      <c r="P647" t="n">
        <v>0</v>
      </c>
      <c r="Q647" t="n">
        <v>0</v>
      </c>
      <c r="R647" s="2" t="inlineStr"/>
    </row>
    <row r="648" ht="15" customHeight="1">
      <c r="A648" t="inlineStr">
        <is>
          <t>A 41471-2025</t>
        </is>
      </c>
      <c r="B648" s="1" t="n">
        <v>45901.46770833333</v>
      </c>
      <c r="C648" s="1" t="n">
        <v>46033</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27458-2023</t>
        </is>
      </c>
      <c r="B649" s="1" t="n">
        <v>45097</v>
      </c>
      <c r="C649" s="1" t="n">
        <v>46033</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41711-2025</t>
        </is>
      </c>
      <c r="B650" s="1" t="n">
        <v>45902.43106481482</v>
      </c>
      <c r="C650" s="1" t="n">
        <v>46033</v>
      </c>
      <c r="D650" t="inlineStr">
        <is>
          <t>VÄRMLANDS LÄN</t>
        </is>
      </c>
      <c r="E650" t="inlineStr">
        <is>
          <t>TORSBY</t>
        </is>
      </c>
      <c r="G650" t="n">
        <v>11.1</v>
      </c>
      <c r="H650" t="n">
        <v>0</v>
      </c>
      <c r="I650" t="n">
        <v>0</v>
      </c>
      <c r="J650" t="n">
        <v>0</v>
      </c>
      <c r="K650" t="n">
        <v>0</v>
      </c>
      <c r="L650" t="n">
        <v>0</v>
      </c>
      <c r="M650" t="n">
        <v>0</v>
      </c>
      <c r="N650" t="n">
        <v>0</v>
      </c>
      <c r="O650" t="n">
        <v>0</v>
      </c>
      <c r="P650" t="n">
        <v>0</v>
      </c>
      <c r="Q650" t="n">
        <v>0</v>
      </c>
      <c r="R650" s="2" t="inlineStr"/>
    </row>
    <row r="651" ht="15" customHeight="1">
      <c r="A651" t="inlineStr">
        <is>
          <t>A 25353-2025</t>
        </is>
      </c>
      <c r="B651" s="1" t="n">
        <v>45800.61553240741</v>
      </c>
      <c r="C651" s="1" t="n">
        <v>46033</v>
      </c>
      <c r="D651" t="inlineStr">
        <is>
          <t>VÄRMLANDS LÄN</t>
        </is>
      </c>
      <c r="E651" t="inlineStr">
        <is>
          <t>TORSBY</t>
        </is>
      </c>
      <c r="F651" t="inlineStr">
        <is>
          <t>Bergvik skog väst AB</t>
        </is>
      </c>
      <c r="G651" t="n">
        <v>4</v>
      </c>
      <c r="H651" t="n">
        <v>0</v>
      </c>
      <c r="I651" t="n">
        <v>0</v>
      </c>
      <c r="J651" t="n">
        <v>0</v>
      </c>
      <c r="K651" t="n">
        <v>0</v>
      </c>
      <c r="L651" t="n">
        <v>0</v>
      </c>
      <c r="M651" t="n">
        <v>0</v>
      </c>
      <c r="N651" t="n">
        <v>0</v>
      </c>
      <c r="O651" t="n">
        <v>0</v>
      </c>
      <c r="P651" t="n">
        <v>0</v>
      </c>
      <c r="Q651" t="n">
        <v>0</v>
      </c>
      <c r="R651" s="2" t="inlineStr"/>
    </row>
    <row r="652" ht="15" customHeight="1">
      <c r="A652" t="inlineStr">
        <is>
          <t>A 21542-2024</t>
        </is>
      </c>
      <c r="B652" s="1" t="n">
        <v>45441</v>
      </c>
      <c r="C652" s="1" t="n">
        <v>46033</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41895-2025</t>
        </is>
      </c>
      <c r="B653" s="1" t="n">
        <v>45903.38645833333</v>
      </c>
      <c r="C653" s="1" t="n">
        <v>46033</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25428-2025</t>
        </is>
      </c>
      <c r="B654" s="1" t="n">
        <v>45800.71540509259</v>
      </c>
      <c r="C654" s="1" t="n">
        <v>46033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54023-2024</t>
        </is>
      </c>
      <c r="B655" s="1" t="n">
        <v>45616</v>
      </c>
      <c r="C655" s="1" t="n">
        <v>46033</v>
      </c>
      <c r="D655" t="inlineStr">
        <is>
          <t>VÄRMLANDS LÄN</t>
        </is>
      </c>
      <c r="E655" t="inlineStr">
        <is>
          <t>TORSBY</t>
        </is>
      </c>
      <c r="F655" t="inlineStr">
        <is>
          <t>Kommuner</t>
        </is>
      </c>
      <c r="G655" t="n">
        <v>3</v>
      </c>
      <c r="H655" t="n">
        <v>0</v>
      </c>
      <c r="I655" t="n">
        <v>0</v>
      </c>
      <c r="J655" t="n">
        <v>0</v>
      </c>
      <c r="K655" t="n">
        <v>0</v>
      </c>
      <c r="L655" t="n">
        <v>0</v>
      </c>
      <c r="M655" t="n">
        <v>0</v>
      </c>
      <c r="N655" t="n">
        <v>0</v>
      </c>
      <c r="O655" t="n">
        <v>0</v>
      </c>
      <c r="P655" t="n">
        <v>0</v>
      </c>
      <c r="Q655" t="n">
        <v>0</v>
      </c>
      <c r="R655" s="2" t="inlineStr"/>
    </row>
    <row r="656" ht="15" customHeight="1">
      <c r="A656" t="inlineStr">
        <is>
          <t>A 54027-2024</t>
        </is>
      </c>
      <c r="B656" s="1" t="n">
        <v>45616</v>
      </c>
      <c r="C656" s="1" t="n">
        <v>46033</v>
      </c>
      <c r="D656" t="inlineStr">
        <is>
          <t>VÄRMLANDS LÄN</t>
        </is>
      </c>
      <c r="E656" t="inlineStr">
        <is>
          <t>TORSBY</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9900-2024</t>
        </is>
      </c>
      <c r="B657" s="1" t="n">
        <v>45363</v>
      </c>
      <c r="C657" s="1" t="n">
        <v>46033</v>
      </c>
      <c r="D657" t="inlineStr">
        <is>
          <t>VÄRMLANDS LÄN</t>
        </is>
      </c>
      <c r="E657" t="inlineStr">
        <is>
          <t>TORSBY</t>
        </is>
      </c>
      <c r="G657" t="n">
        <v>13.6</v>
      </c>
      <c r="H657" t="n">
        <v>0</v>
      </c>
      <c r="I657" t="n">
        <v>0</v>
      </c>
      <c r="J657" t="n">
        <v>0</v>
      </c>
      <c r="K657" t="n">
        <v>0</v>
      </c>
      <c r="L657" t="n">
        <v>0</v>
      </c>
      <c r="M657" t="n">
        <v>0</v>
      </c>
      <c r="N657" t="n">
        <v>0</v>
      </c>
      <c r="O657" t="n">
        <v>0</v>
      </c>
      <c r="P657" t="n">
        <v>0</v>
      </c>
      <c r="Q657" t="n">
        <v>0</v>
      </c>
      <c r="R657" s="2" t="inlineStr"/>
    </row>
    <row r="658" ht="15" customHeight="1">
      <c r="A658" t="inlineStr">
        <is>
          <t>A 41958-2025</t>
        </is>
      </c>
      <c r="B658" s="1" t="n">
        <v>45903.46856481482</v>
      </c>
      <c r="C658" s="1" t="n">
        <v>46033</v>
      </c>
      <c r="D658" t="inlineStr">
        <is>
          <t>VÄRMLANDS LÄN</t>
        </is>
      </c>
      <c r="E658" t="inlineStr">
        <is>
          <t>TORSBY</t>
        </is>
      </c>
      <c r="F658" t="inlineStr">
        <is>
          <t>Bergvik skog väst AB</t>
        </is>
      </c>
      <c r="G658" t="n">
        <v>15.8</v>
      </c>
      <c r="H658" t="n">
        <v>0</v>
      </c>
      <c r="I658" t="n">
        <v>0</v>
      </c>
      <c r="J658" t="n">
        <v>0</v>
      </c>
      <c r="K658" t="n">
        <v>0</v>
      </c>
      <c r="L658" t="n">
        <v>0</v>
      </c>
      <c r="M658" t="n">
        <v>0</v>
      </c>
      <c r="N658" t="n">
        <v>0</v>
      </c>
      <c r="O658" t="n">
        <v>0</v>
      </c>
      <c r="P658" t="n">
        <v>0</v>
      </c>
      <c r="Q658" t="n">
        <v>0</v>
      </c>
      <c r="R658" s="2" t="inlineStr"/>
    </row>
    <row r="659" ht="15" customHeight="1">
      <c r="A659" t="inlineStr">
        <is>
          <t>A 25328-2025</t>
        </is>
      </c>
      <c r="B659" s="1" t="n">
        <v>45800</v>
      </c>
      <c r="C659" s="1" t="n">
        <v>46033</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42108-2025</t>
        </is>
      </c>
      <c r="B660" s="1" t="n">
        <v>45903</v>
      </c>
      <c r="C660" s="1" t="n">
        <v>46033</v>
      </c>
      <c r="D660" t="inlineStr">
        <is>
          <t>VÄRMLANDS LÄN</t>
        </is>
      </c>
      <c r="E660" t="inlineStr">
        <is>
          <t>TORSBY</t>
        </is>
      </c>
      <c r="F660" t="inlineStr">
        <is>
          <t>Bergvik skog väst AB</t>
        </is>
      </c>
      <c r="G660" t="n">
        <v>13.5</v>
      </c>
      <c r="H660" t="n">
        <v>0</v>
      </c>
      <c r="I660" t="n">
        <v>0</v>
      </c>
      <c r="J660" t="n">
        <v>0</v>
      </c>
      <c r="K660" t="n">
        <v>0</v>
      </c>
      <c r="L660" t="n">
        <v>0</v>
      </c>
      <c r="M660" t="n">
        <v>0</v>
      </c>
      <c r="N660" t="n">
        <v>0</v>
      </c>
      <c r="O660" t="n">
        <v>0</v>
      </c>
      <c r="P660" t="n">
        <v>0</v>
      </c>
      <c r="Q660" t="n">
        <v>0</v>
      </c>
      <c r="R660" s="2" t="inlineStr"/>
    </row>
    <row r="661" ht="15" customHeight="1">
      <c r="A661" t="inlineStr">
        <is>
          <t>A 25443-2025</t>
        </is>
      </c>
      <c r="B661" s="1" t="n">
        <v>45801.49258101852</v>
      </c>
      <c r="C661" s="1" t="n">
        <v>46033</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25369-2025</t>
        </is>
      </c>
      <c r="B662" s="1" t="n">
        <v>45800.63046296296</v>
      </c>
      <c r="C662" s="1" t="n">
        <v>46033</v>
      </c>
      <c r="D662" t="inlineStr">
        <is>
          <t>VÄRMLANDS LÄN</t>
        </is>
      </c>
      <c r="E662" t="inlineStr">
        <is>
          <t>TORSBY</t>
        </is>
      </c>
      <c r="F662" t="inlineStr">
        <is>
          <t>Bergvik skog väst AB</t>
        </is>
      </c>
      <c r="G662" t="n">
        <v>5.3</v>
      </c>
      <c r="H662" t="n">
        <v>0</v>
      </c>
      <c r="I662" t="n">
        <v>0</v>
      </c>
      <c r="J662" t="n">
        <v>0</v>
      </c>
      <c r="K662" t="n">
        <v>0</v>
      </c>
      <c r="L662" t="n">
        <v>0</v>
      </c>
      <c r="M662" t="n">
        <v>0</v>
      </c>
      <c r="N662" t="n">
        <v>0</v>
      </c>
      <c r="O662" t="n">
        <v>0</v>
      </c>
      <c r="P662" t="n">
        <v>0</v>
      </c>
      <c r="Q662" t="n">
        <v>0</v>
      </c>
      <c r="R662" s="2" t="inlineStr"/>
    </row>
    <row r="663" ht="15" customHeight="1">
      <c r="A663" t="inlineStr">
        <is>
          <t>A 25545-2025</t>
        </is>
      </c>
      <c r="B663" s="1" t="n">
        <v>45803.43763888889</v>
      </c>
      <c r="C663" s="1" t="n">
        <v>46033</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57071-2022</t>
        </is>
      </c>
      <c r="B664" s="1" t="n">
        <v>44895.42334490741</v>
      </c>
      <c r="C664" s="1" t="n">
        <v>46033</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41744-2025</t>
        </is>
      </c>
      <c r="B665" s="1" t="n">
        <v>45902</v>
      </c>
      <c r="C665" s="1" t="n">
        <v>46033</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41627-2025</t>
        </is>
      </c>
      <c r="B666" s="1" t="n">
        <v>45901.79328703704</v>
      </c>
      <c r="C666" s="1" t="n">
        <v>46033</v>
      </c>
      <c r="D666" t="inlineStr">
        <is>
          <t>VÄRMLANDS LÄN</t>
        </is>
      </c>
      <c r="E666" t="inlineStr">
        <is>
          <t>TORSBY</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51637-2025</t>
        </is>
      </c>
      <c r="B667" s="1" t="n">
        <v>45951.43625</v>
      </c>
      <c r="C667" s="1" t="n">
        <v>46033</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9902-2024</t>
        </is>
      </c>
      <c r="B668" s="1" t="n">
        <v>45363</v>
      </c>
      <c r="C668" s="1" t="n">
        <v>46033</v>
      </c>
      <c r="D668" t="inlineStr">
        <is>
          <t>VÄRMLANDS LÄN</t>
        </is>
      </c>
      <c r="E668" t="inlineStr">
        <is>
          <t>TORSBY</t>
        </is>
      </c>
      <c r="G668" t="n">
        <v>4.4</v>
      </c>
      <c r="H668" t="n">
        <v>0</v>
      </c>
      <c r="I668" t="n">
        <v>0</v>
      </c>
      <c r="J668" t="n">
        <v>0</v>
      </c>
      <c r="K668" t="n">
        <v>0</v>
      </c>
      <c r="L668" t="n">
        <v>0</v>
      </c>
      <c r="M668" t="n">
        <v>0</v>
      </c>
      <c r="N668" t="n">
        <v>0</v>
      </c>
      <c r="O668" t="n">
        <v>0</v>
      </c>
      <c r="P668" t="n">
        <v>0</v>
      </c>
      <c r="Q668" t="n">
        <v>0</v>
      </c>
      <c r="R668" s="2" t="inlineStr"/>
    </row>
    <row r="669" ht="15" customHeight="1">
      <c r="A669" t="inlineStr">
        <is>
          <t>A 26231-2025</t>
        </is>
      </c>
      <c r="B669" s="1" t="n">
        <v>45805</v>
      </c>
      <c r="C669" s="1" t="n">
        <v>46033</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10684-2024</t>
        </is>
      </c>
      <c r="B670" s="1" t="n">
        <v>45369.37938657407</v>
      </c>
      <c r="C670" s="1" t="n">
        <v>46033</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3672-2024</t>
        </is>
      </c>
      <c r="B671" s="1" t="n">
        <v>45321.36465277777</v>
      </c>
      <c r="C671" s="1" t="n">
        <v>46033</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41740-2025</t>
        </is>
      </c>
      <c r="B672" s="1" t="n">
        <v>45902</v>
      </c>
      <c r="C672" s="1" t="n">
        <v>46033</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41746-2025</t>
        </is>
      </c>
      <c r="B673" s="1" t="n">
        <v>45902.48660879629</v>
      </c>
      <c r="C673" s="1" t="n">
        <v>46033</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25807-2025</t>
        </is>
      </c>
      <c r="B674" s="1" t="n">
        <v>45804.41055555556</v>
      </c>
      <c r="C674" s="1" t="n">
        <v>46033</v>
      </c>
      <c r="D674" t="inlineStr">
        <is>
          <t>VÄRMLANDS LÄN</t>
        </is>
      </c>
      <c r="E674" t="inlineStr">
        <is>
          <t>TORSBY</t>
        </is>
      </c>
      <c r="G674" t="n">
        <v>3.2</v>
      </c>
      <c r="H674" t="n">
        <v>0</v>
      </c>
      <c r="I674" t="n">
        <v>0</v>
      </c>
      <c r="J674" t="n">
        <v>0</v>
      </c>
      <c r="K674" t="n">
        <v>0</v>
      </c>
      <c r="L674" t="n">
        <v>0</v>
      </c>
      <c r="M674" t="n">
        <v>0</v>
      </c>
      <c r="N674" t="n">
        <v>0</v>
      </c>
      <c r="O674" t="n">
        <v>0</v>
      </c>
      <c r="P674" t="n">
        <v>0</v>
      </c>
      <c r="Q674" t="n">
        <v>0</v>
      </c>
      <c r="R674" s="2" t="inlineStr"/>
    </row>
    <row r="675" ht="15" customHeight="1">
      <c r="A675" t="inlineStr">
        <is>
          <t>A 41634-2025</t>
        </is>
      </c>
      <c r="B675" s="1" t="n">
        <v>45902</v>
      </c>
      <c r="C675" s="1" t="n">
        <v>46033</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25959-2025</t>
        </is>
      </c>
      <c r="B676" s="1" t="n">
        <v>45804.60914351852</v>
      </c>
      <c r="C676" s="1" t="n">
        <v>46033</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41975-2025</t>
        </is>
      </c>
      <c r="B677" s="1" t="n">
        <v>45903.49732638889</v>
      </c>
      <c r="C677" s="1" t="n">
        <v>46033</v>
      </c>
      <c r="D677" t="inlineStr">
        <is>
          <t>VÄRMLANDS LÄN</t>
        </is>
      </c>
      <c r="E677" t="inlineStr">
        <is>
          <t>TORSBY</t>
        </is>
      </c>
      <c r="F677" t="inlineStr">
        <is>
          <t>Bergvik skog väst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25917-2025</t>
        </is>
      </c>
      <c r="B678" s="1" t="n">
        <v>45804.56704861111</v>
      </c>
      <c r="C678" s="1" t="n">
        <v>46033</v>
      </c>
      <c r="D678" t="inlineStr">
        <is>
          <t>VÄRMLANDS LÄN</t>
        </is>
      </c>
      <c r="E678" t="inlineStr">
        <is>
          <t>TORSBY</t>
        </is>
      </c>
      <c r="G678" t="n">
        <v>3.2</v>
      </c>
      <c r="H678" t="n">
        <v>0</v>
      </c>
      <c r="I678" t="n">
        <v>0</v>
      </c>
      <c r="J678" t="n">
        <v>0</v>
      </c>
      <c r="K678" t="n">
        <v>0</v>
      </c>
      <c r="L678" t="n">
        <v>0</v>
      </c>
      <c r="M678" t="n">
        <v>0</v>
      </c>
      <c r="N678" t="n">
        <v>0</v>
      </c>
      <c r="O678" t="n">
        <v>0</v>
      </c>
      <c r="P678" t="n">
        <v>0</v>
      </c>
      <c r="Q678" t="n">
        <v>0</v>
      </c>
      <c r="R678" s="2" t="inlineStr"/>
    </row>
    <row r="679" ht="15" customHeight="1">
      <c r="A679" t="inlineStr">
        <is>
          <t>A 57452-2022</t>
        </is>
      </c>
      <c r="B679" s="1" t="n">
        <v>44896.55787037037</v>
      </c>
      <c r="C679" s="1" t="n">
        <v>46033</v>
      </c>
      <c r="D679" t="inlineStr">
        <is>
          <t>VÄRMLANDS LÄN</t>
        </is>
      </c>
      <c r="E679" t="inlineStr">
        <is>
          <t>TORSBY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25316-2024</t>
        </is>
      </c>
      <c r="B680" s="1" t="n">
        <v>45462</v>
      </c>
      <c r="C680" s="1" t="n">
        <v>46033</v>
      </c>
      <c r="D680" t="inlineStr">
        <is>
          <t>VÄRMLANDS LÄN</t>
        </is>
      </c>
      <c r="E680" t="inlineStr">
        <is>
          <t>TORSBY</t>
        </is>
      </c>
      <c r="G680" t="n">
        <v>1</v>
      </c>
      <c r="H680" t="n">
        <v>0</v>
      </c>
      <c r="I680" t="n">
        <v>0</v>
      </c>
      <c r="J680" t="n">
        <v>0</v>
      </c>
      <c r="K680" t="n">
        <v>0</v>
      </c>
      <c r="L680" t="n">
        <v>0</v>
      </c>
      <c r="M680" t="n">
        <v>0</v>
      </c>
      <c r="N680" t="n">
        <v>0</v>
      </c>
      <c r="O680" t="n">
        <v>0</v>
      </c>
      <c r="P680" t="n">
        <v>0</v>
      </c>
      <c r="Q680" t="n">
        <v>0</v>
      </c>
      <c r="R680" s="2" t="inlineStr"/>
    </row>
    <row r="681" ht="15" customHeight="1">
      <c r="A681" t="inlineStr">
        <is>
          <t>A 26061-2025</t>
        </is>
      </c>
      <c r="B681" s="1" t="n">
        <v>45805.24886574074</v>
      </c>
      <c r="C681" s="1" t="n">
        <v>46033</v>
      </c>
      <c r="D681" t="inlineStr">
        <is>
          <t>VÄRMLANDS LÄN</t>
        </is>
      </c>
      <c r="E681" t="inlineStr">
        <is>
          <t>TORSBY</t>
        </is>
      </c>
      <c r="G681" t="n">
        <v>3.9</v>
      </c>
      <c r="H681" t="n">
        <v>0</v>
      </c>
      <c r="I681" t="n">
        <v>0</v>
      </c>
      <c r="J681" t="n">
        <v>0</v>
      </c>
      <c r="K681" t="n">
        <v>0</v>
      </c>
      <c r="L681" t="n">
        <v>0</v>
      </c>
      <c r="M681" t="n">
        <v>0</v>
      </c>
      <c r="N681" t="n">
        <v>0</v>
      </c>
      <c r="O681" t="n">
        <v>0</v>
      </c>
      <c r="P681" t="n">
        <v>0</v>
      </c>
      <c r="Q681" t="n">
        <v>0</v>
      </c>
      <c r="R681" s="2" t="inlineStr"/>
    </row>
    <row r="682" ht="15" customHeight="1">
      <c r="A682" t="inlineStr">
        <is>
          <t>A 42354-2025</t>
        </is>
      </c>
      <c r="B682" s="1" t="n">
        <v>45904</v>
      </c>
      <c r="C682" s="1" t="n">
        <v>46033</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26158-2025</t>
        </is>
      </c>
      <c r="B683" s="1" t="n">
        <v>45805</v>
      </c>
      <c r="C683" s="1" t="n">
        <v>46033</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42563-2025</t>
        </is>
      </c>
      <c r="B684" s="1" t="n">
        <v>45905.60097222222</v>
      </c>
      <c r="C684" s="1" t="n">
        <v>46033</v>
      </c>
      <c r="D684" t="inlineStr">
        <is>
          <t>VÄRMLANDS LÄN</t>
        </is>
      </c>
      <c r="E684" t="inlineStr">
        <is>
          <t>TORSBY</t>
        </is>
      </c>
      <c r="F684" t="inlineStr">
        <is>
          <t>Bergvik skog väst AB</t>
        </is>
      </c>
      <c r="G684" t="n">
        <v>3.1</v>
      </c>
      <c r="H684" t="n">
        <v>0</v>
      </c>
      <c r="I684" t="n">
        <v>0</v>
      </c>
      <c r="J684" t="n">
        <v>0</v>
      </c>
      <c r="K684" t="n">
        <v>0</v>
      </c>
      <c r="L684" t="n">
        <v>0</v>
      </c>
      <c r="M684" t="n">
        <v>0</v>
      </c>
      <c r="N684" t="n">
        <v>0</v>
      </c>
      <c r="O684" t="n">
        <v>0</v>
      </c>
      <c r="P684" t="n">
        <v>0</v>
      </c>
      <c r="Q684" t="n">
        <v>0</v>
      </c>
      <c r="R684" s="2" t="inlineStr"/>
    </row>
    <row r="685" ht="15" customHeight="1">
      <c r="A685" t="inlineStr">
        <is>
          <t>A 25881-2025</t>
        </is>
      </c>
      <c r="B685" s="1" t="n">
        <v>45804.49729166667</v>
      </c>
      <c r="C685" s="1" t="n">
        <v>46033</v>
      </c>
      <c r="D685" t="inlineStr">
        <is>
          <t>VÄRMLANDS LÄN</t>
        </is>
      </c>
      <c r="E685" t="inlineStr">
        <is>
          <t>TORSBY</t>
        </is>
      </c>
      <c r="G685" t="n">
        <v>5.3</v>
      </c>
      <c r="H685" t="n">
        <v>0</v>
      </c>
      <c r="I685" t="n">
        <v>0</v>
      </c>
      <c r="J685" t="n">
        <v>0</v>
      </c>
      <c r="K685" t="n">
        <v>0</v>
      </c>
      <c r="L685" t="n">
        <v>0</v>
      </c>
      <c r="M685" t="n">
        <v>0</v>
      </c>
      <c r="N685" t="n">
        <v>0</v>
      </c>
      <c r="O685" t="n">
        <v>0</v>
      </c>
      <c r="P685" t="n">
        <v>0</v>
      </c>
      <c r="Q685" t="n">
        <v>0</v>
      </c>
      <c r="R685" s="2" t="inlineStr"/>
    </row>
    <row r="686" ht="15" customHeight="1">
      <c r="A686" t="inlineStr">
        <is>
          <t>A 42308-2025</t>
        </is>
      </c>
      <c r="B686" s="1" t="n">
        <v>45904</v>
      </c>
      <c r="C686" s="1" t="n">
        <v>46033</v>
      </c>
      <c r="D686" t="inlineStr">
        <is>
          <t>VÄRMLANDS LÄN</t>
        </is>
      </c>
      <c r="E686" t="inlineStr">
        <is>
          <t>TORSBY</t>
        </is>
      </c>
      <c r="G686" t="n">
        <v>4.4</v>
      </c>
      <c r="H686" t="n">
        <v>0</v>
      </c>
      <c r="I686" t="n">
        <v>0</v>
      </c>
      <c r="J686" t="n">
        <v>0</v>
      </c>
      <c r="K686" t="n">
        <v>0</v>
      </c>
      <c r="L686" t="n">
        <v>0</v>
      </c>
      <c r="M686" t="n">
        <v>0</v>
      </c>
      <c r="N686" t="n">
        <v>0</v>
      </c>
      <c r="O686" t="n">
        <v>0</v>
      </c>
      <c r="P686" t="n">
        <v>0</v>
      </c>
      <c r="Q686" t="n">
        <v>0</v>
      </c>
      <c r="R686" s="2" t="inlineStr"/>
    </row>
    <row r="687" ht="15" customHeight="1">
      <c r="A687" t="inlineStr">
        <is>
          <t>A 25803-2025</t>
        </is>
      </c>
      <c r="B687" s="1" t="n">
        <v>45804.40886574074</v>
      </c>
      <c r="C687" s="1" t="n">
        <v>46033</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42149-2025</t>
        </is>
      </c>
      <c r="B688" s="1" t="n">
        <v>45904.38109953704</v>
      </c>
      <c r="C688" s="1" t="n">
        <v>46033</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13791-2023</t>
        </is>
      </c>
      <c r="B689" s="1" t="n">
        <v>45005</v>
      </c>
      <c r="C689" s="1" t="n">
        <v>46033</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42296-2025</t>
        </is>
      </c>
      <c r="B690" s="1" t="n">
        <v>45904.63361111111</v>
      </c>
      <c r="C690" s="1" t="n">
        <v>46033</v>
      </c>
      <c r="D690" t="inlineStr">
        <is>
          <t>VÄRMLANDS LÄN</t>
        </is>
      </c>
      <c r="E690" t="inlineStr">
        <is>
          <t>TORSBY</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42349-2025</t>
        </is>
      </c>
      <c r="B691" s="1" t="n">
        <v>45904</v>
      </c>
      <c r="C691" s="1" t="n">
        <v>46033</v>
      </c>
      <c r="D691" t="inlineStr">
        <is>
          <t>VÄRMLANDS LÄN</t>
        </is>
      </c>
      <c r="E691" t="inlineStr">
        <is>
          <t>TORSBY</t>
        </is>
      </c>
      <c r="G691" t="n">
        <v>0.2</v>
      </c>
      <c r="H691" t="n">
        <v>0</v>
      </c>
      <c r="I691" t="n">
        <v>0</v>
      </c>
      <c r="J691" t="n">
        <v>0</v>
      </c>
      <c r="K691" t="n">
        <v>0</v>
      </c>
      <c r="L691" t="n">
        <v>0</v>
      </c>
      <c r="M691" t="n">
        <v>0</v>
      </c>
      <c r="N691" t="n">
        <v>0</v>
      </c>
      <c r="O691" t="n">
        <v>0</v>
      </c>
      <c r="P691" t="n">
        <v>0</v>
      </c>
      <c r="Q691" t="n">
        <v>0</v>
      </c>
      <c r="R691" s="2" t="inlineStr"/>
    </row>
    <row r="692" ht="15" customHeight="1">
      <c r="A692" t="inlineStr">
        <is>
          <t>A 55839-2024</t>
        </is>
      </c>
      <c r="B692" s="1" t="n">
        <v>45623.49502314815</v>
      </c>
      <c r="C692" s="1" t="n">
        <v>46033</v>
      </c>
      <c r="D692" t="inlineStr">
        <is>
          <t>VÄRMLANDS LÄN</t>
        </is>
      </c>
      <c r="E692" t="inlineStr">
        <is>
          <t>TORSBY</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26342-2025</t>
        </is>
      </c>
      <c r="B693" s="1" t="n">
        <v>45805.70604166666</v>
      </c>
      <c r="C693" s="1" t="n">
        <v>46033</v>
      </c>
      <c r="D693" t="inlineStr">
        <is>
          <t>VÄRMLANDS LÄN</t>
        </is>
      </c>
      <c r="E693" t="inlineStr">
        <is>
          <t>TORSBY</t>
        </is>
      </c>
      <c r="F693" t="inlineStr">
        <is>
          <t>Bergvik skog väst AB</t>
        </is>
      </c>
      <c r="G693" t="n">
        <v>13.6</v>
      </c>
      <c r="H693" t="n">
        <v>0</v>
      </c>
      <c r="I693" t="n">
        <v>0</v>
      </c>
      <c r="J693" t="n">
        <v>0</v>
      </c>
      <c r="K693" t="n">
        <v>0</v>
      </c>
      <c r="L693" t="n">
        <v>0</v>
      </c>
      <c r="M693" t="n">
        <v>0</v>
      </c>
      <c r="N693" t="n">
        <v>0</v>
      </c>
      <c r="O693" t="n">
        <v>0</v>
      </c>
      <c r="P693" t="n">
        <v>0</v>
      </c>
      <c r="Q693" t="n">
        <v>0</v>
      </c>
      <c r="R693" s="2" t="inlineStr"/>
    </row>
    <row r="694" ht="15" customHeight="1">
      <c r="A694" t="inlineStr">
        <is>
          <t>A 26108-2025</t>
        </is>
      </c>
      <c r="B694" s="1" t="n">
        <v>45805</v>
      </c>
      <c r="C694" s="1" t="n">
        <v>46033</v>
      </c>
      <c r="D694" t="inlineStr">
        <is>
          <t>VÄRMLANDS LÄN</t>
        </is>
      </c>
      <c r="E694" t="inlineStr">
        <is>
          <t>TORSBY</t>
        </is>
      </c>
      <c r="F694" t="inlineStr">
        <is>
          <t>Bergvik skog väst AB</t>
        </is>
      </c>
      <c r="G694" t="n">
        <v>22.8</v>
      </c>
      <c r="H694" t="n">
        <v>0</v>
      </c>
      <c r="I694" t="n">
        <v>0</v>
      </c>
      <c r="J694" t="n">
        <v>0</v>
      </c>
      <c r="K694" t="n">
        <v>0</v>
      </c>
      <c r="L694" t="n">
        <v>0</v>
      </c>
      <c r="M694" t="n">
        <v>0</v>
      </c>
      <c r="N694" t="n">
        <v>0</v>
      </c>
      <c r="O694" t="n">
        <v>0</v>
      </c>
      <c r="P694" t="n">
        <v>0</v>
      </c>
      <c r="Q694" t="n">
        <v>0</v>
      </c>
      <c r="R694" s="2" t="inlineStr"/>
    </row>
    <row r="695" ht="15" customHeight="1">
      <c r="A695" t="inlineStr">
        <is>
          <t>A 42304-2025</t>
        </is>
      </c>
      <c r="B695" s="1" t="n">
        <v>45904</v>
      </c>
      <c r="C695" s="1" t="n">
        <v>46033</v>
      </c>
      <c r="D695" t="inlineStr">
        <is>
          <t>VÄRMLANDS LÄN</t>
        </is>
      </c>
      <c r="E695" t="inlineStr">
        <is>
          <t>TORSBY</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42305-2025</t>
        </is>
      </c>
      <c r="B696" s="1" t="n">
        <v>45904.64886574074</v>
      </c>
      <c r="C696" s="1" t="n">
        <v>46033</v>
      </c>
      <c r="D696" t="inlineStr">
        <is>
          <t>VÄRMLANDS LÄN</t>
        </is>
      </c>
      <c r="E696" t="inlineStr">
        <is>
          <t>TORSBY</t>
        </is>
      </c>
      <c r="F696" t="inlineStr">
        <is>
          <t>Bergvik skog väst AB</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42352-2025</t>
        </is>
      </c>
      <c r="B697" s="1" t="n">
        <v>45904</v>
      </c>
      <c r="C697" s="1" t="n">
        <v>46033</v>
      </c>
      <c r="D697" t="inlineStr">
        <is>
          <t>VÄRMLANDS LÄN</t>
        </is>
      </c>
      <c r="E697" t="inlineStr">
        <is>
          <t>TORSBY</t>
        </is>
      </c>
      <c r="G697" t="n">
        <v>0.1</v>
      </c>
      <c r="H697" t="n">
        <v>0</v>
      </c>
      <c r="I697" t="n">
        <v>0</v>
      </c>
      <c r="J697" t="n">
        <v>0</v>
      </c>
      <c r="K697" t="n">
        <v>0</v>
      </c>
      <c r="L697" t="n">
        <v>0</v>
      </c>
      <c r="M697" t="n">
        <v>0</v>
      </c>
      <c r="N697" t="n">
        <v>0</v>
      </c>
      <c r="O697" t="n">
        <v>0</v>
      </c>
      <c r="P697" t="n">
        <v>0</v>
      </c>
      <c r="Q697" t="n">
        <v>0</v>
      </c>
      <c r="R697" s="2" t="inlineStr"/>
    </row>
    <row r="698" ht="15" customHeight="1">
      <c r="A698" t="inlineStr">
        <is>
          <t>A 25859-2025</t>
        </is>
      </c>
      <c r="B698" s="1" t="n">
        <v>45804.47244212963</v>
      </c>
      <c r="C698" s="1" t="n">
        <v>46033</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25915-2025</t>
        </is>
      </c>
      <c r="B699" s="1" t="n">
        <v>45804.56549768519</v>
      </c>
      <c r="C699" s="1" t="n">
        <v>46033</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42499-2025</t>
        </is>
      </c>
      <c r="B700" s="1" t="n">
        <v>45905.5194675926</v>
      </c>
      <c r="C700" s="1" t="n">
        <v>46033</v>
      </c>
      <c r="D700" t="inlineStr">
        <is>
          <t>VÄRMLANDS LÄN</t>
        </is>
      </c>
      <c r="E700" t="inlineStr">
        <is>
          <t>TORSBY</t>
        </is>
      </c>
      <c r="F700" t="inlineStr">
        <is>
          <t>Bergvik skog väst AB</t>
        </is>
      </c>
      <c r="G700" t="n">
        <v>3.3</v>
      </c>
      <c r="H700" t="n">
        <v>0</v>
      </c>
      <c r="I700" t="n">
        <v>0</v>
      </c>
      <c r="J700" t="n">
        <v>0</v>
      </c>
      <c r="K700" t="n">
        <v>0</v>
      </c>
      <c r="L700" t="n">
        <v>0</v>
      </c>
      <c r="M700" t="n">
        <v>0</v>
      </c>
      <c r="N700" t="n">
        <v>0</v>
      </c>
      <c r="O700" t="n">
        <v>0</v>
      </c>
      <c r="P700" t="n">
        <v>0</v>
      </c>
      <c r="Q700" t="n">
        <v>0</v>
      </c>
      <c r="R700" s="2" t="inlineStr"/>
    </row>
    <row r="701" ht="15" customHeight="1">
      <c r="A701" t="inlineStr">
        <is>
          <t>A 25808-2025</t>
        </is>
      </c>
      <c r="B701" s="1" t="n">
        <v>45804.41528935185</v>
      </c>
      <c r="C701" s="1" t="n">
        <v>46033</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61251-2024</t>
        </is>
      </c>
      <c r="B702" s="1" t="n">
        <v>45645</v>
      </c>
      <c r="C702" s="1" t="n">
        <v>46033</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42350-2025</t>
        </is>
      </c>
      <c r="B703" s="1" t="n">
        <v>45904</v>
      </c>
      <c r="C703" s="1" t="n">
        <v>46033</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61259-2024</t>
        </is>
      </c>
      <c r="B704" s="1" t="n">
        <v>45645.71188657408</v>
      </c>
      <c r="C704" s="1" t="n">
        <v>46033</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20168-2022</t>
        </is>
      </c>
      <c r="B705" s="1" t="n">
        <v>44698.50056712963</v>
      </c>
      <c r="C705" s="1" t="n">
        <v>46033</v>
      </c>
      <c r="D705" t="inlineStr">
        <is>
          <t>VÄRMLANDS LÄN</t>
        </is>
      </c>
      <c r="E705" t="inlineStr">
        <is>
          <t>TORSBY</t>
        </is>
      </c>
      <c r="G705" t="n">
        <v>6.6</v>
      </c>
      <c r="H705" t="n">
        <v>0</v>
      </c>
      <c r="I705" t="n">
        <v>0</v>
      </c>
      <c r="J705" t="n">
        <v>0</v>
      </c>
      <c r="K705" t="n">
        <v>0</v>
      </c>
      <c r="L705" t="n">
        <v>0</v>
      </c>
      <c r="M705" t="n">
        <v>0</v>
      </c>
      <c r="N705" t="n">
        <v>0</v>
      </c>
      <c r="O705" t="n">
        <v>0</v>
      </c>
      <c r="P705" t="n">
        <v>0</v>
      </c>
      <c r="Q705" t="n">
        <v>0</v>
      </c>
      <c r="R705" s="2" t="inlineStr"/>
    </row>
    <row r="706" ht="15" customHeight="1">
      <c r="A706" t="inlineStr">
        <is>
          <t>A 26563-2025</t>
        </is>
      </c>
      <c r="B706" s="1" t="n">
        <v>45807.65767361111</v>
      </c>
      <c r="C706" s="1" t="n">
        <v>46033</v>
      </c>
      <c r="D706" t="inlineStr">
        <is>
          <t>VÄRMLANDS LÄN</t>
        </is>
      </c>
      <c r="E706" t="inlineStr">
        <is>
          <t>TORSBY</t>
        </is>
      </c>
      <c r="F706" t="inlineStr">
        <is>
          <t>Bergvik skog väst AB</t>
        </is>
      </c>
      <c r="G706" t="n">
        <v>19.5</v>
      </c>
      <c r="H706" t="n">
        <v>0</v>
      </c>
      <c r="I706" t="n">
        <v>0</v>
      </c>
      <c r="J706" t="n">
        <v>0</v>
      </c>
      <c r="K706" t="n">
        <v>0</v>
      </c>
      <c r="L706" t="n">
        <v>0</v>
      </c>
      <c r="M706" t="n">
        <v>0</v>
      </c>
      <c r="N706" t="n">
        <v>0</v>
      </c>
      <c r="O706" t="n">
        <v>0</v>
      </c>
      <c r="P706" t="n">
        <v>0</v>
      </c>
      <c r="Q706" t="n">
        <v>0</v>
      </c>
      <c r="R706" s="2" t="inlineStr"/>
    </row>
    <row r="707" ht="15" customHeight="1">
      <c r="A707" t="inlineStr">
        <is>
          <t>A 59744-2025</t>
        </is>
      </c>
      <c r="B707" s="1" t="n">
        <v>45992</v>
      </c>
      <c r="C707" s="1" t="n">
        <v>46033</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42496-2025</t>
        </is>
      </c>
      <c r="B708" s="1" t="n">
        <v>45905.50864583333</v>
      </c>
      <c r="C708" s="1" t="n">
        <v>46033</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26504-2025</t>
        </is>
      </c>
      <c r="B709" s="1" t="n">
        <v>45807.519375</v>
      </c>
      <c r="C709" s="1" t="n">
        <v>46033</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26505-2025</t>
        </is>
      </c>
      <c r="B710" s="1" t="n">
        <v>45807.52231481481</v>
      </c>
      <c r="C710" s="1" t="n">
        <v>46033</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26511-2025</t>
        </is>
      </c>
      <c r="B711" s="1" t="n">
        <v>45807.54571759259</v>
      </c>
      <c r="C711" s="1" t="n">
        <v>46033</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26539-2025</t>
        </is>
      </c>
      <c r="B712" s="1" t="n">
        <v>45807.58127314815</v>
      </c>
      <c r="C712" s="1" t="n">
        <v>46033</v>
      </c>
      <c r="D712" t="inlineStr">
        <is>
          <t>VÄRMLANDS LÄN</t>
        </is>
      </c>
      <c r="E712" t="inlineStr">
        <is>
          <t>TORSBY</t>
        </is>
      </c>
      <c r="G712" t="n">
        <v>0.9</v>
      </c>
      <c r="H712" t="n">
        <v>0</v>
      </c>
      <c r="I712" t="n">
        <v>0</v>
      </c>
      <c r="J712" t="n">
        <v>0</v>
      </c>
      <c r="K712" t="n">
        <v>0</v>
      </c>
      <c r="L712" t="n">
        <v>0</v>
      </c>
      <c r="M712" t="n">
        <v>0</v>
      </c>
      <c r="N712" t="n">
        <v>0</v>
      </c>
      <c r="O712" t="n">
        <v>0</v>
      </c>
      <c r="P712" t="n">
        <v>0</v>
      </c>
      <c r="Q712" t="n">
        <v>0</v>
      </c>
      <c r="R712" s="2" t="inlineStr"/>
    </row>
    <row r="713" ht="15" customHeight="1">
      <c r="A713" t="inlineStr">
        <is>
          <t>A 26418-2025</t>
        </is>
      </c>
      <c r="B713" s="1" t="n">
        <v>45807.36436342593</v>
      </c>
      <c r="C713" s="1" t="n">
        <v>46033</v>
      </c>
      <c r="D713" t="inlineStr">
        <is>
          <t>VÄRMLANDS LÄN</t>
        </is>
      </c>
      <c r="E713" t="inlineStr">
        <is>
          <t>TORSBY</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26507-2025</t>
        </is>
      </c>
      <c r="B714" s="1" t="n">
        <v>45807.52539351852</v>
      </c>
      <c r="C714" s="1" t="n">
        <v>46033</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26564-2025</t>
        </is>
      </c>
      <c r="B715" s="1" t="n">
        <v>45807.66306712963</v>
      </c>
      <c r="C715" s="1" t="n">
        <v>46033</v>
      </c>
      <c r="D715" t="inlineStr">
        <is>
          <t>VÄRMLANDS LÄN</t>
        </is>
      </c>
      <c r="E715" t="inlineStr">
        <is>
          <t>TORSBY</t>
        </is>
      </c>
      <c r="F715" t="inlineStr">
        <is>
          <t>Bergvik skog väst AB</t>
        </is>
      </c>
      <c r="G715" t="n">
        <v>4</v>
      </c>
      <c r="H715" t="n">
        <v>0</v>
      </c>
      <c r="I715" t="n">
        <v>0</v>
      </c>
      <c r="J715" t="n">
        <v>0</v>
      </c>
      <c r="K715" t="n">
        <v>0</v>
      </c>
      <c r="L715" t="n">
        <v>0</v>
      </c>
      <c r="M715" t="n">
        <v>0</v>
      </c>
      <c r="N715" t="n">
        <v>0</v>
      </c>
      <c r="O715" t="n">
        <v>0</v>
      </c>
      <c r="P715" t="n">
        <v>0</v>
      </c>
      <c r="Q715" t="n">
        <v>0</v>
      </c>
      <c r="R715" s="2" t="inlineStr"/>
    </row>
    <row r="716" ht="15" customHeight="1">
      <c r="A716" t="inlineStr">
        <is>
          <t>A 51754-2025</t>
        </is>
      </c>
      <c r="B716" s="1" t="n">
        <v>45951.62231481481</v>
      </c>
      <c r="C716" s="1" t="n">
        <v>46033</v>
      </c>
      <c r="D716" t="inlineStr">
        <is>
          <t>VÄRMLANDS LÄN</t>
        </is>
      </c>
      <c r="E716" t="inlineStr">
        <is>
          <t>TORSBY</t>
        </is>
      </c>
      <c r="F716" t="inlineStr">
        <is>
          <t>Bergvik skog väst AB</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55475-2022</t>
        </is>
      </c>
      <c r="B717" s="1" t="n">
        <v>44887.66210648148</v>
      </c>
      <c r="C717" s="1" t="n">
        <v>46033</v>
      </c>
      <c r="D717" t="inlineStr">
        <is>
          <t>VÄRMLANDS LÄN</t>
        </is>
      </c>
      <c r="E717" t="inlineStr">
        <is>
          <t>TORSBY</t>
        </is>
      </c>
      <c r="G717" t="n">
        <v>2.7</v>
      </c>
      <c r="H717" t="n">
        <v>0</v>
      </c>
      <c r="I717" t="n">
        <v>0</v>
      </c>
      <c r="J717" t="n">
        <v>0</v>
      </c>
      <c r="K717" t="n">
        <v>0</v>
      </c>
      <c r="L717" t="n">
        <v>0</v>
      </c>
      <c r="M717" t="n">
        <v>0</v>
      </c>
      <c r="N717" t="n">
        <v>0</v>
      </c>
      <c r="O717" t="n">
        <v>0</v>
      </c>
      <c r="P717" t="n">
        <v>0</v>
      </c>
      <c r="Q717" t="n">
        <v>0</v>
      </c>
      <c r="R717" s="2" t="inlineStr"/>
    </row>
    <row r="718" ht="15" customHeight="1">
      <c r="A718" t="inlineStr">
        <is>
          <t>A 26479-2025</t>
        </is>
      </c>
      <c r="B718" s="1" t="n">
        <v>45807.47021990741</v>
      </c>
      <c r="C718" s="1" t="n">
        <v>46033</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26491-2025</t>
        </is>
      </c>
      <c r="B719" s="1" t="n">
        <v>45807.48939814815</v>
      </c>
      <c r="C719" s="1" t="n">
        <v>46033</v>
      </c>
      <c r="D719" t="inlineStr">
        <is>
          <t>VÄRMLANDS LÄN</t>
        </is>
      </c>
      <c r="E719" t="inlineStr">
        <is>
          <t>TORSBY</t>
        </is>
      </c>
      <c r="G719" t="n">
        <v>5.3</v>
      </c>
      <c r="H719" t="n">
        <v>0</v>
      </c>
      <c r="I719" t="n">
        <v>0</v>
      </c>
      <c r="J719" t="n">
        <v>0</v>
      </c>
      <c r="K719" t="n">
        <v>0</v>
      </c>
      <c r="L719" t="n">
        <v>0</v>
      </c>
      <c r="M719" t="n">
        <v>0</v>
      </c>
      <c r="N719" t="n">
        <v>0</v>
      </c>
      <c r="O719" t="n">
        <v>0</v>
      </c>
      <c r="P719" t="n">
        <v>0</v>
      </c>
      <c r="Q719" t="n">
        <v>0</v>
      </c>
      <c r="R719" s="2" t="inlineStr"/>
    </row>
    <row r="720" ht="15" customHeight="1">
      <c r="A720" t="inlineStr">
        <is>
          <t>A 26533-2025</t>
        </is>
      </c>
      <c r="B720" s="1" t="n">
        <v>45807.57259259259</v>
      </c>
      <c r="C720" s="1" t="n">
        <v>46033</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43538-2024</t>
        </is>
      </c>
      <c r="B721" s="1" t="n">
        <v>45569.36136574074</v>
      </c>
      <c r="C721" s="1" t="n">
        <v>46033</v>
      </c>
      <c r="D721" t="inlineStr">
        <is>
          <t>VÄRMLANDS LÄN</t>
        </is>
      </c>
      <c r="E721" t="inlineStr">
        <is>
          <t>TORSBY</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26487-2025</t>
        </is>
      </c>
      <c r="B722" s="1" t="n">
        <v>45807.47644675926</v>
      </c>
      <c r="C722" s="1" t="n">
        <v>46033</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1528-2025</t>
        </is>
      </c>
      <c r="B723" s="1" t="n">
        <v>45670</v>
      </c>
      <c r="C723" s="1" t="n">
        <v>46033</v>
      </c>
      <c r="D723" t="inlineStr">
        <is>
          <t>VÄRMLANDS LÄN</t>
        </is>
      </c>
      <c r="E723" t="inlineStr">
        <is>
          <t>TORSBY</t>
        </is>
      </c>
      <c r="G723" t="n">
        <v>7.4</v>
      </c>
      <c r="H723" t="n">
        <v>0</v>
      </c>
      <c r="I723" t="n">
        <v>0</v>
      </c>
      <c r="J723" t="n">
        <v>0</v>
      </c>
      <c r="K723" t="n">
        <v>0</v>
      </c>
      <c r="L723" t="n">
        <v>0</v>
      </c>
      <c r="M723" t="n">
        <v>0</v>
      </c>
      <c r="N723" t="n">
        <v>0</v>
      </c>
      <c r="O723" t="n">
        <v>0</v>
      </c>
      <c r="P723" t="n">
        <v>0</v>
      </c>
      <c r="Q723" t="n">
        <v>0</v>
      </c>
      <c r="R723" s="2" t="inlineStr"/>
    </row>
    <row r="724" ht="15" customHeight="1">
      <c r="A724" t="inlineStr">
        <is>
          <t>A 56724-2023</t>
        </is>
      </c>
      <c r="B724" s="1" t="n">
        <v>45244.3393287037</v>
      </c>
      <c r="C724" s="1" t="n">
        <v>46033</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28545-2024</t>
        </is>
      </c>
      <c r="B725" s="1" t="n">
        <v>45478.3559375</v>
      </c>
      <c r="C725" s="1" t="n">
        <v>46033</v>
      </c>
      <c r="D725" t="inlineStr">
        <is>
          <t>VÄRMLANDS LÄN</t>
        </is>
      </c>
      <c r="E725" t="inlineStr">
        <is>
          <t>TORSBY</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16380-2025</t>
        </is>
      </c>
      <c r="B726" s="1" t="n">
        <v>45751</v>
      </c>
      <c r="C726" s="1" t="n">
        <v>46033</v>
      </c>
      <c r="D726" t="inlineStr">
        <is>
          <t>VÄRMLANDS LÄN</t>
        </is>
      </c>
      <c r="E726" t="inlineStr">
        <is>
          <t>TORSBY</t>
        </is>
      </c>
      <c r="F726" t="inlineStr">
        <is>
          <t>Bergvik skog väst AB</t>
        </is>
      </c>
      <c r="G726" t="n">
        <v>7.9</v>
      </c>
      <c r="H726" t="n">
        <v>0</v>
      </c>
      <c r="I726" t="n">
        <v>0</v>
      </c>
      <c r="J726" t="n">
        <v>0</v>
      </c>
      <c r="K726" t="n">
        <v>0</v>
      </c>
      <c r="L726" t="n">
        <v>0</v>
      </c>
      <c r="M726" t="n">
        <v>0</v>
      </c>
      <c r="N726" t="n">
        <v>0</v>
      </c>
      <c r="O726" t="n">
        <v>0</v>
      </c>
      <c r="P726" t="n">
        <v>0</v>
      </c>
      <c r="Q726" t="n">
        <v>0</v>
      </c>
      <c r="R726" s="2" t="inlineStr"/>
    </row>
    <row r="727" ht="15" customHeight="1">
      <c r="A727" t="inlineStr">
        <is>
          <t>A 2155-2024</t>
        </is>
      </c>
      <c r="B727" s="1" t="n">
        <v>45309</v>
      </c>
      <c r="C727" s="1" t="n">
        <v>46033</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27056-2025</t>
        </is>
      </c>
      <c r="B728" s="1" t="n">
        <v>45811.63118055555</v>
      </c>
      <c r="C728" s="1" t="n">
        <v>46033</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27116-2025</t>
        </is>
      </c>
      <c r="B729" s="1" t="n">
        <v>45811.74233796296</v>
      </c>
      <c r="C729" s="1" t="n">
        <v>46033</v>
      </c>
      <c r="D729" t="inlineStr">
        <is>
          <t>VÄRMLANDS LÄN</t>
        </is>
      </c>
      <c r="E729" t="inlineStr">
        <is>
          <t>TORSBY</t>
        </is>
      </c>
      <c r="G729" t="n">
        <v>6.2</v>
      </c>
      <c r="H729" t="n">
        <v>0</v>
      </c>
      <c r="I729" t="n">
        <v>0</v>
      </c>
      <c r="J729" t="n">
        <v>0</v>
      </c>
      <c r="K729" t="n">
        <v>0</v>
      </c>
      <c r="L729" t="n">
        <v>0</v>
      </c>
      <c r="M729" t="n">
        <v>0</v>
      </c>
      <c r="N729" t="n">
        <v>0</v>
      </c>
      <c r="O729" t="n">
        <v>0</v>
      </c>
      <c r="P729" t="n">
        <v>0</v>
      </c>
      <c r="Q729" t="n">
        <v>0</v>
      </c>
      <c r="R729" s="2" t="inlineStr"/>
    </row>
    <row r="730" ht="15" customHeight="1">
      <c r="A730" t="inlineStr">
        <is>
          <t>A 42152-2025</t>
        </is>
      </c>
      <c r="B730" s="1" t="n">
        <v>45904.3884375</v>
      </c>
      <c r="C730" s="1" t="n">
        <v>46033</v>
      </c>
      <c r="D730" t="inlineStr">
        <is>
          <t>VÄRMLANDS LÄN</t>
        </is>
      </c>
      <c r="E730" t="inlineStr">
        <is>
          <t>TORSBY</t>
        </is>
      </c>
      <c r="G730" t="n">
        <v>1.4</v>
      </c>
      <c r="H730" t="n">
        <v>0</v>
      </c>
      <c r="I730" t="n">
        <v>0</v>
      </c>
      <c r="J730" t="n">
        <v>0</v>
      </c>
      <c r="K730" t="n">
        <v>0</v>
      </c>
      <c r="L730" t="n">
        <v>0</v>
      </c>
      <c r="M730" t="n">
        <v>0</v>
      </c>
      <c r="N730" t="n">
        <v>0</v>
      </c>
      <c r="O730" t="n">
        <v>0</v>
      </c>
      <c r="P730" t="n">
        <v>0</v>
      </c>
      <c r="Q730" t="n">
        <v>0</v>
      </c>
      <c r="R730" s="2" t="inlineStr"/>
    </row>
    <row r="731" ht="15" customHeight="1">
      <c r="A731" t="inlineStr">
        <is>
          <t>A 59913-2025</t>
        </is>
      </c>
      <c r="B731" s="1" t="n">
        <v>45993.36527777778</v>
      </c>
      <c r="C731" s="1" t="n">
        <v>46033</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43144-2024</t>
        </is>
      </c>
      <c r="B732" s="1" t="n">
        <v>45567</v>
      </c>
      <c r="C732" s="1" t="n">
        <v>46033</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42273-2025</t>
        </is>
      </c>
      <c r="B733" s="1" t="n">
        <v>45904.60708333334</v>
      </c>
      <c r="C733" s="1" t="n">
        <v>46033</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42529-2025</t>
        </is>
      </c>
      <c r="B734" s="1" t="n">
        <v>45905.55716435185</v>
      </c>
      <c r="C734" s="1" t="n">
        <v>46033</v>
      </c>
      <c r="D734" t="inlineStr">
        <is>
          <t>VÄRMLANDS LÄN</t>
        </is>
      </c>
      <c r="E734" t="inlineStr">
        <is>
          <t>TORSBY</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27043-2025</t>
        </is>
      </c>
      <c r="B735" s="1" t="n">
        <v>45811.61342592593</v>
      </c>
      <c r="C735" s="1" t="n">
        <v>46033</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26898-2025</t>
        </is>
      </c>
      <c r="B736" s="1" t="n">
        <v>45811</v>
      </c>
      <c r="C736" s="1" t="n">
        <v>46033</v>
      </c>
      <c r="D736" t="inlineStr">
        <is>
          <t>VÄRMLANDS LÄN</t>
        </is>
      </c>
      <c r="E736" t="inlineStr">
        <is>
          <t>TORSBY</t>
        </is>
      </c>
      <c r="F736" t="inlineStr">
        <is>
          <t>Övriga Aktiebolag</t>
        </is>
      </c>
      <c r="G736" t="n">
        <v>37.8</v>
      </c>
      <c r="H736" t="n">
        <v>0</v>
      </c>
      <c r="I736" t="n">
        <v>0</v>
      </c>
      <c r="J736" t="n">
        <v>0</v>
      </c>
      <c r="K736" t="n">
        <v>0</v>
      </c>
      <c r="L736" t="n">
        <v>0</v>
      </c>
      <c r="M736" t="n">
        <v>0</v>
      </c>
      <c r="N736" t="n">
        <v>0</v>
      </c>
      <c r="O736" t="n">
        <v>0</v>
      </c>
      <c r="P736" t="n">
        <v>0</v>
      </c>
      <c r="Q736" t="n">
        <v>0</v>
      </c>
      <c r="R736" s="2" t="inlineStr"/>
    </row>
    <row r="737" ht="15" customHeight="1">
      <c r="A737" t="inlineStr">
        <is>
          <t>A 42742-2025</t>
        </is>
      </c>
      <c r="B737" s="1" t="n">
        <v>45908</v>
      </c>
      <c r="C737" s="1" t="n">
        <v>46033</v>
      </c>
      <c r="D737" t="inlineStr">
        <is>
          <t>VÄRMLANDS LÄN</t>
        </is>
      </c>
      <c r="E737" t="inlineStr">
        <is>
          <t>TORSBY</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34534-2024</t>
        </is>
      </c>
      <c r="B738" s="1" t="n">
        <v>45525</v>
      </c>
      <c r="C738" s="1" t="n">
        <v>46033</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11222-2024</t>
        </is>
      </c>
      <c r="B739" s="1" t="n">
        <v>45371</v>
      </c>
      <c r="C739" s="1" t="n">
        <v>46033</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754-2025</t>
        </is>
      </c>
      <c r="B740" s="1" t="n">
        <v>45665</v>
      </c>
      <c r="C740" s="1" t="n">
        <v>46033</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26892-2025</t>
        </is>
      </c>
      <c r="B741" s="1" t="n">
        <v>45811.3334837963</v>
      </c>
      <c r="C741" s="1" t="n">
        <v>46033</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27094-2025</t>
        </is>
      </c>
      <c r="B742" s="1" t="n">
        <v>45811.6766087963</v>
      </c>
      <c r="C742" s="1" t="n">
        <v>46033</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42886-2025</t>
        </is>
      </c>
      <c r="B743" s="1" t="n">
        <v>45908.65288194444</v>
      </c>
      <c r="C743" s="1" t="n">
        <v>46033</v>
      </c>
      <c r="D743" t="inlineStr">
        <is>
          <t>VÄRMLANDS LÄN</t>
        </is>
      </c>
      <c r="E743" t="inlineStr">
        <is>
          <t>TORSBY</t>
        </is>
      </c>
      <c r="G743" t="n">
        <v>5.8</v>
      </c>
      <c r="H743" t="n">
        <v>0</v>
      </c>
      <c r="I743" t="n">
        <v>0</v>
      </c>
      <c r="J743" t="n">
        <v>0</v>
      </c>
      <c r="K743" t="n">
        <v>0</v>
      </c>
      <c r="L743" t="n">
        <v>0</v>
      </c>
      <c r="M743" t="n">
        <v>0</v>
      </c>
      <c r="N743" t="n">
        <v>0</v>
      </c>
      <c r="O743" t="n">
        <v>0</v>
      </c>
      <c r="P743" t="n">
        <v>0</v>
      </c>
      <c r="Q743" t="n">
        <v>0</v>
      </c>
      <c r="R743" s="2" t="inlineStr"/>
    </row>
    <row r="744" ht="15" customHeight="1">
      <c r="A744" t="inlineStr">
        <is>
          <t>A 42966-2025</t>
        </is>
      </c>
      <c r="B744" s="1" t="n">
        <v>45909.38825231481</v>
      </c>
      <c r="C744" s="1" t="n">
        <v>46033</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26822-2025</t>
        </is>
      </c>
      <c r="B745" s="1" t="n">
        <v>45810</v>
      </c>
      <c r="C745" s="1" t="n">
        <v>46033</v>
      </c>
      <c r="D745" t="inlineStr">
        <is>
          <t>VÄRMLANDS LÄN</t>
        </is>
      </c>
      <c r="E745" t="inlineStr">
        <is>
          <t>TORSBY</t>
        </is>
      </c>
      <c r="G745" t="n">
        <v>13.7</v>
      </c>
      <c r="H745" t="n">
        <v>0</v>
      </c>
      <c r="I745" t="n">
        <v>0</v>
      </c>
      <c r="J745" t="n">
        <v>0</v>
      </c>
      <c r="K745" t="n">
        <v>0</v>
      </c>
      <c r="L745" t="n">
        <v>0</v>
      </c>
      <c r="M745" t="n">
        <v>0</v>
      </c>
      <c r="N745" t="n">
        <v>0</v>
      </c>
      <c r="O745" t="n">
        <v>0</v>
      </c>
      <c r="P745" t="n">
        <v>0</v>
      </c>
      <c r="Q745" t="n">
        <v>0</v>
      </c>
      <c r="R745" s="2" t="inlineStr"/>
    </row>
    <row r="746" ht="15" customHeight="1">
      <c r="A746" t="inlineStr">
        <is>
          <t>A 8284-2023</t>
        </is>
      </c>
      <c r="B746" s="1" t="n">
        <v>44974.64714120371</v>
      </c>
      <c r="C746" s="1" t="n">
        <v>46033</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42965-2025</t>
        </is>
      </c>
      <c r="B747" s="1" t="n">
        <v>45909.37575231482</v>
      </c>
      <c r="C747" s="1" t="n">
        <v>46033</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44431.65930555556</v>
      </c>
      <c r="C748" s="1" t="n">
        <v>46033</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48239-2022</t>
        </is>
      </c>
      <c r="B749" s="1" t="n">
        <v>44858.45881944444</v>
      </c>
      <c r="C749" s="1" t="n">
        <v>46033</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26223-2021</t>
        </is>
      </c>
      <c r="B750" s="1" t="n">
        <v>44347</v>
      </c>
      <c r="C750" s="1" t="n">
        <v>46033</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26890-2025</t>
        </is>
      </c>
      <c r="B751" s="1" t="n">
        <v>45811</v>
      </c>
      <c r="C751" s="1" t="n">
        <v>46033</v>
      </c>
      <c r="D751" t="inlineStr">
        <is>
          <t>VÄRMLANDS LÄN</t>
        </is>
      </c>
      <c r="E751" t="inlineStr">
        <is>
          <t>TORSBY</t>
        </is>
      </c>
      <c r="F751" t="inlineStr">
        <is>
          <t>Bergvik skog väst AB</t>
        </is>
      </c>
      <c r="G751" t="n">
        <v>6.7</v>
      </c>
      <c r="H751" t="n">
        <v>0</v>
      </c>
      <c r="I751" t="n">
        <v>0</v>
      </c>
      <c r="J751" t="n">
        <v>0</v>
      </c>
      <c r="K751" t="n">
        <v>0</v>
      </c>
      <c r="L751" t="n">
        <v>0</v>
      </c>
      <c r="M751" t="n">
        <v>0</v>
      </c>
      <c r="N751" t="n">
        <v>0</v>
      </c>
      <c r="O751" t="n">
        <v>0</v>
      </c>
      <c r="P751" t="n">
        <v>0</v>
      </c>
      <c r="Q751" t="n">
        <v>0</v>
      </c>
      <c r="R751" s="2" t="inlineStr"/>
    </row>
    <row r="752" ht="15" customHeight="1">
      <c r="A752" t="inlineStr">
        <is>
          <t>A 906-2025</t>
        </is>
      </c>
      <c r="B752" s="1" t="n">
        <v>45664</v>
      </c>
      <c r="C752" s="1" t="n">
        <v>46033</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42931-2025</t>
        </is>
      </c>
      <c r="B753" s="1" t="n">
        <v>45909</v>
      </c>
      <c r="C753" s="1" t="n">
        <v>46033</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25956-2025</t>
        </is>
      </c>
      <c r="B754" s="1" t="n">
        <v>45804</v>
      </c>
      <c r="C754" s="1" t="n">
        <v>46033</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33146-2025</t>
        </is>
      </c>
      <c r="B755" s="1" t="n">
        <v>45840.53549768519</v>
      </c>
      <c r="C755" s="1" t="n">
        <v>46033</v>
      </c>
      <c r="D755" t="inlineStr">
        <is>
          <t>VÄRMLANDS LÄN</t>
        </is>
      </c>
      <c r="E755" t="inlineStr">
        <is>
          <t>TORSBY</t>
        </is>
      </c>
      <c r="G755" t="n">
        <v>4.8</v>
      </c>
      <c r="H755" t="n">
        <v>0</v>
      </c>
      <c r="I755" t="n">
        <v>0</v>
      </c>
      <c r="J755" t="n">
        <v>0</v>
      </c>
      <c r="K755" t="n">
        <v>0</v>
      </c>
      <c r="L755" t="n">
        <v>0</v>
      </c>
      <c r="M755" t="n">
        <v>0</v>
      </c>
      <c r="N755" t="n">
        <v>0</v>
      </c>
      <c r="O755" t="n">
        <v>0</v>
      </c>
      <c r="P755" t="n">
        <v>0</v>
      </c>
      <c r="Q755" t="n">
        <v>0</v>
      </c>
      <c r="R755" s="2" t="inlineStr"/>
    </row>
    <row r="756" ht="15" customHeight="1">
      <c r="A756" t="inlineStr">
        <is>
          <t>A 43055-2025</t>
        </is>
      </c>
      <c r="B756" s="1" t="n">
        <v>45909</v>
      </c>
      <c r="C756" s="1" t="n">
        <v>46033</v>
      </c>
      <c r="D756" t="inlineStr">
        <is>
          <t>VÄRMLANDS LÄN</t>
        </is>
      </c>
      <c r="E756" t="inlineStr">
        <is>
          <t>TORSBY</t>
        </is>
      </c>
      <c r="F756" t="inlineStr">
        <is>
          <t>Bergvik skog väst AB</t>
        </is>
      </c>
      <c r="G756" t="n">
        <v>20.1</v>
      </c>
      <c r="H756" t="n">
        <v>0</v>
      </c>
      <c r="I756" t="n">
        <v>0</v>
      </c>
      <c r="J756" t="n">
        <v>0</v>
      </c>
      <c r="K756" t="n">
        <v>0</v>
      </c>
      <c r="L756" t="n">
        <v>0</v>
      </c>
      <c r="M756" t="n">
        <v>0</v>
      </c>
      <c r="N756" t="n">
        <v>0</v>
      </c>
      <c r="O756" t="n">
        <v>0</v>
      </c>
      <c r="P756" t="n">
        <v>0</v>
      </c>
      <c r="Q756" t="n">
        <v>0</v>
      </c>
      <c r="R756" s="2" t="inlineStr"/>
    </row>
    <row r="757" ht="15" customHeight="1">
      <c r="A757" t="inlineStr">
        <is>
          <t>A 26607-2025</t>
        </is>
      </c>
      <c r="B757" s="1" t="n">
        <v>45809.92239583333</v>
      </c>
      <c r="C757" s="1" t="n">
        <v>46033</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56902-2023</t>
        </is>
      </c>
      <c r="B758" s="1" t="n">
        <v>45244</v>
      </c>
      <c r="C758" s="1" t="n">
        <v>46033</v>
      </c>
      <c r="D758" t="inlineStr">
        <is>
          <t>VÄRMLANDS LÄN</t>
        </is>
      </c>
      <c r="E758" t="inlineStr">
        <is>
          <t>TORSBY</t>
        </is>
      </c>
      <c r="G758" t="n">
        <v>17.4</v>
      </c>
      <c r="H758" t="n">
        <v>0</v>
      </c>
      <c r="I758" t="n">
        <v>0</v>
      </c>
      <c r="J758" t="n">
        <v>0</v>
      </c>
      <c r="K758" t="n">
        <v>0</v>
      </c>
      <c r="L758" t="n">
        <v>0</v>
      </c>
      <c r="M758" t="n">
        <v>0</v>
      </c>
      <c r="N758" t="n">
        <v>0</v>
      </c>
      <c r="O758" t="n">
        <v>0</v>
      </c>
      <c r="P758" t="n">
        <v>0</v>
      </c>
      <c r="Q758" t="n">
        <v>0</v>
      </c>
      <c r="R758" s="2" t="inlineStr"/>
    </row>
    <row r="759" ht="15" customHeight="1">
      <c r="A759" t="inlineStr">
        <is>
          <t>A 42932-2025</t>
        </is>
      </c>
      <c r="B759" s="1" t="n">
        <v>45909</v>
      </c>
      <c r="C759" s="1" t="n">
        <v>46033</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26960-2025</t>
        </is>
      </c>
      <c r="B760" s="1" t="n">
        <v>45811.46167824074</v>
      </c>
      <c r="C760" s="1" t="n">
        <v>46033</v>
      </c>
      <c r="D760" t="inlineStr">
        <is>
          <t>VÄRMLANDS LÄN</t>
        </is>
      </c>
      <c r="E760" t="inlineStr">
        <is>
          <t>TORSBY</t>
        </is>
      </c>
      <c r="F760" t="inlineStr">
        <is>
          <t>Kyrkan</t>
        </is>
      </c>
      <c r="G760" t="n">
        <v>5.8</v>
      </c>
      <c r="H760" t="n">
        <v>0</v>
      </c>
      <c r="I760" t="n">
        <v>0</v>
      </c>
      <c r="J760" t="n">
        <v>0</v>
      </c>
      <c r="K760" t="n">
        <v>0</v>
      </c>
      <c r="L760" t="n">
        <v>0</v>
      </c>
      <c r="M760" t="n">
        <v>0</v>
      </c>
      <c r="N760" t="n">
        <v>0</v>
      </c>
      <c r="O760" t="n">
        <v>0</v>
      </c>
      <c r="P760" t="n">
        <v>0</v>
      </c>
      <c r="Q760" t="n">
        <v>0</v>
      </c>
      <c r="R760" s="2" t="inlineStr"/>
    </row>
    <row r="761" ht="15" customHeight="1">
      <c r="A761" t="inlineStr">
        <is>
          <t>A 27093-2025</t>
        </is>
      </c>
      <c r="B761" s="1" t="n">
        <v>45811.67347222222</v>
      </c>
      <c r="C761" s="1" t="n">
        <v>46033</v>
      </c>
      <c r="D761" t="inlineStr">
        <is>
          <t>VÄRMLANDS LÄN</t>
        </is>
      </c>
      <c r="E761" t="inlineStr">
        <is>
          <t>TORSBY</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42705-2025</t>
        </is>
      </c>
      <c r="B762" s="1" t="n">
        <v>45908.37063657407</v>
      </c>
      <c r="C762" s="1" t="n">
        <v>46033</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46033</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42720-2025</t>
        </is>
      </c>
      <c r="B764" s="1" t="n">
        <v>45908.39427083333</v>
      </c>
      <c r="C764" s="1" t="n">
        <v>46033</v>
      </c>
      <c r="D764" t="inlineStr">
        <is>
          <t>VÄRMLANDS LÄN</t>
        </is>
      </c>
      <c r="E764" t="inlineStr">
        <is>
          <t>TORSBY</t>
        </is>
      </c>
      <c r="F764" t="inlineStr">
        <is>
          <t>Bergvik skog väst AB</t>
        </is>
      </c>
      <c r="G764" t="n">
        <v>6.8</v>
      </c>
      <c r="H764" t="n">
        <v>0</v>
      </c>
      <c r="I764" t="n">
        <v>0</v>
      </c>
      <c r="J764" t="n">
        <v>0</v>
      </c>
      <c r="K764" t="n">
        <v>0</v>
      </c>
      <c r="L764" t="n">
        <v>0</v>
      </c>
      <c r="M764" t="n">
        <v>0</v>
      </c>
      <c r="N764" t="n">
        <v>0</v>
      </c>
      <c r="O764" t="n">
        <v>0</v>
      </c>
      <c r="P764" t="n">
        <v>0</v>
      </c>
      <c r="Q764" t="n">
        <v>0</v>
      </c>
      <c r="R764" s="2" t="inlineStr"/>
    </row>
    <row r="765" ht="15" customHeight="1">
      <c r="A765" t="inlineStr">
        <is>
          <t>A 12670-2023</t>
        </is>
      </c>
      <c r="B765" s="1" t="n">
        <v>45000.58043981482</v>
      </c>
      <c r="C765" s="1" t="n">
        <v>46033</v>
      </c>
      <c r="D765" t="inlineStr">
        <is>
          <t>VÄRMLANDS LÄN</t>
        </is>
      </c>
      <c r="E765" t="inlineStr">
        <is>
          <t>TORSBY</t>
        </is>
      </c>
      <c r="G765" t="n">
        <v>3.7</v>
      </c>
      <c r="H765" t="n">
        <v>0</v>
      </c>
      <c r="I765" t="n">
        <v>0</v>
      </c>
      <c r="J765" t="n">
        <v>0</v>
      </c>
      <c r="K765" t="n">
        <v>0</v>
      </c>
      <c r="L765" t="n">
        <v>0</v>
      </c>
      <c r="M765" t="n">
        <v>0</v>
      </c>
      <c r="N765" t="n">
        <v>0</v>
      </c>
      <c r="O765" t="n">
        <v>0</v>
      </c>
      <c r="P765" t="n">
        <v>0</v>
      </c>
      <c r="Q765" t="n">
        <v>0</v>
      </c>
      <c r="R765" s="2" t="inlineStr"/>
    </row>
    <row r="766" ht="15" customHeight="1">
      <c r="A766" t="inlineStr">
        <is>
          <t>A 52689-2024</t>
        </is>
      </c>
      <c r="B766" s="1" t="n">
        <v>45610.39621527777</v>
      </c>
      <c r="C766" s="1" t="n">
        <v>46033</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26876-2024</t>
        </is>
      </c>
      <c r="B767" s="1" t="n">
        <v>45470.62181712963</v>
      </c>
      <c r="C767" s="1" t="n">
        <v>46033</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18855-2024</t>
        </is>
      </c>
      <c r="B768" s="1" t="n">
        <v>45426.73634259259</v>
      </c>
      <c r="C768" s="1" t="n">
        <v>46033</v>
      </c>
      <c r="D768" t="inlineStr">
        <is>
          <t>VÄRMLANDS LÄN</t>
        </is>
      </c>
      <c r="E768" t="inlineStr">
        <is>
          <t>TORSBY</t>
        </is>
      </c>
      <c r="G768" t="n">
        <v>5</v>
      </c>
      <c r="H768" t="n">
        <v>0</v>
      </c>
      <c r="I768" t="n">
        <v>0</v>
      </c>
      <c r="J768" t="n">
        <v>0</v>
      </c>
      <c r="K768" t="n">
        <v>0</v>
      </c>
      <c r="L768" t="n">
        <v>0</v>
      </c>
      <c r="M768" t="n">
        <v>0</v>
      </c>
      <c r="N768" t="n">
        <v>0</v>
      </c>
      <c r="O768" t="n">
        <v>0</v>
      </c>
      <c r="P768" t="n">
        <v>0</v>
      </c>
      <c r="Q768" t="n">
        <v>0</v>
      </c>
      <c r="R768" s="2" t="inlineStr"/>
    </row>
    <row r="769" ht="15" customHeight="1">
      <c r="A769" t="inlineStr">
        <is>
          <t>A 43529-2023</t>
        </is>
      </c>
      <c r="B769" s="1" t="n">
        <v>45181</v>
      </c>
      <c r="C769" s="1" t="n">
        <v>46033</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42961-2025</t>
        </is>
      </c>
      <c r="B770" s="1" t="n">
        <v>45909.36737268518</v>
      </c>
      <c r="C770" s="1" t="n">
        <v>46033</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16192-2025</t>
        </is>
      </c>
      <c r="B771" s="1" t="n">
        <v>45750.59760416667</v>
      </c>
      <c r="C771" s="1" t="n">
        <v>46033</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24087-2024</t>
        </is>
      </c>
      <c r="B772" s="1" t="n">
        <v>45456</v>
      </c>
      <c r="C772" s="1" t="n">
        <v>46033</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30002-2024</t>
        </is>
      </c>
      <c r="B773" s="1" t="n">
        <v>45488</v>
      </c>
      <c r="C773" s="1" t="n">
        <v>46033</v>
      </c>
      <c r="D773" t="inlineStr">
        <is>
          <t>VÄRMLANDS LÄN</t>
        </is>
      </c>
      <c r="E773" t="inlineStr">
        <is>
          <t>TORSBY</t>
        </is>
      </c>
      <c r="F773" t="inlineStr">
        <is>
          <t>Kommuner</t>
        </is>
      </c>
      <c r="G773" t="n">
        <v>3.1</v>
      </c>
      <c r="H773" t="n">
        <v>0</v>
      </c>
      <c r="I773" t="n">
        <v>0</v>
      </c>
      <c r="J773" t="n">
        <v>0</v>
      </c>
      <c r="K773" t="n">
        <v>0</v>
      </c>
      <c r="L773" t="n">
        <v>0</v>
      </c>
      <c r="M773" t="n">
        <v>0</v>
      </c>
      <c r="N773" t="n">
        <v>0</v>
      </c>
      <c r="O773" t="n">
        <v>0</v>
      </c>
      <c r="P773" t="n">
        <v>0</v>
      </c>
      <c r="Q773" t="n">
        <v>0</v>
      </c>
      <c r="R773" s="2" t="inlineStr"/>
    </row>
    <row r="774" ht="15" customHeight="1">
      <c r="A774" t="inlineStr">
        <is>
          <t>A 54204-2023</t>
        </is>
      </c>
      <c r="B774" s="1" t="n">
        <v>45232.56141203704</v>
      </c>
      <c r="C774" s="1" t="n">
        <v>46033</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10473-2023</t>
        </is>
      </c>
      <c r="B775" s="1" t="n">
        <v>44981</v>
      </c>
      <c r="C775" s="1" t="n">
        <v>46033</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18365-2025</t>
        </is>
      </c>
      <c r="B776" s="1" t="n">
        <v>45762</v>
      </c>
      <c r="C776" s="1" t="n">
        <v>46033</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27149-2025</t>
        </is>
      </c>
      <c r="B777" s="1" t="n">
        <v>45812.31924768518</v>
      </c>
      <c r="C777" s="1" t="n">
        <v>46033</v>
      </c>
      <c r="D777" t="inlineStr">
        <is>
          <t>VÄRMLANDS LÄN</t>
        </is>
      </c>
      <c r="E777" t="inlineStr">
        <is>
          <t>TORSBY</t>
        </is>
      </c>
      <c r="F777" t="inlineStr">
        <is>
          <t>Bergvik skog väst AB</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62445-2023</t>
        </is>
      </c>
      <c r="B778" s="1" t="n">
        <v>45268.47487268518</v>
      </c>
      <c r="C778" s="1" t="n">
        <v>46033</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485-2025</t>
        </is>
      </c>
      <c r="B779" s="1" t="n">
        <v>45664</v>
      </c>
      <c r="C779" s="1" t="n">
        <v>46033</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60392-2025</t>
        </is>
      </c>
      <c r="B780" s="1" t="n">
        <v>45995.38917824074</v>
      </c>
      <c r="C780" s="1" t="n">
        <v>46033</v>
      </c>
      <c r="D780" t="inlineStr">
        <is>
          <t>VÄRMLANDS LÄN</t>
        </is>
      </c>
      <c r="E780" t="inlineStr">
        <is>
          <t>TORSBY</t>
        </is>
      </c>
      <c r="F780" t="inlineStr">
        <is>
          <t>Bergvik skog väst AB</t>
        </is>
      </c>
      <c r="G780" t="n">
        <v>32.3</v>
      </c>
      <c r="H780" t="n">
        <v>0</v>
      </c>
      <c r="I780" t="n">
        <v>0</v>
      </c>
      <c r="J780" t="n">
        <v>0</v>
      </c>
      <c r="K780" t="n">
        <v>0</v>
      </c>
      <c r="L780" t="n">
        <v>0</v>
      </c>
      <c r="M780" t="n">
        <v>0</v>
      </c>
      <c r="N780" t="n">
        <v>0</v>
      </c>
      <c r="O780" t="n">
        <v>0</v>
      </c>
      <c r="P780" t="n">
        <v>0</v>
      </c>
      <c r="Q780" t="n">
        <v>0</v>
      </c>
      <c r="R780" s="2" t="inlineStr"/>
    </row>
    <row r="781" ht="15" customHeight="1">
      <c r="A781" t="inlineStr">
        <is>
          <t>A 2803-2025</t>
        </is>
      </c>
      <c r="B781" s="1" t="n">
        <v>45677</v>
      </c>
      <c r="C781" s="1" t="n">
        <v>46033</v>
      </c>
      <c r="D781" t="inlineStr">
        <is>
          <t>VÄRMLANDS LÄN</t>
        </is>
      </c>
      <c r="E781" t="inlineStr">
        <is>
          <t>TORSBY</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2807-2025</t>
        </is>
      </c>
      <c r="B782" s="1" t="n">
        <v>45677</v>
      </c>
      <c r="C782" s="1" t="n">
        <v>46033</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3442-2025</t>
        </is>
      </c>
      <c r="B783" s="1" t="n">
        <v>45680.45114583334</v>
      </c>
      <c r="C783" s="1" t="n">
        <v>46033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27667-2025</t>
        </is>
      </c>
      <c r="B784" s="1" t="n">
        <v>45813.62092592593</v>
      </c>
      <c r="C784" s="1" t="n">
        <v>46033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27674-2025</t>
        </is>
      </c>
      <c r="B785" s="1" t="n">
        <v>45813.62936342593</v>
      </c>
      <c r="C785" s="1" t="n">
        <v>46033</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43614-2025</t>
        </is>
      </c>
      <c r="B786" s="1" t="n">
        <v>45911.67766203704</v>
      </c>
      <c r="C786" s="1" t="n">
        <v>46033</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38486-2022</t>
        </is>
      </c>
      <c r="B787" s="1" t="n">
        <v>44813</v>
      </c>
      <c r="C787" s="1" t="n">
        <v>46033</v>
      </c>
      <c r="D787" t="inlineStr">
        <is>
          <t>VÄRMLANDS LÄN</t>
        </is>
      </c>
      <c r="E787" t="inlineStr">
        <is>
          <t>TORSBY</t>
        </is>
      </c>
      <c r="F787" t="inlineStr">
        <is>
          <t>Bergvik skog väst AB</t>
        </is>
      </c>
      <c r="G787" t="n">
        <v>9.6</v>
      </c>
      <c r="H787" t="n">
        <v>0</v>
      </c>
      <c r="I787" t="n">
        <v>0</v>
      </c>
      <c r="J787" t="n">
        <v>0</v>
      </c>
      <c r="K787" t="n">
        <v>0</v>
      </c>
      <c r="L787" t="n">
        <v>0</v>
      </c>
      <c r="M787" t="n">
        <v>0</v>
      </c>
      <c r="N787" t="n">
        <v>0</v>
      </c>
      <c r="O787" t="n">
        <v>0</v>
      </c>
      <c r="P787" t="n">
        <v>0</v>
      </c>
      <c r="Q787" t="n">
        <v>0</v>
      </c>
      <c r="R787" s="2" t="inlineStr"/>
    </row>
    <row r="788" ht="15" customHeight="1">
      <c r="A788" t="inlineStr">
        <is>
          <t>A 18105-2022</t>
        </is>
      </c>
      <c r="B788" s="1" t="n">
        <v>44684</v>
      </c>
      <c r="C788" s="1" t="n">
        <v>46033</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27467-2025</t>
        </is>
      </c>
      <c r="B789" s="1" t="n">
        <v>45813.35497685185</v>
      </c>
      <c r="C789" s="1" t="n">
        <v>46033</v>
      </c>
      <c r="D789" t="inlineStr">
        <is>
          <t>VÄRMLANDS LÄN</t>
        </is>
      </c>
      <c r="E789" t="inlineStr">
        <is>
          <t>TORSBY</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43608-2025</t>
        </is>
      </c>
      <c r="B790" s="1" t="n">
        <v>45911.67491898148</v>
      </c>
      <c r="C790" s="1" t="n">
        <v>46033</v>
      </c>
      <c r="D790" t="inlineStr">
        <is>
          <t>VÄRMLANDS LÄN</t>
        </is>
      </c>
      <c r="E790" t="inlineStr">
        <is>
          <t>TORSBY</t>
        </is>
      </c>
      <c r="F790" t="inlineStr">
        <is>
          <t>Bergvik skog väst AB</t>
        </is>
      </c>
      <c r="G790" t="n">
        <v>6</v>
      </c>
      <c r="H790" t="n">
        <v>0</v>
      </c>
      <c r="I790" t="n">
        <v>0</v>
      </c>
      <c r="J790" t="n">
        <v>0</v>
      </c>
      <c r="K790" t="n">
        <v>0</v>
      </c>
      <c r="L790" t="n">
        <v>0</v>
      </c>
      <c r="M790" t="n">
        <v>0</v>
      </c>
      <c r="N790" t="n">
        <v>0</v>
      </c>
      <c r="O790" t="n">
        <v>0</v>
      </c>
      <c r="P790" t="n">
        <v>0</v>
      </c>
      <c r="Q790" t="n">
        <v>0</v>
      </c>
      <c r="R790" s="2" t="inlineStr"/>
    </row>
    <row r="791" ht="15" customHeight="1">
      <c r="A791" t="inlineStr">
        <is>
          <t>A 43304-2025</t>
        </is>
      </c>
      <c r="B791" s="1" t="n">
        <v>45910.63630787037</v>
      </c>
      <c r="C791" s="1" t="n">
        <v>46033</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27450-2025</t>
        </is>
      </c>
      <c r="B792" s="1" t="n">
        <v>45813.33738425926</v>
      </c>
      <c r="C792" s="1" t="n">
        <v>46033</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60459-2025</t>
        </is>
      </c>
      <c r="B793" s="1" t="n">
        <v>45995.54590277778</v>
      </c>
      <c r="C793" s="1" t="n">
        <v>46033</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27470-2025</t>
        </is>
      </c>
      <c r="B794" s="1" t="n">
        <v>45813.36284722222</v>
      </c>
      <c r="C794" s="1" t="n">
        <v>46033</v>
      </c>
      <c r="D794" t="inlineStr">
        <is>
          <t>VÄRMLANDS LÄN</t>
        </is>
      </c>
      <c r="E794" t="inlineStr">
        <is>
          <t>TORSBY</t>
        </is>
      </c>
      <c r="G794" t="n">
        <v>17.9</v>
      </c>
      <c r="H794" t="n">
        <v>0</v>
      </c>
      <c r="I794" t="n">
        <v>0</v>
      </c>
      <c r="J794" t="n">
        <v>0</v>
      </c>
      <c r="K794" t="n">
        <v>0</v>
      </c>
      <c r="L794" t="n">
        <v>0</v>
      </c>
      <c r="M794" t="n">
        <v>0</v>
      </c>
      <c r="N794" t="n">
        <v>0</v>
      </c>
      <c r="O794" t="n">
        <v>0</v>
      </c>
      <c r="P794" t="n">
        <v>0</v>
      </c>
      <c r="Q794" t="n">
        <v>0</v>
      </c>
      <c r="R794" s="2" t="inlineStr"/>
    </row>
    <row r="795" ht="15" customHeight="1">
      <c r="A795" t="inlineStr">
        <is>
          <t>A 27291-2025</t>
        </is>
      </c>
      <c r="B795" s="1" t="n">
        <v>45812.55769675926</v>
      </c>
      <c r="C795" s="1" t="n">
        <v>46033</v>
      </c>
      <c r="D795" t="inlineStr">
        <is>
          <t>VÄRMLANDS LÄN</t>
        </is>
      </c>
      <c r="E795" t="inlineStr">
        <is>
          <t>TORSBY</t>
        </is>
      </c>
      <c r="G795" t="n">
        <v>8</v>
      </c>
      <c r="H795" t="n">
        <v>0</v>
      </c>
      <c r="I795" t="n">
        <v>0</v>
      </c>
      <c r="J795" t="n">
        <v>0</v>
      </c>
      <c r="K795" t="n">
        <v>0</v>
      </c>
      <c r="L795" t="n">
        <v>0</v>
      </c>
      <c r="M795" t="n">
        <v>0</v>
      </c>
      <c r="N795" t="n">
        <v>0</v>
      </c>
      <c r="O795" t="n">
        <v>0</v>
      </c>
      <c r="P795" t="n">
        <v>0</v>
      </c>
      <c r="Q795" t="n">
        <v>0</v>
      </c>
      <c r="R795" s="2" t="inlineStr"/>
    </row>
    <row r="796" ht="15" customHeight="1">
      <c r="A796" t="inlineStr">
        <is>
          <t>A 43313-2025</t>
        </is>
      </c>
      <c r="B796" s="1" t="n">
        <v>45910</v>
      </c>
      <c r="C796" s="1" t="n">
        <v>46033</v>
      </c>
      <c r="D796" t="inlineStr">
        <is>
          <t>VÄRMLANDS LÄN</t>
        </is>
      </c>
      <c r="E796" t="inlineStr">
        <is>
          <t>TORSBY</t>
        </is>
      </c>
      <c r="F796" t="inlineStr">
        <is>
          <t>Övriga Aktiebolag</t>
        </is>
      </c>
      <c r="G796" t="n">
        <v>9.5</v>
      </c>
      <c r="H796" t="n">
        <v>0</v>
      </c>
      <c r="I796" t="n">
        <v>0</v>
      </c>
      <c r="J796" t="n">
        <v>0</v>
      </c>
      <c r="K796" t="n">
        <v>0</v>
      </c>
      <c r="L796" t="n">
        <v>0</v>
      </c>
      <c r="M796" t="n">
        <v>0</v>
      </c>
      <c r="N796" t="n">
        <v>0</v>
      </c>
      <c r="O796" t="n">
        <v>0</v>
      </c>
      <c r="P796" t="n">
        <v>0</v>
      </c>
      <c r="Q796" t="n">
        <v>0</v>
      </c>
      <c r="R796" s="2" t="inlineStr"/>
    </row>
    <row r="797" ht="15" customHeight="1">
      <c r="A797" t="inlineStr">
        <is>
          <t>A 31351-2024</t>
        </is>
      </c>
      <c r="B797" s="1" t="n">
        <v>45505</v>
      </c>
      <c r="C797" s="1" t="n">
        <v>46033</v>
      </c>
      <c r="D797" t="inlineStr">
        <is>
          <t>VÄRMLANDS LÄN</t>
        </is>
      </c>
      <c r="E797" t="inlineStr">
        <is>
          <t>TORSBY</t>
        </is>
      </c>
      <c r="F797" t="inlineStr">
        <is>
          <t>Kyrkan</t>
        </is>
      </c>
      <c r="G797" t="n">
        <v>6.5</v>
      </c>
      <c r="H797" t="n">
        <v>0</v>
      </c>
      <c r="I797" t="n">
        <v>0</v>
      </c>
      <c r="J797" t="n">
        <v>0</v>
      </c>
      <c r="K797" t="n">
        <v>0</v>
      </c>
      <c r="L797" t="n">
        <v>0</v>
      </c>
      <c r="M797" t="n">
        <v>0</v>
      </c>
      <c r="N797" t="n">
        <v>0</v>
      </c>
      <c r="O797" t="n">
        <v>0</v>
      </c>
      <c r="P797" t="n">
        <v>0</v>
      </c>
      <c r="Q797" t="n">
        <v>0</v>
      </c>
      <c r="R797" s="2" t="inlineStr"/>
    </row>
    <row r="798" ht="15" customHeight="1">
      <c r="A798" t="inlineStr">
        <is>
          <t>A 32332-2023</t>
        </is>
      </c>
      <c r="B798" s="1" t="n">
        <v>45110</v>
      </c>
      <c r="C798" s="1" t="n">
        <v>46033</v>
      </c>
      <c r="D798" t="inlineStr">
        <is>
          <t>VÄRMLANDS LÄN</t>
        </is>
      </c>
      <c r="E798" t="inlineStr">
        <is>
          <t>TORSBY</t>
        </is>
      </c>
      <c r="G798" t="n">
        <v>2</v>
      </c>
      <c r="H798" t="n">
        <v>0</v>
      </c>
      <c r="I798" t="n">
        <v>0</v>
      </c>
      <c r="J798" t="n">
        <v>0</v>
      </c>
      <c r="K798" t="n">
        <v>0</v>
      </c>
      <c r="L798" t="n">
        <v>0</v>
      </c>
      <c r="M798" t="n">
        <v>0</v>
      </c>
      <c r="N798" t="n">
        <v>0</v>
      </c>
      <c r="O798" t="n">
        <v>0</v>
      </c>
      <c r="P798" t="n">
        <v>0</v>
      </c>
      <c r="Q798" t="n">
        <v>0</v>
      </c>
      <c r="R798" s="2" t="inlineStr"/>
    </row>
    <row r="799" ht="15" customHeight="1">
      <c r="A799" t="inlineStr">
        <is>
          <t>A 61510-2022</t>
        </is>
      </c>
      <c r="B799" s="1" t="n">
        <v>44916.49820601852</v>
      </c>
      <c r="C799" s="1" t="n">
        <v>46033</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52067-2025</t>
        </is>
      </c>
      <c r="B800" s="1" t="n">
        <v>45952.64248842592</v>
      </c>
      <c r="C800" s="1" t="n">
        <v>46033</v>
      </c>
      <c r="D800" t="inlineStr">
        <is>
          <t>VÄRMLANDS LÄN</t>
        </is>
      </c>
      <c r="E800" t="inlineStr">
        <is>
          <t>TORSBY</t>
        </is>
      </c>
      <c r="F800" t="inlineStr">
        <is>
          <t>Bergvik skog väst AB</t>
        </is>
      </c>
      <c r="G800" t="n">
        <v>7.9</v>
      </c>
      <c r="H800" t="n">
        <v>0</v>
      </c>
      <c r="I800" t="n">
        <v>0</v>
      </c>
      <c r="J800" t="n">
        <v>0</v>
      </c>
      <c r="K800" t="n">
        <v>0</v>
      </c>
      <c r="L800" t="n">
        <v>0</v>
      </c>
      <c r="M800" t="n">
        <v>0</v>
      </c>
      <c r="N800" t="n">
        <v>0</v>
      </c>
      <c r="O800" t="n">
        <v>0</v>
      </c>
      <c r="P800" t="n">
        <v>0</v>
      </c>
      <c r="Q800" t="n">
        <v>0</v>
      </c>
      <c r="R800" s="2" t="inlineStr"/>
    </row>
    <row r="801" ht="15" customHeight="1">
      <c r="A801" t="inlineStr">
        <is>
          <t>A 1120-2023</t>
        </is>
      </c>
      <c r="B801" s="1" t="n">
        <v>44935</v>
      </c>
      <c r="C801" s="1" t="n">
        <v>46033</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43787-2025</t>
        </is>
      </c>
      <c r="B802" s="1" t="n">
        <v>45912</v>
      </c>
      <c r="C802" s="1" t="n">
        <v>46033</v>
      </c>
      <c r="D802" t="inlineStr">
        <is>
          <t>VÄRMLANDS LÄN</t>
        </is>
      </c>
      <c r="E802" t="inlineStr">
        <is>
          <t>TORSBY</t>
        </is>
      </c>
      <c r="G802" t="n">
        <v>13.1</v>
      </c>
      <c r="H802" t="n">
        <v>0</v>
      </c>
      <c r="I802" t="n">
        <v>0</v>
      </c>
      <c r="J802" t="n">
        <v>0</v>
      </c>
      <c r="K802" t="n">
        <v>0</v>
      </c>
      <c r="L802" t="n">
        <v>0</v>
      </c>
      <c r="M802" t="n">
        <v>0</v>
      </c>
      <c r="N802" t="n">
        <v>0</v>
      </c>
      <c r="O802" t="n">
        <v>0</v>
      </c>
      <c r="P802" t="n">
        <v>0</v>
      </c>
      <c r="Q802" t="n">
        <v>0</v>
      </c>
      <c r="R802" s="2" t="inlineStr"/>
    </row>
    <row r="803" ht="15" customHeight="1">
      <c r="A803" t="inlineStr">
        <is>
          <t>A 27174-2025</t>
        </is>
      </c>
      <c r="B803" s="1" t="n">
        <v>45812.34997685185</v>
      </c>
      <c r="C803" s="1" t="n">
        <v>46033</v>
      </c>
      <c r="D803" t="inlineStr">
        <is>
          <t>VÄRMLANDS LÄN</t>
        </is>
      </c>
      <c r="E803" t="inlineStr">
        <is>
          <t>TORSBY</t>
        </is>
      </c>
      <c r="F803" t="inlineStr">
        <is>
          <t>Kyrkan</t>
        </is>
      </c>
      <c r="G803" t="n">
        <v>1.6</v>
      </c>
      <c r="H803" t="n">
        <v>0</v>
      </c>
      <c r="I803" t="n">
        <v>0</v>
      </c>
      <c r="J803" t="n">
        <v>0</v>
      </c>
      <c r="K803" t="n">
        <v>0</v>
      </c>
      <c r="L803" t="n">
        <v>0</v>
      </c>
      <c r="M803" t="n">
        <v>0</v>
      </c>
      <c r="N803" t="n">
        <v>0</v>
      </c>
      <c r="O803" t="n">
        <v>0</v>
      </c>
      <c r="P803" t="n">
        <v>0</v>
      </c>
      <c r="Q803" t="n">
        <v>0</v>
      </c>
      <c r="R803" s="2" t="inlineStr"/>
    </row>
    <row r="804" ht="15" customHeight="1">
      <c r="A804" t="inlineStr">
        <is>
          <t>A 27759-2025</t>
        </is>
      </c>
      <c r="B804" s="1" t="n">
        <v>45816.48986111111</v>
      </c>
      <c r="C804" s="1" t="n">
        <v>46033</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29908-2022</t>
        </is>
      </c>
      <c r="B805" s="1" t="n">
        <v>44756</v>
      </c>
      <c r="C805" s="1" t="n">
        <v>46033</v>
      </c>
      <c r="D805" t="inlineStr">
        <is>
          <t>VÄRMLANDS LÄN</t>
        </is>
      </c>
      <c r="E805" t="inlineStr">
        <is>
          <t>TORSBY</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34105-2023</t>
        </is>
      </c>
      <c r="B806" s="1" t="n">
        <v>45126</v>
      </c>
      <c r="C806" s="1" t="n">
        <v>46033</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28598-2023</t>
        </is>
      </c>
      <c r="B807" s="1" t="n">
        <v>45103.57421296297</v>
      </c>
      <c r="C807" s="1" t="n">
        <v>46033</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44156-2025</t>
        </is>
      </c>
      <c r="B808" s="1" t="n">
        <v>45915.59539351852</v>
      </c>
      <c r="C808" s="1" t="n">
        <v>46033</v>
      </c>
      <c r="D808" t="inlineStr">
        <is>
          <t>VÄRMLANDS LÄN</t>
        </is>
      </c>
      <c r="E808" t="inlineStr">
        <is>
          <t>TORSBY</t>
        </is>
      </c>
      <c r="F808" t="inlineStr">
        <is>
          <t>Kyrkan</t>
        </is>
      </c>
      <c r="G808" t="n">
        <v>3.2</v>
      </c>
      <c r="H808" t="n">
        <v>0</v>
      </c>
      <c r="I808" t="n">
        <v>0</v>
      </c>
      <c r="J808" t="n">
        <v>0</v>
      </c>
      <c r="K808" t="n">
        <v>0</v>
      </c>
      <c r="L808" t="n">
        <v>0</v>
      </c>
      <c r="M808" t="n">
        <v>0</v>
      </c>
      <c r="N808" t="n">
        <v>0</v>
      </c>
      <c r="O808" t="n">
        <v>0</v>
      </c>
      <c r="P808" t="n">
        <v>0</v>
      </c>
      <c r="Q808" t="n">
        <v>0</v>
      </c>
      <c r="R808" s="2" t="inlineStr"/>
    </row>
    <row r="809" ht="15" customHeight="1">
      <c r="A809" t="inlineStr">
        <is>
          <t>A 27863-2025</t>
        </is>
      </c>
      <c r="B809" s="1" t="n">
        <v>45817.42118055555</v>
      </c>
      <c r="C809" s="1" t="n">
        <v>46033</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44233-2025</t>
        </is>
      </c>
      <c r="B810" s="1" t="n">
        <v>45915.65515046296</v>
      </c>
      <c r="C810" s="1" t="n">
        <v>46033</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38184-2024</t>
        </is>
      </c>
      <c r="B811" s="1" t="n">
        <v>45545</v>
      </c>
      <c r="C811" s="1" t="n">
        <v>46033</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44133-2025</t>
        </is>
      </c>
      <c r="B812" s="1" t="n">
        <v>45915</v>
      </c>
      <c r="C812" s="1" t="n">
        <v>46033</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27730-2025</t>
        </is>
      </c>
      <c r="B813" s="1" t="n">
        <v>45814</v>
      </c>
      <c r="C813" s="1" t="n">
        <v>46033</v>
      </c>
      <c r="D813" t="inlineStr">
        <is>
          <t>VÄRMLANDS LÄN</t>
        </is>
      </c>
      <c r="E813" t="inlineStr">
        <is>
          <t>TORSBY</t>
        </is>
      </c>
      <c r="F813" t="inlineStr">
        <is>
          <t>Bergvik skog väst AB</t>
        </is>
      </c>
      <c r="G813" t="n">
        <v>5.1</v>
      </c>
      <c r="H813" t="n">
        <v>0</v>
      </c>
      <c r="I813" t="n">
        <v>0</v>
      </c>
      <c r="J813" t="n">
        <v>0</v>
      </c>
      <c r="K813" t="n">
        <v>0</v>
      </c>
      <c r="L813" t="n">
        <v>0</v>
      </c>
      <c r="M813" t="n">
        <v>0</v>
      </c>
      <c r="N813" t="n">
        <v>0</v>
      </c>
      <c r="O813" t="n">
        <v>0</v>
      </c>
      <c r="P813" t="n">
        <v>0</v>
      </c>
      <c r="Q813" t="n">
        <v>0</v>
      </c>
      <c r="R813" s="2" t="inlineStr"/>
    </row>
    <row r="814" ht="15" customHeight="1">
      <c r="A814" t="inlineStr">
        <is>
          <t>A 18330-2024</t>
        </is>
      </c>
      <c r="B814" s="1" t="n">
        <v>45422</v>
      </c>
      <c r="C814" s="1" t="n">
        <v>46033</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37913-2022</t>
        </is>
      </c>
      <c r="B815" s="1" t="n">
        <v>44811</v>
      </c>
      <c r="C815" s="1" t="n">
        <v>46033</v>
      </c>
      <c r="D815" t="inlineStr">
        <is>
          <t>VÄRMLANDS LÄN</t>
        </is>
      </c>
      <c r="E815" t="inlineStr">
        <is>
          <t>TORSBY</t>
        </is>
      </c>
      <c r="G815" t="n">
        <v>3.7</v>
      </c>
      <c r="H815" t="n">
        <v>0</v>
      </c>
      <c r="I815" t="n">
        <v>0</v>
      </c>
      <c r="J815" t="n">
        <v>0</v>
      </c>
      <c r="K815" t="n">
        <v>0</v>
      </c>
      <c r="L815" t="n">
        <v>0</v>
      </c>
      <c r="M815" t="n">
        <v>0</v>
      </c>
      <c r="N815" t="n">
        <v>0</v>
      </c>
      <c r="O815" t="n">
        <v>0</v>
      </c>
      <c r="P815" t="n">
        <v>0</v>
      </c>
      <c r="Q815" t="n">
        <v>0</v>
      </c>
      <c r="R815" s="2" t="inlineStr"/>
    </row>
    <row r="816" ht="15" customHeight="1">
      <c r="A816" t="inlineStr">
        <is>
          <t>A 27968-2025</t>
        </is>
      </c>
      <c r="B816" s="1" t="n">
        <v>45817.55846064815</v>
      </c>
      <c r="C816" s="1" t="n">
        <v>46033</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44055-2025</t>
        </is>
      </c>
      <c r="B817" s="1" t="n">
        <v>45915.52358796296</v>
      </c>
      <c r="C817" s="1" t="n">
        <v>46033</v>
      </c>
      <c r="D817" t="inlineStr">
        <is>
          <t>VÄRMLANDS LÄN</t>
        </is>
      </c>
      <c r="E817" t="inlineStr">
        <is>
          <t>TORSBY</t>
        </is>
      </c>
      <c r="F817" t="inlineStr">
        <is>
          <t>Kyrkan</t>
        </is>
      </c>
      <c r="G817" t="n">
        <v>5.4</v>
      </c>
      <c r="H817" t="n">
        <v>0</v>
      </c>
      <c r="I817" t="n">
        <v>0</v>
      </c>
      <c r="J817" t="n">
        <v>0</v>
      </c>
      <c r="K817" t="n">
        <v>0</v>
      </c>
      <c r="L817" t="n">
        <v>0</v>
      </c>
      <c r="M817" t="n">
        <v>0</v>
      </c>
      <c r="N817" t="n">
        <v>0</v>
      </c>
      <c r="O817" t="n">
        <v>0</v>
      </c>
      <c r="P817" t="n">
        <v>0</v>
      </c>
      <c r="Q817" t="n">
        <v>0</v>
      </c>
      <c r="R817" s="2" t="inlineStr"/>
    </row>
    <row r="818" ht="15" customHeight="1">
      <c r="A818" t="inlineStr">
        <is>
          <t>A 27856-2025</t>
        </is>
      </c>
      <c r="B818" s="1" t="n">
        <v>45817.41006944444</v>
      </c>
      <c r="C818" s="1" t="n">
        <v>46033</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52261-2025</t>
        </is>
      </c>
      <c r="B819" s="1" t="n">
        <v>45952</v>
      </c>
      <c r="C819" s="1" t="n">
        <v>46033</v>
      </c>
      <c r="D819" t="inlineStr">
        <is>
          <t>VÄRMLANDS LÄN</t>
        </is>
      </c>
      <c r="E819" t="inlineStr">
        <is>
          <t>TORSBY</t>
        </is>
      </c>
      <c r="G819" t="n">
        <v>11.7</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46033</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15169-2025</t>
        </is>
      </c>
      <c r="B821" s="1" t="n">
        <v>45744</v>
      </c>
      <c r="C821" s="1" t="n">
        <v>46033</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44220-2025</t>
        </is>
      </c>
      <c r="B822" s="1" t="n">
        <v>45915</v>
      </c>
      <c r="C822" s="1" t="n">
        <v>46033</v>
      </c>
      <c r="D822" t="inlineStr">
        <is>
          <t>VÄRMLANDS LÄN</t>
        </is>
      </c>
      <c r="E822" t="inlineStr">
        <is>
          <t>TORSBY</t>
        </is>
      </c>
      <c r="F822" t="inlineStr">
        <is>
          <t>Kommuner</t>
        </is>
      </c>
      <c r="G822" t="n">
        <v>4.9</v>
      </c>
      <c r="H822" t="n">
        <v>0</v>
      </c>
      <c r="I822" t="n">
        <v>0</v>
      </c>
      <c r="J822" t="n">
        <v>0</v>
      </c>
      <c r="K822" t="n">
        <v>0</v>
      </c>
      <c r="L822" t="n">
        <v>0</v>
      </c>
      <c r="M822" t="n">
        <v>0</v>
      </c>
      <c r="N822" t="n">
        <v>0</v>
      </c>
      <c r="O822" t="n">
        <v>0</v>
      </c>
      <c r="P822" t="n">
        <v>0</v>
      </c>
      <c r="Q822" t="n">
        <v>0</v>
      </c>
      <c r="R822" s="2" t="inlineStr"/>
    </row>
    <row r="823" ht="15" customHeight="1">
      <c r="A823" t="inlineStr">
        <is>
          <t>A 27906-2025</t>
        </is>
      </c>
      <c r="B823" s="1" t="n">
        <v>45817.47108796296</v>
      </c>
      <c r="C823" s="1" t="n">
        <v>46033</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43831-2025</t>
        </is>
      </c>
      <c r="B824" s="1" t="n">
        <v>45912.62987268518</v>
      </c>
      <c r="C824" s="1" t="n">
        <v>46033</v>
      </c>
      <c r="D824" t="inlineStr">
        <is>
          <t>VÄRMLANDS LÄN</t>
        </is>
      </c>
      <c r="E824" t="inlineStr">
        <is>
          <t>TORSBY</t>
        </is>
      </c>
      <c r="F824" t="inlineStr">
        <is>
          <t>Bergvik skog väst AB</t>
        </is>
      </c>
      <c r="G824" t="n">
        <v>5.1</v>
      </c>
      <c r="H824" t="n">
        <v>0</v>
      </c>
      <c r="I824" t="n">
        <v>0</v>
      </c>
      <c r="J824" t="n">
        <v>0</v>
      </c>
      <c r="K824" t="n">
        <v>0</v>
      </c>
      <c r="L824" t="n">
        <v>0</v>
      </c>
      <c r="M824" t="n">
        <v>0</v>
      </c>
      <c r="N824" t="n">
        <v>0</v>
      </c>
      <c r="O824" t="n">
        <v>0</v>
      </c>
      <c r="P824" t="n">
        <v>0</v>
      </c>
      <c r="Q824" t="n">
        <v>0</v>
      </c>
      <c r="R824" s="2" t="inlineStr"/>
    </row>
    <row r="825" ht="15" customHeight="1">
      <c r="A825" t="inlineStr">
        <is>
          <t>A 27962-2025</t>
        </is>
      </c>
      <c r="B825" s="1" t="n">
        <v>45817.54878472222</v>
      </c>
      <c r="C825" s="1" t="n">
        <v>46033</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20255-2025</t>
        </is>
      </c>
      <c r="B826" s="1" t="n">
        <v>45772.9009375</v>
      </c>
      <c r="C826" s="1" t="n">
        <v>46033</v>
      </c>
      <c r="D826" t="inlineStr">
        <is>
          <t>VÄRMLANDS LÄN</t>
        </is>
      </c>
      <c r="E826" t="inlineStr">
        <is>
          <t>TORSBY</t>
        </is>
      </c>
      <c r="G826" t="n">
        <v>9</v>
      </c>
      <c r="H826" t="n">
        <v>0</v>
      </c>
      <c r="I826" t="n">
        <v>0</v>
      </c>
      <c r="J826" t="n">
        <v>0</v>
      </c>
      <c r="K826" t="n">
        <v>0</v>
      </c>
      <c r="L826" t="n">
        <v>0</v>
      </c>
      <c r="M826" t="n">
        <v>0</v>
      </c>
      <c r="N826" t="n">
        <v>0</v>
      </c>
      <c r="O826" t="n">
        <v>0</v>
      </c>
      <c r="P826" t="n">
        <v>0</v>
      </c>
      <c r="Q826" t="n">
        <v>0</v>
      </c>
      <c r="R826" s="2" t="inlineStr"/>
    </row>
    <row r="827" ht="15" customHeight="1">
      <c r="A827" t="inlineStr">
        <is>
          <t>A 27758-2025</t>
        </is>
      </c>
      <c r="B827" s="1" t="n">
        <v>45816</v>
      </c>
      <c r="C827" s="1" t="n">
        <v>46033</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27728-2025</t>
        </is>
      </c>
      <c r="B828" s="1" t="n">
        <v>45814</v>
      </c>
      <c r="C828" s="1" t="n">
        <v>46033</v>
      </c>
      <c r="D828" t="inlineStr">
        <is>
          <t>VÄRMLANDS LÄN</t>
        </is>
      </c>
      <c r="E828" t="inlineStr">
        <is>
          <t>TORSBY</t>
        </is>
      </c>
      <c r="F828" t="inlineStr">
        <is>
          <t>Bergvik skog väst AB</t>
        </is>
      </c>
      <c r="G828" t="n">
        <v>8.5</v>
      </c>
      <c r="H828" t="n">
        <v>0</v>
      </c>
      <c r="I828" t="n">
        <v>0</v>
      </c>
      <c r="J828" t="n">
        <v>0</v>
      </c>
      <c r="K828" t="n">
        <v>0</v>
      </c>
      <c r="L828" t="n">
        <v>0</v>
      </c>
      <c r="M828" t="n">
        <v>0</v>
      </c>
      <c r="N828" t="n">
        <v>0</v>
      </c>
      <c r="O828" t="n">
        <v>0</v>
      </c>
      <c r="P828" t="n">
        <v>0</v>
      </c>
      <c r="Q828" t="n">
        <v>0</v>
      </c>
      <c r="R828" s="2" t="inlineStr"/>
    </row>
    <row r="829" ht="15" customHeight="1">
      <c r="A829" t="inlineStr">
        <is>
          <t>A 43669-2025</t>
        </is>
      </c>
      <c r="B829" s="1" t="n">
        <v>45912.36299768519</v>
      </c>
      <c r="C829" s="1" t="n">
        <v>46033</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28214-2025</t>
        </is>
      </c>
      <c r="B830" s="1" t="n">
        <v>45818</v>
      </c>
      <c r="C830" s="1" t="n">
        <v>46033</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60479-2025</t>
        </is>
      </c>
      <c r="B831" s="1" t="n">
        <v>45995.59563657407</v>
      </c>
      <c r="C831" s="1" t="n">
        <v>46033</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44141-2025</t>
        </is>
      </c>
      <c r="B832" s="1" t="n">
        <v>45915</v>
      </c>
      <c r="C832" s="1" t="n">
        <v>46033</v>
      </c>
      <c r="D832" t="inlineStr">
        <is>
          <t>VÄRMLANDS LÄN</t>
        </is>
      </c>
      <c r="E832" t="inlineStr">
        <is>
          <t>TORSBY</t>
        </is>
      </c>
      <c r="F832" t="inlineStr">
        <is>
          <t>Kyrkan</t>
        </is>
      </c>
      <c r="G832" t="n">
        <v>2.4</v>
      </c>
      <c r="H832" t="n">
        <v>0</v>
      </c>
      <c r="I832" t="n">
        <v>0</v>
      </c>
      <c r="J832" t="n">
        <v>0</v>
      </c>
      <c r="K832" t="n">
        <v>0</v>
      </c>
      <c r="L832" t="n">
        <v>0</v>
      </c>
      <c r="M832" t="n">
        <v>0</v>
      </c>
      <c r="N832" t="n">
        <v>0</v>
      </c>
      <c r="O832" t="n">
        <v>0</v>
      </c>
      <c r="P832" t="n">
        <v>0</v>
      </c>
      <c r="Q832" t="n">
        <v>0</v>
      </c>
      <c r="R832" s="2" t="inlineStr"/>
    </row>
    <row r="833" ht="15" customHeight="1">
      <c r="A833" t="inlineStr">
        <is>
          <t>A 44590-2025</t>
        </is>
      </c>
      <c r="B833" s="1" t="n">
        <v>45917.42607638889</v>
      </c>
      <c r="C833" s="1" t="n">
        <v>46033</v>
      </c>
      <c r="D833" t="inlineStr">
        <is>
          <t>VÄRMLANDS LÄN</t>
        </is>
      </c>
      <c r="E833" t="inlineStr">
        <is>
          <t>TORSBY</t>
        </is>
      </c>
      <c r="F833" t="inlineStr">
        <is>
          <t>Bergvik skog väst AB</t>
        </is>
      </c>
      <c r="G833" t="n">
        <v>10.3</v>
      </c>
      <c r="H833" t="n">
        <v>0</v>
      </c>
      <c r="I833" t="n">
        <v>0</v>
      </c>
      <c r="J833" t="n">
        <v>0</v>
      </c>
      <c r="K833" t="n">
        <v>0</v>
      </c>
      <c r="L833" t="n">
        <v>0</v>
      </c>
      <c r="M833" t="n">
        <v>0</v>
      </c>
      <c r="N833" t="n">
        <v>0</v>
      </c>
      <c r="O833" t="n">
        <v>0</v>
      </c>
      <c r="P833" t="n">
        <v>0</v>
      </c>
      <c r="Q833" t="n">
        <v>0</v>
      </c>
      <c r="R833" s="2" t="inlineStr"/>
    </row>
    <row r="834" ht="15" customHeight="1">
      <c r="A834" t="inlineStr">
        <is>
          <t>A 15885-2025</t>
        </is>
      </c>
      <c r="B834" s="1" t="n">
        <v>45749</v>
      </c>
      <c r="C834" s="1" t="n">
        <v>46033</v>
      </c>
      <c r="D834" t="inlineStr">
        <is>
          <t>VÄRMLANDS LÄN</t>
        </is>
      </c>
      <c r="E834" t="inlineStr">
        <is>
          <t>TORSBY</t>
        </is>
      </c>
      <c r="G834" t="n">
        <v>9.9</v>
      </c>
      <c r="H834" t="n">
        <v>0</v>
      </c>
      <c r="I834" t="n">
        <v>0</v>
      </c>
      <c r="J834" t="n">
        <v>0</v>
      </c>
      <c r="K834" t="n">
        <v>0</v>
      </c>
      <c r="L834" t="n">
        <v>0</v>
      </c>
      <c r="M834" t="n">
        <v>0</v>
      </c>
      <c r="N834" t="n">
        <v>0</v>
      </c>
      <c r="O834" t="n">
        <v>0</v>
      </c>
      <c r="P834" t="n">
        <v>0</v>
      </c>
      <c r="Q834" t="n">
        <v>0</v>
      </c>
      <c r="R834" s="2" t="inlineStr"/>
    </row>
    <row r="835" ht="15" customHeight="1">
      <c r="A835" t="inlineStr">
        <is>
          <t>A 16017-2025</t>
        </is>
      </c>
      <c r="B835" s="1" t="n">
        <v>45749</v>
      </c>
      <c r="C835" s="1" t="n">
        <v>46033</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44715-2025</t>
        </is>
      </c>
      <c r="B836" s="1" t="n">
        <v>45917.62854166667</v>
      </c>
      <c r="C836" s="1" t="n">
        <v>46033</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11776-2024</t>
        </is>
      </c>
      <c r="B837" s="1" t="n">
        <v>45374</v>
      </c>
      <c r="C837" s="1" t="n">
        <v>46033</v>
      </c>
      <c r="D837" t="inlineStr">
        <is>
          <t>VÄRMLANDS LÄN</t>
        </is>
      </c>
      <c r="E837" t="inlineStr">
        <is>
          <t>TORSBY</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52277-2025</t>
        </is>
      </c>
      <c r="B838" s="1" t="n">
        <v>45953.55915509259</v>
      </c>
      <c r="C838" s="1" t="n">
        <v>46033</v>
      </c>
      <c r="D838" t="inlineStr">
        <is>
          <t>VÄRMLANDS LÄN</t>
        </is>
      </c>
      <c r="E838" t="inlineStr">
        <is>
          <t>TORSBY</t>
        </is>
      </c>
      <c r="G838" t="n">
        <v>3.6</v>
      </c>
      <c r="H838" t="n">
        <v>0</v>
      </c>
      <c r="I838" t="n">
        <v>0</v>
      </c>
      <c r="J838" t="n">
        <v>0</v>
      </c>
      <c r="K838" t="n">
        <v>0</v>
      </c>
      <c r="L838" t="n">
        <v>0</v>
      </c>
      <c r="M838" t="n">
        <v>0</v>
      </c>
      <c r="N838" t="n">
        <v>0</v>
      </c>
      <c r="O838" t="n">
        <v>0</v>
      </c>
      <c r="P838" t="n">
        <v>0</v>
      </c>
      <c r="Q838" t="n">
        <v>0</v>
      </c>
      <c r="R838" s="2" t="inlineStr"/>
    </row>
    <row r="839" ht="15" customHeight="1">
      <c r="A839" t="inlineStr">
        <is>
          <t>A 40009-2022</t>
        </is>
      </c>
      <c r="B839" s="1" t="n">
        <v>44820</v>
      </c>
      <c r="C839" s="1" t="n">
        <v>46033</v>
      </c>
      <c r="D839" t="inlineStr">
        <is>
          <t>VÄRMLANDS LÄN</t>
        </is>
      </c>
      <c r="E839" t="inlineStr">
        <is>
          <t>TORSBY</t>
        </is>
      </c>
      <c r="G839" t="n">
        <v>4.8</v>
      </c>
      <c r="H839" t="n">
        <v>0</v>
      </c>
      <c r="I839" t="n">
        <v>0</v>
      </c>
      <c r="J839" t="n">
        <v>0</v>
      </c>
      <c r="K839" t="n">
        <v>0</v>
      </c>
      <c r="L839" t="n">
        <v>0</v>
      </c>
      <c r="M839" t="n">
        <v>0</v>
      </c>
      <c r="N839" t="n">
        <v>0</v>
      </c>
      <c r="O839" t="n">
        <v>0</v>
      </c>
      <c r="P839" t="n">
        <v>0</v>
      </c>
      <c r="Q839" t="n">
        <v>0</v>
      </c>
      <c r="R839" s="2" t="inlineStr"/>
    </row>
    <row r="840" ht="15" customHeight="1">
      <c r="A840" t="inlineStr">
        <is>
          <t>A 44507-2025</t>
        </is>
      </c>
      <c r="B840" s="1" t="n">
        <v>45916</v>
      </c>
      <c r="C840" s="1" t="n">
        <v>46033</v>
      </c>
      <c r="D840" t="inlineStr">
        <is>
          <t>VÄRMLANDS LÄN</t>
        </is>
      </c>
      <c r="E840" t="inlineStr">
        <is>
          <t>TORSBY</t>
        </is>
      </c>
      <c r="F840" t="inlineStr">
        <is>
          <t>Bergvik skog väst AB</t>
        </is>
      </c>
      <c r="G840" t="n">
        <v>10.9</v>
      </c>
      <c r="H840" t="n">
        <v>0</v>
      </c>
      <c r="I840" t="n">
        <v>0</v>
      </c>
      <c r="J840" t="n">
        <v>0</v>
      </c>
      <c r="K840" t="n">
        <v>0</v>
      </c>
      <c r="L840" t="n">
        <v>0</v>
      </c>
      <c r="M840" t="n">
        <v>0</v>
      </c>
      <c r="N840" t="n">
        <v>0</v>
      </c>
      <c r="O840" t="n">
        <v>0</v>
      </c>
      <c r="P840" t="n">
        <v>0</v>
      </c>
      <c r="Q840" t="n">
        <v>0</v>
      </c>
      <c r="R840" s="2" t="inlineStr"/>
    </row>
    <row r="841" ht="15" customHeight="1">
      <c r="A841" t="inlineStr">
        <is>
          <t>A 44286-2025</t>
        </is>
      </c>
      <c r="B841" s="1" t="n">
        <v>45916</v>
      </c>
      <c r="C841" s="1" t="n">
        <v>46033</v>
      </c>
      <c r="D841" t="inlineStr">
        <is>
          <t>VÄRMLANDS LÄN</t>
        </is>
      </c>
      <c r="E841" t="inlineStr">
        <is>
          <t>TORSBY</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44290-2025</t>
        </is>
      </c>
      <c r="B842" s="1" t="n">
        <v>45916.35228009259</v>
      </c>
      <c r="C842" s="1" t="n">
        <v>46033</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51144-2023</t>
        </is>
      </c>
      <c r="B843" s="1" t="n">
        <v>45212</v>
      </c>
      <c r="C843" s="1" t="n">
        <v>46033</v>
      </c>
      <c r="D843" t="inlineStr">
        <is>
          <t>VÄRMLANDS LÄN</t>
        </is>
      </c>
      <c r="E843" t="inlineStr">
        <is>
          <t>TORSBY</t>
        </is>
      </c>
      <c r="G843" t="n">
        <v>7.3</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46033</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28116-2025</t>
        </is>
      </c>
      <c r="B845" s="1" t="n">
        <v>45818.28697916667</v>
      </c>
      <c r="C845" s="1" t="n">
        <v>46033</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28117-2025</t>
        </is>
      </c>
      <c r="B846" s="1" t="n">
        <v>45818</v>
      </c>
      <c r="C846" s="1" t="n">
        <v>46033</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28118-2025</t>
        </is>
      </c>
      <c r="B847" s="1" t="n">
        <v>45818</v>
      </c>
      <c r="C847" s="1" t="n">
        <v>46033</v>
      </c>
      <c r="D847" t="inlineStr">
        <is>
          <t>VÄRMLANDS LÄN</t>
        </is>
      </c>
      <c r="E847" t="inlineStr">
        <is>
          <t>TORSBY</t>
        </is>
      </c>
      <c r="F847" t="inlineStr">
        <is>
          <t>Bergvik skog väst AB</t>
        </is>
      </c>
      <c r="G847" t="n">
        <v>7.4</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46033</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44273-2025</t>
        </is>
      </c>
      <c r="B849" s="1" t="n">
        <v>45916</v>
      </c>
      <c r="C849" s="1" t="n">
        <v>46033</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35609-2024</t>
        </is>
      </c>
      <c r="B850" s="1" t="n">
        <v>45531.68758101852</v>
      </c>
      <c r="C850" s="1" t="n">
        <v>46033</v>
      </c>
      <c r="D850" t="inlineStr">
        <is>
          <t>VÄRMLANDS LÄN</t>
        </is>
      </c>
      <c r="E850" t="inlineStr">
        <is>
          <t>TORSBY</t>
        </is>
      </c>
      <c r="G850" t="n">
        <v>38.3</v>
      </c>
      <c r="H850" t="n">
        <v>0</v>
      </c>
      <c r="I850" t="n">
        <v>0</v>
      </c>
      <c r="J850" t="n">
        <v>0</v>
      </c>
      <c r="K850" t="n">
        <v>0</v>
      </c>
      <c r="L850" t="n">
        <v>0</v>
      </c>
      <c r="M850" t="n">
        <v>0</v>
      </c>
      <c r="N850" t="n">
        <v>0</v>
      </c>
      <c r="O850" t="n">
        <v>0</v>
      </c>
      <c r="P850" t="n">
        <v>0</v>
      </c>
      <c r="Q850" t="n">
        <v>0</v>
      </c>
      <c r="R850" s="2" t="inlineStr"/>
    </row>
    <row r="851" ht="15" customHeight="1">
      <c r="A851" t="inlineStr">
        <is>
          <t>A 44374-2025</t>
        </is>
      </c>
      <c r="B851" s="1" t="n">
        <v>45916.47035879629</v>
      </c>
      <c r="C851" s="1" t="n">
        <v>46033</v>
      </c>
      <c r="D851" t="inlineStr">
        <is>
          <t>VÄRMLANDS LÄN</t>
        </is>
      </c>
      <c r="E851" t="inlineStr">
        <is>
          <t>TORSBY</t>
        </is>
      </c>
      <c r="F851" t="inlineStr">
        <is>
          <t>Bergvik skog väst AB</t>
        </is>
      </c>
      <c r="G851" t="n">
        <v>10.5</v>
      </c>
      <c r="H851" t="n">
        <v>0</v>
      </c>
      <c r="I851" t="n">
        <v>0</v>
      </c>
      <c r="J851" t="n">
        <v>0</v>
      </c>
      <c r="K851" t="n">
        <v>0</v>
      </c>
      <c r="L851" t="n">
        <v>0</v>
      </c>
      <c r="M851" t="n">
        <v>0</v>
      </c>
      <c r="N851" t="n">
        <v>0</v>
      </c>
      <c r="O851" t="n">
        <v>0</v>
      </c>
      <c r="P851" t="n">
        <v>0</v>
      </c>
      <c r="Q851" t="n">
        <v>0</v>
      </c>
      <c r="R851" s="2" t="inlineStr"/>
    </row>
    <row r="852" ht="15" customHeight="1">
      <c r="A852" t="inlineStr">
        <is>
          <t>A 44522-2025</t>
        </is>
      </c>
      <c r="B852" s="1" t="n">
        <v>45916</v>
      </c>
      <c r="C852" s="1" t="n">
        <v>46033</v>
      </c>
      <c r="D852" t="inlineStr">
        <is>
          <t>VÄRMLANDS LÄN</t>
        </is>
      </c>
      <c r="E852" t="inlineStr">
        <is>
          <t>TORSBY</t>
        </is>
      </c>
      <c r="G852" t="n">
        <v>3.9</v>
      </c>
      <c r="H852" t="n">
        <v>0</v>
      </c>
      <c r="I852" t="n">
        <v>0</v>
      </c>
      <c r="J852" t="n">
        <v>0</v>
      </c>
      <c r="K852" t="n">
        <v>0</v>
      </c>
      <c r="L852" t="n">
        <v>0</v>
      </c>
      <c r="M852" t="n">
        <v>0</v>
      </c>
      <c r="N852" t="n">
        <v>0</v>
      </c>
      <c r="O852" t="n">
        <v>0</v>
      </c>
      <c r="P852" t="n">
        <v>0</v>
      </c>
      <c r="Q852" t="n">
        <v>0</v>
      </c>
      <c r="R852" s="2" t="inlineStr"/>
    </row>
    <row r="853" ht="15" customHeight="1">
      <c r="A853" t="inlineStr">
        <is>
          <t>A 28612-2025</t>
        </is>
      </c>
      <c r="B853" s="1" t="n">
        <v>45819</v>
      </c>
      <c r="C853" s="1" t="n">
        <v>46033</v>
      </c>
      <c r="D853" t="inlineStr">
        <is>
          <t>VÄRMLANDS LÄN</t>
        </is>
      </c>
      <c r="E853" t="inlineStr">
        <is>
          <t>TORSBY</t>
        </is>
      </c>
      <c r="G853" t="n">
        <v>5.2</v>
      </c>
      <c r="H853" t="n">
        <v>0</v>
      </c>
      <c r="I853" t="n">
        <v>0</v>
      </c>
      <c r="J853" t="n">
        <v>0</v>
      </c>
      <c r="K853" t="n">
        <v>0</v>
      </c>
      <c r="L853" t="n">
        <v>0</v>
      </c>
      <c r="M853" t="n">
        <v>0</v>
      </c>
      <c r="N853" t="n">
        <v>0</v>
      </c>
      <c r="O853" t="n">
        <v>0</v>
      </c>
      <c r="P853" t="n">
        <v>0</v>
      </c>
      <c r="Q853" t="n">
        <v>0</v>
      </c>
      <c r="R853" s="2" t="inlineStr"/>
    </row>
    <row r="854" ht="15" customHeight="1">
      <c r="A854" t="inlineStr">
        <is>
          <t>A 28511-2025</t>
        </is>
      </c>
      <c r="B854" s="1" t="n">
        <v>45819</v>
      </c>
      <c r="C854" s="1" t="n">
        <v>46033</v>
      </c>
      <c r="D854" t="inlineStr">
        <is>
          <t>VÄRMLANDS LÄN</t>
        </is>
      </c>
      <c r="E854" t="inlineStr">
        <is>
          <t>TORSBY</t>
        </is>
      </c>
      <c r="F854" t="inlineStr">
        <is>
          <t>Bergvik skog väst AB</t>
        </is>
      </c>
      <c r="G854" t="n">
        <v>7.3</v>
      </c>
      <c r="H854" t="n">
        <v>0</v>
      </c>
      <c r="I854" t="n">
        <v>0</v>
      </c>
      <c r="J854" t="n">
        <v>0</v>
      </c>
      <c r="K854" t="n">
        <v>0</v>
      </c>
      <c r="L854" t="n">
        <v>0</v>
      </c>
      <c r="M854" t="n">
        <v>0</v>
      </c>
      <c r="N854" t="n">
        <v>0</v>
      </c>
      <c r="O854" t="n">
        <v>0</v>
      </c>
      <c r="P854" t="n">
        <v>0</v>
      </c>
      <c r="Q854" t="n">
        <v>0</v>
      </c>
      <c r="R854" s="2" t="inlineStr"/>
    </row>
    <row r="855" ht="15" customHeight="1">
      <c r="A855" t="inlineStr">
        <is>
          <t>A 28380-2025</t>
        </is>
      </c>
      <c r="B855" s="1" t="n">
        <v>45819.30581018519</v>
      </c>
      <c r="C855" s="1" t="n">
        <v>46033</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51819-2025</t>
        </is>
      </c>
      <c r="B856" s="1" t="n">
        <v>45951.88194444445</v>
      </c>
      <c r="C856" s="1" t="n">
        <v>46033</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44288-2025</t>
        </is>
      </c>
      <c r="B857" s="1" t="n">
        <v>45916.3500462963</v>
      </c>
      <c r="C857" s="1" t="n">
        <v>46033</v>
      </c>
      <c r="D857" t="inlineStr">
        <is>
          <t>VÄRMLANDS LÄN</t>
        </is>
      </c>
      <c r="E857" t="inlineStr">
        <is>
          <t>TORSBY</t>
        </is>
      </c>
      <c r="G857" t="n">
        <v>3.2</v>
      </c>
      <c r="H857" t="n">
        <v>0</v>
      </c>
      <c r="I857" t="n">
        <v>0</v>
      </c>
      <c r="J857" t="n">
        <v>0</v>
      </c>
      <c r="K857" t="n">
        <v>0</v>
      </c>
      <c r="L857" t="n">
        <v>0</v>
      </c>
      <c r="M857" t="n">
        <v>0</v>
      </c>
      <c r="N857" t="n">
        <v>0</v>
      </c>
      <c r="O857" t="n">
        <v>0</v>
      </c>
      <c r="P857" t="n">
        <v>0</v>
      </c>
      <c r="Q857" t="n">
        <v>0</v>
      </c>
      <c r="R857" s="2" t="inlineStr"/>
    </row>
    <row r="858" ht="15" customHeight="1">
      <c r="A858" t="inlineStr">
        <is>
          <t>A 61428-2022</t>
        </is>
      </c>
      <c r="B858" s="1" t="n">
        <v>44910</v>
      </c>
      <c r="C858" s="1" t="n">
        <v>46033</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61432-2022</t>
        </is>
      </c>
      <c r="B859" s="1" t="n">
        <v>44910</v>
      </c>
      <c r="C859" s="1" t="n">
        <v>46033</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44710-2025</t>
        </is>
      </c>
      <c r="B860" s="1" t="n">
        <v>45917.61743055555</v>
      </c>
      <c r="C860" s="1" t="n">
        <v>46033</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43248-2022</t>
        </is>
      </c>
      <c r="B861" s="1" t="n">
        <v>44834</v>
      </c>
      <c r="C861" s="1" t="n">
        <v>46033</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28765-2025</t>
        </is>
      </c>
      <c r="B862" s="1" t="n">
        <v>45820.41982638889</v>
      </c>
      <c r="C862" s="1" t="n">
        <v>46033</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56098-2024</t>
        </is>
      </c>
      <c r="B863" s="1" t="n">
        <v>45624.42371527778</v>
      </c>
      <c r="C863" s="1" t="n">
        <v>46033</v>
      </c>
      <c r="D863" t="inlineStr">
        <is>
          <t>VÄRMLANDS LÄN</t>
        </is>
      </c>
      <c r="E863" t="inlineStr">
        <is>
          <t>TORSBY</t>
        </is>
      </c>
      <c r="G863" t="n">
        <v>2.4</v>
      </c>
      <c r="H863" t="n">
        <v>0</v>
      </c>
      <c r="I863" t="n">
        <v>0</v>
      </c>
      <c r="J863" t="n">
        <v>0</v>
      </c>
      <c r="K863" t="n">
        <v>0</v>
      </c>
      <c r="L863" t="n">
        <v>0</v>
      </c>
      <c r="M863" t="n">
        <v>0</v>
      </c>
      <c r="N863" t="n">
        <v>0</v>
      </c>
      <c r="O863" t="n">
        <v>0</v>
      </c>
      <c r="P863" t="n">
        <v>0</v>
      </c>
      <c r="Q863" t="n">
        <v>0</v>
      </c>
      <c r="R863" s="2" t="inlineStr"/>
    </row>
    <row r="864" ht="15" customHeight="1">
      <c r="A864" t="inlineStr">
        <is>
          <t>A 42481-2025</t>
        </is>
      </c>
      <c r="B864" s="1" t="n">
        <v>45904</v>
      </c>
      <c r="C864" s="1" t="n">
        <v>46033</v>
      </c>
      <c r="D864" t="inlineStr">
        <is>
          <t>VÄRMLANDS LÄN</t>
        </is>
      </c>
      <c r="E864" t="inlineStr">
        <is>
          <t>TORSBY</t>
        </is>
      </c>
      <c r="G864" t="n">
        <v>1.7</v>
      </c>
      <c r="H864" t="n">
        <v>0</v>
      </c>
      <c r="I864" t="n">
        <v>0</v>
      </c>
      <c r="J864" t="n">
        <v>0</v>
      </c>
      <c r="K864" t="n">
        <v>0</v>
      </c>
      <c r="L864" t="n">
        <v>0</v>
      </c>
      <c r="M864" t="n">
        <v>0</v>
      </c>
      <c r="N864" t="n">
        <v>0</v>
      </c>
      <c r="O864" t="n">
        <v>0</v>
      </c>
      <c r="P864" t="n">
        <v>0</v>
      </c>
      <c r="Q864" t="n">
        <v>0</v>
      </c>
      <c r="R864" s="2" t="inlineStr"/>
    </row>
    <row r="865" ht="15" customHeight="1">
      <c r="A865" t="inlineStr">
        <is>
          <t>A 28791-2025</t>
        </is>
      </c>
      <c r="B865" s="1" t="n">
        <v>45820</v>
      </c>
      <c r="C865" s="1" t="n">
        <v>46033</v>
      </c>
      <c r="D865" t="inlineStr">
        <is>
          <t>VÄRMLANDS LÄN</t>
        </is>
      </c>
      <c r="E865" t="inlineStr">
        <is>
          <t>TORSBY</t>
        </is>
      </c>
      <c r="G865" t="n">
        <v>6.4</v>
      </c>
      <c r="H865" t="n">
        <v>0</v>
      </c>
      <c r="I865" t="n">
        <v>0</v>
      </c>
      <c r="J865" t="n">
        <v>0</v>
      </c>
      <c r="K865" t="n">
        <v>0</v>
      </c>
      <c r="L865" t="n">
        <v>0</v>
      </c>
      <c r="M865" t="n">
        <v>0</v>
      </c>
      <c r="N865" t="n">
        <v>0</v>
      </c>
      <c r="O865" t="n">
        <v>0</v>
      </c>
      <c r="P865" t="n">
        <v>0</v>
      </c>
      <c r="Q865" t="n">
        <v>0</v>
      </c>
      <c r="R865" s="2" t="inlineStr"/>
    </row>
    <row r="866" ht="15" customHeight="1">
      <c r="A866" t="inlineStr">
        <is>
          <t>A 30735-2025</t>
        </is>
      </c>
      <c r="B866" s="1" t="n">
        <v>45831.57479166667</v>
      </c>
      <c r="C866" s="1" t="n">
        <v>46033</v>
      </c>
      <c r="D866" t="inlineStr">
        <is>
          <t>VÄRMLANDS LÄN</t>
        </is>
      </c>
      <c r="E866" t="inlineStr">
        <is>
          <t>TORSBY</t>
        </is>
      </c>
      <c r="F866" t="inlineStr">
        <is>
          <t>Bergvik skog väst AB</t>
        </is>
      </c>
      <c r="G866" t="n">
        <v>11.2</v>
      </c>
      <c r="H866" t="n">
        <v>0</v>
      </c>
      <c r="I866" t="n">
        <v>0</v>
      </c>
      <c r="J866" t="n">
        <v>0</v>
      </c>
      <c r="K866" t="n">
        <v>0</v>
      </c>
      <c r="L866" t="n">
        <v>0</v>
      </c>
      <c r="M866" t="n">
        <v>0</v>
      </c>
      <c r="N866" t="n">
        <v>0</v>
      </c>
      <c r="O866" t="n">
        <v>0</v>
      </c>
      <c r="P866" t="n">
        <v>0</v>
      </c>
      <c r="Q866" t="n">
        <v>0</v>
      </c>
      <c r="R866" s="2" t="inlineStr"/>
    </row>
    <row r="867" ht="15" customHeight="1">
      <c r="A867" t="inlineStr">
        <is>
          <t>A 28774-2025</t>
        </is>
      </c>
      <c r="B867" s="1" t="n">
        <v>45820.4434375</v>
      </c>
      <c r="C867" s="1" t="n">
        <v>46033</v>
      </c>
      <c r="D867" t="inlineStr">
        <is>
          <t>VÄRMLANDS LÄN</t>
        </is>
      </c>
      <c r="E867" t="inlineStr">
        <is>
          <t>TORSBY</t>
        </is>
      </c>
      <c r="G867" t="n">
        <v>7</v>
      </c>
      <c r="H867" t="n">
        <v>0</v>
      </c>
      <c r="I867" t="n">
        <v>0</v>
      </c>
      <c r="J867" t="n">
        <v>0</v>
      </c>
      <c r="K867" t="n">
        <v>0</v>
      </c>
      <c r="L867" t="n">
        <v>0</v>
      </c>
      <c r="M867" t="n">
        <v>0</v>
      </c>
      <c r="N867" t="n">
        <v>0</v>
      </c>
      <c r="O867" t="n">
        <v>0</v>
      </c>
      <c r="P867" t="n">
        <v>0</v>
      </c>
      <c r="Q867" t="n">
        <v>0</v>
      </c>
      <c r="R867" s="2" t="inlineStr"/>
    </row>
    <row r="868" ht="15" customHeight="1">
      <c r="A868" t="inlineStr">
        <is>
          <t>A 45245-2025</t>
        </is>
      </c>
      <c r="B868" s="1" t="n">
        <v>45919.60621527778</v>
      </c>
      <c r="C868" s="1" t="n">
        <v>46033</v>
      </c>
      <c r="D868" t="inlineStr">
        <is>
          <t>VÄRMLANDS LÄN</t>
        </is>
      </c>
      <c r="E868" t="inlineStr">
        <is>
          <t>TORSBY</t>
        </is>
      </c>
      <c r="F868" t="inlineStr">
        <is>
          <t>Kyrkan</t>
        </is>
      </c>
      <c r="G868" t="n">
        <v>2.8</v>
      </c>
      <c r="H868" t="n">
        <v>0</v>
      </c>
      <c r="I868" t="n">
        <v>0</v>
      </c>
      <c r="J868" t="n">
        <v>0</v>
      </c>
      <c r="K868" t="n">
        <v>0</v>
      </c>
      <c r="L868" t="n">
        <v>0</v>
      </c>
      <c r="M868" t="n">
        <v>0</v>
      </c>
      <c r="N868" t="n">
        <v>0</v>
      </c>
      <c r="O868" t="n">
        <v>0</v>
      </c>
      <c r="P868" t="n">
        <v>0</v>
      </c>
      <c r="Q868" t="n">
        <v>0</v>
      </c>
      <c r="R868" s="2" t="inlineStr"/>
    </row>
    <row r="869" ht="15" customHeight="1">
      <c r="A869" t="inlineStr">
        <is>
          <t>A 46471-2024</t>
        </is>
      </c>
      <c r="B869" s="1" t="n">
        <v>45582.5517824074</v>
      </c>
      <c r="C869" s="1" t="n">
        <v>46033</v>
      </c>
      <c r="D869" t="inlineStr">
        <is>
          <t>VÄRMLANDS LÄN</t>
        </is>
      </c>
      <c r="E869" t="inlineStr">
        <is>
          <t>TORSBY</t>
        </is>
      </c>
      <c r="G869" t="n">
        <v>2.1</v>
      </c>
      <c r="H869" t="n">
        <v>0</v>
      </c>
      <c r="I869" t="n">
        <v>0</v>
      </c>
      <c r="J869" t="n">
        <v>0</v>
      </c>
      <c r="K869" t="n">
        <v>0</v>
      </c>
      <c r="L869" t="n">
        <v>0</v>
      </c>
      <c r="M869" t="n">
        <v>0</v>
      </c>
      <c r="N869" t="n">
        <v>0</v>
      </c>
      <c r="O869" t="n">
        <v>0</v>
      </c>
      <c r="P869" t="n">
        <v>0</v>
      </c>
      <c r="Q869" t="n">
        <v>0</v>
      </c>
      <c r="R869" s="2" t="inlineStr"/>
    </row>
    <row r="870" ht="15" customHeight="1">
      <c r="A870" t="inlineStr">
        <is>
          <t>A 38286-2023</t>
        </is>
      </c>
      <c r="B870" s="1" t="n">
        <v>45161.63807870371</v>
      </c>
      <c r="C870" s="1" t="n">
        <v>46033</v>
      </c>
      <c r="D870" t="inlineStr">
        <is>
          <t>VÄRMLANDS LÄN</t>
        </is>
      </c>
      <c r="E870" t="inlineStr">
        <is>
          <t>TORSBY</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44995-2025</t>
        </is>
      </c>
      <c r="B871" s="1" t="n">
        <v>45918</v>
      </c>
      <c r="C871" s="1" t="n">
        <v>46033</v>
      </c>
      <c r="D871" t="inlineStr">
        <is>
          <t>VÄRMLANDS LÄN</t>
        </is>
      </c>
      <c r="E871" t="inlineStr">
        <is>
          <t>TORSBY</t>
        </is>
      </c>
      <c r="F871" t="inlineStr">
        <is>
          <t>Bergvik skog väst AB</t>
        </is>
      </c>
      <c r="G871" t="n">
        <v>18.7</v>
      </c>
      <c r="H871" t="n">
        <v>0</v>
      </c>
      <c r="I871" t="n">
        <v>0</v>
      </c>
      <c r="J871" t="n">
        <v>0</v>
      </c>
      <c r="K871" t="n">
        <v>0</v>
      </c>
      <c r="L871" t="n">
        <v>0</v>
      </c>
      <c r="M871" t="n">
        <v>0</v>
      </c>
      <c r="N871" t="n">
        <v>0</v>
      </c>
      <c r="O871" t="n">
        <v>0</v>
      </c>
      <c r="P871" t="n">
        <v>0</v>
      </c>
      <c r="Q871" t="n">
        <v>0</v>
      </c>
      <c r="R871" s="2" t="inlineStr"/>
      <c r="U871">
        <f>HYPERLINK("https://klasma.github.io/Logging_1737/knärot/A 44995-2025 karta knärot.png", "A 44995-2025")</f>
        <v/>
      </c>
      <c r="V871">
        <f>HYPERLINK("https://klasma.github.io/Logging_1737/klagomål/A 44995-2025 FSC-klagomål.docx", "A 44995-2025")</f>
        <v/>
      </c>
      <c r="W871">
        <f>HYPERLINK("https://klasma.github.io/Logging_1737/klagomålsmail/A 44995-2025 FSC-klagomål mail.docx", "A 44995-2025")</f>
        <v/>
      </c>
      <c r="X871">
        <f>HYPERLINK("https://klasma.github.io/Logging_1737/tillsyn/A 44995-2025 tillsynsbegäran.docx", "A 44995-2025")</f>
        <v/>
      </c>
      <c r="Y871">
        <f>HYPERLINK("https://klasma.github.io/Logging_1737/tillsynsmail/A 44995-2025 tillsynsbegäran mail.docx", "A 44995-2025")</f>
        <v/>
      </c>
    </row>
    <row r="872" ht="15" customHeight="1">
      <c r="A872" t="inlineStr">
        <is>
          <t>A 45043-2025</t>
        </is>
      </c>
      <c r="B872" s="1" t="n">
        <v>45918.92902777778</v>
      </c>
      <c r="C872" s="1" t="n">
        <v>46033</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45268-2025</t>
        </is>
      </c>
      <c r="B873" s="1" t="n">
        <v>45919.66782407407</v>
      </c>
      <c r="C873" s="1" t="n">
        <v>46033</v>
      </c>
      <c r="D873" t="inlineStr">
        <is>
          <t>VÄRMLANDS LÄN</t>
        </is>
      </c>
      <c r="E873" t="inlineStr">
        <is>
          <t>TORSBY</t>
        </is>
      </c>
      <c r="F873" t="inlineStr">
        <is>
          <t>Bergvik skog väst AB</t>
        </is>
      </c>
      <c r="G873" t="n">
        <v>2</v>
      </c>
      <c r="H873" t="n">
        <v>0</v>
      </c>
      <c r="I873" t="n">
        <v>0</v>
      </c>
      <c r="J873" t="n">
        <v>0</v>
      </c>
      <c r="K873" t="n">
        <v>0</v>
      </c>
      <c r="L873" t="n">
        <v>0</v>
      </c>
      <c r="M873" t="n">
        <v>0</v>
      </c>
      <c r="N873" t="n">
        <v>0</v>
      </c>
      <c r="O873" t="n">
        <v>0</v>
      </c>
      <c r="P873" t="n">
        <v>0</v>
      </c>
      <c r="Q873" t="n">
        <v>0</v>
      </c>
      <c r="R873" s="2" t="inlineStr"/>
    </row>
    <row r="874" ht="15" customHeight="1">
      <c r="A874" t="inlineStr">
        <is>
          <t>A 45269-2025</t>
        </is>
      </c>
      <c r="B874" s="1" t="n">
        <v>45919.67443287037</v>
      </c>
      <c r="C874" s="1" t="n">
        <v>46033</v>
      </c>
      <c r="D874" t="inlineStr">
        <is>
          <t>VÄRMLANDS LÄN</t>
        </is>
      </c>
      <c r="E874" t="inlineStr">
        <is>
          <t>TORSBY</t>
        </is>
      </c>
      <c r="F874" t="inlineStr">
        <is>
          <t>Bergvik skog väst AB</t>
        </is>
      </c>
      <c r="G874" t="n">
        <v>3.4</v>
      </c>
      <c r="H874" t="n">
        <v>0</v>
      </c>
      <c r="I874" t="n">
        <v>0</v>
      </c>
      <c r="J874" t="n">
        <v>0</v>
      </c>
      <c r="K874" t="n">
        <v>0</v>
      </c>
      <c r="L874" t="n">
        <v>0</v>
      </c>
      <c r="M874" t="n">
        <v>0</v>
      </c>
      <c r="N874" t="n">
        <v>0</v>
      </c>
      <c r="O874" t="n">
        <v>0</v>
      </c>
      <c r="P874" t="n">
        <v>0</v>
      </c>
      <c r="Q874" t="n">
        <v>0</v>
      </c>
      <c r="R874" s="2" t="inlineStr"/>
    </row>
    <row r="875" ht="15" customHeight="1">
      <c r="A875" t="inlineStr">
        <is>
          <t>A 44821-2025</t>
        </is>
      </c>
      <c r="B875" s="1" t="n">
        <v>45918</v>
      </c>
      <c r="C875" s="1" t="n">
        <v>46033</v>
      </c>
      <c r="D875" t="inlineStr">
        <is>
          <t>VÄRMLANDS LÄN</t>
        </is>
      </c>
      <c r="E875" t="inlineStr">
        <is>
          <t>TORSBY</t>
        </is>
      </c>
      <c r="F875" t="inlineStr">
        <is>
          <t>Bergvik skog väst AB</t>
        </is>
      </c>
      <c r="G875" t="n">
        <v>10.9</v>
      </c>
      <c r="H875" t="n">
        <v>0</v>
      </c>
      <c r="I875" t="n">
        <v>0</v>
      </c>
      <c r="J875" t="n">
        <v>0</v>
      </c>
      <c r="K875" t="n">
        <v>0</v>
      </c>
      <c r="L875" t="n">
        <v>0</v>
      </c>
      <c r="M875" t="n">
        <v>0</v>
      </c>
      <c r="N875" t="n">
        <v>0</v>
      </c>
      <c r="O875" t="n">
        <v>0</v>
      </c>
      <c r="P875" t="n">
        <v>0</v>
      </c>
      <c r="Q875" t="n">
        <v>0</v>
      </c>
      <c r="R875" s="2" t="inlineStr"/>
    </row>
    <row r="876" ht="15" customHeight="1">
      <c r="A876" t="inlineStr">
        <is>
          <t>A 45093-2025</t>
        </is>
      </c>
      <c r="B876" s="1" t="n">
        <v>45919.38398148148</v>
      </c>
      <c r="C876" s="1" t="n">
        <v>46033</v>
      </c>
      <c r="D876" t="inlineStr">
        <is>
          <t>VÄRMLANDS LÄN</t>
        </is>
      </c>
      <c r="E876" t="inlineStr">
        <is>
          <t>TORSBY</t>
        </is>
      </c>
      <c r="G876" t="n">
        <v>4.2</v>
      </c>
      <c r="H876" t="n">
        <v>0</v>
      </c>
      <c r="I876" t="n">
        <v>0</v>
      </c>
      <c r="J876" t="n">
        <v>0</v>
      </c>
      <c r="K876" t="n">
        <v>0</v>
      </c>
      <c r="L876" t="n">
        <v>0</v>
      </c>
      <c r="M876" t="n">
        <v>0</v>
      </c>
      <c r="N876" t="n">
        <v>0</v>
      </c>
      <c r="O876" t="n">
        <v>0</v>
      </c>
      <c r="P876" t="n">
        <v>0</v>
      </c>
      <c r="Q876" t="n">
        <v>0</v>
      </c>
      <c r="R876" s="2" t="inlineStr"/>
    </row>
    <row r="877" ht="15" customHeight="1">
      <c r="A877" t="inlineStr">
        <is>
          <t>A 28898-2025</t>
        </is>
      </c>
      <c r="B877" s="1" t="n">
        <v>45820.63644675926</v>
      </c>
      <c r="C877" s="1" t="n">
        <v>46033</v>
      </c>
      <c r="D877" t="inlineStr">
        <is>
          <t>VÄRMLANDS LÄN</t>
        </is>
      </c>
      <c r="E877" t="inlineStr">
        <is>
          <t>TORSBY</t>
        </is>
      </c>
      <c r="G877" t="n">
        <v>6.2</v>
      </c>
      <c r="H877" t="n">
        <v>0</v>
      </c>
      <c r="I877" t="n">
        <v>0</v>
      </c>
      <c r="J877" t="n">
        <v>0</v>
      </c>
      <c r="K877" t="n">
        <v>0</v>
      </c>
      <c r="L877" t="n">
        <v>0</v>
      </c>
      <c r="M877" t="n">
        <v>0</v>
      </c>
      <c r="N877" t="n">
        <v>0</v>
      </c>
      <c r="O877" t="n">
        <v>0</v>
      </c>
      <c r="P877" t="n">
        <v>0</v>
      </c>
      <c r="Q877" t="n">
        <v>0</v>
      </c>
      <c r="R877" s="2" t="inlineStr"/>
    </row>
    <row r="878" ht="15" customHeight="1">
      <c r="A878" t="inlineStr">
        <is>
          <t>A 29071-2025</t>
        </is>
      </c>
      <c r="B878" s="1" t="n">
        <v>45821</v>
      </c>
      <c r="C878" s="1" t="n">
        <v>46033</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44808-2025</t>
        </is>
      </c>
      <c r="B879" s="1" t="n">
        <v>45918</v>
      </c>
      <c r="C879" s="1" t="n">
        <v>46033</v>
      </c>
      <c r="D879" t="inlineStr">
        <is>
          <t>VÄRMLANDS LÄN</t>
        </is>
      </c>
      <c r="E879" t="inlineStr">
        <is>
          <t>TORSBY</t>
        </is>
      </c>
      <c r="G879" t="n">
        <v>7.2</v>
      </c>
      <c r="H879" t="n">
        <v>0</v>
      </c>
      <c r="I879" t="n">
        <v>0</v>
      </c>
      <c r="J879" t="n">
        <v>0</v>
      </c>
      <c r="K879" t="n">
        <v>0</v>
      </c>
      <c r="L879" t="n">
        <v>0</v>
      </c>
      <c r="M879" t="n">
        <v>0</v>
      </c>
      <c r="N879" t="n">
        <v>0</v>
      </c>
      <c r="O879" t="n">
        <v>0</v>
      </c>
      <c r="P879" t="n">
        <v>0</v>
      </c>
      <c r="Q879" t="n">
        <v>0</v>
      </c>
      <c r="R879" s="2" t="inlineStr"/>
    </row>
    <row r="880" ht="15" customHeight="1">
      <c r="A880" t="inlineStr">
        <is>
          <t>A 45108-2025</t>
        </is>
      </c>
      <c r="B880" s="1" t="n">
        <v>45919.41467592592</v>
      </c>
      <c r="C880" s="1" t="n">
        <v>46033</v>
      </c>
      <c r="D880" t="inlineStr">
        <is>
          <t>VÄRMLANDS LÄN</t>
        </is>
      </c>
      <c r="E880" t="inlineStr">
        <is>
          <t>TORSBY</t>
        </is>
      </c>
      <c r="F880" t="inlineStr">
        <is>
          <t>Bergvik skog väst AB</t>
        </is>
      </c>
      <c r="G880" t="n">
        <v>24.4</v>
      </c>
      <c r="H880" t="n">
        <v>0</v>
      </c>
      <c r="I880" t="n">
        <v>0</v>
      </c>
      <c r="J880" t="n">
        <v>0</v>
      </c>
      <c r="K880" t="n">
        <v>0</v>
      </c>
      <c r="L880" t="n">
        <v>0</v>
      </c>
      <c r="M880" t="n">
        <v>0</v>
      </c>
      <c r="N880" t="n">
        <v>0</v>
      </c>
      <c r="O880" t="n">
        <v>0</v>
      </c>
      <c r="P880" t="n">
        <v>0</v>
      </c>
      <c r="Q880" t="n">
        <v>0</v>
      </c>
      <c r="R880" s="2" t="inlineStr"/>
    </row>
    <row r="881" ht="15" customHeight="1">
      <c r="A881" t="inlineStr">
        <is>
          <t>A 28761-2025</t>
        </is>
      </c>
      <c r="B881" s="1" t="n">
        <v>45820.41648148148</v>
      </c>
      <c r="C881" s="1" t="n">
        <v>46033</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28939-2025</t>
        </is>
      </c>
      <c r="B882" s="1" t="n">
        <v>45820.71350694444</v>
      </c>
      <c r="C882" s="1" t="n">
        <v>46033</v>
      </c>
      <c r="D882" t="inlineStr">
        <is>
          <t>VÄRMLANDS LÄN</t>
        </is>
      </c>
      <c r="E882" t="inlineStr">
        <is>
          <t>TORSBY</t>
        </is>
      </c>
      <c r="G882" t="n">
        <v>5.6</v>
      </c>
      <c r="H882" t="n">
        <v>0</v>
      </c>
      <c r="I882" t="n">
        <v>0</v>
      </c>
      <c r="J882" t="n">
        <v>0</v>
      </c>
      <c r="K882" t="n">
        <v>0</v>
      </c>
      <c r="L882" t="n">
        <v>0</v>
      </c>
      <c r="M882" t="n">
        <v>0</v>
      </c>
      <c r="N882" t="n">
        <v>0</v>
      </c>
      <c r="O882" t="n">
        <v>0</v>
      </c>
      <c r="P882" t="n">
        <v>0</v>
      </c>
      <c r="Q882" t="n">
        <v>0</v>
      </c>
      <c r="R882" s="2" t="inlineStr"/>
    </row>
    <row r="883" ht="15" customHeight="1">
      <c r="A883" t="inlineStr">
        <is>
          <t>A 43732-2022</t>
        </is>
      </c>
      <c r="B883" s="1" t="n">
        <v>44837.69357638889</v>
      </c>
      <c r="C883" s="1" t="n">
        <v>46033</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45133-2025</t>
        </is>
      </c>
      <c r="B884" s="1" t="n">
        <v>45919.4447337963</v>
      </c>
      <c r="C884" s="1" t="n">
        <v>46033</v>
      </c>
      <c r="D884" t="inlineStr">
        <is>
          <t>VÄRMLANDS LÄN</t>
        </is>
      </c>
      <c r="E884" t="inlineStr">
        <is>
          <t>TORSBY</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44794-2025</t>
        </is>
      </c>
      <c r="B885" s="1" t="n">
        <v>45918.34465277778</v>
      </c>
      <c r="C885" s="1" t="n">
        <v>46033</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44817-2025</t>
        </is>
      </c>
      <c r="B886" s="1" t="n">
        <v>45918</v>
      </c>
      <c r="C886" s="1" t="n">
        <v>46033</v>
      </c>
      <c r="D886" t="inlineStr">
        <is>
          <t>VÄRMLANDS LÄN</t>
        </is>
      </c>
      <c r="E886" t="inlineStr">
        <is>
          <t>TORSBY</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44292-2025</t>
        </is>
      </c>
      <c r="B887" s="1" t="n">
        <v>45915</v>
      </c>
      <c r="C887" s="1" t="n">
        <v>46033</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29063-2025</t>
        </is>
      </c>
      <c r="B888" s="1" t="n">
        <v>45821</v>
      </c>
      <c r="C888" s="1" t="n">
        <v>46033</v>
      </c>
      <c r="D888" t="inlineStr">
        <is>
          <t>VÄRMLANDS LÄN</t>
        </is>
      </c>
      <c r="E888" t="inlineStr">
        <is>
          <t>TORSBY</t>
        </is>
      </c>
      <c r="G888" t="n">
        <v>10.2</v>
      </c>
      <c r="H888" t="n">
        <v>0</v>
      </c>
      <c r="I888" t="n">
        <v>0</v>
      </c>
      <c r="J888" t="n">
        <v>0</v>
      </c>
      <c r="K888" t="n">
        <v>0</v>
      </c>
      <c r="L888" t="n">
        <v>0</v>
      </c>
      <c r="M888" t="n">
        <v>0</v>
      </c>
      <c r="N888" t="n">
        <v>0</v>
      </c>
      <c r="O888" t="n">
        <v>0</v>
      </c>
      <c r="P888" t="n">
        <v>0</v>
      </c>
      <c r="Q888" t="n">
        <v>0</v>
      </c>
      <c r="R888" s="2" t="inlineStr"/>
    </row>
    <row r="889" ht="15" customHeight="1">
      <c r="A889" t="inlineStr">
        <is>
          <t>A 28784-2025</t>
        </is>
      </c>
      <c r="B889" s="1" t="n">
        <v>45820</v>
      </c>
      <c r="C889" s="1" t="n">
        <v>46033</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44901-2025</t>
        </is>
      </c>
      <c r="B890" s="1" t="n">
        <v>45918</v>
      </c>
      <c r="C890" s="1" t="n">
        <v>46033</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29512-2025</t>
        </is>
      </c>
      <c r="B891" s="1" t="n">
        <v>45825.31002314815</v>
      </c>
      <c r="C891" s="1" t="n">
        <v>46033</v>
      </c>
      <c r="D891" t="inlineStr">
        <is>
          <t>VÄRMLANDS LÄN</t>
        </is>
      </c>
      <c r="E891" t="inlineStr">
        <is>
          <t>TORSBY</t>
        </is>
      </c>
      <c r="F891" t="inlineStr">
        <is>
          <t>Bergvik skog väst AB</t>
        </is>
      </c>
      <c r="G891" t="n">
        <v>17.9</v>
      </c>
      <c r="H891" t="n">
        <v>0</v>
      </c>
      <c r="I891" t="n">
        <v>0</v>
      </c>
      <c r="J891" t="n">
        <v>0</v>
      </c>
      <c r="K891" t="n">
        <v>0</v>
      </c>
      <c r="L891" t="n">
        <v>0</v>
      </c>
      <c r="M891" t="n">
        <v>0</v>
      </c>
      <c r="N891" t="n">
        <v>0</v>
      </c>
      <c r="O891" t="n">
        <v>0</v>
      </c>
      <c r="P891" t="n">
        <v>0</v>
      </c>
      <c r="Q891" t="n">
        <v>0</v>
      </c>
      <c r="R891" s="2" t="inlineStr"/>
    </row>
    <row r="892" ht="15" customHeight="1">
      <c r="A892" t="inlineStr">
        <is>
          <t>A 5814-2024</t>
        </is>
      </c>
      <c r="B892" s="1" t="n">
        <v>45335</v>
      </c>
      <c r="C892" s="1" t="n">
        <v>46033</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35132-2022</t>
        </is>
      </c>
      <c r="B893" s="1" t="n">
        <v>44797</v>
      </c>
      <c r="C893" s="1" t="n">
        <v>46033</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29312-2025</t>
        </is>
      </c>
      <c r="B894" s="1" t="n">
        <v>45824</v>
      </c>
      <c r="C894" s="1" t="n">
        <v>46033</v>
      </c>
      <c r="D894" t="inlineStr">
        <is>
          <t>VÄRMLANDS LÄN</t>
        </is>
      </c>
      <c r="E894" t="inlineStr">
        <is>
          <t>TORSBY</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68153-2021</t>
        </is>
      </c>
      <c r="B895" s="1" t="n">
        <v>44526.43881944445</v>
      </c>
      <c r="C895" s="1" t="n">
        <v>46033</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46033</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29251-2025</t>
        </is>
      </c>
      <c r="B897" s="1" t="n">
        <v>45824</v>
      </c>
      <c r="C897" s="1" t="n">
        <v>46033</v>
      </c>
      <c r="D897" t="inlineStr">
        <is>
          <t>VÄRMLANDS LÄN</t>
        </is>
      </c>
      <c r="E897" t="inlineStr">
        <is>
          <t>TORSBY</t>
        </is>
      </c>
      <c r="G897" t="n">
        <v>8.1</v>
      </c>
      <c r="H897" t="n">
        <v>0</v>
      </c>
      <c r="I897" t="n">
        <v>0</v>
      </c>
      <c r="J897" t="n">
        <v>0</v>
      </c>
      <c r="K897" t="n">
        <v>0</v>
      </c>
      <c r="L897" t="n">
        <v>0</v>
      </c>
      <c r="M897" t="n">
        <v>0</v>
      </c>
      <c r="N897" t="n">
        <v>0</v>
      </c>
      <c r="O897" t="n">
        <v>0</v>
      </c>
      <c r="P897" t="n">
        <v>0</v>
      </c>
      <c r="Q897" t="n">
        <v>0</v>
      </c>
      <c r="R897" s="2" t="inlineStr"/>
    </row>
    <row r="898" ht="15" customHeight="1">
      <c r="A898" t="inlineStr">
        <is>
          <t>A 3397-2022</t>
        </is>
      </c>
      <c r="B898" s="1" t="n">
        <v>44585</v>
      </c>
      <c r="C898" s="1" t="n">
        <v>46033</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45380-2025</t>
        </is>
      </c>
      <c r="B899" s="1" t="n">
        <v>45922</v>
      </c>
      <c r="C899" s="1" t="n">
        <v>46033</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3409-2025</t>
        </is>
      </c>
      <c r="B900" s="1" t="n">
        <v>45680.39391203703</v>
      </c>
      <c r="C900" s="1" t="n">
        <v>46033</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29587-2025</t>
        </is>
      </c>
      <c r="B901" s="1" t="n">
        <v>45825.39394675926</v>
      </c>
      <c r="C901" s="1" t="n">
        <v>46033</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51873-2025</t>
        </is>
      </c>
      <c r="B902" s="1" t="n">
        <v>45952.39040509259</v>
      </c>
      <c r="C902" s="1" t="n">
        <v>46033</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40858-2023</t>
        </is>
      </c>
      <c r="B903" s="1" t="n">
        <v>45173.34709490741</v>
      </c>
      <c r="C903" s="1" t="n">
        <v>46033</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29650-2025</t>
        </is>
      </c>
      <c r="B904" s="1" t="n">
        <v>45825.47546296296</v>
      </c>
      <c r="C904" s="1" t="n">
        <v>46033</v>
      </c>
      <c r="D904" t="inlineStr">
        <is>
          <t>VÄRMLANDS LÄN</t>
        </is>
      </c>
      <c r="E904" t="inlineStr">
        <is>
          <t>TORSBY</t>
        </is>
      </c>
      <c r="G904" t="n">
        <v>16.8</v>
      </c>
      <c r="H904" t="n">
        <v>0</v>
      </c>
      <c r="I904" t="n">
        <v>0</v>
      </c>
      <c r="J904" t="n">
        <v>0</v>
      </c>
      <c r="K904" t="n">
        <v>0</v>
      </c>
      <c r="L904" t="n">
        <v>0</v>
      </c>
      <c r="M904" t="n">
        <v>0</v>
      </c>
      <c r="N904" t="n">
        <v>0</v>
      </c>
      <c r="O904" t="n">
        <v>0</v>
      </c>
      <c r="P904" t="n">
        <v>0</v>
      </c>
      <c r="Q904" t="n">
        <v>0</v>
      </c>
      <c r="R904" s="2" t="inlineStr"/>
    </row>
    <row r="905" ht="15" customHeight="1">
      <c r="A905" t="inlineStr">
        <is>
          <t>A 45425-2025</t>
        </is>
      </c>
      <c r="B905" s="1" t="n">
        <v>45922.45195601852</v>
      </c>
      <c r="C905" s="1" t="n">
        <v>46033</v>
      </c>
      <c r="D905" t="inlineStr">
        <is>
          <t>VÄRMLANDS LÄN</t>
        </is>
      </c>
      <c r="E905" t="inlineStr">
        <is>
          <t>TORSBY</t>
        </is>
      </c>
      <c r="F905" t="inlineStr">
        <is>
          <t>Bergvik skog väst AB</t>
        </is>
      </c>
      <c r="G905" t="n">
        <v>6.3</v>
      </c>
      <c r="H905" t="n">
        <v>0</v>
      </c>
      <c r="I905" t="n">
        <v>0</v>
      </c>
      <c r="J905" t="n">
        <v>0</v>
      </c>
      <c r="K905" t="n">
        <v>0</v>
      </c>
      <c r="L905" t="n">
        <v>0</v>
      </c>
      <c r="M905" t="n">
        <v>0</v>
      </c>
      <c r="N905" t="n">
        <v>0</v>
      </c>
      <c r="O905" t="n">
        <v>0</v>
      </c>
      <c r="P905" t="n">
        <v>0</v>
      </c>
      <c r="Q905" t="n">
        <v>0</v>
      </c>
      <c r="R905" s="2" t="inlineStr"/>
    </row>
    <row r="906" ht="15" customHeight="1">
      <c r="A906" t="inlineStr">
        <is>
          <t>A 28757-2025</t>
        </is>
      </c>
      <c r="B906" s="1" t="n">
        <v>45820</v>
      </c>
      <c r="C906" s="1" t="n">
        <v>46033</v>
      </c>
      <c r="D906" t="inlineStr">
        <is>
          <t>VÄRMLANDS LÄN</t>
        </is>
      </c>
      <c r="E906" t="inlineStr">
        <is>
          <t>TORSBY</t>
        </is>
      </c>
      <c r="G906" t="n">
        <v>12.1</v>
      </c>
      <c r="H906" t="n">
        <v>0</v>
      </c>
      <c r="I906" t="n">
        <v>0</v>
      </c>
      <c r="J906" t="n">
        <v>0</v>
      </c>
      <c r="K906" t="n">
        <v>0</v>
      </c>
      <c r="L906" t="n">
        <v>0</v>
      </c>
      <c r="M906" t="n">
        <v>0</v>
      </c>
      <c r="N906" t="n">
        <v>0</v>
      </c>
      <c r="O906" t="n">
        <v>0</v>
      </c>
      <c r="P906" t="n">
        <v>0</v>
      </c>
      <c r="Q906" t="n">
        <v>0</v>
      </c>
      <c r="R906" s="2" t="inlineStr"/>
    </row>
    <row r="907" ht="15" customHeight="1">
      <c r="A907" t="inlineStr">
        <is>
          <t>A 29641-2025</t>
        </is>
      </c>
      <c r="B907" s="1" t="n">
        <v>45825.46285879629</v>
      </c>
      <c r="C907" s="1" t="n">
        <v>46033</v>
      </c>
      <c r="D907" t="inlineStr">
        <is>
          <t>VÄRMLANDS LÄN</t>
        </is>
      </c>
      <c r="E907" t="inlineStr">
        <is>
          <t>TORSBY</t>
        </is>
      </c>
      <c r="G907" t="n">
        <v>23.4</v>
      </c>
      <c r="H907" t="n">
        <v>0</v>
      </c>
      <c r="I907" t="n">
        <v>0</v>
      </c>
      <c r="J907" t="n">
        <v>0</v>
      </c>
      <c r="K907" t="n">
        <v>0</v>
      </c>
      <c r="L907" t="n">
        <v>0</v>
      </c>
      <c r="M907" t="n">
        <v>0</v>
      </c>
      <c r="N907" t="n">
        <v>0</v>
      </c>
      <c r="O907" t="n">
        <v>0</v>
      </c>
      <c r="P907" t="n">
        <v>0</v>
      </c>
      <c r="Q907" t="n">
        <v>0</v>
      </c>
      <c r="R907" s="2" t="inlineStr"/>
    </row>
    <row r="908" ht="15" customHeight="1">
      <c r="A908" t="inlineStr">
        <is>
          <t>A 45357-2025</t>
        </is>
      </c>
      <c r="B908" s="1" t="n">
        <v>45922.36716435185</v>
      </c>
      <c r="C908" s="1" t="n">
        <v>46033</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52364-2025</t>
        </is>
      </c>
      <c r="B909" s="1" t="n">
        <v>45952</v>
      </c>
      <c r="C909" s="1" t="n">
        <v>46033</v>
      </c>
      <c r="D909" t="inlineStr">
        <is>
          <t>VÄRMLANDS LÄN</t>
        </is>
      </c>
      <c r="E909" t="inlineStr">
        <is>
          <t>TORSBY</t>
        </is>
      </c>
      <c r="G909" t="n">
        <v>5.5</v>
      </c>
      <c r="H909" t="n">
        <v>0</v>
      </c>
      <c r="I909" t="n">
        <v>0</v>
      </c>
      <c r="J909" t="n">
        <v>0</v>
      </c>
      <c r="K909" t="n">
        <v>0</v>
      </c>
      <c r="L909" t="n">
        <v>0</v>
      </c>
      <c r="M909" t="n">
        <v>0</v>
      </c>
      <c r="N909" t="n">
        <v>0</v>
      </c>
      <c r="O909" t="n">
        <v>0</v>
      </c>
      <c r="P909" t="n">
        <v>0</v>
      </c>
      <c r="Q909" t="n">
        <v>0</v>
      </c>
      <c r="R909" s="2" t="inlineStr"/>
    </row>
    <row r="910" ht="15" customHeight="1">
      <c r="A910" t="inlineStr">
        <is>
          <t>A 29307-2025</t>
        </is>
      </c>
      <c r="B910" s="1" t="n">
        <v>45824</v>
      </c>
      <c r="C910" s="1" t="n">
        <v>46033</v>
      </c>
      <c r="D910" t="inlineStr">
        <is>
          <t>VÄRMLANDS LÄN</t>
        </is>
      </c>
      <c r="E910" t="inlineStr">
        <is>
          <t>TORSBY</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29403-2025</t>
        </is>
      </c>
      <c r="B911" s="1" t="n">
        <v>45824.61469907407</v>
      </c>
      <c r="C911" s="1" t="n">
        <v>46033</v>
      </c>
      <c r="D911" t="inlineStr">
        <is>
          <t>VÄRMLANDS LÄN</t>
        </is>
      </c>
      <c r="E911" t="inlineStr">
        <is>
          <t>TORSBY</t>
        </is>
      </c>
      <c r="F911" t="inlineStr">
        <is>
          <t>Bergvik skog väst AB</t>
        </is>
      </c>
      <c r="G911" t="n">
        <v>7.7</v>
      </c>
      <c r="H911" t="n">
        <v>0</v>
      </c>
      <c r="I911" t="n">
        <v>0</v>
      </c>
      <c r="J911" t="n">
        <v>0</v>
      </c>
      <c r="K911" t="n">
        <v>0</v>
      </c>
      <c r="L911" t="n">
        <v>0</v>
      </c>
      <c r="M911" t="n">
        <v>0</v>
      </c>
      <c r="N911" t="n">
        <v>0</v>
      </c>
      <c r="O911" t="n">
        <v>0</v>
      </c>
      <c r="P911" t="n">
        <v>0</v>
      </c>
      <c r="Q911" t="n">
        <v>0</v>
      </c>
      <c r="R911" s="2" t="inlineStr"/>
    </row>
    <row r="912" ht="15" customHeight="1">
      <c r="A912" t="inlineStr">
        <is>
          <t>A 47452-2024</t>
        </is>
      </c>
      <c r="B912" s="1" t="n">
        <v>45587</v>
      </c>
      <c r="C912" s="1" t="n">
        <v>46033</v>
      </c>
      <c r="D912" t="inlineStr">
        <is>
          <t>VÄRMLANDS LÄN</t>
        </is>
      </c>
      <c r="E912" t="inlineStr">
        <is>
          <t>TORSBY</t>
        </is>
      </c>
      <c r="F912" t="inlineStr">
        <is>
          <t>Övriga Aktiebolag</t>
        </is>
      </c>
      <c r="G912" t="n">
        <v>1.4</v>
      </c>
      <c r="H912" t="n">
        <v>0</v>
      </c>
      <c r="I912" t="n">
        <v>0</v>
      </c>
      <c r="J912" t="n">
        <v>0</v>
      </c>
      <c r="K912" t="n">
        <v>0</v>
      </c>
      <c r="L912" t="n">
        <v>0</v>
      </c>
      <c r="M912" t="n">
        <v>0</v>
      </c>
      <c r="N912" t="n">
        <v>0</v>
      </c>
      <c r="O912" t="n">
        <v>0</v>
      </c>
      <c r="P912" t="n">
        <v>0</v>
      </c>
      <c r="Q912" t="n">
        <v>0</v>
      </c>
      <c r="R912" s="2" t="inlineStr"/>
    </row>
    <row r="913" ht="15" customHeight="1">
      <c r="A913" t="inlineStr">
        <is>
          <t>A 29702-2025</t>
        </is>
      </c>
      <c r="B913" s="1" t="n">
        <v>45825.55667824074</v>
      </c>
      <c r="C913" s="1" t="n">
        <v>46033</v>
      </c>
      <c r="D913" t="inlineStr">
        <is>
          <t>VÄRMLANDS LÄN</t>
        </is>
      </c>
      <c r="E913" t="inlineStr">
        <is>
          <t>TORSBY</t>
        </is>
      </c>
      <c r="G913" t="n">
        <v>8.6</v>
      </c>
      <c r="H913" t="n">
        <v>0</v>
      </c>
      <c r="I913" t="n">
        <v>0</v>
      </c>
      <c r="J913" t="n">
        <v>0</v>
      </c>
      <c r="K913" t="n">
        <v>0</v>
      </c>
      <c r="L913" t="n">
        <v>0</v>
      </c>
      <c r="M913" t="n">
        <v>0</v>
      </c>
      <c r="N913" t="n">
        <v>0</v>
      </c>
      <c r="O913" t="n">
        <v>0</v>
      </c>
      <c r="P913" t="n">
        <v>0</v>
      </c>
      <c r="Q913" t="n">
        <v>0</v>
      </c>
      <c r="R913" s="2" t="inlineStr"/>
    </row>
    <row r="914" ht="15" customHeight="1">
      <c r="A914" t="inlineStr">
        <is>
          <t>A 45360-2025</t>
        </is>
      </c>
      <c r="B914" s="1" t="n">
        <v>45922.37266203704</v>
      </c>
      <c r="C914" s="1" t="n">
        <v>46033</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45615-2025</t>
        </is>
      </c>
      <c r="B915" s="1" t="n">
        <v>45921</v>
      </c>
      <c r="C915" s="1" t="n">
        <v>46033</v>
      </c>
      <c r="D915" t="inlineStr">
        <is>
          <t>VÄRMLANDS LÄN</t>
        </is>
      </c>
      <c r="E915" t="inlineStr">
        <is>
          <t>TORSBY</t>
        </is>
      </c>
      <c r="G915" t="n">
        <v>7</v>
      </c>
      <c r="H915" t="n">
        <v>0</v>
      </c>
      <c r="I915" t="n">
        <v>0</v>
      </c>
      <c r="J915" t="n">
        <v>0</v>
      </c>
      <c r="K915" t="n">
        <v>0</v>
      </c>
      <c r="L915" t="n">
        <v>0</v>
      </c>
      <c r="M915" t="n">
        <v>0</v>
      </c>
      <c r="N915" t="n">
        <v>0</v>
      </c>
      <c r="O915" t="n">
        <v>0</v>
      </c>
      <c r="P915" t="n">
        <v>0</v>
      </c>
      <c r="Q915" t="n">
        <v>0</v>
      </c>
      <c r="R915" s="2" t="inlineStr"/>
    </row>
    <row r="916" ht="15" customHeight="1">
      <c r="A916" t="inlineStr">
        <is>
          <t>A 51914-2025</t>
        </is>
      </c>
      <c r="B916" s="1" t="n">
        <v>45952.47380787037</v>
      </c>
      <c r="C916" s="1" t="n">
        <v>46033</v>
      </c>
      <c r="D916" t="inlineStr">
        <is>
          <t>VÄRMLANDS LÄN</t>
        </is>
      </c>
      <c r="E916" t="inlineStr">
        <is>
          <t>TORSBY</t>
        </is>
      </c>
      <c r="F916" t="inlineStr">
        <is>
          <t>Kyrkan</t>
        </is>
      </c>
      <c r="G916" t="n">
        <v>3.3</v>
      </c>
      <c r="H916" t="n">
        <v>0</v>
      </c>
      <c r="I916" t="n">
        <v>0</v>
      </c>
      <c r="J916" t="n">
        <v>0</v>
      </c>
      <c r="K916" t="n">
        <v>0</v>
      </c>
      <c r="L916" t="n">
        <v>0</v>
      </c>
      <c r="M916" t="n">
        <v>0</v>
      </c>
      <c r="N916" t="n">
        <v>0</v>
      </c>
      <c r="O916" t="n">
        <v>0</v>
      </c>
      <c r="P916" t="n">
        <v>0</v>
      </c>
      <c r="Q916" t="n">
        <v>0</v>
      </c>
      <c r="R916" s="2" t="inlineStr"/>
    </row>
    <row r="917" ht="15" customHeight="1">
      <c r="A917" t="inlineStr">
        <is>
          <t>A 51927-2025</t>
        </is>
      </c>
      <c r="B917" s="1" t="n">
        <v>45952.49587962963</v>
      </c>
      <c r="C917" s="1" t="n">
        <v>46033</v>
      </c>
      <c r="D917" t="inlineStr">
        <is>
          <t>VÄRMLANDS LÄN</t>
        </is>
      </c>
      <c r="E917" t="inlineStr">
        <is>
          <t>TORSBY</t>
        </is>
      </c>
      <c r="F917" t="inlineStr">
        <is>
          <t>Kyrkan</t>
        </is>
      </c>
      <c r="G917" t="n">
        <v>4.9</v>
      </c>
      <c r="H917" t="n">
        <v>0</v>
      </c>
      <c r="I917" t="n">
        <v>0</v>
      </c>
      <c r="J917" t="n">
        <v>0</v>
      </c>
      <c r="K917" t="n">
        <v>0</v>
      </c>
      <c r="L917" t="n">
        <v>0</v>
      </c>
      <c r="M917" t="n">
        <v>0</v>
      </c>
      <c r="N917" t="n">
        <v>0</v>
      </c>
      <c r="O917" t="n">
        <v>0</v>
      </c>
      <c r="P917" t="n">
        <v>0</v>
      </c>
      <c r="Q917" t="n">
        <v>0</v>
      </c>
      <c r="R917" s="2" t="inlineStr"/>
    </row>
    <row r="918" ht="15" customHeight="1">
      <c r="A918" t="inlineStr">
        <is>
          <t>A 29042-2023</t>
        </is>
      </c>
      <c r="B918" s="1" t="n">
        <v>45104</v>
      </c>
      <c r="C918" s="1" t="n">
        <v>46033</v>
      </c>
      <c r="D918" t="inlineStr">
        <is>
          <t>VÄRMLANDS LÄN</t>
        </is>
      </c>
      <c r="E918" t="inlineStr">
        <is>
          <t>TORSBY</t>
        </is>
      </c>
      <c r="G918" t="n">
        <v>2.8</v>
      </c>
      <c r="H918" t="n">
        <v>0</v>
      </c>
      <c r="I918" t="n">
        <v>0</v>
      </c>
      <c r="J918" t="n">
        <v>0</v>
      </c>
      <c r="K918" t="n">
        <v>0</v>
      </c>
      <c r="L918" t="n">
        <v>0</v>
      </c>
      <c r="M918" t="n">
        <v>0</v>
      </c>
      <c r="N918" t="n">
        <v>0</v>
      </c>
      <c r="O918" t="n">
        <v>0</v>
      </c>
      <c r="P918" t="n">
        <v>0</v>
      </c>
      <c r="Q918" t="n">
        <v>0</v>
      </c>
      <c r="R918" s="2" t="inlineStr"/>
    </row>
    <row r="919" ht="15" customHeight="1">
      <c r="A919" t="inlineStr">
        <is>
          <t>A 45489-2025</t>
        </is>
      </c>
      <c r="B919" s="1" t="n">
        <v>45921</v>
      </c>
      <c r="C919" s="1" t="n">
        <v>46033</v>
      </c>
      <c r="D919" t="inlineStr">
        <is>
          <t>VÄRMLANDS LÄN</t>
        </is>
      </c>
      <c r="E919" t="inlineStr">
        <is>
          <t>TORSBY</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45490-2025</t>
        </is>
      </c>
      <c r="B920" s="1" t="n">
        <v>45921</v>
      </c>
      <c r="C920" s="1" t="n">
        <v>46033</v>
      </c>
      <c r="D920" t="inlineStr">
        <is>
          <t>VÄRMLANDS LÄN</t>
        </is>
      </c>
      <c r="E920" t="inlineStr">
        <is>
          <t>TORSBY</t>
        </is>
      </c>
      <c r="G920" t="n">
        <v>5.2</v>
      </c>
      <c r="H920" t="n">
        <v>0</v>
      </c>
      <c r="I920" t="n">
        <v>0</v>
      </c>
      <c r="J920" t="n">
        <v>0</v>
      </c>
      <c r="K920" t="n">
        <v>0</v>
      </c>
      <c r="L920" t="n">
        <v>0</v>
      </c>
      <c r="M920" t="n">
        <v>0</v>
      </c>
      <c r="N920" t="n">
        <v>0</v>
      </c>
      <c r="O920" t="n">
        <v>0</v>
      </c>
      <c r="P920" t="n">
        <v>0</v>
      </c>
      <c r="Q920" t="n">
        <v>0</v>
      </c>
      <c r="R920" s="2" t="inlineStr"/>
    </row>
    <row r="921" ht="15" customHeight="1">
      <c r="A921" t="inlineStr">
        <is>
          <t>A 45508-2025</t>
        </is>
      </c>
      <c r="B921" s="1" t="n">
        <v>45922</v>
      </c>
      <c r="C921" s="1" t="n">
        <v>46033</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52089-2025</t>
        </is>
      </c>
      <c r="B922" s="1" t="n">
        <v>45952.67644675926</v>
      </c>
      <c r="C922" s="1" t="n">
        <v>46033</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235-2024</t>
        </is>
      </c>
      <c r="B923" s="1" t="n">
        <v>45294.85100694445</v>
      </c>
      <c r="C923" s="1" t="n">
        <v>46033</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46033</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45825-2025</t>
        </is>
      </c>
      <c r="B925" s="1" t="n">
        <v>45923.59983796296</v>
      </c>
      <c r="C925" s="1" t="n">
        <v>46033</v>
      </c>
      <c r="D925" t="inlineStr">
        <is>
          <t>VÄRMLANDS LÄN</t>
        </is>
      </c>
      <c r="E925" t="inlineStr">
        <is>
          <t>TORSBY</t>
        </is>
      </c>
      <c r="G925" t="n">
        <v>11.4</v>
      </c>
      <c r="H925" t="n">
        <v>0</v>
      </c>
      <c r="I925" t="n">
        <v>0</v>
      </c>
      <c r="J925" t="n">
        <v>0</v>
      </c>
      <c r="K925" t="n">
        <v>0</v>
      </c>
      <c r="L925" t="n">
        <v>0</v>
      </c>
      <c r="M925" t="n">
        <v>0</v>
      </c>
      <c r="N925" t="n">
        <v>0</v>
      </c>
      <c r="O925" t="n">
        <v>0</v>
      </c>
      <c r="P925" t="n">
        <v>0</v>
      </c>
      <c r="Q925" t="n">
        <v>0</v>
      </c>
      <c r="R925" s="2" t="inlineStr"/>
    </row>
    <row r="926" ht="15" customHeight="1">
      <c r="A926" t="inlineStr">
        <is>
          <t>A 30078-2025</t>
        </is>
      </c>
      <c r="B926" s="1" t="n">
        <v>45826.64291666666</v>
      </c>
      <c r="C926" s="1" t="n">
        <v>46033</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4537-2025</t>
        </is>
      </c>
      <c r="B927" s="1" t="n">
        <v>45687.38836805556</v>
      </c>
      <c r="C927" s="1" t="n">
        <v>46033</v>
      </c>
      <c r="D927" t="inlineStr">
        <is>
          <t>VÄRMLANDS LÄN</t>
        </is>
      </c>
      <c r="E927" t="inlineStr">
        <is>
          <t>TORSBY</t>
        </is>
      </c>
      <c r="F927" t="inlineStr">
        <is>
          <t>Kommuner</t>
        </is>
      </c>
      <c r="G927" t="n">
        <v>1.5</v>
      </c>
      <c r="H927" t="n">
        <v>0</v>
      </c>
      <c r="I927" t="n">
        <v>0</v>
      </c>
      <c r="J927" t="n">
        <v>0</v>
      </c>
      <c r="K927" t="n">
        <v>0</v>
      </c>
      <c r="L927" t="n">
        <v>0</v>
      </c>
      <c r="M927" t="n">
        <v>0</v>
      </c>
      <c r="N927" t="n">
        <v>0</v>
      </c>
      <c r="O927" t="n">
        <v>0</v>
      </c>
      <c r="P927" t="n">
        <v>0</v>
      </c>
      <c r="Q927" t="n">
        <v>0</v>
      </c>
      <c r="R927" s="2" t="inlineStr"/>
    </row>
    <row r="928" ht="15" customHeight="1">
      <c r="A928" t="inlineStr">
        <is>
          <t>A 38979-2023</t>
        </is>
      </c>
      <c r="B928" s="1" t="n">
        <v>45163.64584490741</v>
      </c>
      <c r="C928" s="1" t="n">
        <v>46033</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30433-2025</t>
        </is>
      </c>
      <c r="B929" s="1" t="n">
        <v>45827</v>
      </c>
      <c r="C929" s="1" t="n">
        <v>46033</v>
      </c>
      <c r="D929" t="inlineStr">
        <is>
          <t>VÄRMLANDS LÄN</t>
        </is>
      </c>
      <c r="E929" t="inlineStr">
        <is>
          <t>TORSBY</t>
        </is>
      </c>
      <c r="G929" t="n">
        <v>13.4</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46033</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54796-2024</t>
        </is>
      </c>
      <c r="B931" s="1" t="n">
        <v>45618</v>
      </c>
      <c r="C931" s="1" t="n">
        <v>46033</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30074-2025</t>
        </is>
      </c>
      <c r="B932" s="1" t="n">
        <v>45826.63672453703</v>
      </c>
      <c r="C932" s="1" t="n">
        <v>46033</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30380-2025</t>
        </is>
      </c>
      <c r="B933" s="1" t="n">
        <v>45827</v>
      </c>
      <c r="C933" s="1" t="n">
        <v>46033</v>
      </c>
      <c r="D933" t="inlineStr">
        <is>
          <t>VÄRMLANDS LÄN</t>
        </is>
      </c>
      <c r="E933" t="inlineStr">
        <is>
          <t>TORSBY</t>
        </is>
      </c>
      <c r="G933" t="n">
        <v>5.8</v>
      </c>
      <c r="H933" t="n">
        <v>0</v>
      </c>
      <c r="I933" t="n">
        <v>0</v>
      </c>
      <c r="J933" t="n">
        <v>0</v>
      </c>
      <c r="K933" t="n">
        <v>0</v>
      </c>
      <c r="L933" t="n">
        <v>0</v>
      </c>
      <c r="M933" t="n">
        <v>0</v>
      </c>
      <c r="N933" t="n">
        <v>0</v>
      </c>
      <c r="O933" t="n">
        <v>0</v>
      </c>
      <c r="P933" t="n">
        <v>0</v>
      </c>
      <c r="Q933" t="n">
        <v>0</v>
      </c>
      <c r="R933" s="2" t="inlineStr"/>
    </row>
    <row r="934" ht="15" customHeight="1">
      <c r="A934" t="inlineStr">
        <is>
          <t>A 45967-2025</t>
        </is>
      </c>
      <c r="B934" s="1" t="n">
        <v>45924</v>
      </c>
      <c r="C934" s="1" t="n">
        <v>46033</v>
      </c>
      <c r="D934" t="inlineStr">
        <is>
          <t>VÄRMLANDS LÄN</t>
        </is>
      </c>
      <c r="E934" t="inlineStr">
        <is>
          <t>TORSBY</t>
        </is>
      </c>
      <c r="F934" t="inlineStr">
        <is>
          <t>Övriga Aktiebolag</t>
        </is>
      </c>
      <c r="G934" t="n">
        <v>1.9</v>
      </c>
      <c r="H934" t="n">
        <v>0</v>
      </c>
      <c r="I934" t="n">
        <v>0</v>
      </c>
      <c r="J934" t="n">
        <v>0</v>
      </c>
      <c r="K934" t="n">
        <v>0</v>
      </c>
      <c r="L934" t="n">
        <v>0</v>
      </c>
      <c r="M934" t="n">
        <v>0</v>
      </c>
      <c r="N934" t="n">
        <v>0</v>
      </c>
      <c r="O934" t="n">
        <v>0</v>
      </c>
      <c r="P934" t="n">
        <v>0</v>
      </c>
      <c r="Q934" t="n">
        <v>0</v>
      </c>
      <c r="R934" s="2" t="inlineStr"/>
    </row>
    <row r="935" ht="15" customHeight="1">
      <c r="A935" t="inlineStr">
        <is>
          <t>A 30199-2025</t>
        </is>
      </c>
      <c r="B935" s="1" t="n">
        <v>45827</v>
      </c>
      <c r="C935" s="1" t="n">
        <v>46033</v>
      </c>
      <c r="D935" t="inlineStr">
        <is>
          <t>VÄRMLANDS LÄN</t>
        </is>
      </c>
      <c r="E935" t="inlineStr">
        <is>
          <t>TORSBY</t>
        </is>
      </c>
      <c r="F935" t="inlineStr">
        <is>
          <t>Bergvik skog väst AB</t>
        </is>
      </c>
      <c r="G935" t="n">
        <v>4.9</v>
      </c>
      <c r="H935" t="n">
        <v>0</v>
      </c>
      <c r="I935" t="n">
        <v>0</v>
      </c>
      <c r="J935" t="n">
        <v>0</v>
      </c>
      <c r="K935" t="n">
        <v>0</v>
      </c>
      <c r="L935" t="n">
        <v>0</v>
      </c>
      <c r="M935" t="n">
        <v>0</v>
      </c>
      <c r="N935" t="n">
        <v>0</v>
      </c>
      <c r="O935" t="n">
        <v>0</v>
      </c>
      <c r="P935" t="n">
        <v>0</v>
      </c>
      <c r="Q935" t="n">
        <v>0</v>
      </c>
      <c r="R935" s="2" t="inlineStr"/>
    </row>
    <row r="936" ht="15" customHeight="1">
      <c r="A936" t="inlineStr">
        <is>
          <t>A 35107-2024</t>
        </is>
      </c>
      <c r="B936" s="1" t="n">
        <v>45529.5588425926</v>
      </c>
      <c r="C936" s="1" t="n">
        <v>46033</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52359-2025</t>
        </is>
      </c>
      <c r="B937" s="1" t="n">
        <v>45952</v>
      </c>
      <c r="C937" s="1" t="n">
        <v>46033</v>
      </c>
      <c r="D937" t="inlineStr">
        <is>
          <t>VÄRMLANDS LÄN</t>
        </is>
      </c>
      <c r="E937" t="inlineStr">
        <is>
          <t>TORSBY</t>
        </is>
      </c>
      <c r="G937" t="n">
        <v>3.8</v>
      </c>
      <c r="H937" t="n">
        <v>0</v>
      </c>
      <c r="I937" t="n">
        <v>0</v>
      </c>
      <c r="J937" t="n">
        <v>0</v>
      </c>
      <c r="K937" t="n">
        <v>0</v>
      </c>
      <c r="L937" t="n">
        <v>0</v>
      </c>
      <c r="M937" t="n">
        <v>0</v>
      </c>
      <c r="N937" t="n">
        <v>0</v>
      </c>
      <c r="O937" t="n">
        <v>0</v>
      </c>
      <c r="P937" t="n">
        <v>0</v>
      </c>
      <c r="Q937" t="n">
        <v>0</v>
      </c>
      <c r="R937" s="2" t="inlineStr"/>
    </row>
    <row r="938" ht="15" customHeight="1">
      <c r="A938" t="inlineStr">
        <is>
          <t>A 46503-2025</t>
        </is>
      </c>
      <c r="B938" s="1" t="n">
        <v>45925</v>
      </c>
      <c r="C938" s="1" t="n">
        <v>46033</v>
      </c>
      <c r="D938" t="inlineStr">
        <is>
          <t>VÄRMLANDS LÄN</t>
        </is>
      </c>
      <c r="E938" t="inlineStr">
        <is>
          <t>TORSBY</t>
        </is>
      </c>
      <c r="G938" t="n">
        <v>5.4</v>
      </c>
      <c r="H938" t="n">
        <v>0</v>
      </c>
      <c r="I938" t="n">
        <v>0</v>
      </c>
      <c r="J938" t="n">
        <v>0</v>
      </c>
      <c r="K938" t="n">
        <v>0</v>
      </c>
      <c r="L938" t="n">
        <v>0</v>
      </c>
      <c r="M938" t="n">
        <v>0</v>
      </c>
      <c r="N938" t="n">
        <v>0</v>
      </c>
      <c r="O938" t="n">
        <v>0</v>
      </c>
      <c r="P938" t="n">
        <v>0</v>
      </c>
      <c r="Q938" t="n">
        <v>0</v>
      </c>
      <c r="R938" s="2" t="inlineStr"/>
    </row>
    <row r="939" ht="15" customHeight="1">
      <c r="A939" t="inlineStr">
        <is>
          <t>A 46293-2025</t>
        </is>
      </c>
      <c r="B939" s="1" t="n">
        <v>45925.39297453704</v>
      </c>
      <c r="C939" s="1" t="n">
        <v>46033</v>
      </c>
      <c r="D939" t="inlineStr">
        <is>
          <t>VÄRMLANDS LÄN</t>
        </is>
      </c>
      <c r="E939" t="inlineStr">
        <is>
          <t>TORSBY</t>
        </is>
      </c>
      <c r="G939" t="n">
        <v>24.3</v>
      </c>
      <c r="H939" t="n">
        <v>0</v>
      </c>
      <c r="I939" t="n">
        <v>0</v>
      </c>
      <c r="J939" t="n">
        <v>0</v>
      </c>
      <c r="K939" t="n">
        <v>0</v>
      </c>
      <c r="L939" t="n">
        <v>0</v>
      </c>
      <c r="M939" t="n">
        <v>0</v>
      </c>
      <c r="N939" t="n">
        <v>0</v>
      </c>
      <c r="O939" t="n">
        <v>0</v>
      </c>
      <c r="P939" t="n">
        <v>0</v>
      </c>
      <c r="Q939" t="n">
        <v>0</v>
      </c>
      <c r="R939" s="2" t="inlineStr"/>
    </row>
    <row r="940" ht="15" customHeight="1">
      <c r="A940" t="inlineStr">
        <is>
          <t>A 51944-2025</t>
        </is>
      </c>
      <c r="B940" s="1" t="n">
        <v>45952.52608796296</v>
      </c>
      <c r="C940" s="1" t="n">
        <v>46033</v>
      </c>
      <c r="D940" t="inlineStr">
        <is>
          <t>VÄRMLANDS LÄN</t>
        </is>
      </c>
      <c r="E940" t="inlineStr">
        <is>
          <t>TORSBY</t>
        </is>
      </c>
      <c r="G940" t="n">
        <v>8</v>
      </c>
      <c r="H940" t="n">
        <v>0</v>
      </c>
      <c r="I940" t="n">
        <v>0</v>
      </c>
      <c r="J940" t="n">
        <v>0</v>
      </c>
      <c r="K940" t="n">
        <v>0</v>
      </c>
      <c r="L940" t="n">
        <v>0</v>
      </c>
      <c r="M940" t="n">
        <v>0</v>
      </c>
      <c r="N940" t="n">
        <v>0</v>
      </c>
      <c r="O940" t="n">
        <v>0</v>
      </c>
      <c r="P940" t="n">
        <v>0</v>
      </c>
      <c r="Q940" t="n">
        <v>0</v>
      </c>
      <c r="R940" s="2" t="inlineStr"/>
    </row>
    <row r="941" ht="15" customHeight="1">
      <c r="A941" t="inlineStr">
        <is>
          <t>A 38062-2024</t>
        </is>
      </c>
      <c r="B941" s="1" t="n">
        <v>45544</v>
      </c>
      <c r="C941" s="1" t="n">
        <v>46033</v>
      </c>
      <c r="D941" t="inlineStr">
        <is>
          <t>VÄRMLANDS LÄN</t>
        </is>
      </c>
      <c r="E941" t="inlineStr">
        <is>
          <t>TORSBY</t>
        </is>
      </c>
      <c r="F941" t="inlineStr">
        <is>
          <t>Bergvik skog väst AB</t>
        </is>
      </c>
      <c r="G941" t="n">
        <v>7.9</v>
      </c>
      <c r="H941" t="n">
        <v>0</v>
      </c>
      <c r="I941" t="n">
        <v>0</v>
      </c>
      <c r="J941" t="n">
        <v>0</v>
      </c>
      <c r="K941" t="n">
        <v>0</v>
      </c>
      <c r="L941" t="n">
        <v>0</v>
      </c>
      <c r="M941" t="n">
        <v>0</v>
      </c>
      <c r="N941" t="n">
        <v>0</v>
      </c>
      <c r="O941" t="n">
        <v>0</v>
      </c>
      <c r="P941" t="n">
        <v>0</v>
      </c>
      <c r="Q941" t="n">
        <v>0</v>
      </c>
      <c r="R941" s="2" t="inlineStr"/>
    </row>
    <row r="942" ht="15" customHeight="1">
      <c r="A942" t="inlineStr">
        <is>
          <t>A 45966-2025</t>
        </is>
      </c>
      <c r="B942" s="1" t="n">
        <v>45924</v>
      </c>
      <c r="C942" s="1" t="n">
        <v>46033</v>
      </c>
      <c r="D942" t="inlineStr">
        <is>
          <t>VÄRMLANDS LÄN</t>
        </is>
      </c>
      <c r="E942" t="inlineStr">
        <is>
          <t>TORSBY</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52750-2024</t>
        </is>
      </c>
      <c r="B943" s="1" t="n">
        <v>45610</v>
      </c>
      <c r="C943" s="1" t="n">
        <v>46033</v>
      </c>
      <c r="D943" t="inlineStr">
        <is>
          <t>VÄRMLANDS LÄN</t>
        </is>
      </c>
      <c r="E943" t="inlineStr">
        <is>
          <t>TORSBY</t>
        </is>
      </c>
      <c r="F943" t="inlineStr">
        <is>
          <t>Kyrkan</t>
        </is>
      </c>
      <c r="G943" t="n">
        <v>7.7</v>
      </c>
      <c r="H943" t="n">
        <v>0</v>
      </c>
      <c r="I943" t="n">
        <v>0</v>
      </c>
      <c r="J943" t="n">
        <v>0</v>
      </c>
      <c r="K943" t="n">
        <v>0</v>
      </c>
      <c r="L943" t="n">
        <v>0</v>
      </c>
      <c r="M943" t="n">
        <v>0</v>
      </c>
      <c r="N943" t="n">
        <v>0</v>
      </c>
      <c r="O943" t="n">
        <v>0</v>
      </c>
      <c r="P943" t="n">
        <v>0</v>
      </c>
      <c r="Q943" t="n">
        <v>0</v>
      </c>
      <c r="R943" s="2" t="inlineStr"/>
    </row>
    <row r="944" ht="15" customHeight="1">
      <c r="A944" t="inlineStr">
        <is>
          <t>A 30377-2025</t>
        </is>
      </c>
      <c r="B944" s="1" t="n">
        <v>45827</v>
      </c>
      <c r="C944" s="1" t="n">
        <v>46033</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30388-2025</t>
        </is>
      </c>
      <c r="B945" s="1" t="n">
        <v>45827.5734837963</v>
      </c>
      <c r="C945" s="1" t="n">
        <v>46033</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30153-2025</t>
        </is>
      </c>
      <c r="B946" s="1" t="n">
        <v>45827.31736111111</v>
      </c>
      <c r="C946" s="1" t="n">
        <v>46033</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57721-2022</t>
        </is>
      </c>
      <c r="B947" s="1" t="n">
        <v>44897.55278935185</v>
      </c>
      <c r="C947" s="1" t="n">
        <v>46033</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24708-2024</t>
        </is>
      </c>
      <c r="B948" s="1" t="n">
        <v>45460</v>
      </c>
      <c r="C948" s="1" t="n">
        <v>46033</v>
      </c>
      <c r="D948" t="inlineStr">
        <is>
          <t>VÄRMLANDS LÄN</t>
        </is>
      </c>
      <c r="E948" t="inlineStr">
        <is>
          <t>TORSBY</t>
        </is>
      </c>
      <c r="G948" t="n">
        <v>3.9</v>
      </c>
      <c r="H948" t="n">
        <v>0</v>
      </c>
      <c r="I948" t="n">
        <v>0</v>
      </c>
      <c r="J948" t="n">
        <v>0</v>
      </c>
      <c r="K948" t="n">
        <v>0</v>
      </c>
      <c r="L948" t="n">
        <v>0</v>
      </c>
      <c r="M948" t="n">
        <v>0</v>
      </c>
      <c r="N948" t="n">
        <v>0</v>
      </c>
      <c r="O948" t="n">
        <v>0</v>
      </c>
      <c r="P948" t="n">
        <v>0</v>
      </c>
      <c r="Q948" t="n">
        <v>0</v>
      </c>
      <c r="R948" s="2" t="inlineStr"/>
    </row>
    <row r="949" ht="15" customHeight="1">
      <c r="A949" t="inlineStr">
        <is>
          <t>A 46334-2025</t>
        </is>
      </c>
      <c r="B949" s="1" t="n">
        <v>45925.45925925926</v>
      </c>
      <c r="C949" s="1" t="n">
        <v>46033</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24995-2024</t>
        </is>
      </c>
      <c r="B950" s="1" t="n">
        <v>45461</v>
      </c>
      <c r="C950" s="1" t="n">
        <v>46033</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2506-2025</t>
        </is>
      </c>
      <c r="B951" s="1" t="n">
        <v>45674</v>
      </c>
      <c r="C951" s="1" t="n">
        <v>46033</v>
      </c>
      <c r="D951" t="inlineStr">
        <is>
          <t>VÄRMLANDS LÄN</t>
        </is>
      </c>
      <c r="E951" t="inlineStr">
        <is>
          <t>TORSBY</t>
        </is>
      </c>
      <c r="F951" t="inlineStr">
        <is>
          <t>Bergvik skog väst AB</t>
        </is>
      </c>
      <c r="G951" t="n">
        <v>19.2</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46033</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30026-2025</t>
        </is>
      </c>
      <c r="B953" s="1" t="n">
        <v>45826.5637037037</v>
      </c>
      <c r="C953" s="1" t="n">
        <v>46033</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731-2024</t>
        </is>
      </c>
      <c r="B954" s="1" t="n">
        <v>45300</v>
      </c>
      <c r="C954" s="1" t="n">
        <v>46033</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30151-2025</t>
        </is>
      </c>
      <c r="B955" s="1" t="n">
        <v>45827</v>
      </c>
      <c r="C955" s="1" t="n">
        <v>46033</v>
      </c>
      <c r="D955" t="inlineStr">
        <is>
          <t>VÄRMLANDS LÄN</t>
        </is>
      </c>
      <c r="E955" t="inlineStr">
        <is>
          <t>TORSBY</t>
        </is>
      </c>
      <c r="G955" t="n">
        <v>4.1</v>
      </c>
      <c r="H955" t="n">
        <v>0</v>
      </c>
      <c r="I955" t="n">
        <v>0</v>
      </c>
      <c r="J955" t="n">
        <v>0</v>
      </c>
      <c r="K955" t="n">
        <v>0</v>
      </c>
      <c r="L955" t="n">
        <v>0</v>
      </c>
      <c r="M955" t="n">
        <v>0</v>
      </c>
      <c r="N955" t="n">
        <v>0</v>
      </c>
      <c r="O955" t="n">
        <v>0</v>
      </c>
      <c r="P955" t="n">
        <v>0</v>
      </c>
      <c r="Q955" t="n">
        <v>0</v>
      </c>
      <c r="R955" s="2" t="inlineStr"/>
    </row>
    <row r="956" ht="15" customHeight="1">
      <c r="A956" t="inlineStr">
        <is>
          <t>A 52026-2025</t>
        </is>
      </c>
      <c r="B956" s="1" t="n">
        <v>45952</v>
      </c>
      <c r="C956" s="1" t="n">
        <v>46033</v>
      </c>
      <c r="D956" t="inlineStr">
        <is>
          <t>VÄRMLANDS LÄN</t>
        </is>
      </c>
      <c r="E956" t="inlineStr">
        <is>
          <t>TORSBY</t>
        </is>
      </c>
      <c r="F956" t="inlineStr">
        <is>
          <t>Bergvik skog väst AB</t>
        </is>
      </c>
      <c r="G956" t="n">
        <v>15.7</v>
      </c>
      <c r="H956" t="n">
        <v>0</v>
      </c>
      <c r="I956" t="n">
        <v>0</v>
      </c>
      <c r="J956" t="n">
        <v>0</v>
      </c>
      <c r="K956" t="n">
        <v>0</v>
      </c>
      <c r="L956" t="n">
        <v>0</v>
      </c>
      <c r="M956" t="n">
        <v>0</v>
      </c>
      <c r="N956" t="n">
        <v>0</v>
      </c>
      <c r="O956" t="n">
        <v>0</v>
      </c>
      <c r="P956" t="n">
        <v>0</v>
      </c>
      <c r="Q956" t="n">
        <v>0</v>
      </c>
      <c r="R956" s="2" t="inlineStr"/>
    </row>
    <row r="957" ht="15" customHeight="1">
      <c r="A957" t="inlineStr">
        <is>
          <t>A 30214-2025</t>
        </is>
      </c>
      <c r="B957" s="1" t="n">
        <v>45827</v>
      </c>
      <c r="C957" s="1" t="n">
        <v>46033</v>
      </c>
      <c r="D957" t="inlineStr">
        <is>
          <t>VÄRMLANDS LÄN</t>
        </is>
      </c>
      <c r="E957" t="inlineStr">
        <is>
          <t>TORSBY</t>
        </is>
      </c>
      <c r="F957" t="inlineStr">
        <is>
          <t>Bergvik skog väst AB</t>
        </is>
      </c>
      <c r="G957" t="n">
        <v>13.9</v>
      </c>
      <c r="H957" t="n">
        <v>0</v>
      </c>
      <c r="I957" t="n">
        <v>0</v>
      </c>
      <c r="J957" t="n">
        <v>0</v>
      </c>
      <c r="K957" t="n">
        <v>0</v>
      </c>
      <c r="L957" t="n">
        <v>0</v>
      </c>
      <c r="M957" t="n">
        <v>0</v>
      </c>
      <c r="N957" t="n">
        <v>0</v>
      </c>
      <c r="O957" t="n">
        <v>0</v>
      </c>
      <c r="P957" t="n">
        <v>0</v>
      </c>
      <c r="Q957" t="n">
        <v>0</v>
      </c>
      <c r="R957" s="2" t="inlineStr"/>
    </row>
    <row r="958" ht="15" customHeight="1">
      <c r="A958" t="inlineStr">
        <is>
          <t>A 52045-2025</t>
        </is>
      </c>
      <c r="B958" s="1" t="n">
        <v>45952.61650462963</v>
      </c>
      <c r="C958" s="1" t="n">
        <v>46033</v>
      </c>
      <c r="D958" t="inlineStr">
        <is>
          <t>VÄRMLANDS LÄN</t>
        </is>
      </c>
      <c r="E958" t="inlineStr">
        <is>
          <t>TORSBY</t>
        </is>
      </c>
      <c r="G958" t="n">
        <v>3.4</v>
      </c>
      <c r="H958" t="n">
        <v>0</v>
      </c>
      <c r="I958" t="n">
        <v>0</v>
      </c>
      <c r="J958" t="n">
        <v>0</v>
      </c>
      <c r="K958" t="n">
        <v>0</v>
      </c>
      <c r="L958" t="n">
        <v>0</v>
      </c>
      <c r="M958" t="n">
        <v>0</v>
      </c>
      <c r="N958" t="n">
        <v>0</v>
      </c>
      <c r="O958" t="n">
        <v>0</v>
      </c>
      <c r="P958" t="n">
        <v>0</v>
      </c>
      <c r="Q958" t="n">
        <v>0</v>
      </c>
      <c r="R958" s="2" t="inlineStr"/>
    </row>
    <row r="959" ht="15" customHeight="1">
      <c r="A959" t="inlineStr">
        <is>
          <t>A 60710-2024</t>
        </is>
      </c>
      <c r="B959" s="1" t="n">
        <v>45643</v>
      </c>
      <c r="C959" s="1" t="n">
        <v>46033</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46033</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20120-2023</t>
        </is>
      </c>
      <c r="B961" s="1" t="n">
        <v>45055</v>
      </c>
      <c r="C961" s="1" t="n">
        <v>46033</v>
      </c>
      <c r="D961" t="inlineStr">
        <is>
          <t>VÄRMLANDS LÄN</t>
        </is>
      </c>
      <c r="E961" t="inlineStr">
        <is>
          <t>TORSBY</t>
        </is>
      </c>
      <c r="G961" t="n">
        <v>7.7</v>
      </c>
      <c r="H961" t="n">
        <v>0</v>
      </c>
      <c r="I961" t="n">
        <v>0</v>
      </c>
      <c r="J961" t="n">
        <v>0</v>
      </c>
      <c r="K961" t="n">
        <v>0</v>
      </c>
      <c r="L961" t="n">
        <v>0</v>
      </c>
      <c r="M961" t="n">
        <v>0</v>
      </c>
      <c r="N961" t="n">
        <v>0</v>
      </c>
      <c r="O961" t="n">
        <v>0</v>
      </c>
      <c r="P961" t="n">
        <v>0</v>
      </c>
      <c r="Q961" t="n">
        <v>0</v>
      </c>
      <c r="R961" s="2" t="inlineStr"/>
    </row>
    <row r="962" ht="15" customHeight="1">
      <c r="A962" t="inlineStr">
        <is>
          <t>A 30607-2025</t>
        </is>
      </c>
      <c r="B962" s="1" t="n">
        <v>45831.4584375</v>
      </c>
      <c r="C962" s="1" t="n">
        <v>46033</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46326-2025</t>
        </is>
      </c>
      <c r="B963" s="1" t="n">
        <v>45925.45237268518</v>
      </c>
      <c r="C963" s="1" t="n">
        <v>46033</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60485-2025</t>
        </is>
      </c>
      <c r="B964" s="1" t="n">
        <v>45995.59924768518</v>
      </c>
      <c r="C964" s="1" t="n">
        <v>46033</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30717-2025</t>
        </is>
      </c>
      <c r="B965" s="1" t="n">
        <v>45831.56103009259</v>
      </c>
      <c r="C965" s="1" t="n">
        <v>46033</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46243-2025</t>
        </is>
      </c>
      <c r="B966" s="1" t="n">
        <v>45925.32122685185</v>
      </c>
      <c r="C966" s="1" t="n">
        <v>46033</v>
      </c>
      <c r="D966" t="inlineStr">
        <is>
          <t>VÄRMLANDS LÄN</t>
        </is>
      </c>
      <c r="E966" t="inlineStr">
        <is>
          <t>TORSBY</t>
        </is>
      </c>
      <c r="F966" t="inlineStr">
        <is>
          <t>Bergvik skog väst AB</t>
        </is>
      </c>
      <c r="G966" t="n">
        <v>4.8</v>
      </c>
      <c r="H966" t="n">
        <v>0</v>
      </c>
      <c r="I966" t="n">
        <v>0</v>
      </c>
      <c r="J966" t="n">
        <v>0</v>
      </c>
      <c r="K966" t="n">
        <v>0</v>
      </c>
      <c r="L966" t="n">
        <v>0</v>
      </c>
      <c r="M966" t="n">
        <v>0</v>
      </c>
      <c r="N966" t="n">
        <v>0</v>
      </c>
      <c r="O966" t="n">
        <v>0</v>
      </c>
      <c r="P966" t="n">
        <v>0</v>
      </c>
      <c r="Q966" t="n">
        <v>0</v>
      </c>
      <c r="R966" s="2" t="inlineStr"/>
    </row>
    <row r="967" ht="15" customHeight="1">
      <c r="A967" t="inlineStr">
        <is>
          <t>A 46102-2025</t>
        </is>
      </c>
      <c r="B967" s="1" t="n">
        <v>45924</v>
      </c>
      <c r="C967" s="1" t="n">
        <v>46033</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46110-2025</t>
        </is>
      </c>
      <c r="B968" s="1" t="n">
        <v>45924</v>
      </c>
      <c r="C968" s="1" t="n">
        <v>46033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46033</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15175-2024</t>
        </is>
      </c>
      <c r="B970" s="1" t="n">
        <v>45400</v>
      </c>
      <c r="C970" s="1" t="n">
        <v>46033</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38252-2023</t>
        </is>
      </c>
      <c r="B971" s="1" t="n">
        <v>45161</v>
      </c>
      <c r="C971" s="1" t="n">
        <v>46033</v>
      </c>
      <c r="D971" t="inlineStr">
        <is>
          <t>VÄRMLANDS LÄN</t>
        </is>
      </c>
      <c r="E971" t="inlineStr">
        <is>
          <t>TORSBY</t>
        </is>
      </c>
      <c r="G971" t="n">
        <v>9.6</v>
      </c>
      <c r="H971" t="n">
        <v>0</v>
      </c>
      <c r="I971" t="n">
        <v>0</v>
      </c>
      <c r="J971" t="n">
        <v>0</v>
      </c>
      <c r="K971" t="n">
        <v>0</v>
      </c>
      <c r="L971" t="n">
        <v>0</v>
      </c>
      <c r="M971" t="n">
        <v>0</v>
      </c>
      <c r="N971" t="n">
        <v>0</v>
      </c>
      <c r="O971" t="n">
        <v>0</v>
      </c>
      <c r="P971" t="n">
        <v>0</v>
      </c>
      <c r="Q971" t="n">
        <v>0</v>
      </c>
      <c r="R971" s="2" t="inlineStr"/>
    </row>
    <row r="972" ht="15" customHeight="1">
      <c r="A972" t="inlineStr">
        <is>
          <t>A 55092-2022</t>
        </is>
      </c>
      <c r="B972" s="1" t="n">
        <v>44886.61493055556</v>
      </c>
      <c r="C972" s="1" t="n">
        <v>46033</v>
      </c>
      <c r="D972" t="inlineStr">
        <is>
          <t>VÄRMLANDS LÄN</t>
        </is>
      </c>
      <c r="E972" t="inlineStr">
        <is>
          <t>TORSBY</t>
        </is>
      </c>
      <c r="G972" t="n">
        <v>2</v>
      </c>
      <c r="H972" t="n">
        <v>0</v>
      </c>
      <c r="I972" t="n">
        <v>0</v>
      </c>
      <c r="J972" t="n">
        <v>0</v>
      </c>
      <c r="K972" t="n">
        <v>0</v>
      </c>
      <c r="L972" t="n">
        <v>0</v>
      </c>
      <c r="M972" t="n">
        <v>0</v>
      </c>
      <c r="N972" t="n">
        <v>0</v>
      </c>
      <c r="O972" t="n">
        <v>0</v>
      </c>
      <c r="P972" t="n">
        <v>0</v>
      </c>
      <c r="Q972" t="n">
        <v>0</v>
      </c>
      <c r="R972" s="2" t="inlineStr"/>
    </row>
    <row r="973" ht="15" customHeight="1">
      <c r="A973" t="inlineStr">
        <is>
          <t>A 46921-2025</t>
        </is>
      </c>
      <c r="B973" s="1" t="n">
        <v>45929.43655092592</v>
      </c>
      <c r="C973" s="1" t="n">
        <v>46033</v>
      </c>
      <c r="D973" t="inlineStr">
        <is>
          <t>VÄRMLANDS LÄN</t>
        </is>
      </c>
      <c r="E973" t="inlineStr">
        <is>
          <t>TORSBY</t>
        </is>
      </c>
      <c r="G973" t="n">
        <v>7</v>
      </c>
      <c r="H973" t="n">
        <v>0</v>
      </c>
      <c r="I973" t="n">
        <v>0</v>
      </c>
      <c r="J973" t="n">
        <v>0</v>
      </c>
      <c r="K973" t="n">
        <v>0</v>
      </c>
      <c r="L973" t="n">
        <v>0</v>
      </c>
      <c r="M973" t="n">
        <v>0</v>
      </c>
      <c r="N973" t="n">
        <v>0</v>
      </c>
      <c r="O973" t="n">
        <v>0</v>
      </c>
      <c r="P973" t="n">
        <v>0</v>
      </c>
      <c r="Q973" t="n">
        <v>0</v>
      </c>
      <c r="R973" s="2" t="inlineStr"/>
    </row>
    <row r="974" ht="15" customHeight="1">
      <c r="A974" t="inlineStr">
        <is>
          <t>A 1527-2024</t>
        </is>
      </c>
      <c r="B974" s="1" t="n">
        <v>45306.45614583333</v>
      </c>
      <c r="C974" s="1" t="n">
        <v>46033</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30560-2025</t>
        </is>
      </c>
      <c r="B975" s="1" t="n">
        <v>45831.39497685185</v>
      </c>
      <c r="C975" s="1" t="n">
        <v>46033</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46865-2025</t>
        </is>
      </c>
      <c r="B976" s="1" t="n">
        <v>45929</v>
      </c>
      <c r="C976" s="1" t="n">
        <v>46033</v>
      </c>
      <c r="D976" t="inlineStr">
        <is>
          <t>VÄRMLANDS LÄN</t>
        </is>
      </c>
      <c r="E976" t="inlineStr">
        <is>
          <t>TORSBY</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52358-2025</t>
        </is>
      </c>
      <c r="B977" s="1" t="n">
        <v>45952</v>
      </c>
      <c r="C977" s="1" t="n">
        <v>46033</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30738-2025</t>
        </is>
      </c>
      <c r="B978" s="1" t="n">
        <v>45831.57583333334</v>
      </c>
      <c r="C978" s="1" t="n">
        <v>46033</v>
      </c>
      <c r="D978" t="inlineStr">
        <is>
          <t>VÄRMLANDS LÄN</t>
        </is>
      </c>
      <c r="E978" t="inlineStr">
        <is>
          <t>TORSBY</t>
        </is>
      </c>
      <c r="G978" t="n">
        <v>8.1</v>
      </c>
      <c r="H978" t="n">
        <v>0</v>
      </c>
      <c r="I978" t="n">
        <v>0</v>
      </c>
      <c r="J978" t="n">
        <v>0</v>
      </c>
      <c r="K978" t="n">
        <v>0</v>
      </c>
      <c r="L978" t="n">
        <v>0</v>
      </c>
      <c r="M978" t="n">
        <v>0</v>
      </c>
      <c r="N978" t="n">
        <v>0</v>
      </c>
      <c r="O978" t="n">
        <v>0</v>
      </c>
      <c r="P978" t="n">
        <v>0</v>
      </c>
      <c r="Q978" t="n">
        <v>0</v>
      </c>
      <c r="R978" s="2" t="inlineStr"/>
    </row>
    <row r="979" ht="15" customHeight="1">
      <c r="A979" t="inlineStr">
        <is>
          <t>A 46695-2025</t>
        </is>
      </c>
      <c r="B979" s="1" t="n">
        <v>45926</v>
      </c>
      <c r="C979" s="1" t="n">
        <v>46033</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46658-2025</t>
        </is>
      </c>
      <c r="B980" s="1" t="n">
        <v>45926.49914351852</v>
      </c>
      <c r="C980" s="1" t="n">
        <v>46033</v>
      </c>
      <c r="D980" t="inlineStr">
        <is>
          <t>VÄRMLANDS LÄN</t>
        </is>
      </c>
      <c r="E980" t="inlineStr">
        <is>
          <t>TORSBY</t>
        </is>
      </c>
      <c r="F980" t="inlineStr">
        <is>
          <t>Bergvik skog väst AB</t>
        </is>
      </c>
      <c r="G980" t="n">
        <v>5.4</v>
      </c>
      <c r="H980" t="n">
        <v>0</v>
      </c>
      <c r="I980" t="n">
        <v>0</v>
      </c>
      <c r="J980" t="n">
        <v>0</v>
      </c>
      <c r="K980" t="n">
        <v>0</v>
      </c>
      <c r="L980" t="n">
        <v>0</v>
      </c>
      <c r="M980" t="n">
        <v>0</v>
      </c>
      <c r="N980" t="n">
        <v>0</v>
      </c>
      <c r="O980" t="n">
        <v>0</v>
      </c>
      <c r="P980" t="n">
        <v>0</v>
      </c>
      <c r="Q980" t="n">
        <v>0</v>
      </c>
      <c r="R980" s="2" t="inlineStr"/>
    </row>
    <row r="981" ht="15" customHeight="1">
      <c r="A981" t="inlineStr">
        <is>
          <t>A 46578-2025</t>
        </is>
      </c>
      <c r="B981" s="1" t="n">
        <v>45926.37353009259</v>
      </c>
      <c r="C981" s="1" t="n">
        <v>46033</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35762-2024</t>
        </is>
      </c>
      <c r="B982" s="1" t="n">
        <v>45532.57373842593</v>
      </c>
      <c r="C982" s="1" t="n">
        <v>46033</v>
      </c>
      <c r="D982" t="inlineStr">
        <is>
          <t>VÄRMLANDS LÄN</t>
        </is>
      </c>
      <c r="E982" t="inlineStr">
        <is>
          <t>TORSBY</t>
        </is>
      </c>
      <c r="G982" t="n">
        <v>11.8</v>
      </c>
      <c r="H982" t="n">
        <v>0</v>
      </c>
      <c r="I982" t="n">
        <v>0</v>
      </c>
      <c r="J982" t="n">
        <v>0</v>
      </c>
      <c r="K982" t="n">
        <v>0</v>
      </c>
      <c r="L982" t="n">
        <v>0</v>
      </c>
      <c r="M982" t="n">
        <v>0</v>
      </c>
      <c r="N982" t="n">
        <v>0</v>
      </c>
      <c r="O982" t="n">
        <v>0</v>
      </c>
      <c r="P982" t="n">
        <v>0</v>
      </c>
      <c r="Q982" t="n">
        <v>0</v>
      </c>
      <c r="R982" s="2" t="inlineStr"/>
    </row>
    <row r="983" ht="15" customHeight="1">
      <c r="A983" t="inlineStr">
        <is>
          <t>A 60461-2025</t>
        </is>
      </c>
      <c r="B983" s="1" t="n">
        <v>45995.54976851852</v>
      </c>
      <c r="C983" s="1" t="n">
        <v>46033</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47047-2025</t>
        </is>
      </c>
      <c r="B984" s="1" t="n">
        <v>45929</v>
      </c>
      <c r="C984" s="1" t="n">
        <v>46033</v>
      </c>
      <c r="D984" t="inlineStr">
        <is>
          <t>VÄRMLANDS LÄN</t>
        </is>
      </c>
      <c r="E984" t="inlineStr">
        <is>
          <t>TORSBY</t>
        </is>
      </c>
      <c r="F984" t="inlineStr">
        <is>
          <t>Kyrkan</t>
        </is>
      </c>
      <c r="G984" t="n">
        <v>6.6</v>
      </c>
      <c r="H984" t="n">
        <v>0</v>
      </c>
      <c r="I984" t="n">
        <v>0</v>
      </c>
      <c r="J984" t="n">
        <v>0</v>
      </c>
      <c r="K984" t="n">
        <v>0</v>
      </c>
      <c r="L984" t="n">
        <v>0</v>
      </c>
      <c r="M984" t="n">
        <v>0</v>
      </c>
      <c r="N984" t="n">
        <v>0</v>
      </c>
      <c r="O984" t="n">
        <v>0</v>
      </c>
      <c r="P984" t="n">
        <v>0</v>
      </c>
      <c r="Q984" t="n">
        <v>0</v>
      </c>
      <c r="R984" s="2" t="inlineStr"/>
    </row>
    <row r="985" ht="15" customHeight="1">
      <c r="A985" t="inlineStr">
        <is>
          <t>A 46702-2025</t>
        </is>
      </c>
      <c r="B985" s="1" t="n">
        <v>45926</v>
      </c>
      <c r="C985" s="1" t="n">
        <v>46033</v>
      </c>
      <c r="D985" t="inlineStr">
        <is>
          <t>VÄRMLANDS LÄN</t>
        </is>
      </c>
      <c r="E985" t="inlineStr">
        <is>
          <t>TORSBY</t>
        </is>
      </c>
      <c r="G985" t="n">
        <v>0.9</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46033</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31101-2025</t>
        </is>
      </c>
      <c r="B987" s="1" t="n">
        <v>45832</v>
      </c>
      <c r="C987" s="1" t="n">
        <v>46033</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46550-2025</t>
        </is>
      </c>
      <c r="B988" s="1" t="n">
        <v>45926</v>
      </c>
      <c r="C988" s="1" t="n">
        <v>46033</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24896-2023</t>
        </is>
      </c>
      <c r="B989" s="1" t="n">
        <v>45085</v>
      </c>
      <c r="C989" s="1" t="n">
        <v>46033</v>
      </c>
      <c r="D989" t="inlineStr">
        <is>
          <t>VÄRMLANDS LÄN</t>
        </is>
      </c>
      <c r="E989" t="inlineStr">
        <is>
          <t>TORSBY</t>
        </is>
      </c>
      <c r="F989" t="inlineStr">
        <is>
          <t>Bergvik skog väst AB</t>
        </is>
      </c>
      <c r="G989" t="n">
        <v>4.7</v>
      </c>
      <c r="H989" t="n">
        <v>0</v>
      </c>
      <c r="I989" t="n">
        <v>0</v>
      </c>
      <c r="J989" t="n">
        <v>0</v>
      </c>
      <c r="K989" t="n">
        <v>0</v>
      </c>
      <c r="L989" t="n">
        <v>0</v>
      </c>
      <c r="M989" t="n">
        <v>0</v>
      </c>
      <c r="N989" t="n">
        <v>0</v>
      </c>
      <c r="O989" t="n">
        <v>0</v>
      </c>
      <c r="P989" t="n">
        <v>0</v>
      </c>
      <c r="Q989" t="n">
        <v>0</v>
      </c>
      <c r="R989" s="2" t="inlineStr"/>
    </row>
    <row r="990" ht="15" customHeight="1">
      <c r="A990" t="inlineStr">
        <is>
          <t>A 31547-2025</t>
        </is>
      </c>
      <c r="B990" s="1" t="n">
        <v>45833.63733796297</v>
      </c>
      <c r="C990" s="1" t="n">
        <v>46033</v>
      </c>
      <c r="D990" t="inlineStr">
        <is>
          <t>VÄRMLANDS LÄN</t>
        </is>
      </c>
      <c r="E990" t="inlineStr">
        <is>
          <t>TORSBY</t>
        </is>
      </c>
      <c r="F990" t="inlineStr">
        <is>
          <t>Bergvik skog väst AB</t>
        </is>
      </c>
      <c r="G990" t="n">
        <v>7.9</v>
      </c>
      <c r="H990" t="n">
        <v>0</v>
      </c>
      <c r="I990" t="n">
        <v>0</v>
      </c>
      <c r="J990" t="n">
        <v>0</v>
      </c>
      <c r="K990" t="n">
        <v>0</v>
      </c>
      <c r="L990" t="n">
        <v>0</v>
      </c>
      <c r="M990" t="n">
        <v>0</v>
      </c>
      <c r="N990" t="n">
        <v>0</v>
      </c>
      <c r="O990" t="n">
        <v>0</v>
      </c>
      <c r="P990" t="n">
        <v>0</v>
      </c>
      <c r="Q990" t="n">
        <v>0</v>
      </c>
      <c r="R990" s="2" t="inlineStr"/>
    </row>
    <row r="991" ht="15" customHeight="1">
      <c r="A991" t="inlineStr">
        <is>
          <t>A 31335-2025</t>
        </is>
      </c>
      <c r="B991" s="1" t="n">
        <v>45833.42608796297</v>
      </c>
      <c r="C991" s="1" t="n">
        <v>46033</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30974-2025</t>
        </is>
      </c>
      <c r="B992" s="1" t="n">
        <v>45832.46305555556</v>
      </c>
      <c r="C992" s="1" t="n">
        <v>46033</v>
      </c>
      <c r="D992" t="inlineStr">
        <is>
          <t>VÄRMLANDS LÄN</t>
        </is>
      </c>
      <c r="E992" t="inlineStr">
        <is>
          <t>TORSBY</t>
        </is>
      </c>
      <c r="G992" t="n">
        <v>29.2</v>
      </c>
      <c r="H992" t="n">
        <v>0</v>
      </c>
      <c r="I992" t="n">
        <v>0</v>
      </c>
      <c r="J992" t="n">
        <v>0</v>
      </c>
      <c r="K992" t="n">
        <v>0</v>
      </c>
      <c r="L992" t="n">
        <v>0</v>
      </c>
      <c r="M992" t="n">
        <v>0</v>
      </c>
      <c r="N992" t="n">
        <v>0</v>
      </c>
      <c r="O992" t="n">
        <v>0</v>
      </c>
      <c r="P992" t="n">
        <v>0</v>
      </c>
      <c r="Q992" t="n">
        <v>0</v>
      </c>
      <c r="R992" s="2" t="inlineStr"/>
    </row>
    <row r="993" ht="15" customHeight="1">
      <c r="A993" t="inlineStr">
        <is>
          <t>A 60486-2025</t>
        </is>
      </c>
      <c r="B993" s="1" t="n">
        <v>45995.60109953704</v>
      </c>
      <c r="C993" s="1" t="n">
        <v>46033</v>
      </c>
      <c r="D993" t="inlineStr">
        <is>
          <t>VÄRMLANDS LÄN</t>
        </is>
      </c>
      <c r="E993" t="inlineStr">
        <is>
          <t>TORSBY</t>
        </is>
      </c>
      <c r="G993" t="n">
        <v>1.2</v>
      </c>
      <c r="H993" t="n">
        <v>0</v>
      </c>
      <c r="I993" t="n">
        <v>0</v>
      </c>
      <c r="J993" t="n">
        <v>0</v>
      </c>
      <c r="K993" t="n">
        <v>0</v>
      </c>
      <c r="L993" t="n">
        <v>0</v>
      </c>
      <c r="M993" t="n">
        <v>0</v>
      </c>
      <c r="N993" t="n">
        <v>0</v>
      </c>
      <c r="O993" t="n">
        <v>0</v>
      </c>
      <c r="P993" t="n">
        <v>0</v>
      </c>
      <c r="Q993" t="n">
        <v>0</v>
      </c>
      <c r="R993" s="2" t="inlineStr"/>
    </row>
    <row r="994" ht="15" customHeight="1">
      <c r="A994" t="inlineStr">
        <is>
          <t>A 17687-2024</t>
        </is>
      </c>
      <c r="B994" s="1" t="n">
        <v>45418</v>
      </c>
      <c r="C994" s="1" t="n">
        <v>46033</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47049-2025</t>
        </is>
      </c>
      <c r="B995" s="1" t="n">
        <v>45929.6130324074</v>
      </c>
      <c r="C995" s="1" t="n">
        <v>46033</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47545-2025</t>
        </is>
      </c>
      <c r="B996" s="1" t="n">
        <v>45931</v>
      </c>
      <c r="C996" s="1" t="n">
        <v>46033</v>
      </c>
      <c r="D996" t="inlineStr">
        <is>
          <t>VÄRMLANDS LÄN</t>
        </is>
      </c>
      <c r="E996" t="inlineStr">
        <is>
          <t>TORSBY</t>
        </is>
      </c>
      <c r="F996" t="inlineStr">
        <is>
          <t>Bergvik skog väst AB</t>
        </is>
      </c>
      <c r="G996" t="n">
        <v>6.8</v>
      </c>
      <c r="H996" t="n">
        <v>0</v>
      </c>
      <c r="I996" t="n">
        <v>0</v>
      </c>
      <c r="J996" t="n">
        <v>0</v>
      </c>
      <c r="K996" t="n">
        <v>0</v>
      </c>
      <c r="L996" t="n">
        <v>0</v>
      </c>
      <c r="M996" t="n">
        <v>0</v>
      </c>
      <c r="N996" t="n">
        <v>0</v>
      </c>
      <c r="O996" t="n">
        <v>0</v>
      </c>
      <c r="P996" t="n">
        <v>0</v>
      </c>
      <c r="Q996" t="n">
        <v>0</v>
      </c>
      <c r="R996" s="2" t="inlineStr"/>
    </row>
    <row r="997" ht="15" customHeight="1">
      <c r="A997" t="inlineStr">
        <is>
          <t>A 47624-2025</t>
        </is>
      </c>
      <c r="B997" s="1" t="n">
        <v>45931.48381944445</v>
      </c>
      <c r="C997" s="1" t="n">
        <v>46033</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16210-2025</t>
        </is>
      </c>
      <c r="B998" s="1" t="n">
        <v>45750</v>
      </c>
      <c r="C998" s="1" t="n">
        <v>46033</v>
      </c>
      <c r="D998" t="inlineStr">
        <is>
          <t>VÄRMLANDS LÄN</t>
        </is>
      </c>
      <c r="E998" t="inlineStr">
        <is>
          <t>TORSBY</t>
        </is>
      </c>
      <c r="F998" t="inlineStr">
        <is>
          <t>Bergvik skog väst AB</t>
        </is>
      </c>
      <c r="G998" t="n">
        <v>10.7</v>
      </c>
      <c r="H998" t="n">
        <v>0</v>
      </c>
      <c r="I998" t="n">
        <v>0</v>
      </c>
      <c r="J998" t="n">
        <v>0</v>
      </c>
      <c r="K998" t="n">
        <v>0</v>
      </c>
      <c r="L998" t="n">
        <v>0</v>
      </c>
      <c r="M998" t="n">
        <v>0</v>
      </c>
      <c r="N998" t="n">
        <v>0</v>
      </c>
      <c r="O998" t="n">
        <v>0</v>
      </c>
      <c r="P998" t="n">
        <v>0</v>
      </c>
      <c r="Q998" t="n">
        <v>0</v>
      </c>
      <c r="R998" s="2" t="inlineStr"/>
    </row>
    <row r="999" ht="15" customHeight="1">
      <c r="A999" t="inlineStr">
        <is>
          <t>A 47621-2025</t>
        </is>
      </c>
      <c r="B999" s="1" t="n">
        <v>45931.48322916667</v>
      </c>
      <c r="C999" s="1" t="n">
        <v>46033</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3666-2023</t>
        </is>
      </c>
      <c r="B1000" s="1" t="n">
        <v>44950</v>
      </c>
      <c r="C1000" s="1" t="n">
        <v>46033</v>
      </c>
      <c r="D1000" t="inlineStr">
        <is>
          <t>VÄRMLANDS LÄN</t>
        </is>
      </c>
      <c r="E1000" t="inlineStr">
        <is>
          <t>TORSBY</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5289-2022</t>
        </is>
      </c>
      <c r="B1001" s="1" t="n">
        <v>44594.61883101852</v>
      </c>
      <c r="C1001" s="1" t="n">
        <v>46033</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7127-2023</t>
        </is>
      </c>
      <c r="B1002" s="1" t="n">
        <v>44970.41383101852</v>
      </c>
      <c r="C1002" s="1" t="n">
        <v>46033</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31416-2025</t>
        </is>
      </c>
      <c r="B1003" s="1" t="n">
        <v>45833.48278935185</v>
      </c>
      <c r="C1003" s="1" t="n">
        <v>46033</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47366-2025</t>
        </is>
      </c>
      <c r="B1004" s="1" t="n">
        <v>45930</v>
      </c>
      <c r="C1004" s="1" t="n">
        <v>46033</v>
      </c>
      <c r="D1004" t="inlineStr">
        <is>
          <t>VÄRMLANDS LÄN</t>
        </is>
      </c>
      <c r="E1004" t="inlineStr">
        <is>
          <t>TORSBY</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48629-2024</t>
        </is>
      </c>
      <c r="B1005" s="1" t="n">
        <v>45593.46605324074</v>
      </c>
      <c r="C1005" s="1" t="n">
        <v>46033</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53492-2022</t>
        </is>
      </c>
      <c r="B1006" s="1" t="n">
        <v>44879.56734953704</v>
      </c>
      <c r="C1006" s="1" t="n">
        <v>46033</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52762-2025</t>
        </is>
      </c>
      <c r="B1007" s="1" t="n">
        <v>45957.39813657408</v>
      </c>
      <c r="C1007" s="1" t="n">
        <v>46033</v>
      </c>
      <c r="D1007" t="inlineStr">
        <is>
          <t>VÄRMLANDS LÄN</t>
        </is>
      </c>
      <c r="E1007" t="inlineStr">
        <is>
          <t>TORSBY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25629-2024</t>
        </is>
      </c>
      <c r="B1008" s="1" t="n">
        <v>45463</v>
      </c>
      <c r="C1008" s="1" t="n">
        <v>46033</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32298-2025</t>
        </is>
      </c>
      <c r="B1009" s="1" t="n">
        <v>45835.7144675926</v>
      </c>
      <c r="C1009" s="1" t="n">
        <v>46033</v>
      </c>
      <c r="D1009" t="inlineStr">
        <is>
          <t>VÄRMLANDS LÄN</t>
        </is>
      </c>
      <c r="E1009" t="inlineStr">
        <is>
          <t>TORSBY</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31850-2025</t>
        </is>
      </c>
      <c r="B1010" s="1" t="n">
        <v>45834</v>
      </c>
      <c r="C1010" s="1" t="n">
        <v>46033</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3864-2025</t>
        </is>
      </c>
      <c r="B1011" s="1" t="n">
        <v>45684</v>
      </c>
      <c r="C1011" s="1" t="n">
        <v>46033</v>
      </c>
      <c r="D1011" t="inlineStr">
        <is>
          <t>VÄRMLANDS LÄN</t>
        </is>
      </c>
      <c r="E1011" t="inlineStr">
        <is>
          <t>TORSBY</t>
        </is>
      </c>
      <c r="F1011" t="inlineStr">
        <is>
          <t>Bergvik skog väst AB</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47494-2025</t>
        </is>
      </c>
      <c r="B1012" s="1" t="n">
        <v>45930.78428240741</v>
      </c>
      <c r="C1012" s="1" t="n">
        <v>46033</v>
      </c>
      <c r="D1012" t="inlineStr">
        <is>
          <t>VÄRMLANDS LÄN</t>
        </is>
      </c>
      <c r="E1012" t="inlineStr">
        <is>
          <t>TORSBY</t>
        </is>
      </c>
      <c r="F1012" t="inlineStr">
        <is>
          <t>Bergvik skog väst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47495-2025</t>
        </is>
      </c>
      <c r="B1013" s="1" t="n">
        <v>45930.79185185185</v>
      </c>
      <c r="C1013" s="1" t="n">
        <v>46033</v>
      </c>
      <c r="D1013" t="inlineStr">
        <is>
          <t>VÄRMLANDS LÄN</t>
        </is>
      </c>
      <c r="E1013" t="inlineStr">
        <is>
          <t>TORSBY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52493-2025</t>
        </is>
      </c>
      <c r="B1014" s="1" t="n">
        <v>45954.48518518519</v>
      </c>
      <c r="C1014" s="1" t="n">
        <v>46033</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32084-2025</t>
        </is>
      </c>
      <c r="B1015" s="1" t="n">
        <v>45835.45379629629</v>
      </c>
      <c r="C1015" s="1" t="n">
        <v>46033</v>
      </c>
      <c r="D1015" t="inlineStr">
        <is>
          <t>VÄRMLANDS LÄN</t>
        </is>
      </c>
      <c r="E1015" t="inlineStr">
        <is>
          <t>TORSBY</t>
        </is>
      </c>
      <c r="F1015" t="inlineStr">
        <is>
          <t>Bergvik skog väst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52796-2025</t>
        </is>
      </c>
      <c r="B1016" s="1" t="n">
        <v>45957.43682870371</v>
      </c>
      <c r="C1016" s="1" t="n">
        <v>46033</v>
      </c>
      <c r="D1016" t="inlineStr">
        <is>
          <t>VÄRMLANDS LÄN</t>
        </is>
      </c>
      <c r="E1016" t="inlineStr">
        <is>
          <t>TORSBY</t>
        </is>
      </c>
      <c r="G1016" t="n">
        <v>17.7</v>
      </c>
      <c r="H1016" t="n">
        <v>0</v>
      </c>
      <c r="I1016" t="n">
        <v>0</v>
      </c>
      <c r="J1016" t="n">
        <v>0</v>
      </c>
      <c r="K1016" t="n">
        <v>0</v>
      </c>
      <c r="L1016" t="n">
        <v>0</v>
      </c>
      <c r="M1016" t="n">
        <v>0</v>
      </c>
      <c r="N1016" t="n">
        <v>0</v>
      </c>
      <c r="O1016" t="n">
        <v>0</v>
      </c>
      <c r="P1016" t="n">
        <v>0</v>
      </c>
      <c r="Q1016" t="n">
        <v>0</v>
      </c>
      <c r="R1016" s="2" t="inlineStr"/>
    </row>
    <row r="1017" ht="15" customHeight="1">
      <c r="A1017" t="inlineStr">
        <is>
          <t>A 67172-2021</t>
        </is>
      </c>
      <c r="B1017" s="1" t="n">
        <v>44523.4271875</v>
      </c>
      <c r="C1017" s="1" t="n">
        <v>46033</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52822-2025</t>
        </is>
      </c>
      <c r="B1018" s="1" t="n">
        <v>45957.45693287037</v>
      </c>
      <c r="C1018" s="1" t="n">
        <v>46033</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53099-2024</t>
        </is>
      </c>
      <c r="B1019" s="1" t="n">
        <v>45611.54206018519</v>
      </c>
      <c r="C1019" s="1" t="n">
        <v>46033</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46033</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3269-2025</t>
        </is>
      </c>
      <c r="B1021" s="1" t="n">
        <v>45679.58148148148</v>
      </c>
      <c r="C1021" s="1" t="n">
        <v>46033</v>
      </c>
      <c r="D1021" t="inlineStr">
        <is>
          <t>VÄRMLANDS LÄN</t>
        </is>
      </c>
      <c r="E1021" t="inlineStr">
        <is>
          <t>TORSBY</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31906-2025</t>
        </is>
      </c>
      <c r="B1022" s="1" t="n">
        <v>45834.69046296296</v>
      </c>
      <c r="C1022" s="1" t="n">
        <v>46033</v>
      </c>
      <c r="D1022" t="inlineStr">
        <is>
          <t>VÄRMLANDS LÄN</t>
        </is>
      </c>
      <c r="E1022" t="inlineStr">
        <is>
          <t>TORSBY</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52918-2025</t>
        </is>
      </c>
      <c r="B1023" s="1" t="n">
        <v>45957.6122337963</v>
      </c>
      <c r="C1023" s="1" t="n">
        <v>46033</v>
      </c>
      <c r="D1023" t="inlineStr">
        <is>
          <t>VÄRMLANDS LÄN</t>
        </is>
      </c>
      <c r="E1023" t="inlineStr">
        <is>
          <t>TORSBY</t>
        </is>
      </c>
      <c r="F1023" t="inlineStr">
        <is>
          <t>Bergvik skog väst AB</t>
        </is>
      </c>
      <c r="G1023" t="n">
        <v>13.1</v>
      </c>
      <c r="H1023" t="n">
        <v>0</v>
      </c>
      <c r="I1023" t="n">
        <v>0</v>
      </c>
      <c r="J1023" t="n">
        <v>0</v>
      </c>
      <c r="K1023" t="n">
        <v>0</v>
      </c>
      <c r="L1023" t="n">
        <v>0</v>
      </c>
      <c r="M1023" t="n">
        <v>0</v>
      </c>
      <c r="N1023" t="n">
        <v>0</v>
      </c>
      <c r="O1023" t="n">
        <v>0</v>
      </c>
      <c r="P1023" t="n">
        <v>0</v>
      </c>
      <c r="Q1023" t="n">
        <v>0</v>
      </c>
      <c r="R1023" s="2" t="inlineStr"/>
    </row>
    <row r="1024" ht="15" customHeight="1">
      <c r="A1024" t="inlineStr">
        <is>
          <t>A 32054-2025</t>
        </is>
      </c>
      <c r="B1024" s="1" t="n">
        <v>45835</v>
      </c>
      <c r="C1024" s="1" t="n">
        <v>46033</v>
      </c>
      <c r="D1024" t="inlineStr">
        <is>
          <t>VÄRMLANDS LÄN</t>
        </is>
      </c>
      <c r="E1024" t="inlineStr">
        <is>
          <t>TORSBY</t>
        </is>
      </c>
      <c r="G1024" t="n">
        <v>13.1</v>
      </c>
      <c r="H1024" t="n">
        <v>0</v>
      </c>
      <c r="I1024" t="n">
        <v>0</v>
      </c>
      <c r="J1024" t="n">
        <v>0</v>
      </c>
      <c r="K1024" t="n">
        <v>0</v>
      </c>
      <c r="L1024" t="n">
        <v>0</v>
      </c>
      <c r="M1024" t="n">
        <v>0</v>
      </c>
      <c r="N1024" t="n">
        <v>0</v>
      </c>
      <c r="O1024" t="n">
        <v>0</v>
      </c>
      <c r="P1024" t="n">
        <v>0</v>
      </c>
      <c r="Q1024" t="n">
        <v>0</v>
      </c>
      <c r="R1024" s="2" t="inlineStr"/>
    </row>
    <row r="1025" ht="15" customHeight="1">
      <c r="A1025" t="inlineStr">
        <is>
          <t>A 6968-2025</t>
        </is>
      </c>
      <c r="B1025" s="1" t="n">
        <v>45701.53253472222</v>
      </c>
      <c r="C1025" s="1" t="n">
        <v>46033</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48020-2025</t>
        </is>
      </c>
      <c r="B1026" s="1" t="n">
        <v>45932</v>
      </c>
      <c r="C1026" s="1" t="n">
        <v>46033</v>
      </c>
      <c r="D1026" t="inlineStr">
        <is>
          <t>VÄRMLANDS LÄN</t>
        </is>
      </c>
      <c r="E1026" t="inlineStr">
        <is>
          <t>TORSBY</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16433-2023</t>
        </is>
      </c>
      <c r="B1027" s="1" t="n">
        <v>45022</v>
      </c>
      <c r="C1027" s="1" t="n">
        <v>46033</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31672-2025</t>
        </is>
      </c>
      <c r="B1028" s="1" t="n">
        <v>45834.36979166666</v>
      </c>
      <c r="C1028" s="1" t="n">
        <v>46033</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12458-2023</t>
        </is>
      </c>
      <c r="B1029" s="1" t="n">
        <v>44999</v>
      </c>
      <c r="C1029" s="1" t="n">
        <v>46033</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46033</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31902-2025</t>
        </is>
      </c>
      <c r="B1031" s="1" t="n">
        <v>45834.68592592593</v>
      </c>
      <c r="C1031" s="1" t="n">
        <v>46033</v>
      </c>
      <c r="D1031" t="inlineStr">
        <is>
          <t>VÄRMLANDS LÄN</t>
        </is>
      </c>
      <c r="E1031" t="inlineStr">
        <is>
          <t>TORSBY</t>
        </is>
      </c>
      <c r="G1031" t="n">
        <v>27.1</v>
      </c>
      <c r="H1031" t="n">
        <v>0</v>
      </c>
      <c r="I1031" t="n">
        <v>0</v>
      </c>
      <c r="J1031" t="n">
        <v>0</v>
      </c>
      <c r="K1031" t="n">
        <v>0</v>
      </c>
      <c r="L1031" t="n">
        <v>0</v>
      </c>
      <c r="M1031" t="n">
        <v>0</v>
      </c>
      <c r="N1031" t="n">
        <v>0</v>
      </c>
      <c r="O1031" t="n">
        <v>0</v>
      </c>
      <c r="P1031" t="n">
        <v>0</v>
      </c>
      <c r="Q1031" t="n">
        <v>0</v>
      </c>
      <c r="R1031" s="2" t="inlineStr"/>
    </row>
    <row r="1032" ht="15" customHeight="1">
      <c r="A1032" t="inlineStr">
        <is>
          <t>A 48202-2025</t>
        </is>
      </c>
      <c r="B1032" s="1" t="n">
        <v>45933.48121527778</v>
      </c>
      <c r="C1032" s="1" t="n">
        <v>46033</v>
      </c>
      <c r="D1032" t="inlineStr">
        <is>
          <t>VÄRMLANDS LÄN</t>
        </is>
      </c>
      <c r="E1032" t="inlineStr">
        <is>
          <t>TORSBY</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32134-2025</t>
        </is>
      </c>
      <c r="B1033" s="1" t="n">
        <v>45835.5102662037</v>
      </c>
      <c r="C1033" s="1" t="n">
        <v>46033</v>
      </c>
      <c r="D1033" t="inlineStr">
        <is>
          <t>VÄRMLANDS LÄN</t>
        </is>
      </c>
      <c r="E1033" t="inlineStr">
        <is>
          <t>TORSBY</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19791-2025</t>
        </is>
      </c>
      <c r="B1034" s="1" t="n">
        <v>45771.4452662037</v>
      </c>
      <c r="C1034" s="1" t="n">
        <v>46033</v>
      </c>
      <c r="D1034" t="inlineStr">
        <is>
          <t>VÄRMLANDS LÄN</t>
        </is>
      </c>
      <c r="E1034" t="inlineStr">
        <is>
          <t>TORSBY</t>
        </is>
      </c>
      <c r="F1034" t="inlineStr">
        <is>
          <t>Bergvik skog väst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52747-2025</t>
        </is>
      </c>
      <c r="B1035" s="1" t="n">
        <v>45957.38515046296</v>
      </c>
      <c r="C1035" s="1" t="n">
        <v>46033</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32191-2025</t>
        </is>
      </c>
      <c r="B1036" s="1" t="n">
        <v>45835.57099537037</v>
      </c>
      <c r="C1036" s="1" t="n">
        <v>46033</v>
      </c>
      <c r="D1036" t="inlineStr">
        <is>
          <t>VÄRMLANDS LÄN</t>
        </is>
      </c>
      <c r="E1036" t="inlineStr">
        <is>
          <t>TORSBY</t>
        </is>
      </c>
      <c r="F1036" t="inlineStr">
        <is>
          <t>Bergvik skog väst AB</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52843-2025</t>
        </is>
      </c>
      <c r="B1037" s="1" t="n">
        <v>45957</v>
      </c>
      <c r="C1037" s="1" t="n">
        <v>46033</v>
      </c>
      <c r="D1037" t="inlineStr">
        <is>
          <t>VÄRMLANDS LÄN</t>
        </is>
      </c>
      <c r="E1037" t="inlineStr">
        <is>
          <t>TORSBY</t>
        </is>
      </c>
      <c r="F1037" t="inlineStr">
        <is>
          <t>Bergvik skog väst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31630-2025</t>
        </is>
      </c>
      <c r="B1038" s="1" t="n">
        <v>45834.32670138889</v>
      </c>
      <c r="C1038" s="1" t="n">
        <v>46033</v>
      </c>
      <c r="D1038" t="inlineStr">
        <is>
          <t>VÄRMLANDS LÄN</t>
        </is>
      </c>
      <c r="E1038" t="inlineStr">
        <is>
          <t>TORSBY</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60593-2025</t>
        </is>
      </c>
      <c r="B1039" s="1" t="n">
        <v>45996.34353009259</v>
      </c>
      <c r="C1039" s="1" t="n">
        <v>46033</v>
      </c>
      <c r="D1039" t="inlineStr">
        <is>
          <t>VÄRMLANDS LÄN</t>
        </is>
      </c>
      <c r="E1039" t="inlineStr">
        <is>
          <t>TORSBY</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52564-2025</t>
        </is>
      </c>
      <c r="B1040" s="1" t="n">
        <v>45954</v>
      </c>
      <c r="C1040" s="1" t="n">
        <v>46033</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52587-2025</t>
        </is>
      </c>
      <c r="B1041" s="1" t="n">
        <v>45954.63325231482</v>
      </c>
      <c r="C1041" s="1" t="n">
        <v>46033</v>
      </c>
      <c r="D1041" t="inlineStr">
        <is>
          <t>VÄRMLANDS LÄN</t>
        </is>
      </c>
      <c r="E1041" t="inlineStr">
        <is>
          <t>TORSBY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52940-2024</t>
        </is>
      </c>
      <c r="B1042" s="1" t="n">
        <v>45610</v>
      </c>
      <c r="C1042" s="1" t="n">
        <v>46033</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41504-2024</t>
        </is>
      </c>
      <c r="B1043" s="1" t="n">
        <v>45560</v>
      </c>
      <c r="C1043" s="1" t="n">
        <v>46033</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41518-2024</t>
        </is>
      </c>
      <c r="B1044" s="1" t="n">
        <v>45560</v>
      </c>
      <c r="C1044" s="1" t="n">
        <v>46033</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47927-2025</t>
        </is>
      </c>
      <c r="B1045" s="1" t="n">
        <v>45932.54604166667</v>
      </c>
      <c r="C1045" s="1" t="n">
        <v>46033</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48214-2025</t>
        </is>
      </c>
      <c r="B1046" s="1" t="n">
        <v>45933.49465277778</v>
      </c>
      <c r="C1046" s="1" t="n">
        <v>46033</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32618-2025</t>
        </is>
      </c>
      <c r="B1047" s="1" t="n">
        <v>45838.6435300926</v>
      </c>
      <c r="C1047" s="1" t="n">
        <v>46033</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30267-2023</t>
        </is>
      </c>
      <c r="B1048" s="1" t="n">
        <v>45110.75915509259</v>
      </c>
      <c r="C1048" s="1" t="n">
        <v>46033</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30269-2023</t>
        </is>
      </c>
      <c r="B1049" s="1" t="n">
        <v>45110.76082175926</v>
      </c>
      <c r="C1049" s="1" t="n">
        <v>46033</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35724-2022</t>
        </is>
      </c>
      <c r="B1050" s="1" t="n">
        <v>44799</v>
      </c>
      <c r="C1050" s="1" t="n">
        <v>46033</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48180-2025</t>
        </is>
      </c>
      <c r="B1051" s="1" t="n">
        <v>45933.45245370371</v>
      </c>
      <c r="C1051" s="1" t="n">
        <v>46033</v>
      </c>
      <c r="D1051" t="inlineStr">
        <is>
          <t>VÄRMLANDS LÄN</t>
        </is>
      </c>
      <c r="E1051" t="inlineStr">
        <is>
          <t>TORSBY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74375-2021</t>
        </is>
      </c>
      <c r="B1052" s="1" t="n">
        <v>44559.71840277778</v>
      </c>
      <c r="C1052" s="1" t="n">
        <v>46033</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32995-2025</t>
        </is>
      </c>
      <c r="B1053" s="1" t="n">
        <v>45839</v>
      </c>
      <c r="C1053" s="1" t="n">
        <v>46033</v>
      </c>
      <c r="D1053" t="inlineStr">
        <is>
          <t>VÄRMLANDS LÄN</t>
        </is>
      </c>
      <c r="E1053" t="inlineStr">
        <is>
          <t>TORSBY</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32348-2025</t>
        </is>
      </c>
      <c r="B1054" s="1" t="n">
        <v>45837.47078703704</v>
      </c>
      <c r="C1054" s="1" t="n">
        <v>46033</v>
      </c>
      <c r="D1054" t="inlineStr">
        <is>
          <t>VÄRMLANDS LÄN</t>
        </is>
      </c>
      <c r="E1054" t="inlineStr">
        <is>
          <t>TORSBY</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52931-2025</t>
        </is>
      </c>
      <c r="B1055" s="1" t="n">
        <v>45957.62225694444</v>
      </c>
      <c r="C1055" s="1" t="n">
        <v>46033</v>
      </c>
      <c r="D1055" t="inlineStr">
        <is>
          <t>VÄRMLANDS LÄN</t>
        </is>
      </c>
      <c r="E1055" t="inlineStr">
        <is>
          <t>TORSBY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33782-2023</t>
        </is>
      </c>
      <c r="B1056" s="1" t="n">
        <v>45120</v>
      </c>
      <c r="C1056" s="1" t="n">
        <v>46033</v>
      </c>
      <c r="D1056" t="inlineStr">
        <is>
          <t>VÄRMLANDS LÄN</t>
        </is>
      </c>
      <c r="E1056" t="inlineStr">
        <is>
          <t>TORSBY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70785-2021</t>
        </is>
      </c>
      <c r="B1057" s="1" t="n">
        <v>44537</v>
      </c>
      <c r="C1057" s="1" t="n">
        <v>46033</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12574-2025</t>
        </is>
      </c>
      <c r="B1058" s="1" t="n">
        <v>45732</v>
      </c>
      <c r="C1058" s="1" t="n">
        <v>46033</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32331-2025</t>
        </is>
      </c>
      <c r="B1059" s="1" t="n">
        <v>45836.50674768518</v>
      </c>
      <c r="C1059" s="1" t="n">
        <v>46033</v>
      </c>
      <c r="D1059" t="inlineStr">
        <is>
          <t>VÄRMLANDS LÄN</t>
        </is>
      </c>
      <c r="E1059" t="inlineStr">
        <is>
          <t>TORSBY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32342-2025</t>
        </is>
      </c>
      <c r="B1060" s="1" t="n">
        <v>45837.34560185186</v>
      </c>
      <c r="C1060" s="1" t="n">
        <v>46033</v>
      </c>
      <c r="D1060" t="inlineStr">
        <is>
          <t>VÄRMLANDS LÄN</t>
        </is>
      </c>
      <c r="E1060" t="inlineStr">
        <is>
          <t>TORSBY</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6438-2022</t>
        </is>
      </c>
      <c r="B1061" s="1" t="n">
        <v>44601.32209490741</v>
      </c>
      <c r="C1061" s="1" t="n">
        <v>46033</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32433-2025</t>
        </is>
      </c>
      <c r="B1062" s="1" t="n">
        <v>45838.37252314815</v>
      </c>
      <c r="C1062" s="1" t="n">
        <v>46033</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4172-2022</t>
        </is>
      </c>
      <c r="B1063" s="1" t="n">
        <v>44588</v>
      </c>
      <c r="C1063" s="1" t="n">
        <v>46033</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52981-2025</t>
        </is>
      </c>
      <c r="B1064" s="1" t="n">
        <v>45957.68748842592</v>
      </c>
      <c r="C1064" s="1" t="n">
        <v>46033</v>
      </c>
      <c r="D1064" t="inlineStr">
        <is>
          <t>VÄRMLANDS LÄN</t>
        </is>
      </c>
      <c r="E1064" t="inlineStr">
        <is>
          <t>TORSBY</t>
        </is>
      </c>
      <c r="G1064" t="n">
        <v>20.5</v>
      </c>
      <c r="H1064" t="n">
        <v>0</v>
      </c>
      <c r="I1064" t="n">
        <v>0</v>
      </c>
      <c r="J1064" t="n">
        <v>0</v>
      </c>
      <c r="K1064" t="n">
        <v>0</v>
      </c>
      <c r="L1064" t="n">
        <v>0</v>
      </c>
      <c r="M1064" t="n">
        <v>0</v>
      </c>
      <c r="N1064" t="n">
        <v>0</v>
      </c>
      <c r="O1064" t="n">
        <v>0</v>
      </c>
      <c r="P1064" t="n">
        <v>0</v>
      </c>
      <c r="Q1064" t="n">
        <v>0</v>
      </c>
      <c r="R1064" s="2" t="inlineStr"/>
    </row>
    <row r="1065" ht="15" customHeight="1">
      <c r="A1065" t="inlineStr">
        <is>
          <t>A 32710-2025</t>
        </is>
      </c>
      <c r="B1065" s="1" t="n">
        <v>45839.36722222222</v>
      </c>
      <c r="C1065" s="1" t="n">
        <v>46033</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45056-2022</t>
        </is>
      </c>
      <c r="B1066" s="1" t="n">
        <v>44841.72731481482</v>
      </c>
      <c r="C1066" s="1" t="n">
        <v>46033</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32622-2025</t>
        </is>
      </c>
      <c r="B1067" s="1" t="n">
        <v>45838</v>
      </c>
      <c r="C1067" s="1" t="n">
        <v>46033</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52731-2025</t>
        </is>
      </c>
      <c r="B1068" s="1" t="n">
        <v>45957.36682870371</v>
      </c>
      <c r="C1068" s="1" t="n">
        <v>46033</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56811-2023</t>
        </is>
      </c>
      <c r="B1069" s="1" t="n">
        <v>45244</v>
      </c>
      <c r="C1069" s="1" t="n">
        <v>46033</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32555-2025</t>
        </is>
      </c>
      <c r="B1070" s="1" t="n">
        <v>45838.56084490741</v>
      </c>
      <c r="C1070" s="1" t="n">
        <v>46033</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14120-2025</t>
        </is>
      </c>
      <c r="B1071" s="1" t="n">
        <v>45740</v>
      </c>
      <c r="C1071" s="1" t="n">
        <v>46033</v>
      </c>
      <c r="D1071" t="inlineStr">
        <is>
          <t>VÄRMLANDS LÄN</t>
        </is>
      </c>
      <c r="E1071" t="inlineStr">
        <is>
          <t>TORSBY</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56107-2024</t>
        </is>
      </c>
      <c r="B1072" s="1" t="n">
        <v>45624.44055555556</v>
      </c>
      <c r="C1072" s="1" t="n">
        <v>46033</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32343-2025</t>
        </is>
      </c>
      <c r="B1073" s="1" t="n">
        <v>45837.37171296297</v>
      </c>
      <c r="C1073" s="1" t="n">
        <v>46033</v>
      </c>
      <c r="D1073" t="inlineStr">
        <is>
          <t>VÄRMLANDS LÄN</t>
        </is>
      </c>
      <c r="E1073" t="inlineStr">
        <is>
          <t>TORSBY</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32345-2025</t>
        </is>
      </c>
      <c r="B1074" s="1" t="n">
        <v>45837.44293981481</v>
      </c>
      <c r="C1074" s="1" t="n">
        <v>46033</v>
      </c>
      <c r="D1074" t="inlineStr">
        <is>
          <t>VÄRMLANDS LÄN</t>
        </is>
      </c>
      <c r="E1074" t="inlineStr">
        <is>
          <t>TORSBY</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48499-2025</t>
        </is>
      </c>
      <c r="B1075" s="1" t="n">
        <v>45936.37533564815</v>
      </c>
      <c r="C1075" s="1" t="n">
        <v>46033</v>
      </c>
      <c r="D1075" t="inlineStr">
        <is>
          <t>VÄRMLANDS LÄN</t>
        </is>
      </c>
      <c r="E1075" t="inlineStr">
        <is>
          <t>TORSBY</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42414-2024</t>
        </is>
      </c>
      <c r="B1076" s="1" t="n">
        <v>45565</v>
      </c>
      <c r="C1076" s="1" t="n">
        <v>46033</v>
      </c>
      <c r="D1076" t="inlineStr">
        <is>
          <t>VÄRMLANDS LÄN</t>
        </is>
      </c>
      <c r="E1076" t="inlineStr">
        <is>
          <t>TORSBY</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26124-2024</t>
        </is>
      </c>
      <c r="B1077" s="1" t="n">
        <v>45468</v>
      </c>
      <c r="C1077" s="1" t="n">
        <v>46033</v>
      </c>
      <c r="D1077" t="inlineStr">
        <is>
          <t>VÄRMLANDS LÄN</t>
        </is>
      </c>
      <c r="E1077" t="inlineStr">
        <is>
          <t>TORSBY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32339-2025</t>
        </is>
      </c>
      <c r="B1078" s="1" t="n">
        <v>45836.68836805555</v>
      </c>
      <c r="C1078" s="1" t="n">
        <v>46033</v>
      </c>
      <c r="D1078" t="inlineStr">
        <is>
          <t>VÄRMLANDS LÄN</t>
        </is>
      </c>
      <c r="E1078" t="inlineStr">
        <is>
          <t>TORSBY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49159-2025</t>
        </is>
      </c>
      <c r="B1079" s="1" t="n">
        <v>45938.35060185185</v>
      </c>
      <c r="C1079" s="1" t="n">
        <v>46033</v>
      </c>
      <c r="D1079" t="inlineStr">
        <is>
          <t>VÄRMLANDS LÄN</t>
        </is>
      </c>
      <c r="E1079" t="inlineStr">
        <is>
          <t>TORSBY</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52737-2025</t>
        </is>
      </c>
      <c r="B1080" s="1" t="n">
        <v>45957.37336805555</v>
      </c>
      <c r="C1080" s="1" t="n">
        <v>46033</v>
      </c>
      <c r="D1080" t="inlineStr">
        <is>
          <t>VÄRMLANDS LÄN</t>
        </is>
      </c>
      <c r="E1080" t="inlineStr">
        <is>
          <t>TORSBY</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52577-2025</t>
        </is>
      </c>
      <c r="B1081" s="1" t="n">
        <v>45954</v>
      </c>
      <c r="C1081" s="1" t="n">
        <v>46033</v>
      </c>
      <c r="D1081" t="inlineStr">
        <is>
          <t>VÄRMLANDS LÄN</t>
        </is>
      </c>
      <c r="E1081" t="inlineStr">
        <is>
          <t>TORSBY</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52609-2025</t>
        </is>
      </c>
      <c r="B1082" s="1" t="n">
        <v>45954.66649305556</v>
      </c>
      <c r="C1082" s="1" t="n">
        <v>46033</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49167-2025</t>
        </is>
      </c>
      <c r="B1083" s="1" t="n">
        <v>45938</v>
      </c>
      <c r="C1083" s="1" t="n">
        <v>46033</v>
      </c>
      <c r="D1083" t="inlineStr">
        <is>
          <t>VÄRMLANDS LÄN</t>
        </is>
      </c>
      <c r="E1083" t="inlineStr">
        <is>
          <t>TORSBY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52947-2025</t>
        </is>
      </c>
      <c r="B1084" s="1" t="n">
        <v>45954</v>
      </c>
      <c r="C1084" s="1" t="n">
        <v>46033</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11878-2024</t>
        </is>
      </c>
      <c r="B1085" s="1" t="n">
        <v>45376.47877314815</v>
      </c>
      <c r="C1085" s="1" t="n">
        <v>46033</v>
      </c>
      <c r="D1085" t="inlineStr">
        <is>
          <t>VÄRMLANDS LÄN</t>
        </is>
      </c>
      <c r="E1085" t="inlineStr">
        <is>
          <t>TORSBY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33196-2025</t>
        </is>
      </c>
      <c r="B1086" s="1" t="n">
        <v>45840.60381944444</v>
      </c>
      <c r="C1086" s="1" t="n">
        <v>46033</v>
      </c>
      <c r="D1086" t="inlineStr">
        <is>
          <t>VÄRMLANDS LÄN</t>
        </is>
      </c>
      <c r="E1086" t="inlineStr">
        <is>
          <t>TORSBY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48947-2025</t>
        </is>
      </c>
      <c r="B1087" s="1" t="n">
        <v>45937.54157407407</v>
      </c>
      <c r="C1087" s="1" t="n">
        <v>46033</v>
      </c>
      <c r="D1087" t="inlineStr">
        <is>
          <t>VÄRMLANDS LÄN</t>
        </is>
      </c>
      <c r="E1087" t="inlineStr">
        <is>
          <t>TORSBY</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53381-2022</t>
        </is>
      </c>
      <c r="B1088" s="1" t="n">
        <v>44879</v>
      </c>
      <c r="C1088" s="1" t="n">
        <v>46033</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33192-2025</t>
        </is>
      </c>
      <c r="B1089" s="1" t="n">
        <v>45840.60081018518</v>
      </c>
      <c r="C1089" s="1" t="n">
        <v>46033</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33712-2025</t>
        </is>
      </c>
      <c r="B1090" s="1" t="n">
        <v>45841</v>
      </c>
      <c r="C1090" s="1" t="n">
        <v>46033</v>
      </c>
      <c r="D1090" t="inlineStr">
        <is>
          <t>VÄRMLANDS LÄN</t>
        </is>
      </c>
      <c r="E1090" t="inlineStr">
        <is>
          <t>TORSBY</t>
        </is>
      </c>
      <c r="F1090" t="inlineStr">
        <is>
          <t>Bergvik skog väst AB</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33221-2025</t>
        </is>
      </c>
      <c r="B1091" s="1" t="n">
        <v>45840.63471064815</v>
      </c>
      <c r="C1091" s="1" t="n">
        <v>46033</v>
      </c>
      <c r="D1091" t="inlineStr">
        <is>
          <t>VÄRMLANDS LÄN</t>
        </is>
      </c>
      <c r="E1091" t="inlineStr">
        <is>
          <t>TORSBY</t>
        </is>
      </c>
      <c r="F1091" t="inlineStr">
        <is>
          <t>Bergvik skog väst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41160-2023</t>
        </is>
      </c>
      <c r="B1092" s="1" t="n">
        <v>45174</v>
      </c>
      <c r="C1092" s="1" t="n">
        <v>46033</v>
      </c>
      <c r="D1092" t="inlineStr">
        <is>
          <t>VÄRMLANDS LÄN</t>
        </is>
      </c>
      <c r="E1092" t="inlineStr">
        <is>
          <t>TORSBY</t>
        </is>
      </c>
      <c r="F1092" t="inlineStr">
        <is>
          <t>Kyrkan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46033</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46033</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46033</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46033</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33567-2025</t>
        </is>
      </c>
      <c r="B1097" s="1" t="n">
        <v>45841.58232638889</v>
      </c>
      <c r="C1097" s="1" t="n">
        <v>46033</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51843-2022</t>
        </is>
      </c>
      <c r="B1098" s="1" t="n">
        <v>44872</v>
      </c>
      <c r="C1098" s="1" t="n">
        <v>46033</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17488-2023</t>
        </is>
      </c>
      <c r="B1099" s="1" t="n">
        <v>45036</v>
      </c>
      <c r="C1099" s="1" t="n">
        <v>46033</v>
      </c>
      <c r="D1099" t="inlineStr">
        <is>
          <t>VÄRMLANDS LÄN</t>
        </is>
      </c>
      <c r="E1099" t="inlineStr">
        <is>
          <t>TORSBY</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8018-2025</t>
        </is>
      </c>
      <c r="B1100" s="1" t="n">
        <v>45707</v>
      </c>
      <c r="C1100" s="1" t="n">
        <v>46033</v>
      </c>
      <c r="D1100" t="inlineStr">
        <is>
          <t>VÄRMLANDS LÄN</t>
        </is>
      </c>
      <c r="E1100" t="inlineStr">
        <is>
          <t>TORSBY</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6534-2025</t>
        </is>
      </c>
      <c r="B1101" s="1" t="n">
        <v>45699</v>
      </c>
      <c r="C1101" s="1" t="n">
        <v>46033</v>
      </c>
      <c r="D1101" t="inlineStr">
        <is>
          <t>VÄRMLANDS LÄN</t>
        </is>
      </c>
      <c r="E1101" t="inlineStr">
        <is>
          <t>TORSBY</t>
        </is>
      </c>
      <c r="F1101" t="inlineStr">
        <is>
          <t>Kommuner</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7178-2025</t>
        </is>
      </c>
      <c r="B1102" s="1" t="n">
        <v>45702.42493055556</v>
      </c>
      <c r="C1102" s="1" t="n">
        <v>46033</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22634-2023</t>
        </is>
      </c>
      <c r="B1103" s="1" t="n">
        <v>45071</v>
      </c>
      <c r="C1103" s="1" t="n">
        <v>46033</v>
      </c>
      <c r="D1103" t="inlineStr">
        <is>
          <t>VÄRMLANDS LÄN</t>
        </is>
      </c>
      <c r="E1103" t="inlineStr">
        <is>
          <t>TORSBY</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7214-2025</t>
        </is>
      </c>
      <c r="B1104" s="1" t="n">
        <v>45702</v>
      </c>
      <c r="C1104" s="1" t="n">
        <v>46033</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33189-2025</t>
        </is>
      </c>
      <c r="B1105" s="1" t="n">
        <v>45840.59884259259</v>
      </c>
      <c r="C1105" s="1" t="n">
        <v>46033</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32983-2025</t>
        </is>
      </c>
      <c r="B1106" s="1" t="n">
        <v>45839.92967592592</v>
      </c>
      <c r="C1106" s="1" t="n">
        <v>46033</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48991-2025</t>
        </is>
      </c>
      <c r="B1107" s="1" t="n">
        <v>45937.58141203703</v>
      </c>
      <c r="C1107" s="1" t="n">
        <v>46033</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27347-2024</t>
        </is>
      </c>
      <c r="B1108" s="1" t="n">
        <v>45473.59798611111</v>
      </c>
      <c r="C1108" s="1" t="n">
        <v>46033</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46033</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41377-2021</t>
        </is>
      </c>
      <c r="B1110" s="1" t="n">
        <v>44424.65148148148</v>
      </c>
      <c r="C1110" s="1" t="n">
        <v>46033</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49313-2025</t>
        </is>
      </c>
      <c r="B1111" s="1" t="n">
        <v>45938.56460648148</v>
      </c>
      <c r="C1111" s="1" t="n">
        <v>46033</v>
      </c>
      <c r="D1111" t="inlineStr">
        <is>
          <t>VÄRMLANDS LÄN</t>
        </is>
      </c>
      <c r="E1111" t="inlineStr">
        <is>
          <t>TORSBY</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52994-2025</t>
        </is>
      </c>
      <c r="B1112" s="1" t="n">
        <v>45957.72753472222</v>
      </c>
      <c r="C1112" s="1" t="n">
        <v>46033</v>
      </c>
      <c r="D1112" t="inlineStr">
        <is>
          <t>VÄRMLANDS LÄN</t>
        </is>
      </c>
      <c r="E1112" t="inlineStr">
        <is>
          <t>TORSBY</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49203-2025</t>
        </is>
      </c>
      <c r="B1113" s="1" t="n">
        <v>45938</v>
      </c>
      <c r="C1113" s="1" t="n">
        <v>46033</v>
      </c>
      <c r="D1113" t="inlineStr">
        <is>
          <t>VÄRMLANDS LÄN</t>
        </is>
      </c>
      <c r="E1113" t="inlineStr">
        <is>
          <t>TORSBY</t>
        </is>
      </c>
      <c r="F1113" t="inlineStr">
        <is>
          <t>Bergvik skog väst AB</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54766-2023</t>
        </is>
      </c>
      <c r="B1114" s="1" t="n">
        <v>45236</v>
      </c>
      <c r="C1114" s="1" t="n">
        <v>46033</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49622-2025</t>
        </is>
      </c>
      <c r="B1115" s="1" t="n">
        <v>45939</v>
      </c>
      <c r="C1115" s="1" t="n">
        <v>46033</v>
      </c>
      <c r="D1115" t="inlineStr">
        <is>
          <t>VÄRMLANDS LÄN</t>
        </is>
      </c>
      <c r="E1115" t="inlineStr">
        <is>
          <t>TORSBY</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49636-2025</t>
        </is>
      </c>
      <c r="B1116" s="1" t="n">
        <v>45939</v>
      </c>
      <c r="C1116" s="1" t="n">
        <v>46033</v>
      </c>
      <c r="D1116" t="inlineStr">
        <is>
          <t>VÄRMLANDS LÄN</t>
        </is>
      </c>
      <c r="E1116" t="inlineStr">
        <is>
          <t>TORSBY</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49344-2025</t>
        </is>
      </c>
      <c r="B1117" s="1" t="n">
        <v>45938.60028935185</v>
      </c>
      <c r="C1117" s="1" t="n">
        <v>46033</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49681-2025</t>
        </is>
      </c>
      <c r="B1118" s="1" t="n">
        <v>45939</v>
      </c>
      <c r="C1118" s="1" t="n">
        <v>46033</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49453-2025</t>
        </is>
      </c>
      <c r="B1119" s="1" t="n">
        <v>45939</v>
      </c>
      <c r="C1119" s="1" t="n">
        <v>46033</v>
      </c>
      <c r="D1119" t="inlineStr">
        <is>
          <t>VÄRMLANDS LÄN</t>
        </is>
      </c>
      <c r="E1119" t="inlineStr">
        <is>
          <t>TORSBY</t>
        </is>
      </c>
      <c r="F1119" t="inlineStr">
        <is>
          <t>Bergvik skog väst AB</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9381-2024</t>
        </is>
      </c>
      <c r="B1120" s="1" t="n">
        <v>45359</v>
      </c>
      <c r="C1120" s="1" t="n">
        <v>46033</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49638-2025</t>
        </is>
      </c>
      <c r="B1121" s="1" t="n">
        <v>45939.61236111111</v>
      </c>
      <c r="C1121" s="1" t="n">
        <v>46033</v>
      </c>
      <c r="D1121" t="inlineStr">
        <is>
          <t>VÄRMLANDS LÄN</t>
        </is>
      </c>
      <c r="E1121" t="inlineStr">
        <is>
          <t>TORSBY</t>
        </is>
      </c>
      <c r="F1121" t="inlineStr">
        <is>
          <t>Bergvik skog väst AB</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49107-2025</t>
        </is>
      </c>
      <c r="B1122" s="1" t="n">
        <v>45937.74091435185</v>
      </c>
      <c r="C1122" s="1" t="n">
        <v>46033</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33161-2025</t>
        </is>
      </c>
      <c r="B1123" s="1" t="n">
        <v>45840.56846064814</v>
      </c>
      <c r="C1123" s="1" t="n">
        <v>46033</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20847-2023</t>
        </is>
      </c>
      <c r="B1124" s="1" t="n">
        <v>45056</v>
      </c>
      <c r="C1124" s="1" t="n">
        <v>46033</v>
      </c>
      <c r="D1124" t="inlineStr">
        <is>
          <t>VÄRMLANDS LÄN</t>
        </is>
      </c>
      <c r="E1124" t="inlineStr">
        <is>
          <t>TORSBY</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49504-2025</t>
        </is>
      </c>
      <c r="B1125" s="1" t="n">
        <v>45939</v>
      </c>
      <c r="C1125" s="1" t="n">
        <v>46033</v>
      </c>
      <c r="D1125" t="inlineStr">
        <is>
          <t>VÄRMLANDS LÄN</t>
        </is>
      </c>
      <c r="E1125" t="inlineStr">
        <is>
          <t>TORSBY</t>
        </is>
      </c>
      <c r="F1125" t="inlineStr">
        <is>
          <t>Bergvik skog väst AB</t>
        </is>
      </c>
      <c r="G1125" t="n">
        <v>35.8</v>
      </c>
      <c r="H1125" t="n">
        <v>0</v>
      </c>
      <c r="I1125" t="n">
        <v>0</v>
      </c>
      <c r="J1125" t="n">
        <v>0</v>
      </c>
      <c r="K1125" t="n">
        <v>0</v>
      </c>
      <c r="L1125" t="n">
        <v>0</v>
      </c>
      <c r="M1125" t="n">
        <v>0</v>
      </c>
      <c r="N1125" t="n">
        <v>0</v>
      </c>
      <c r="O1125" t="n">
        <v>0</v>
      </c>
      <c r="P1125" t="n">
        <v>0</v>
      </c>
      <c r="Q1125" t="n">
        <v>0</v>
      </c>
      <c r="R1125" s="2" t="inlineStr"/>
    </row>
    <row r="1126" ht="15" customHeight="1">
      <c r="A1126" t="inlineStr">
        <is>
          <t>A 54777-2023</t>
        </is>
      </c>
      <c r="B1126" s="1" t="n">
        <v>45236</v>
      </c>
      <c r="C1126" s="1" t="n">
        <v>46033</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49237-2025</t>
        </is>
      </c>
      <c r="B1127" s="1" t="n">
        <v>45938</v>
      </c>
      <c r="C1127" s="1" t="n">
        <v>46033</v>
      </c>
      <c r="D1127" t="inlineStr">
        <is>
          <t>VÄRMLANDS LÄN</t>
        </is>
      </c>
      <c r="E1127" t="inlineStr">
        <is>
          <t>TORSBY</t>
        </is>
      </c>
      <c r="F1127" t="inlineStr">
        <is>
          <t>Bergvik skog väst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49250-2025</t>
        </is>
      </c>
      <c r="B1128" s="1" t="n">
        <v>45938</v>
      </c>
      <c r="C1128" s="1" t="n">
        <v>46033</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18595-2025</t>
        </is>
      </c>
      <c r="B1129" s="1" t="n">
        <v>45763</v>
      </c>
      <c r="C1129" s="1" t="n">
        <v>46033</v>
      </c>
      <c r="D1129" t="inlineStr">
        <is>
          <t>VÄRMLANDS LÄN</t>
        </is>
      </c>
      <c r="E1129" t="inlineStr">
        <is>
          <t>TORSBY</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52512-2025</t>
        </is>
      </c>
      <c r="B1130" s="1" t="n">
        <v>45954.50771990741</v>
      </c>
      <c r="C1130" s="1" t="n">
        <v>46033</v>
      </c>
      <c r="D1130" t="inlineStr">
        <is>
          <t>VÄRMLANDS LÄN</t>
        </is>
      </c>
      <c r="E1130" t="inlineStr">
        <is>
          <t>TORSBY</t>
        </is>
      </c>
      <c r="F1130" t="inlineStr">
        <is>
          <t>Bergvik skog väst AB</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49854-2025</t>
        </is>
      </c>
      <c r="B1131" s="1" t="n">
        <v>45940.50342592593</v>
      </c>
      <c r="C1131" s="1" t="n">
        <v>46033</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58304-2024</t>
        </is>
      </c>
      <c r="B1132" s="1" t="n">
        <v>45632</v>
      </c>
      <c r="C1132" s="1" t="n">
        <v>46033</v>
      </c>
      <c r="D1132" t="inlineStr">
        <is>
          <t>VÄRMLANDS LÄN</t>
        </is>
      </c>
      <c r="E1132" t="inlineStr">
        <is>
          <t>TORSBY</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52436-2025</t>
        </is>
      </c>
      <c r="B1133" s="1" t="n">
        <v>45954.39688657408</v>
      </c>
      <c r="C1133" s="1" t="n">
        <v>46033</v>
      </c>
      <c r="D1133" t="inlineStr">
        <is>
          <t>VÄRMLANDS LÄN</t>
        </is>
      </c>
      <c r="E1133" t="inlineStr">
        <is>
          <t>TORSBY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15398-2025</t>
        </is>
      </c>
      <c r="B1134" s="1" t="n">
        <v>45747.44309027777</v>
      </c>
      <c r="C1134" s="1" t="n">
        <v>46033</v>
      </c>
      <c r="D1134" t="inlineStr">
        <is>
          <t>VÄRMLANDS LÄN</t>
        </is>
      </c>
      <c r="E1134" t="inlineStr">
        <is>
          <t>TORSBY</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25949-2024</t>
        </is>
      </c>
      <c r="B1135" s="1" t="n">
        <v>45467.6442824074</v>
      </c>
      <c r="C1135" s="1" t="n">
        <v>46033</v>
      </c>
      <c r="D1135" t="inlineStr">
        <is>
          <t>VÄRMLANDS LÄN</t>
        </is>
      </c>
      <c r="E1135" t="inlineStr">
        <is>
          <t>TORSBY</t>
        </is>
      </c>
      <c r="F1135" t="inlineStr">
        <is>
          <t>Bergvik skog väst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34268-2025</t>
        </is>
      </c>
      <c r="B1136" s="1" t="n">
        <v>45845</v>
      </c>
      <c r="C1136" s="1" t="n">
        <v>46033</v>
      </c>
      <c r="D1136" t="inlineStr">
        <is>
          <t>VÄRMLANDS LÄN</t>
        </is>
      </c>
      <c r="E1136" t="inlineStr">
        <is>
          <t>TORSBY</t>
        </is>
      </c>
      <c r="F1136" t="inlineStr">
        <is>
          <t>Bergvik skog väst AB</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37401-2022</t>
        </is>
      </c>
      <c r="B1137" s="1" t="n">
        <v>44809</v>
      </c>
      <c r="C1137" s="1" t="n">
        <v>46033</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33897-2025</t>
        </is>
      </c>
      <c r="B1138" s="1" t="n">
        <v>45842</v>
      </c>
      <c r="C1138" s="1" t="n">
        <v>46033</v>
      </c>
      <c r="D1138" t="inlineStr">
        <is>
          <t>VÄRMLANDS LÄN</t>
        </is>
      </c>
      <c r="E1138" t="inlineStr">
        <is>
          <t>TORSBY</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45957.69270833334</v>
      </c>
      <c r="C1139" s="1" t="n">
        <v>46033</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5365-2021</t>
        </is>
      </c>
      <c r="B1140" s="1" t="n">
        <v>44229</v>
      </c>
      <c r="C1140" s="1" t="n">
        <v>46033</v>
      </c>
      <c r="D1140" t="inlineStr">
        <is>
          <t>VÄRMLANDS LÄN</t>
        </is>
      </c>
      <c r="E1140" t="inlineStr">
        <is>
          <t>TORSBY</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44699-2025</t>
        </is>
      </c>
      <c r="B1141" s="1" t="n">
        <v>45917</v>
      </c>
      <c r="C1141" s="1" t="n">
        <v>46033</v>
      </c>
      <c r="D1141" t="inlineStr">
        <is>
          <t>VÄRMLANDS LÄN</t>
        </is>
      </c>
      <c r="E1141" t="inlineStr">
        <is>
          <t>TORSBY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34140-2025</t>
        </is>
      </c>
      <c r="B1142" s="1" t="n">
        <v>45845.54896990741</v>
      </c>
      <c r="C1142" s="1" t="n">
        <v>46033</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52995-2025</t>
        </is>
      </c>
      <c r="B1143" s="1" t="n">
        <v>45957</v>
      </c>
      <c r="C1143" s="1" t="n">
        <v>46033</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7069-2022</t>
        </is>
      </c>
      <c r="B1144" s="1" t="n">
        <v>44603</v>
      </c>
      <c r="C1144" s="1" t="n">
        <v>46033</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21255-2023</t>
        </is>
      </c>
      <c r="B1145" s="1" t="n">
        <v>45058</v>
      </c>
      <c r="C1145" s="1" t="n">
        <v>46033</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2387-2025</t>
        </is>
      </c>
      <c r="B1146" s="1" t="n">
        <v>45674</v>
      </c>
      <c r="C1146" s="1" t="n">
        <v>46033</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52489-2025</t>
        </is>
      </c>
      <c r="B1147" s="1" t="n">
        <v>45954.48056712963</v>
      </c>
      <c r="C1147" s="1" t="n">
        <v>46033</v>
      </c>
      <c r="D1147" t="inlineStr">
        <is>
          <t>VÄRMLANDS LÄN</t>
        </is>
      </c>
      <c r="E1147" t="inlineStr">
        <is>
          <t>TORSBY</t>
        </is>
      </c>
      <c r="F1147" t="inlineStr">
        <is>
          <t>Bergvik skog väst AB</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62090-2024</t>
        </is>
      </c>
      <c r="B1148" s="1" t="n">
        <v>45656</v>
      </c>
      <c r="C1148" s="1" t="n">
        <v>46033</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62092-2024</t>
        </is>
      </c>
      <c r="B1149" s="1" t="n">
        <v>45656</v>
      </c>
      <c r="C1149" s="1" t="n">
        <v>46033</v>
      </c>
      <c r="D1149" t="inlineStr">
        <is>
          <t>VÄRMLANDS LÄN</t>
        </is>
      </c>
      <c r="E1149" t="inlineStr">
        <is>
          <t>TORSBY</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8281-2023</t>
        </is>
      </c>
      <c r="B1150" s="1" t="n">
        <v>44974</v>
      </c>
      <c r="C1150" s="1" t="n">
        <v>46033</v>
      </c>
      <c r="D1150" t="inlineStr">
        <is>
          <t>VÄRMLANDS LÄN</t>
        </is>
      </c>
      <c r="E1150" t="inlineStr">
        <is>
          <t>TORSBY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52787-2025</t>
        </is>
      </c>
      <c r="B1151" s="1" t="n">
        <v>45957.42736111111</v>
      </c>
      <c r="C1151" s="1" t="n">
        <v>46033</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34136-2025</t>
        </is>
      </c>
      <c r="B1152" s="1" t="n">
        <v>45845.54184027778</v>
      </c>
      <c r="C1152" s="1" t="n">
        <v>46033</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32988-2024</t>
        </is>
      </c>
      <c r="B1153" s="1" t="n">
        <v>45517.46616898148</v>
      </c>
      <c r="C1153" s="1" t="n">
        <v>46033</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22421-2024</t>
        </is>
      </c>
      <c r="B1154" s="1" t="n">
        <v>45446.70890046296</v>
      </c>
      <c r="C1154" s="1" t="n">
        <v>46033</v>
      </c>
      <c r="D1154" t="inlineStr">
        <is>
          <t>VÄRMLANDS LÄN</t>
        </is>
      </c>
      <c r="E1154" t="inlineStr">
        <is>
          <t>TORSBY</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34179-2025</t>
        </is>
      </c>
      <c r="B1155" s="1" t="n">
        <v>45845</v>
      </c>
      <c r="C1155" s="1" t="n">
        <v>46033</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34145-2025</t>
        </is>
      </c>
      <c r="B1156" s="1" t="n">
        <v>45845.55372685185</v>
      </c>
      <c r="C1156" s="1" t="n">
        <v>46033</v>
      </c>
      <c r="D1156" t="inlineStr">
        <is>
          <t>VÄRMLANDS LÄN</t>
        </is>
      </c>
      <c r="E1156" t="inlineStr">
        <is>
          <t>TORSBY</t>
        </is>
      </c>
      <c r="G1156" t="n">
        <v>19.2</v>
      </c>
      <c r="H1156" t="n">
        <v>0</v>
      </c>
      <c r="I1156" t="n">
        <v>0</v>
      </c>
      <c r="J1156" t="n">
        <v>0</v>
      </c>
      <c r="K1156" t="n">
        <v>0</v>
      </c>
      <c r="L1156" t="n">
        <v>0</v>
      </c>
      <c r="M1156" t="n">
        <v>0</v>
      </c>
      <c r="N1156" t="n">
        <v>0</v>
      </c>
      <c r="O1156" t="n">
        <v>0</v>
      </c>
      <c r="P1156" t="n">
        <v>0</v>
      </c>
      <c r="Q1156" t="n">
        <v>0</v>
      </c>
      <c r="R1156" s="2" t="inlineStr"/>
    </row>
    <row r="1157" ht="15" customHeight="1">
      <c r="A1157" t="inlineStr">
        <is>
          <t>A 59872-2023</t>
        </is>
      </c>
      <c r="B1157" s="1" t="n">
        <v>45257.58666666667</v>
      </c>
      <c r="C1157" s="1" t="n">
        <v>46033</v>
      </c>
      <c r="D1157" t="inlineStr">
        <is>
          <t>VÄRMLANDS LÄN</t>
        </is>
      </c>
      <c r="E1157" t="inlineStr">
        <is>
          <t>TORSBY</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43157-2021</t>
        </is>
      </c>
      <c r="B1158" s="1" t="n">
        <v>44431</v>
      </c>
      <c r="C1158" s="1" t="n">
        <v>46033</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34137-2025</t>
        </is>
      </c>
      <c r="B1159" s="1" t="n">
        <v>45845.54340277778</v>
      </c>
      <c r="C1159" s="1" t="n">
        <v>46033</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34138-2025</t>
        </is>
      </c>
      <c r="B1160" s="1" t="n">
        <v>45845.54486111111</v>
      </c>
      <c r="C1160" s="1" t="n">
        <v>46033</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34146-2025</t>
        </is>
      </c>
      <c r="B1161" s="1" t="n">
        <v>45845.56008101852</v>
      </c>
      <c r="C1161" s="1" t="n">
        <v>46033</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34046-2025</t>
        </is>
      </c>
      <c r="B1162" s="1" t="n">
        <v>45845.38671296297</v>
      </c>
      <c r="C1162" s="1" t="n">
        <v>46033</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17024-2024</t>
        </is>
      </c>
      <c r="B1163" s="1" t="n">
        <v>45412.38322916667</v>
      </c>
      <c r="C1163" s="1" t="n">
        <v>46033</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52847-2025</t>
        </is>
      </c>
      <c r="B1164" s="1" t="n">
        <v>45957.48972222222</v>
      </c>
      <c r="C1164" s="1" t="n">
        <v>46033</v>
      </c>
      <c r="D1164" t="inlineStr">
        <is>
          <t>VÄRMLANDS LÄN</t>
        </is>
      </c>
      <c r="E1164" t="inlineStr">
        <is>
          <t>TORSBY</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34398-2025</t>
        </is>
      </c>
      <c r="B1165" s="1" t="n">
        <v>45846.60688657407</v>
      </c>
      <c r="C1165" s="1" t="n">
        <v>46033</v>
      </c>
      <c r="D1165" t="inlineStr">
        <is>
          <t>VÄRMLANDS LÄN</t>
        </is>
      </c>
      <c r="E1165" t="inlineStr">
        <is>
          <t>TORSBY</t>
        </is>
      </c>
      <c r="F1165" t="inlineStr">
        <is>
          <t>Bergvik skog väst AB</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34399-2025</t>
        </is>
      </c>
      <c r="B1166" s="1" t="n">
        <v>45846.610625</v>
      </c>
      <c r="C1166" s="1" t="n">
        <v>46033</v>
      </c>
      <c r="D1166" t="inlineStr">
        <is>
          <t>VÄRMLANDS LÄN</t>
        </is>
      </c>
      <c r="E1166" t="inlineStr">
        <is>
          <t>TORSBY</t>
        </is>
      </c>
      <c r="F1166" t="inlineStr">
        <is>
          <t>Bergvik skog väst AB</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50373-2025</t>
        </is>
      </c>
      <c r="B1167" s="1" t="n">
        <v>45944.59106481481</v>
      </c>
      <c r="C1167" s="1" t="n">
        <v>46033</v>
      </c>
      <c r="D1167" t="inlineStr">
        <is>
          <t>VÄRMLANDS LÄN</t>
        </is>
      </c>
      <c r="E1167" t="inlineStr">
        <is>
          <t>TORSBY</t>
        </is>
      </c>
      <c r="F1167" t="inlineStr">
        <is>
          <t>Bergvik skog väst AB</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52801-2024</t>
        </is>
      </c>
      <c r="B1168" s="1" t="n">
        <v>45610.56784722222</v>
      </c>
      <c r="C1168" s="1" t="n">
        <v>46033</v>
      </c>
      <c r="D1168" t="inlineStr">
        <is>
          <t>VÄRMLANDS LÄN</t>
        </is>
      </c>
      <c r="E1168" t="inlineStr">
        <is>
          <t>TORSBY</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34355-2025</t>
        </is>
      </c>
      <c r="B1169" s="1" t="n">
        <v>45846.48114583334</v>
      </c>
      <c r="C1169" s="1" t="n">
        <v>46033</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34358-2025</t>
        </is>
      </c>
      <c r="B1170" s="1" t="n">
        <v>45846.48637731482</v>
      </c>
      <c r="C1170" s="1" t="n">
        <v>46033</v>
      </c>
      <c r="D1170" t="inlineStr">
        <is>
          <t>VÄRMLANDS LÄN</t>
        </is>
      </c>
      <c r="E1170" t="inlineStr">
        <is>
          <t>TORSBY</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50400-2025</t>
        </is>
      </c>
      <c r="B1171" s="1" t="n">
        <v>45944.63516203704</v>
      </c>
      <c r="C1171" s="1" t="n">
        <v>46033</v>
      </c>
      <c r="D1171" t="inlineStr">
        <is>
          <t>VÄRMLANDS LÄN</t>
        </is>
      </c>
      <c r="E1171" t="inlineStr">
        <is>
          <t>TORSBY</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34365-2025</t>
        </is>
      </c>
      <c r="B1172" s="1" t="n">
        <v>45846.49326388889</v>
      </c>
      <c r="C1172" s="1" t="n">
        <v>46033</v>
      </c>
      <c r="D1172" t="inlineStr">
        <is>
          <t>VÄRMLANDS LÄN</t>
        </is>
      </c>
      <c r="E1172" t="inlineStr">
        <is>
          <t>TORSBY</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34451-2025</t>
        </is>
      </c>
      <c r="B1173" s="1" t="n">
        <v>45846.85114583333</v>
      </c>
      <c r="C1173" s="1" t="n">
        <v>46033</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34480-2025</t>
        </is>
      </c>
      <c r="B1174" s="1" t="n">
        <v>45847.37582175926</v>
      </c>
      <c r="C1174" s="1" t="n">
        <v>46033</v>
      </c>
      <c r="D1174" t="inlineStr">
        <is>
          <t>VÄRMLANDS LÄN</t>
        </is>
      </c>
      <c r="E1174" t="inlineStr">
        <is>
          <t>TORSBY</t>
        </is>
      </c>
      <c r="F1174" t="inlineStr">
        <is>
          <t>Övriga Aktiebolag</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34495-2025</t>
        </is>
      </c>
      <c r="B1175" s="1" t="n">
        <v>45847.42686342593</v>
      </c>
      <c r="C1175" s="1" t="n">
        <v>46033</v>
      </c>
      <c r="D1175" t="inlineStr">
        <is>
          <t>VÄRMLANDS LÄN</t>
        </is>
      </c>
      <c r="E1175" t="inlineStr">
        <is>
          <t>TORSBY</t>
        </is>
      </c>
      <c r="F1175" t="inlineStr">
        <is>
          <t>Övriga Aktiebolag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30789-2024</t>
        </is>
      </c>
      <c r="B1176" s="1" t="n">
        <v>45497.178125</v>
      </c>
      <c r="C1176" s="1" t="n">
        <v>46033</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34517-2025</t>
        </is>
      </c>
      <c r="B1177" s="1" t="n">
        <v>45847.46900462963</v>
      </c>
      <c r="C1177" s="1" t="n">
        <v>46033</v>
      </c>
      <c r="D1177" t="inlineStr">
        <is>
          <t>VÄRMLANDS LÄN</t>
        </is>
      </c>
      <c r="E1177" t="inlineStr">
        <is>
          <t>TORSBY</t>
        </is>
      </c>
      <c r="F1177" t="inlineStr">
        <is>
          <t>Övriga Aktiebolag</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46033</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27101-2024</t>
        </is>
      </c>
      <c r="B1179" s="1" t="n">
        <v>45471</v>
      </c>
      <c r="C1179" s="1" t="n">
        <v>46033</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27116-2024</t>
        </is>
      </c>
      <c r="B1180" s="1" t="n">
        <v>45471.5056712963</v>
      </c>
      <c r="C1180" s="1" t="n">
        <v>46033</v>
      </c>
      <c r="D1180" t="inlineStr">
        <is>
          <t>VÄRMLANDS LÄN</t>
        </is>
      </c>
      <c r="E1180" t="inlineStr">
        <is>
          <t>TORSBY</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34372-2025</t>
        </is>
      </c>
      <c r="B1181" s="1" t="n">
        <v>45846.5134837963</v>
      </c>
      <c r="C1181" s="1" t="n">
        <v>46033</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52509-2025</t>
        </is>
      </c>
      <c r="B1182" s="1" t="n">
        <v>45954.50586805555</v>
      </c>
      <c r="C1182" s="1" t="n">
        <v>46033</v>
      </c>
      <c r="D1182" t="inlineStr">
        <is>
          <t>VÄRMLANDS LÄN</t>
        </is>
      </c>
      <c r="E1182" t="inlineStr">
        <is>
          <t>TORSBY</t>
        </is>
      </c>
      <c r="F1182" t="inlineStr">
        <is>
          <t>Bergvik skog väst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46033</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46033</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52852-2025</t>
        </is>
      </c>
      <c r="B1185" s="1" t="n">
        <v>45957.49319444445</v>
      </c>
      <c r="C1185" s="1" t="n">
        <v>46033</v>
      </c>
      <c r="D1185" t="inlineStr">
        <is>
          <t>VÄRMLANDS LÄN</t>
        </is>
      </c>
      <c r="E1185" t="inlineStr">
        <is>
          <t>TORSBY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52891-2025</t>
        </is>
      </c>
      <c r="B1186" s="1" t="n">
        <v>45957.57776620371</v>
      </c>
      <c r="C1186" s="1" t="n">
        <v>46033</v>
      </c>
      <c r="D1186" t="inlineStr">
        <is>
          <t>VÄRMLANDS LÄN</t>
        </is>
      </c>
      <c r="E1186" t="inlineStr">
        <is>
          <t>TORSBY</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52741-2025</t>
        </is>
      </c>
      <c r="B1187" s="1" t="n">
        <v>45957.3778587963</v>
      </c>
      <c r="C1187" s="1" t="n">
        <v>46033</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52754-2025</t>
        </is>
      </c>
      <c r="B1188" s="1" t="n">
        <v>45957.39010416667</v>
      </c>
      <c r="C1188" s="1" t="n">
        <v>46033</v>
      </c>
      <c r="D1188" t="inlineStr">
        <is>
          <t>VÄRMLANDS LÄN</t>
        </is>
      </c>
      <c r="E1188" t="inlineStr">
        <is>
          <t>TORSBY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52772-2025</t>
        </is>
      </c>
      <c r="B1189" s="1" t="n">
        <v>45957.41255787037</v>
      </c>
      <c r="C1189" s="1" t="n">
        <v>46033</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52774-2025</t>
        </is>
      </c>
      <c r="B1190" s="1" t="n">
        <v>45957.41480324074</v>
      </c>
      <c r="C1190" s="1" t="n">
        <v>46033</v>
      </c>
      <c r="D1190" t="inlineStr">
        <is>
          <t>VÄRMLANDS LÄN</t>
        </is>
      </c>
      <c r="E1190" t="inlineStr">
        <is>
          <t>TORSBY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34533-2025</t>
        </is>
      </c>
      <c r="B1191" s="1" t="n">
        <v>45847.50868055555</v>
      </c>
      <c r="C1191" s="1" t="n">
        <v>46033</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47619-2024</t>
        </is>
      </c>
      <c r="B1192" s="1" t="n">
        <v>45588.32371527778</v>
      </c>
      <c r="C1192" s="1" t="n">
        <v>46033</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41130-2022</t>
        </is>
      </c>
      <c r="B1193" s="1" t="n">
        <v>44825</v>
      </c>
      <c r="C1193" s="1" t="n">
        <v>46033</v>
      </c>
      <c r="D1193" t="inlineStr">
        <is>
          <t>VÄRMLANDS LÄN</t>
        </is>
      </c>
      <c r="E1193" t="inlineStr">
        <is>
          <t>TORSBY</t>
        </is>
      </c>
      <c r="F1193" t="inlineStr">
        <is>
          <t>Kyrkan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34846-2025</t>
        </is>
      </c>
      <c r="B1194" s="1" t="n">
        <v>45849.41454861111</v>
      </c>
      <c r="C1194" s="1" t="n">
        <v>46033</v>
      </c>
      <c r="D1194" t="inlineStr">
        <is>
          <t>VÄRMLANDS LÄN</t>
        </is>
      </c>
      <c r="E1194" t="inlineStr">
        <is>
          <t>TORSBY</t>
        </is>
      </c>
      <c r="F1194" t="inlineStr">
        <is>
          <t>Bergvik skog väst AB</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2009-2025</t>
        </is>
      </c>
      <c r="B1195" s="1" t="n">
        <v>45672</v>
      </c>
      <c r="C1195" s="1" t="n">
        <v>46033</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53113-2025</t>
        </is>
      </c>
      <c r="B1196" s="1" t="n">
        <v>45958.44431712963</v>
      </c>
      <c r="C1196" s="1" t="n">
        <v>46033</v>
      </c>
      <c r="D1196" t="inlineStr">
        <is>
          <t>VÄRMLANDS LÄN</t>
        </is>
      </c>
      <c r="E1196" t="inlineStr">
        <is>
          <t>TORSBY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53123-2025</t>
        </is>
      </c>
      <c r="B1197" s="1" t="n">
        <v>45958.45204861111</v>
      </c>
      <c r="C1197" s="1" t="n">
        <v>46033</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40807-2024</t>
        </is>
      </c>
      <c r="B1198" s="1" t="n">
        <v>45558</v>
      </c>
      <c r="C1198" s="1" t="n">
        <v>46033</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61510-2025</t>
        </is>
      </c>
      <c r="B1199" s="1" t="n">
        <v>46001</v>
      </c>
      <c r="C1199" s="1" t="n">
        <v>46033</v>
      </c>
      <c r="D1199" t="inlineStr">
        <is>
          <t>VÄRMLANDS LÄN</t>
        </is>
      </c>
      <c r="E1199" t="inlineStr">
        <is>
          <t>TORSBY</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14581-2023</t>
        </is>
      </c>
      <c r="B1200" s="1" t="n">
        <v>45013.52122685185</v>
      </c>
      <c r="C1200" s="1" t="n">
        <v>46033</v>
      </c>
      <c r="D1200" t="inlineStr">
        <is>
          <t>VÄRMLANDS LÄN</t>
        </is>
      </c>
      <c r="E1200" t="inlineStr">
        <is>
          <t>TORSBY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31316-2025</t>
        </is>
      </c>
      <c r="B1201" s="1" t="n">
        <v>45833.40241898148</v>
      </c>
      <c r="C1201" s="1" t="n">
        <v>46033</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54865-2022</t>
        </is>
      </c>
      <c r="B1202" s="1" t="n">
        <v>44884</v>
      </c>
      <c r="C1202" s="1" t="n">
        <v>46033</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18897-2024</t>
        </is>
      </c>
      <c r="B1203" s="1" t="n">
        <v>45427.34046296297</v>
      </c>
      <c r="C1203" s="1" t="n">
        <v>46033</v>
      </c>
      <c r="D1203" t="inlineStr">
        <is>
          <t>VÄRMLANDS LÄN</t>
        </is>
      </c>
      <c r="E1203" t="inlineStr">
        <is>
          <t>TORSBY</t>
        </is>
      </c>
      <c r="F1203" t="inlineStr">
        <is>
          <t>Övriga statliga verk och myndigheter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59729-2025</t>
        </is>
      </c>
      <c r="B1204" s="1" t="n">
        <v>45992</v>
      </c>
      <c r="C1204" s="1" t="n">
        <v>46033</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61157-2023</t>
        </is>
      </c>
      <c r="B1205" s="1" t="n">
        <v>45261.98796296296</v>
      </c>
      <c r="C1205" s="1" t="n">
        <v>46033</v>
      </c>
      <c r="D1205" t="inlineStr">
        <is>
          <t>VÄRMLANDS LÄN</t>
        </is>
      </c>
      <c r="E1205" t="inlineStr">
        <is>
          <t>TORSBY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2662-2024</t>
        </is>
      </c>
      <c r="B1206" s="1" t="n">
        <v>45314.38747685185</v>
      </c>
      <c r="C1206" s="1" t="n">
        <v>46033</v>
      </c>
      <c r="D1206" t="inlineStr">
        <is>
          <t>VÄRMLANDS LÄN</t>
        </is>
      </c>
      <c r="E1206" t="inlineStr">
        <is>
          <t>TORSBY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34997-2025</t>
        </is>
      </c>
      <c r="B1207" s="1" t="n">
        <v>45849.87340277778</v>
      </c>
      <c r="C1207" s="1" t="n">
        <v>46033</v>
      </c>
      <c r="D1207" t="inlineStr">
        <is>
          <t>VÄRMLANDS LÄN</t>
        </is>
      </c>
      <c r="E1207" t="inlineStr">
        <is>
          <t>TORSBY</t>
        </is>
      </c>
      <c r="G1207" t="n">
        <v>24.4</v>
      </c>
      <c r="H1207" t="n">
        <v>0</v>
      </c>
      <c r="I1207" t="n">
        <v>0</v>
      </c>
      <c r="J1207" t="n">
        <v>0</v>
      </c>
      <c r="K1207" t="n">
        <v>0</v>
      </c>
      <c r="L1207" t="n">
        <v>0</v>
      </c>
      <c r="M1207" t="n">
        <v>0</v>
      </c>
      <c r="N1207" t="n">
        <v>0</v>
      </c>
      <c r="O1207" t="n">
        <v>0</v>
      </c>
      <c r="P1207" t="n">
        <v>0</v>
      </c>
      <c r="Q1207" t="n">
        <v>0</v>
      </c>
      <c r="R1207" s="2" t="inlineStr"/>
    </row>
    <row r="1208" ht="15" customHeight="1">
      <c r="A1208" t="inlineStr">
        <is>
          <t>A 35185-2025</t>
        </is>
      </c>
      <c r="B1208" s="1" t="n">
        <v>45853.30383101852</v>
      </c>
      <c r="C1208" s="1" t="n">
        <v>46033</v>
      </c>
      <c r="D1208" t="inlineStr">
        <is>
          <t>VÄRMLANDS LÄN</t>
        </is>
      </c>
      <c r="E1208" t="inlineStr">
        <is>
          <t>TORSBY</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8033-2022</t>
        </is>
      </c>
      <c r="B1209" s="1" t="n">
        <v>44609.43644675926</v>
      </c>
      <c r="C1209" s="1" t="n">
        <v>46033</v>
      </c>
      <c r="D1209" t="inlineStr">
        <is>
          <t>VÄRMLANDS LÄN</t>
        </is>
      </c>
      <c r="E1209" t="inlineStr">
        <is>
          <t>TORSBY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61361-2025</t>
        </is>
      </c>
      <c r="B1210" s="1" t="n">
        <v>46001.42508101852</v>
      </c>
      <c r="C1210" s="1" t="n">
        <v>46033</v>
      </c>
      <c r="D1210" t="inlineStr">
        <is>
          <t>VÄRMLANDS LÄN</t>
        </is>
      </c>
      <c r="E1210" t="inlineStr">
        <is>
          <t>TORSBY</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20985-2024</t>
        </is>
      </c>
      <c r="B1211" s="1" t="n">
        <v>45439</v>
      </c>
      <c r="C1211" s="1" t="n">
        <v>46033</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35191-2025</t>
        </is>
      </c>
      <c r="B1212" s="1" t="n">
        <v>45853.3469675926</v>
      </c>
      <c r="C1212" s="1" t="n">
        <v>46033</v>
      </c>
      <c r="D1212" t="inlineStr">
        <is>
          <t>VÄRMLANDS LÄN</t>
        </is>
      </c>
      <c r="E1212" t="inlineStr">
        <is>
          <t>TORSBY</t>
        </is>
      </c>
      <c r="F1212" t="inlineStr">
        <is>
          <t>Bergvik skog väst AB</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1166-2023</t>
        </is>
      </c>
      <c r="B1213" s="1" t="n">
        <v>44935</v>
      </c>
      <c r="C1213" s="1" t="n">
        <v>46033</v>
      </c>
      <c r="D1213" t="inlineStr">
        <is>
          <t>VÄRMLANDS LÄN</t>
        </is>
      </c>
      <c r="E1213" t="inlineStr">
        <is>
          <t>TORSBY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11121-2024</t>
        </is>
      </c>
      <c r="B1214" s="1" t="n">
        <v>45371.40634259259</v>
      </c>
      <c r="C1214" s="1" t="n">
        <v>46033</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59097-2022</t>
        </is>
      </c>
      <c r="B1215" s="1" t="n">
        <v>44904</v>
      </c>
      <c r="C1215" s="1" t="n">
        <v>46033</v>
      </c>
      <c r="D1215" t="inlineStr">
        <is>
          <t>VÄRMLANDS LÄN</t>
        </is>
      </c>
      <c r="E1215" t="inlineStr">
        <is>
          <t>TORSBY</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35194-2025</t>
        </is>
      </c>
      <c r="B1216" s="1" t="n">
        <v>45853.35740740741</v>
      </c>
      <c r="C1216" s="1" t="n">
        <v>46033</v>
      </c>
      <c r="D1216" t="inlineStr">
        <is>
          <t>VÄRMLANDS LÄN</t>
        </is>
      </c>
      <c r="E1216" t="inlineStr">
        <is>
          <t>TORSBY</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9942-2025</t>
        </is>
      </c>
      <c r="B1217" s="1" t="n">
        <v>45719</v>
      </c>
      <c r="C1217" s="1" t="n">
        <v>46033</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35408-2025</t>
        </is>
      </c>
      <c r="B1218" s="1" t="n">
        <v>45855.37256944444</v>
      </c>
      <c r="C1218" s="1" t="n">
        <v>46033</v>
      </c>
      <c r="D1218" t="inlineStr">
        <is>
          <t>VÄRMLANDS LÄN</t>
        </is>
      </c>
      <c r="E1218" t="inlineStr">
        <is>
          <t>TORSBY</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35334-2025</t>
        </is>
      </c>
      <c r="B1219" s="1" t="n">
        <v>45854.57973379629</v>
      </c>
      <c r="C1219" s="1" t="n">
        <v>46033</v>
      </c>
      <c r="D1219" t="inlineStr">
        <is>
          <t>VÄRMLANDS LÄN</t>
        </is>
      </c>
      <c r="E1219" t="inlineStr">
        <is>
          <t>TORSBY</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38084-2023</t>
        </is>
      </c>
      <c r="B1220" s="1" t="n">
        <v>45160</v>
      </c>
      <c r="C1220" s="1" t="n">
        <v>46033</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35367-2025</t>
        </is>
      </c>
      <c r="B1221" s="1" t="n">
        <v>45854</v>
      </c>
      <c r="C1221" s="1" t="n">
        <v>46033</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53383-2025</t>
        </is>
      </c>
      <c r="B1222" s="1" t="n">
        <v>45959.54097222222</v>
      </c>
      <c r="C1222" s="1" t="n">
        <v>46033</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33078-2024</t>
        </is>
      </c>
      <c r="B1223" s="1" t="n">
        <v>45517</v>
      </c>
      <c r="C1223" s="1" t="n">
        <v>46033</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36175-2024</t>
        </is>
      </c>
      <c r="B1224" s="1" t="n">
        <v>45534.40834490741</v>
      </c>
      <c r="C1224" s="1" t="n">
        <v>46033</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42662-2024</t>
        </is>
      </c>
      <c r="B1225" s="1" t="n">
        <v>45566</v>
      </c>
      <c r="C1225" s="1" t="n">
        <v>46033</v>
      </c>
      <c r="D1225" t="inlineStr">
        <is>
          <t>VÄRMLANDS LÄN</t>
        </is>
      </c>
      <c r="E1225" t="inlineStr">
        <is>
          <t>TORSBY</t>
        </is>
      </c>
      <c r="F1225" t="inlineStr">
        <is>
          <t>Bergvik skog väst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61463-2025</t>
        </is>
      </c>
      <c r="B1226" s="1" t="n">
        <v>46001.60186342592</v>
      </c>
      <c r="C1226" s="1" t="n">
        <v>46033</v>
      </c>
      <c r="D1226" t="inlineStr">
        <is>
          <t>VÄRMLANDS LÄN</t>
        </is>
      </c>
      <c r="E1226" t="inlineStr">
        <is>
          <t>TORSBY</t>
        </is>
      </c>
      <c r="F1226" t="inlineStr">
        <is>
          <t>Bergvik skog väst AB</t>
        </is>
      </c>
      <c r="G1226" t="n">
        <v>33.8</v>
      </c>
      <c r="H1226" t="n">
        <v>0</v>
      </c>
      <c r="I1226" t="n">
        <v>0</v>
      </c>
      <c r="J1226" t="n">
        <v>0</v>
      </c>
      <c r="K1226" t="n">
        <v>0</v>
      </c>
      <c r="L1226" t="n">
        <v>0</v>
      </c>
      <c r="M1226" t="n">
        <v>0</v>
      </c>
      <c r="N1226" t="n">
        <v>0</v>
      </c>
      <c r="O1226" t="n">
        <v>0</v>
      </c>
      <c r="P1226" t="n">
        <v>0</v>
      </c>
      <c r="Q1226" t="n">
        <v>0</v>
      </c>
      <c r="R1226" s="2" t="inlineStr"/>
    </row>
    <row r="1227" ht="15" customHeight="1">
      <c r="A1227" t="inlineStr">
        <is>
          <t>A 20633-2024</t>
        </is>
      </c>
      <c r="B1227" s="1" t="n">
        <v>45436</v>
      </c>
      <c r="C1227" s="1" t="n">
        <v>46033</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45231-2023</t>
        </is>
      </c>
      <c r="B1228" s="1" t="n">
        <v>45191</v>
      </c>
      <c r="C1228" s="1" t="n">
        <v>46033</v>
      </c>
      <c r="D1228" t="inlineStr">
        <is>
          <t>VÄRMLANDS LÄN</t>
        </is>
      </c>
      <c r="E1228" t="inlineStr">
        <is>
          <t>TORSBY</t>
        </is>
      </c>
      <c r="F1228" t="inlineStr">
        <is>
          <t>Bergvik skog väst AB</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21516-2022</t>
        </is>
      </c>
      <c r="B1229" s="1" t="n">
        <v>44706</v>
      </c>
      <c r="C1229" s="1" t="n">
        <v>46033</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40590-2021</t>
        </is>
      </c>
      <c r="B1230" s="1" t="n">
        <v>44420</v>
      </c>
      <c r="C1230" s="1" t="n">
        <v>46033</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10218-2023</t>
        </is>
      </c>
      <c r="B1231" s="1" t="n">
        <v>44986.59697916666</v>
      </c>
      <c r="C1231" s="1" t="n">
        <v>46033</v>
      </c>
      <c r="D1231" t="inlineStr">
        <is>
          <t>VÄRMLANDS LÄN</t>
        </is>
      </c>
      <c r="E1231" t="inlineStr">
        <is>
          <t>TORSBY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5052-2025</t>
        </is>
      </c>
      <c r="B1232" s="1" t="n">
        <v>45691</v>
      </c>
      <c r="C1232" s="1" t="n">
        <v>46033</v>
      </c>
      <c r="D1232" t="inlineStr">
        <is>
          <t>VÄRMLANDS LÄN</t>
        </is>
      </c>
      <c r="E1232" t="inlineStr">
        <is>
          <t>TORSBY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17562-2024</t>
        </is>
      </c>
      <c r="B1233" s="1" t="n">
        <v>45415</v>
      </c>
      <c r="C1233" s="1" t="n">
        <v>46033</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53107-2025</t>
        </is>
      </c>
      <c r="B1234" s="1" t="n">
        <v>45958.43576388889</v>
      </c>
      <c r="C1234" s="1" t="n">
        <v>46033</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46698-2024</t>
        </is>
      </c>
      <c r="B1235" s="1" t="n">
        <v>45583.43209490741</v>
      </c>
      <c r="C1235" s="1" t="n">
        <v>46033</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1708-2025</t>
        </is>
      </c>
      <c r="B1236" s="1" t="n">
        <v>45670</v>
      </c>
      <c r="C1236" s="1" t="n">
        <v>46033</v>
      </c>
      <c r="D1236" t="inlineStr">
        <is>
          <t>VÄRMLANDS LÄN</t>
        </is>
      </c>
      <c r="E1236" t="inlineStr">
        <is>
          <t>TORSBY</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35552-2025</t>
        </is>
      </c>
      <c r="B1237" s="1" t="n">
        <v>45856.49702546297</v>
      </c>
      <c r="C1237" s="1" t="n">
        <v>46033</v>
      </c>
      <c r="D1237" t="inlineStr">
        <is>
          <t>VÄRMLANDS LÄN</t>
        </is>
      </c>
      <c r="E1237" t="inlineStr">
        <is>
          <t>TORSBY</t>
        </is>
      </c>
      <c r="F1237" t="inlineStr">
        <is>
          <t>Bergvik skog väst AB</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15085-2023</t>
        </is>
      </c>
      <c r="B1238" s="1" t="n">
        <v>45016</v>
      </c>
      <c r="C1238" s="1" t="n">
        <v>46033</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44083-2023</t>
        </is>
      </c>
      <c r="B1239" s="1" t="n">
        <v>45182</v>
      </c>
      <c r="C1239" s="1" t="n">
        <v>46033</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35817-2025</t>
        </is>
      </c>
      <c r="B1240" s="1" t="n">
        <v>45861.44365740741</v>
      </c>
      <c r="C1240" s="1" t="n">
        <v>46033</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46033</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42834-2024</t>
        </is>
      </c>
      <c r="B1242" s="1" t="n">
        <v>45566</v>
      </c>
      <c r="C1242" s="1" t="n">
        <v>46033</v>
      </c>
      <c r="D1242" t="inlineStr">
        <is>
          <t>VÄRMLANDS LÄN</t>
        </is>
      </c>
      <c r="E1242" t="inlineStr">
        <is>
          <t>TORSBY</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53165-2025</t>
        </is>
      </c>
      <c r="B1243" s="1" t="n">
        <v>45958.50232638889</v>
      </c>
      <c r="C1243" s="1" t="n">
        <v>46033</v>
      </c>
      <c r="D1243" t="inlineStr">
        <is>
          <t>VÄRMLANDS LÄN</t>
        </is>
      </c>
      <c r="E1243" t="inlineStr">
        <is>
          <t>TORSBY</t>
        </is>
      </c>
      <c r="F1243" t="inlineStr">
        <is>
          <t>Bergvik skog väst AB</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18684-2025</t>
        </is>
      </c>
      <c r="B1244" s="1" t="n">
        <v>45763.61064814815</v>
      </c>
      <c r="C1244" s="1" t="n">
        <v>46033</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46343-2024</t>
        </is>
      </c>
      <c r="B1245" s="1" t="n">
        <v>45582</v>
      </c>
      <c r="C1245" s="1" t="n">
        <v>46033</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3678-2024</t>
        </is>
      </c>
      <c r="B1246" s="1" t="n">
        <v>45321.37844907407</v>
      </c>
      <c r="C1246" s="1" t="n">
        <v>46033</v>
      </c>
      <c r="D1246" t="inlineStr">
        <is>
          <t>VÄRMLANDS LÄN</t>
        </is>
      </c>
      <c r="E1246" t="inlineStr">
        <is>
          <t>TORSBY</t>
        </is>
      </c>
      <c r="G1246" t="n">
        <v>24.6</v>
      </c>
      <c r="H1246" t="n">
        <v>0</v>
      </c>
      <c r="I1246" t="n">
        <v>0</v>
      </c>
      <c r="J1246" t="n">
        <v>0</v>
      </c>
      <c r="K1246" t="n">
        <v>0</v>
      </c>
      <c r="L1246" t="n">
        <v>0</v>
      </c>
      <c r="M1246" t="n">
        <v>0</v>
      </c>
      <c r="N1246" t="n">
        <v>0</v>
      </c>
      <c r="O1246" t="n">
        <v>0</v>
      </c>
      <c r="P1246" t="n">
        <v>0</v>
      </c>
      <c r="Q1246" t="n">
        <v>0</v>
      </c>
      <c r="R1246" s="2" t="inlineStr"/>
    </row>
    <row r="1247" ht="15" customHeight="1">
      <c r="A1247" t="inlineStr">
        <is>
          <t>A 51386-2023</t>
        </is>
      </c>
      <c r="B1247" s="1" t="n">
        <v>45219.65394675926</v>
      </c>
      <c r="C1247" s="1" t="n">
        <v>46033</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14800-2025</t>
        </is>
      </c>
      <c r="B1248" s="1" t="n">
        <v>45743</v>
      </c>
      <c r="C1248" s="1" t="n">
        <v>46033</v>
      </c>
      <c r="D1248" t="inlineStr">
        <is>
          <t>VÄRMLANDS LÄN</t>
        </is>
      </c>
      <c r="E1248" t="inlineStr">
        <is>
          <t>TORSBY</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53266-2025</t>
        </is>
      </c>
      <c r="B1249" s="1" t="n">
        <v>45958.6834837963</v>
      </c>
      <c r="C1249" s="1" t="n">
        <v>46033</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46033</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54885-2022</t>
        </is>
      </c>
      <c r="B1251" s="1" t="n">
        <v>44886</v>
      </c>
      <c r="C1251" s="1" t="n">
        <v>46033</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39648-2023</t>
        </is>
      </c>
      <c r="B1252" s="1" t="n">
        <v>45167.5528587963</v>
      </c>
      <c r="C1252" s="1" t="n">
        <v>46033</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38298-2021</t>
        </is>
      </c>
      <c r="B1253" s="1" t="n">
        <v>44406</v>
      </c>
      <c r="C1253" s="1" t="n">
        <v>46033</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35980-2025</t>
        </is>
      </c>
      <c r="B1254" s="1" t="n">
        <v>45863</v>
      </c>
      <c r="C1254" s="1" t="n">
        <v>46033</v>
      </c>
      <c r="D1254" t="inlineStr">
        <is>
          <t>VÄRMLANDS LÄN</t>
        </is>
      </c>
      <c r="E1254" t="inlineStr">
        <is>
          <t>TORSBY</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52062-2024</t>
        </is>
      </c>
      <c r="B1255" s="1" t="n">
        <v>45608</v>
      </c>
      <c r="C1255" s="1" t="n">
        <v>46033</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46033</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35987-2025</t>
        </is>
      </c>
      <c r="B1257" s="1" t="n">
        <v>45863.46144675926</v>
      </c>
      <c r="C1257" s="1" t="n">
        <v>46033</v>
      </c>
      <c r="D1257" t="inlineStr">
        <is>
          <t>VÄRMLANDS LÄN</t>
        </is>
      </c>
      <c r="E1257" t="inlineStr">
        <is>
          <t>TORSBY</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21585-2024</t>
        </is>
      </c>
      <c r="B1258" s="1" t="n">
        <v>45441</v>
      </c>
      <c r="C1258" s="1" t="n">
        <v>46033</v>
      </c>
      <c r="D1258" t="inlineStr">
        <is>
          <t>VÄRMLANDS LÄN</t>
        </is>
      </c>
      <c r="E1258" t="inlineStr">
        <is>
          <t>TORSBY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7378-2025</t>
        </is>
      </c>
      <c r="B1259" s="1" t="n">
        <v>45705</v>
      </c>
      <c r="C1259" s="1" t="n">
        <v>46033</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30958-2025</t>
        </is>
      </c>
      <c r="B1260" s="1" t="n">
        <v>45832.43880787037</v>
      </c>
      <c r="C1260" s="1" t="n">
        <v>46033</v>
      </c>
      <c r="D1260" t="inlineStr">
        <is>
          <t>VÄRMLANDS LÄN</t>
        </is>
      </c>
      <c r="E1260" t="inlineStr">
        <is>
          <t>TORSBY</t>
        </is>
      </c>
      <c r="G1260" t="n">
        <v>28.5</v>
      </c>
      <c r="H1260" t="n">
        <v>0</v>
      </c>
      <c r="I1260" t="n">
        <v>0</v>
      </c>
      <c r="J1260" t="n">
        <v>0</v>
      </c>
      <c r="K1260" t="n">
        <v>0</v>
      </c>
      <c r="L1260" t="n">
        <v>0</v>
      </c>
      <c r="M1260" t="n">
        <v>0</v>
      </c>
      <c r="N1260" t="n">
        <v>0</v>
      </c>
      <c r="O1260" t="n">
        <v>0</v>
      </c>
      <c r="P1260" t="n">
        <v>0</v>
      </c>
      <c r="Q1260" t="n">
        <v>0</v>
      </c>
      <c r="R1260" s="2" t="inlineStr"/>
    </row>
    <row r="1261" ht="15" customHeight="1">
      <c r="A1261" t="inlineStr">
        <is>
          <t>A 53014-2025</t>
        </is>
      </c>
      <c r="B1261" s="1" t="n">
        <v>45957.81865740741</v>
      </c>
      <c r="C1261" s="1" t="n">
        <v>46033</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24717-2024</t>
        </is>
      </c>
      <c r="B1262" s="1" t="n">
        <v>45460</v>
      </c>
      <c r="C1262" s="1" t="n">
        <v>46033</v>
      </c>
      <c r="D1262" t="inlineStr">
        <is>
          <t>VÄRMLANDS LÄN</t>
        </is>
      </c>
      <c r="E1262" t="inlineStr">
        <is>
          <t>TORSBY</t>
        </is>
      </c>
      <c r="F1262" t="inlineStr">
        <is>
          <t>Övriga statliga verk och myndigheter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36287-2025</t>
        </is>
      </c>
      <c r="B1263" s="1" t="n">
        <v>45867.65814814815</v>
      </c>
      <c r="C1263" s="1" t="n">
        <v>46033</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24170-2023</t>
        </is>
      </c>
      <c r="B1264" s="1" t="n">
        <v>45079</v>
      </c>
      <c r="C1264" s="1" t="n">
        <v>46033</v>
      </c>
      <c r="D1264" t="inlineStr">
        <is>
          <t>VÄRMLANDS LÄN</t>
        </is>
      </c>
      <c r="E1264" t="inlineStr">
        <is>
          <t>TORSBY</t>
        </is>
      </c>
      <c r="F1264" t="inlineStr">
        <is>
          <t>Bergvik skog väst AB</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30836-2025</t>
        </is>
      </c>
      <c r="B1265" s="1" t="n">
        <v>45831.70571759259</v>
      </c>
      <c r="C1265" s="1" t="n">
        <v>46033</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49717-2023</t>
        </is>
      </c>
      <c r="B1266" s="1" t="n">
        <v>45208</v>
      </c>
      <c r="C1266" s="1" t="n">
        <v>46033</v>
      </c>
      <c r="D1266" t="inlineStr">
        <is>
          <t>VÄRMLANDS LÄN</t>
        </is>
      </c>
      <c r="E1266" t="inlineStr">
        <is>
          <t>TORSBY</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32624-2025</t>
        </is>
      </c>
      <c r="B1267" s="1" t="n">
        <v>45838.64796296296</v>
      </c>
      <c r="C1267" s="1" t="n">
        <v>46033</v>
      </c>
      <c r="D1267" t="inlineStr">
        <is>
          <t>VÄRMLANDS LÄN</t>
        </is>
      </c>
      <c r="E1267" t="inlineStr">
        <is>
          <t>TORSBY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53049-2025</t>
        </is>
      </c>
      <c r="B1268" s="1" t="n">
        <v>45958.36173611111</v>
      </c>
      <c r="C1268" s="1" t="n">
        <v>46033</v>
      </c>
      <c r="D1268" t="inlineStr">
        <is>
          <t>VÄRMLANDS LÄN</t>
        </is>
      </c>
      <c r="E1268" t="inlineStr">
        <is>
          <t>TORSBY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36256-2025</t>
        </is>
      </c>
      <c r="B1269" s="1" t="n">
        <v>45867.58938657407</v>
      </c>
      <c r="C1269" s="1" t="n">
        <v>46033</v>
      </c>
      <c r="D1269" t="inlineStr">
        <is>
          <t>VÄRMLANDS LÄN</t>
        </is>
      </c>
      <c r="E1269" t="inlineStr">
        <is>
          <t>TORSBY</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40470-2023</t>
        </is>
      </c>
      <c r="B1270" s="1" t="n">
        <v>45170</v>
      </c>
      <c r="C1270" s="1" t="n">
        <v>46033</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53272-2025</t>
        </is>
      </c>
      <c r="B1271" s="1" t="n">
        <v>45958.71019675926</v>
      </c>
      <c r="C1271" s="1" t="n">
        <v>46033</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60411-2025</t>
        </is>
      </c>
      <c r="B1272" s="1" t="n">
        <v>45995</v>
      </c>
      <c r="C1272" s="1" t="n">
        <v>46033</v>
      </c>
      <c r="D1272" t="inlineStr">
        <is>
          <t>VÄRMLANDS LÄN</t>
        </is>
      </c>
      <c r="E1272" t="inlineStr">
        <is>
          <t>TORSBY</t>
        </is>
      </c>
      <c r="F1272" t="inlineStr">
        <is>
          <t>Bergvik skog väst AB</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60414-2025</t>
        </is>
      </c>
      <c r="B1273" s="1" t="n">
        <v>45995</v>
      </c>
      <c r="C1273" s="1" t="n">
        <v>46033</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1092-2025</t>
        </is>
      </c>
      <c r="B1274" s="1" t="n">
        <v>45666.6333912037</v>
      </c>
      <c r="C1274" s="1" t="n">
        <v>46033</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22463-2021</t>
        </is>
      </c>
      <c r="B1275" s="1" t="n">
        <v>44326.67366898148</v>
      </c>
      <c r="C1275" s="1" t="n">
        <v>46033</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36258-2025</t>
        </is>
      </c>
      <c r="B1276" s="1" t="n">
        <v>45867.59559027778</v>
      </c>
      <c r="C1276" s="1" t="n">
        <v>46033</v>
      </c>
      <c r="D1276" t="inlineStr">
        <is>
          <t>VÄRMLANDS LÄN</t>
        </is>
      </c>
      <c r="E1276" t="inlineStr">
        <is>
          <t>TORSBY</t>
        </is>
      </c>
      <c r="F1276" t="inlineStr">
        <is>
          <t>Bergvik skog väst AB</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36288-2025</t>
        </is>
      </c>
      <c r="B1277" s="1" t="n">
        <v>45867.6619212963</v>
      </c>
      <c r="C1277" s="1" t="n">
        <v>46033</v>
      </c>
      <c r="D1277" t="inlineStr">
        <is>
          <t>VÄRMLANDS LÄN</t>
        </is>
      </c>
      <c r="E1277" t="inlineStr">
        <is>
          <t>TORSBY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36289-2025</t>
        </is>
      </c>
      <c r="B1278" s="1" t="n">
        <v>45867.66329861111</v>
      </c>
      <c r="C1278" s="1" t="n">
        <v>46033</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36279-2025</t>
        </is>
      </c>
      <c r="B1279" s="1" t="n">
        <v>45867.638125</v>
      </c>
      <c r="C1279" s="1" t="n">
        <v>46033</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20191-2025</t>
        </is>
      </c>
      <c r="B1280" s="1" t="n">
        <v>45772</v>
      </c>
      <c r="C1280" s="1" t="n">
        <v>46033</v>
      </c>
      <c r="D1280" t="inlineStr">
        <is>
          <t>VÄRMLANDS LÄN</t>
        </is>
      </c>
      <c r="E1280" t="inlineStr">
        <is>
          <t>TORSBY</t>
        </is>
      </c>
      <c r="F1280" t="inlineStr">
        <is>
          <t>Bergvik skog väst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25961-2025</t>
        </is>
      </c>
      <c r="B1281" s="1" t="n">
        <v>45804</v>
      </c>
      <c r="C1281" s="1" t="n">
        <v>46033</v>
      </c>
      <c r="D1281" t="inlineStr">
        <is>
          <t>VÄRMLANDS LÄN</t>
        </is>
      </c>
      <c r="E1281" t="inlineStr">
        <is>
          <t>TORSBY</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63032-2023</t>
        </is>
      </c>
      <c r="B1282" s="1" t="n">
        <v>45272.72728009259</v>
      </c>
      <c r="C1282" s="1" t="n">
        <v>46033</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36477-2025</t>
        </is>
      </c>
      <c r="B1283" s="1" t="n">
        <v>45869</v>
      </c>
      <c r="C1283" s="1" t="n">
        <v>46033</v>
      </c>
      <c r="D1283" t="inlineStr">
        <is>
          <t>VÄRMLANDS LÄN</t>
        </is>
      </c>
      <c r="E1283" t="inlineStr">
        <is>
          <t>TORSBY</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36548-2025</t>
        </is>
      </c>
      <c r="B1284" s="1" t="n">
        <v>45869.74849537037</v>
      </c>
      <c r="C1284" s="1" t="n">
        <v>46033</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34500-2024</t>
        </is>
      </c>
      <c r="B1285" s="1" t="n">
        <v>45525</v>
      </c>
      <c r="C1285" s="1" t="n">
        <v>46033</v>
      </c>
      <c r="D1285" t="inlineStr">
        <is>
          <t>VÄRMLANDS LÄN</t>
        </is>
      </c>
      <c r="E1285" t="inlineStr">
        <is>
          <t>TORSBY</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36483-2025</t>
        </is>
      </c>
      <c r="B1286" s="1" t="n">
        <v>45869</v>
      </c>
      <c r="C1286" s="1" t="n">
        <v>46033</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53605-2025</t>
        </is>
      </c>
      <c r="B1287" s="1" t="n">
        <v>45960.46434027778</v>
      </c>
      <c r="C1287" s="1" t="n">
        <v>46033</v>
      </c>
      <c r="D1287" t="inlineStr">
        <is>
          <t>VÄRMLANDS LÄN</t>
        </is>
      </c>
      <c r="E1287" t="inlineStr">
        <is>
          <t>TORSBY</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36530-2025</t>
        </is>
      </c>
      <c r="B1288" s="1" t="n">
        <v>45869.61282407407</v>
      </c>
      <c r="C1288" s="1" t="n">
        <v>46033</v>
      </c>
      <c r="D1288" t="inlineStr">
        <is>
          <t>VÄRMLANDS LÄN</t>
        </is>
      </c>
      <c r="E1288" t="inlineStr">
        <is>
          <t>TORSBY</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56634-2024</t>
        </is>
      </c>
      <c r="B1289" s="1" t="n">
        <v>45625.68491898148</v>
      </c>
      <c r="C1289" s="1" t="n">
        <v>46033</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11670-2025</t>
        </is>
      </c>
      <c r="B1290" s="1" t="n">
        <v>45727</v>
      </c>
      <c r="C1290" s="1" t="n">
        <v>46033</v>
      </c>
      <c r="D1290" t="inlineStr">
        <is>
          <t>VÄRMLANDS LÄN</t>
        </is>
      </c>
      <c r="E1290" t="inlineStr">
        <is>
          <t>TORSBY</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64432-2023</t>
        </is>
      </c>
      <c r="B1291" s="1" t="n">
        <v>45280.67184027778</v>
      </c>
      <c r="C1291" s="1" t="n">
        <v>46033</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6708-2023</t>
        </is>
      </c>
      <c r="B1292" s="1" t="n">
        <v>44960</v>
      </c>
      <c r="C1292" s="1" t="n">
        <v>46033</v>
      </c>
      <c r="D1292" t="inlineStr">
        <is>
          <t>VÄRMLANDS LÄN</t>
        </is>
      </c>
      <c r="E1292" t="inlineStr">
        <is>
          <t>TORSBY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6711-2023</t>
        </is>
      </c>
      <c r="B1293" s="1" t="n">
        <v>44960</v>
      </c>
      <c r="C1293" s="1" t="n">
        <v>46033</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6715-2023</t>
        </is>
      </c>
      <c r="B1294" s="1" t="n">
        <v>44960</v>
      </c>
      <c r="C1294" s="1" t="n">
        <v>46033</v>
      </c>
      <c r="D1294" t="inlineStr">
        <is>
          <t>VÄRMLANDS LÄN</t>
        </is>
      </c>
      <c r="E1294" t="inlineStr">
        <is>
          <t>TORSBY</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30074-2024</t>
        </is>
      </c>
      <c r="B1295" s="1" t="n">
        <v>45489</v>
      </c>
      <c r="C1295" s="1" t="n">
        <v>46033</v>
      </c>
      <c r="D1295" t="inlineStr">
        <is>
          <t>VÄRMLANDS LÄN</t>
        </is>
      </c>
      <c r="E1295" t="inlineStr">
        <is>
          <t>TORSBY</t>
        </is>
      </c>
      <c r="F1295" t="inlineStr">
        <is>
          <t>Kyrkan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56815-2023</t>
        </is>
      </c>
      <c r="B1296" s="1" t="n">
        <v>45244</v>
      </c>
      <c r="C1296" s="1" t="n">
        <v>46033</v>
      </c>
      <c r="D1296" t="inlineStr">
        <is>
          <t>VÄRMLANDS LÄN</t>
        </is>
      </c>
      <c r="E1296" t="inlineStr">
        <is>
          <t>TORSBY</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65713-2021</t>
        </is>
      </c>
      <c r="B1297" s="1" t="n">
        <v>44516</v>
      </c>
      <c r="C1297" s="1" t="n">
        <v>46033</v>
      </c>
      <c r="D1297" t="inlineStr">
        <is>
          <t>VÄRMLANDS LÄN</t>
        </is>
      </c>
      <c r="E1297" t="inlineStr">
        <is>
          <t>TORSBY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1512-2025</t>
        </is>
      </c>
      <c r="B1298" s="1" t="n">
        <v>45670.45255787037</v>
      </c>
      <c r="C1298" s="1" t="n">
        <v>46033</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1104-2025</t>
        </is>
      </c>
      <c r="B1299" s="1" t="n">
        <v>45666</v>
      </c>
      <c r="C1299" s="1" t="n">
        <v>46033</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13723-2023</t>
        </is>
      </c>
      <c r="B1300" s="1" t="n">
        <v>45007</v>
      </c>
      <c r="C1300" s="1" t="n">
        <v>46033</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24657-2024</t>
        </is>
      </c>
      <c r="B1301" s="1" t="n">
        <v>45460</v>
      </c>
      <c r="C1301" s="1" t="n">
        <v>46033</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52532-2023</t>
        </is>
      </c>
      <c r="B1302" s="1" t="n">
        <v>45225.54318287037</v>
      </c>
      <c r="C1302" s="1" t="n">
        <v>46033</v>
      </c>
      <c r="D1302" t="inlineStr">
        <is>
          <t>VÄRMLANDS LÄN</t>
        </is>
      </c>
      <c r="E1302" t="inlineStr">
        <is>
          <t>TORSBY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13006-2025</t>
        </is>
      </c>
      <c r="B1303" s="1" t="n">
        <v>45734.51652777778</v>
      </c>
      <c r="C1303" s="1" t="n">
        <v>46033</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59425-2021</t>
        </is>
      </c>
      <c r="B1304" s="1" t="n">
        <v>44491.43469907407</v>
      </c>
      <c r="C1304" s="1" t="n">
        <v>46033</v>
      </c>
      <c r="D1304" t="inlineStr">
        <is>
          <t>VÄRMLANDS LÄN</t>
        </is>
      </c>
      <c r="E1304" t="inlineStr">
        <is>
          <t>TORSBY</t>
        </is>
      </c>
      <c r="F1304" t="inlineStr">
        <is>
          <t>Bergvik skog väst AB</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69878-2021</t>
        </is>
      </c>
      <c r="B1305" s="1" t="n">
        <v>44532.82293981482</v>
      </c>
      <c r="C1305" s="1" t="n">
        <v>46033</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21518-2024</t>
        </is>
      </c>
      <c r="B1306" s="1" t="n">
        <v>45441</v>
      </c>
      <c r="C1306" s="1" t="n">
        <v>46033</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36498-2025</t>
        </is>
      </c>
      <c r="B1307" s="1" t="n">
        <v>45869</v>
      </c>
      <c r="C1307" s="1" t="n">
        <v>46033</v>
      </c>
      <c r="D1307" t="inlineStr">
        <is>
          <t>VÄRMLANDS LÄN</t>
        </is>
      </c>
      <c r="E1307" t="inlineStr">
        <is>
          <t>TORSBY</t>
        </is>
      </c>
      <c r="F1307" t="inlineStr">
        <is>
          <t>Bergvik skog väst AB</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36500-2025</t>
        </is>
      </c>
      <c r="B1308" s="1" t="n">
        <v>45869</v>
      </c>
      <c r="C1308" s="1" t="n">
        <v>46033</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53493-2025</t>
        </is>
      </c>
      <c r="B1309" s="1" t="n">
        <v>45960</v>
      </c>
      <c r="C1309" s="1" t="n">
        <v>46033</v>
      </c>
      <c r="D1309" t="inlineStr">
        <is>
          <t>VÄRMLANDS LÄN</t>
        </is>
      </c>
      <c r="E1309" t="inlineStr">
        <is>
          <t>TORSBY</t>
        </is>
      </c>
      <c r="F1309" t="inlineStr">
        <is>
          <t>Bergvik skog väst AB</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53677-2025</t>
        </is>
      </c>
      <c r="B1310" s="1" t="n">
        <v>45960.56180555555</v>
      </c>
      <c r="C1310" s="1" t="n">
        <v>46033</v>
      </c>
      <c r="D1310" t="inlineStr">
        <is>
          <t>VÄRMLANDS LÄN</t>
        </is>
      </c>
      <c r="E1310" t="inlineStr">
        <is>
          <t>TORSBY</t>
        </is>
      </c>
      <c r="F1310" t="inlineStr">
        <is>
          <t>Bergvik skog väst AB</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21790-2023</t>
        </is>
      </c>
      <c r="B1311" s="1" t="n">
        <v>45067</v>
      </c>
      <c r="C1311" s="1" t="n">
        <v>46033</v>
      </c>
      <c r="D1311" t="inlineStr">
        <is>
          <t>VÄRMLANDS LÄN</t>
        </is>
      </c>
      <c r="E1311" t="inlineStr">
        <is>
          <t>TORSBY</t>
        </is>
      </c>
      <c r="F1311" t="inlineStr">
        <is>
          <t>Övriga statliga verk och myndigheter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29936-2024</t>
        </is>
      </c>
      <c r="B1312" s="1" t="n">
        <v>45488</v>
      </c>
      <c r="C1312" s="1" t="n">
        <v>46033</v>
      </c>
      <c r="D1312" t="inlineStr">
        <is>
          <t>VÄRMLANDS LÄN</t>
        </is>
      </c>
      <c r="E1312" t="inlineStr">
        <is>
          <t>TORSBY</t>
        </is>
      </c>
      <c r="F1312" t="inlineStr">
        <is>
          <t>Kommuner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53520-2025</t>
        </is>
      </c>
      <c r="B1313" s="1" t="n">
        <v>45960.35893518518</v>
      </c>
      <c r="C1313" s="1" t="n">
        <v>46033</v>
      </c>
      <c r="D1313" t="inlineStr">
        <is>
          <t>VÄRMLANDS LÄN</t>
        </is>
      </c>
      <c r="E1313" t="inlineStr">
        <is>
          <t>TORSBY</t>
        </is>
      </c>
      <c r="F1313" t="inlineStr">
        <is>
          <t>Bergvik skog väst AB</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5351-2024</t>
        </is>
      </c>
      <c r="B1314" s="1" t="n">
        <v>45331.45199074074</v>
      </c>
      <c r="C1314" s="1" t="n">
        <v>46033</v>
      </c>
      <c r="D1314" t="inlineStr">
        <is>
          <t>VÄRMLANDS LÄN</t>
        </is>
      </c>
      <c r="E1314" t="inlineStr">
        <is>
          <t>TORSBY</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19159-2025</t>
        </is>
      </c>
      <c r="B1315" s="1" t="n">
        <v>45769</v>
      </c>
      <c r="C1315" s="1" t="n">
        <v>46033</v>
      </c>
      <c r="D1315" t="inlineStr">
        <is>
          <t>VÄRMLANDS LÄN</t>
        </is>
      </c>
      <c r="E1315" t="inlineStr">
        <is>
          <t>TORSBY</t>
        </is>
      </c>
      <c r="F1315" t="inlineStr">
        <is>
          <t>Bergvik skog väst AB</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46221-2023</t>
        </is>
      </c>
      <c r="B1316" s="1" t="n">
        <v>45196.66636574074</v>
      </c>
      <c r="C1316" s="1" t="n">
        <v>46033</v>
      </c>
      <c r="D1316" t="inlineStr">
        <is>
          <t>VÄRMLANDS LÄN</t>
        </is>
      </c>
      <c r="E1316" t="inlineStr">
        <is>
          <t>TORSBY</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64664-2023</t>
        </is>
      </c>
      <c r="B1317" s="1" t="n">
        <v>45281.60710648148</v>
      </c>
      <c r="C1317" s="1" t="n">
        <v>46033</v>
      </c>
      <c r="D1317" t="inlineStr">
        <is>
          <t>VÄRMLANDS LÄN</t>
        </is>
      </c>
      <c r="E1317" t="inlineStr">
        <is>
          <t>TORSBY</t>
        </is>
      </c>
      <c r="F1317" t="inlineStr">
        <is>
          <t>Bergvik skog väst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51199-2023</t>
        </is>
      </c>
      <c r="B1318" s="1" t="n">
        <v>45219.42247685185</v>
      </c>
      <c r="C1318" s="1" t="n">
        <v>46033</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62016-2025</t>
        </is>
      </c>
      <c r="B1319" s="1" t="n">
        <v>46003.68759259259</v>
      </c>
      <c r="C1319" s="1" t="n">
        <v>46033</v>
      </c>
      <c r="D1319" t="inlineStr">
        <is>
          <t>VÄRMLANDS LÄN</t>
        </is>
      </c>
      <c r="E1319" t="inlineStr">
        <is>
          <t>TORSBY</t>
        </is>
      </c>
      <c r="F1319" t="inlineStr">
        <is>
          <t>Kommuner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36920-2025</t>
        </is>
      </c>
      <c r="B1320" s="1" t="n">
        <v>45874</v>
      </c>
      <c r="C1320" s="1" t="n">
        <v>46033</v>
      </c>
      <c r="D1320" t="inlineStr">
        <is>
          <t>VÄRMLANDS LÄN</t>
        </is>
      </c>
      <c r="E1320" t="inlineStr">
        <is>
          <t>TORSBY</t>
        </is>
      </c>
      <c r="F1320" t="inlineStr">
        <is>
          <t>Bergvik skog väst AB</t>
        </is>
      </c>
      <c r="G1320" t="n">
        <v>15.9</v>
      </c>
      <c r="H1320" t="n">
        <v>0</v>
      </c>
      <c r="I1320" t="n">
        <v>0</v>
      </c>
      <c r="J1320" t="n">
        <v>0</v>
      </c>
      <c r="K1320" t="n">
        <v>0</v>
      </c>
      <c r="L1320" t="n">
        <v>0</v>
      </c>
      <c r="M1320" t="n">
        <v>0</v>
      </c>
      <c r="N1320" t="n">
        <v>0</v>
      </c>
      <c r="O1320" t="n">
        <v>0</v>
      </c>
      <c r="P1320" t="n">
        <v>0</v>
      </c>
      <c r="Q1320" t="n">
        <v>0</v>
      </c>
      <c r="R1320" s="2" t="inlineStr"/>
    </row>
    <row r="1321" ht="15" customHeight="1">
      <c r="A1321" t="inlineStr">
        <is>
          <t>A 36856-2025</t>
        </is>
      </c>
      <c r="B1321" s="1" t="n">
        <v>45874.40421296296</v>
      </c>
      <c r="C1321" s="1" t="n">
        <v>46033</v>
      </c>
      <c r="D1321" t="inlineStr">
        <is>
          <t>VÄRMLANDS LÄN</t>
        </is>
      </c>
      <c r="E1321" t="inlineStr">
        <is>
          <t>TORSBY</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53763-2025</t>
        </is>
      </c>
      <c r="B1322" s="1" t="n">
        <v>45960.67592592593</v>
      </c>
      <c r="C1322" s="1" t="n">
        <v>46033</v>
      </c>
      <c r="D1322" t="inlineStr">
        <is>
          <t>VÄRMLANDS LÄN</t>
        </is>
      </c>
      <c r="E1322" t="inlineStr">
        <is>
          <t>TORSBY</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18339-2024</t>
        </is>
      </c>
      <c r="B1323" s="1" t="n">
        <v>45422.58119212963</v>
      </c>
      <c r="C1323" s="1" t="n">
        <v>46033</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16003-2025</t>
        </is>
      </c>
      <c r="B1324" s="1" t="n">
        <v>45749</v>
      </c>
      <c r="C1324" s="1" t="n">
        <v>46033</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37260-2025</t>
        </is>
      </c>
      <c r="B1325" s="1" t="n">
        <v>45876</v>
      </c>
      <c r="C1325" s="1" t="n">
        <v>46033</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53596-2025</t>
        </is>
      </c>
      <c r="B1326" s="1" t="n">
        <v>45960.44909722222</v>
      </c>
      <c r="C1326" s="1" t="n">
        <v>46033</v>
      </c>
      <c r="D1326" t="inlineStr">
        <is>
          <t>VÄRMLANDS LÄN</t>
        </is>
      </c>
      <c r="E1326" t="inlineStr">
        <is>
          <t>TORSBY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20898-2023</t>
        </is>
      </c>
      <c r="B1327" s="1" t="n">
        <v>45059</v>
      </c>
      <c r="C1327" s="1" t="n">
        <v>46033</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60314-2023</t>
        </is>
      </c>
      <c r="B1328" s="1" t="n">
        <v>45258.87101851852</v>
      </c>
      <c r="C1328" s="1" t="n">
        <v>46033</v>
      </c>
      <c r="D1328" t="inlineStr">
        <is>
          <t>VÄRMLANDS LÄN</t>
        </is>
      </c>
      <c r="E1328" t="inlineStr">
        <is>
          <t>TORSBY</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41270-2023</t>
        </is>
      </c>
      <c r="B1329" s="1" t="n">
        <v>45174.54952546296</v>
      </c>
      <c r="C1329" s="1" t="n">
        <v>46033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32932-2024</t>
        </is>
      </c>
      <c r="B1330" s="1" t="n">
        <v>45517.31537037037</v>
      </c>
      <c r="C1330" s="1" t="n">
        <v>46033</v>
      </c>
      <c r="D1330" t="inlineStr">
        <is>
          <t>VÄRMLANDS LÄN</t>
        </is>
      </c>
      <c r="E1330" t="inlineStr">
        <is>
          <t>TORSBY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50852-2023</t>
        </is>
      </c>
      <c r="B1331" s="1" t="n">
        <v>45218.29837962963</v>
      </c>
      <c r="C1331" s="1" t="n">
        <v>46033</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27677-2024</t>
        </is>
      </c>
      <c r="B1332" s="1" t="n">
        <v>45475</v>
      </c>
      <c r="C1332" s="1" t="n">
        <v>46033</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27678-2024</t>
        </is>
      </c>
      <c r="B1333" s="1" t="n">
        <v>45475</v>
      </c>
      <c r="C1333" s="1" t="n">
        <v>46033</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26042-2024</t>
        </is>
      </c>
      <c r="B1334" s="1" t="n">
        <v>45468.29846064815</v>
      </c>
      <c r="C1334" s="1" t="n">
        <v>46033</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12440-2025</t>
        </is>
      </c>
      <c r="B1335" s="1" t="n">
        <v>45730</v>
      </c>
      <c r="C1335" s="1" t="n">
        <v>46033</v>
      </c>
      <c r="D1335" t="inlineStr">
        <is>
          <t>VÄRMLANDS LÄN</t>
        </is>
      </c>
      <c r="E1335" t="inlineStr">
        <is>
          <t>TORSBY</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15464-2025</t>
        </is>
      </c>
      <c r="B1336" s="1" t="n">
        <v>45747</v>
      </c>
      <c r="C1336" s="1" t="n">
        <v>46033</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46033</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46033</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52982-2023</t>
        </is>
      </c>
      <c r="B1339" s="1" t="n">
        <v>45226.61299768519</v>
      </c>
      <c r="C1339" s="1" t="n">
        <v>46033</v>
      </c>
      <c r="D1339" t="inlineStr">
        <is>
          <t>VÄRMLANDS LÄN</t>
        </is>
      </c>
      <c r="E1339" t="inlineStr">
        <is>
          <t>TORSBY</t>
        </is>
      </c>
      <c r="G1339" t="n">
        <v>35.5</v>
      </c>
      <c r="H1339" t="n">
        <v>0</v>
      </c>
      <c r="I1339" t="n">
        <v>0</v>
      </c>
      <c r="J1339" t="n">
        <v>0</v>
      </c>
      <c r="K1339" t="n">
        <v>0</v>
      </c>
      <c r="L1339" t="n">
        <v>0</v>
      </c>
      <c r="M1339" t="n">
        <v>0</v>
      </c>
      <c r="N1339" t="n">
        <v>0</v>
      </c>
      <c r="O1339" t="n">
        <v>0</v>
      </c>
      <c r="P1339" t="n">
        <v>0</v>
      </c>
      <c r="Q1339" t="n">
        <v>0</v>
      </c>
      <c r="R1339" s="2" t="inlineStr"/>
    </row>
    <row r="1340" ht="15" customHeight="1">
      <c r="A1340" t="inlineStr">
        <is>
          <t>A 58976-2024</t>
        </is>
      </c>
      <c r="B1340" s="1" t="n">
        <v>45636.6081712963</v>
      </c>
      <c r="C1340" s="1" t="n">
        <v>46033</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59613-2024</t>
        </is>
      </c>
      <c r="B1341" s="1" t="n">
        <v>45638</v>
      </c>
      <c r="C1341" s="1" t="n">
        <v>46033</v>
      </c>
      <c r="D1341" t="inlineStr">
        <is>
          <t>VÄRMLANDS LÄN</t>
        </is>
      </c>
      <c r="E1341" t="inlineStr">
        <is>
          <t>TORSBY</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54033-2021</t>
        </is>
      </c>
      <c r="B1342" s="1" t="n">
        <v>44470.38454861111</v>
      </c>
      <c r="C1342" s="1" t="n">
        <v>46033</v>
      </c>
      <c r="D1342" t="inlineStr">
        <is>
          <t>VÄRMLANDS LÄN</t>
        </is>
      </c>
      <c r="E1342" t="inlineStr">
        <is>
          <t>TORSBY</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58062-2021</t>
        </is>
      </c>
      <c r="B1343" s="1" t="n">
        <v>44487</v>
      </c>
      <c r="C1343" s="1" t="n">
        <v>46033</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59941-2023</t>
        </is>
      </c>
      <c r="B1344" s="1" t="n">
        <v>45257.67721064815</v>
      </c>
      <c r="C1344" s="1" t="n">
        <v>46033</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49840-2024</t>
        </is>
      </c>
      <c r="B1345" s="1" t="n">
        <v>45597</v>
      </c>
      <c r="C1345" s="1" t="n">
        <v>46033</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13561-2023</t>
        </is>
      </c>
      <c r="B1346" s="1" t="n">
        <v>45006.47429398148</v>
      </c>
      <c r="C1346" s="1" t="n">
        <v>46033</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18411-2023</t>
        </is>
      </c>
      <c r="B1347" s="1" t="n">
        <v>45042</v>
      </c>
      <c r="C1347" s="1" t="n">
        <v>46033</v>
      </c>
      <c r="D1347" t="inlineStr">
        <is>
          <t>VÄRMLANDS LÄN</t>
        </is>
      </c>
      <c r="E1347" t="inlineStr">
        <is>
          <t>TORSBY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19675-2023</t>
        </is>
      </c>
      <c r="B1348" s="1" t="n">
        <v>45051</v>
      </c>
      <c r="C1348" s="1" t="n">
        <v>46033</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5839-2021</t>
        </is>
      </c>
      <c r="B1349" s="1" t="n">
        <v>44231</v>
      </c>
      <c r="C1349" s="1" t="n">
        <v>46033</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57216-2023</t>
        </is>
      </c>
      <c r="B1350" s="1" t="n">
        <v>45245</v>
      </c>
      <c r="C1350" s="1" t="n">
        <v>46033</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6653-2025</t>
        </is>
      </c>
      <c r="B1351" s="1" t="n">
        <v>45700.42601851852</v>
      </c>
      <c r="C1351" s="1" t="n">
        <v>46033</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61565-2024</t>
        </is>
      </c>
      <c r="B1352" s="1" t="n">
        <v>45646</v>
      </c>
      <c r="C1352" s="1" t="n">
        <v>46033</v>
      </c>
      <c r="D1352" t="inlineStr">
        <is>
          <t>VÄRMLANDS LÄN</t>
        </is>
      </c>
      <c r="E1352" t="inlineStr">
        <is>
          <t>TORSBY</t>
        </is>
      </c>
      <c r="F1352" t="inlineStr">
        <is>
          <t>Bergvik skog väst AB</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12528-2025</t>
        </is>
      </c>
      <c r="B1353" s="1" t="n">
        <v>45730</v>
      </c>
      <c r="C1353" s="1" t="n">
        <v>46033</v>
      </c>
      <c r="D1353" t="inlineStr">
        <is>
          <t>VÄRMLANDS LÄN</t>
        </is>
      </c>
      <c r="E1353" t="inlineStr">
        <is>
          <t>TORSBY</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12554-2025</t>
        </is>
      </c>
      <c r="B1354" s="1" t="n">
        <v>45731</v>
      </c>
      <c r="C1354" s="1" t="n">
        <v>46033</v>
      </c>
      <c r="D1354" t="inlineStr">
        <is>
          <t>VÄRMLANDS LÄN</t>
        </is>
      </c>
      <c r="E1354" t="inlineStr">
        <is>
          <t>TORSBY</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37300-2025</t>
        </is>
      </c>
      <c r="B1355" s="1" t="n">
        <v>45876</v>
      </c>
      <c r="C1355" s="1" t="n">
        <v>46033</v>
      </c>
      <c r="D1355" t="inlineStr">
        <is>
          <t>VÄRMLANDS LÄN</t>
        </is>
      </c>
      <c r="E1355" t="inlineStr">
        <is>
          <t>TORSBY</t>
        </is>
      </c>
      <c r="F1355" t="inlineStr">
        <is>
          <t>Bergvik skog väst AB</t>
        </is>
      </c>
      <c r="G1355" t="n">
        <v>33.6</v>
      </c>
      <c r="H1355" t="n">
        <v>0</v>
      </c>
      <c r="I1355" t="n">
        <v>0</v>
      </c>
      <c r="J1355" t="n">
        <v>0</v>
      </c>
      <c r="K1355" t="n">
        <v>0</v>
      </c>
      <c r="L1355" t="n">
        <v>0</v>
      </c>
      <c r="M1355" t="n">
        <v>0</v>
      </c>
      <c r="N1355" t="n">
        <v>0</v>
      </c>
      <c r="O1355" t="n">
        <v>0</v>
      </c>
      <c r="P1355" t="n">
        <v>0</v>
      </c>
      <c r="Q1355" t="n">
        <v>0</v>
      </c>
      <c r="R1355" s="2" t="inlineStr"/>
    </row>
    <row r="1356" ht="15" customHeight="1">
      <c r="A1356" t="inlineStr">
        <is>
          <t>A 36782-2024</t>
        </is>
      </c>
      <c r="B1356" s="1" t="n">
        <v>45538</v>
      </c>
      <c r="C1356" s="1" t="n">
        <v>46033</v>
      </c>
      <c r="D1356" t="inlineStr">
        <is>
          <t>VÄRMLANDS LÄN</t>
        </is>
      </c>
      <c r="E1356" t="inlineStr">
        <is>
          <t>TORSBY</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36790-2024</t>
        </is>
      </c>
      <c r="B1357" s="1" t="n">
        <v>45538.43484953704</v>
      </c>
      <c r="C1357" s="1" t="n">
        <v>46033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50372-2024</t>
        </is>
      </c>
      <c r="B1358" s="1" t="n">
        <v>45601.25935185186</v>
      </c>
      <c r="C1358" s="1" t="n">
        <v>46033</v>
      </c>
      <c r="D1358" t="inlineStr">
        <is>
          <t>VÄRMLANDS LÄN</t>
        </is>
      </c>
      <c r="E1358" t="inlineStr">
        <is>
          <t>TORSBY</t>
        </is>
      </c>
      <c r="F1358" t="inlineStr">
        <is>
          <t>Övriga Aktiebolag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49845-2024</t>
        </is>
      </c>
      <c r="B1359" s="1" t="n">
        <v>45597</v>
      </c>
      <c r="C1359" s="1" t="n">
        <v>46033</v>
      </c>
      <c r="D1359" t="inlineStr">
        <is>
          <t>VÄRMLANDS LÄN</t>
        </is>
      </c>
      <c r="E1359" t="inlineStr">
        <is>
          <t>TORSBY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46033</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37334-2025</t>
        </is>
      </c>
      <c r="B1361" s="1" t="n">
        <v>45876.66663194444</v>
      </c>
      <c r="C1361" s="1" t="n">
        <v>46033</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37339-2025</t>
        </is>
      </c>
      <c r="B1362" s="1" t="n">
        <v>45876.68457175926</v>
      </c>
      <c r="C1362" s="1" t="n">
        <v>46033</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53848-2025</t>
        </is>
      </c>
      <c r="B1363" s="1" t="n">
        <v>45961.36832175926</v>
      </c>
      <c r="C1363" s="1" t="n">
        <v>46033</v>
      </c>
      <c r="D1363" t="inlineStr">
        <is>
          <t>VÄRMLANDS LÄN</t>
        </is>
      </c>
      <c r="E1363" t="inlineStr">
        <is>
          <t>TORSBY</t>
        </is>
      </c>
      <c r="G1363" t="n">
        <v>19.1</v>
      </c>
      <c r="H1363" t="n">
        <v>0</v>
      </c>
      <c r="I1363" t="n">
        <v>0</v>
      </c>
      <c r="J1363" t="n">
        <v>0</v>
      </c>
      <c r="K1363" t="n">
        <v>0</v>
      </c>
      <c r="L1363" t="n">
        <v>0</v>
      </c>
      <c r="M1363" t="n">
        <v>0</v>
      </c>
      <c r="N1363" t="n">
        <v>0</v>
      </c>
      <c r="O1363" t="n">
        <v>0</v>
      </c>
      <c r="P1363" t="n">
        <v>0</v>
      </c>
      <c r="Q1363" t="n">
        <v>0</v>
      </c>
      <c r="R1363" s="2" t="inlineStr"/>
    </row>
    <row r="1364" ht="15" customHeight="1">
      <c r="A1364" t="inlineStr">
        <is>
          <t>A 37381-2025</t>
        </is>
      </c>
      <c r="B1364" s="1" t="n">
        <v>45877</v>
      </c>
      <c r="C1364" s="1" t="n">
        <v>46033</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54029-2021</t>
        </is>
      </c>
      <c r="B1365" s="1" t="n">
        <v>44470.37834490741</v>
      </c>
      <c r="C1365" s="1" t="n">
        <v>46033</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54160-2022</t>
        </is>
      </c>
      <c r="B1366" s="1" t="n">
        <v>44881</v>
      </c>
      <c r="C1366" s="1" t="n">
        <v>46033</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41315-2022</t>
        </is>
      </c>
      <c r="B1367" s="1" t="n">
        <v>44826</v>
      </c>
      <c r="C1367" s="1" t="n">
        <v>46033</v>
      </c>
      <c r="D1367" t="inlineStr">
        <is>
          <t>VÄRMLANDS LÄN</t>
        </is>
      </c>
      <c r="E1367" t="inlineStr">
        <is>
          <t>TORSBY</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41322-2022</t>
        </is>
      </c>
      <c r="B1368" s="1" t="n">
        <v>44826</v>
      </c>
      <c r="C1368" s="1" t="n">
        <v>46033</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50138-2023</t>
        </is>
      </c>
      <c r="B1369" s="1" t="n">
        <v>45215.66738425926</v>
      </c>
      <c r="C1369" s="1" t="n">
        <v>46033</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7927-2024</t>
        </is>
      </c>
      <c r="B1370" s="1" t="n">
        <v>45350</v>
      </c>
      <c r="C1370" s="1" t="n">
        <v>46033</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37230-2025</t>
        </is>
      </c>
      <c r="B1371" s="1" t="n">
        <v>45876</v>
      </c>
      <c r="C1371" s="1" t="n">
        <v>46033</v>
      </c>
      <c r="D1371" t="inlineStr">
        <is>
          <t>VÄRMLANDS LÄN</t>
        </is>
      </c>
      <c r="E1371" t="inlineStr">
        <is>
          <t>TORSBY</t>
        </is>
      </c>
      <c r="F1371" t="inlineStr">
        <is>
          <t>Bergvik skog väst AB</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31493-2021</t>
        </is>
      </c>
      <c r="B1372" s="1" t="n">
        <v>44369</v>
      </c>
      <c r="C1372" s="1" t="n">
        <v>46033</v>
      </c>
      <c r="D1372" t="inlineStr">
        <is>
          <t>VÄRMLANDS LÄN</t>
        </is>
      </c>
      <c r="E1372" t="inlineStr">
        <is>
          <t>TORSBY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40718-2022</t>
        </is>
      </c>
      <c r="B1373" s="1" t="n">
        <v>44824.49635416667</v>
      </c>
      <c r="C1373" s="1" t="n">
        <v>46033</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12402-2025</t>
        </is>
      </c>
      <c r="B1374" s="1" t="n">
        <v>45730.4228125</v>
      </c>
      <c r="C1374" s="1" t="n">
        <v>46033</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22386-2025</t>
        </is>
      </c>
      <c r="B1375" s="1" t="n">
        <v>45786.50703703704</v>
      </c>
      <c r="C1375" s="1" t="n">
        <v>46033</v>
      </c>
      <c r="D1375" t="inlineStr">
        <is>
          <t>VÄRMLANDS LÄN</t>
        </is>
      </c>
      <c r="E1375" t="inlineStr">
        <is>
          <t>TORSBY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30299-2025</t>
        </is>
      </c>
      <c r="B1376" s="1" t="n">
        <v>45827</v>
      </c>
      <c r="C1376" s="1" t="n">
        <v>46033</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37348-2025</t>
        </is>
      </c>
      <c r="B1377" s="1" t="n">
        <v>45876.71136574074</v>
      </c>
      <c r="C1377" s="1" t="n">
        <v>46033</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17879-2024</t>
        </is>
      </c>
      <c r="B1378" s="1" t="n">
        <v>45419</v>
      </c>
      <c r="C1378" s="1" t="n">
        <v>46033</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36674-2023</t>
        </is>
      </c>
      <c r="B1379" s="1" t="n">
        <v>45153.5908912037</v>
      </c>
      <c r="C1379" s="1" t="n">
        <v>46033</v>
      </c>
      <c r="D1379" t="inlineStr">
        <is>
          <t>VÄRMLANDS LÄN</t>
        </is>
      </c>
      <c r="E1379" t="inlineStr">
        <is>
          <t>TORSBY</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28005-2024</t>
        </is>
      </c>
      <c r="B1380" s="1" t="n">
        <v>45476</v>
      </c>
      <c r="C1380" s="1" t="n">
        <v>46033</v>
      </c>
      <c r="D1380" t="inlineStr">
        <is>
          <t>VÄRMLANDS LÄN</t>
        </is>
      </c>
      <c r="E1380" t="inlineStr">
        <is>
          <t>TORSBY</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1123-2023</t>
        </is>
      </c>
      <c r="B1381" s="1" t="n">
        <v>44935</v>
      </c>
      <c r="C1381" s="1" t="n">
        <v>46033</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9704-2025</t>
        </is>
      </c>
      <c r="B1382" s="1" t="n">
        <v>45716.38378472222</v>
      </c>
      <c r="C1382" s="1" t="n">
        <v>46033</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37236-2025</t>
        </is>
      </c>
      <c r="B1383" s="1" t="n">
        <v>45876.36116898148</v>
      </c>
      <c r="C1383" s="1" t="n">
        <v>46033</v>
      </c>
      <c r="D1383" t="inlineStr">
        <is>
          <t>VÄRMLANDS LÄN</t>
        </is>
      </c>
      <c r="E1383" t="inlineStr">
        <is>
          <t>TORSBY</t>
        </is>
      </c>
      <c r="F1383" t="inlineStr">
        <is>
          <t>Bergvik skog väst AB</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45152-2023</t>
        </is>
      </c>
      <c r="B1384" s="1" t="n">
        <v>45191</v>
      </c>
      <c r="C1384" s="1" t="n">
        <v>46033</v>
      </c>
      <c r="D1384" t="inlineStr">
        <is>
          <t>VÄRMLANDS LÄN</t>
        </is>
      </c>
      <c r="E1384" t="inlineStr">
        <is>
          <t>TORSBY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42701-2022</t>
        </is>
      </c>
      <c r="B1385" s="1" t="n">
        <v>44832</v>
      </c>
      <c r="C1385" s="1" t="n">
        <v>46033</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24150-2021</t>
        </is>
      </c>
      <c r="B1386" s="1" t="n">
        <v>44336</v>
      </c>
      <c r="C1386" s="1" t="n">
        <v>46033</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37583-2025</t>
        </is>
      </c>
      <c r="B1387" s="1" t="n">
        <v>45880</v>
      </c>
      <c r="C1387" s="1" t="n">
        <v>46033</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46033</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37566-2025</t>
        </is>
      </c>
      <c r="B1389" s="1" t="n">
        <v>45880</v>
      </c>
      <c r="C1389" s="1" t="n">
        <v>46033</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37937-2025</t>
        </is>
      </c>
      <c r="B1390" s="1" t="n">
        <v>45881</v>
      </c>
      <c r="C1390" s="1" t="n">
        <v>46033</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37546-2025</t>
        </is>
      </c>
      <c r="B1391" s="1" t="n">
        <v>45879</v>
      </c>
      <c r="C1391" s="1" t="n">
        <v>46033</v>
      </c>
      <c r="D1391" t="inlineStr">
        <is>
          <t>VÄRMLANDS LÄN</t>
        </is>
      </c>
      <c r="E1391" t="inlineStr">
        <is>
          <t>TORSBY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24630-2024</t>
        </is>
      </c>
      <c r="B1392" s="1" t="n">
        <v>45460.51149305556</v>
      </c>
      <c r="C1392" s="1" t="n">
        <v>46033</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37547-2025</t>
        </is>
      </c>
      <c r="B1393" s="1" t="n">
        <v>45879</v>
      </c>
      <c r="C1393" s="1" t="n">
        <v>46033</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38086-2023</t>
        </is>
      </c>
      <c r="B1394" s="1" t="n">
        <v>45160</v>
      </c>
      <c r="C1394" s="1" t="n">
        <v>46033</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9723-2025</t>
        </is>
      </c>
      <c r="B1395" s="1" t="n">
        <v>45715</v>
      </c>
      <c r="C1395" s="1" t="n">
        <v>46033</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364-2025</t>
        </is>
      </c>
      <c r="B1396" s="1" t="n">
        <v>45661</v>
      </c>
      <c r="C1396" s="1" t="n">
        <v>46033</v>
      </c>
      <c r="D1396" t="inlineStr">
        <is>
          <t>VÄRMLANDS LÄN</t>
        </is>
      </c>
      <c r="E1396" t="inlineStr">
        <is>
          <t>TORSBY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37904-2025</t>
        </is>
      </c>
      <c r="B1397" s="1" t="n">
        <v>45881</v>
      </c>
      <c r="C1397" s="1" t="n">
        <v>46033</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37908-2025</t>
        </is>
      </c>
      <c r="B1398" s="1" t="n">
        <v>45881.5732175926</v>
      </c>
      <c r="C1398" s="1" t="n">
        <v>46033</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37945-2025</t>
        </is>
      </c>
      <c r="B1399" s="1" t="n">
        <v>45881</v>
      </c>
      <c r="C1399" s="1" t="n">
        <v>46033</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37575-2025</t>
        </is>
      </c>
      <c r="B1400" s="1" t="n">
        <v>45880.38028935185</v>
      </c>
      <c r="C1400" s="1" t="n">
        <v>46033</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37760-2025</t>
        </is>
      </c>
      <c r="B1401" s="1" t="n">
        <v>45880</v>
      </c>
      <c r="C1401" s="1" t="n">
        <v>46033</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62010-2025</t>
        </is>
      </c>
      <c r="B1402" s="1" t="n">
        <v>46003.67737268518</v>
      </c>
      <c r="C1402" s="1" t="n">
        <v>46033</v>
      </c>
      <c r="D1402" t="inlineStr">
        <is>
          <t>VÄRMLANDS LÄN</t>
        </is>
      </c>
      <c r="E1402" t="inlineStr">
        <is>
          <t>TORSBY</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53601-2025</t>
        </is>
      </c>
      <c r="B1403" s="1" t="n">
        <v>45960.45984953704</v>
      </c>
      <c r="C1403" s="1" t="n">
        <v>46033</v>
      </c>
      <c r="D1403" t="inlineStr">
        <is>
          <t>VÄRMLANDS LÄN</t>
        </is>
      </c>
      <c r="E1403" t="inlineStr">
        <is>
          <t>TORSBY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37927-2025</t>
        </is>
      </c>
      <c r="B1404" s="1" t="n">
        <v>45881.58063657407</v>
      </c>
      <c r="C1404" s="1" t="n">
        <v>46033</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37736-2025</t>
        </is>
      </c>
      <c r="B1405" s="1" t="n">
        <v>45880</v>
      </c>
      <c r="C1405" s="1" t="n">
        <v>46033</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22464-2021</t>
        </is>
      </c>
      <c r="B1406" s="1" t="n">
        <v>44326.67932870371</v>
      </c>
      <c r="C1406" s="1" t="n">
        <v>46033</v>
      </c>
      <c r="D1406" t="inlineStr">
        <is>
          <t>VÄRMLANDS LÄN</t>
        </is>
      </c>
      <c r="E1406" t="inlineStr">
        <is>
          <t>TORSBY</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47694-2022</t>
        </is>
      </c>
      <c r="B1407" s="1" t="n">
        <v>44854</v>
      </c>
      <c r="C1407" s="1" t="n">
        <v>46033</v>
      </c>
      <c r="D1407" t="inlineStr">
        <is>
          <t>VÄRMLANDS LÄN</t>
        </is>
      </c>
      <c r="E1407" t="inlineStr">
        <is>
          <t>TORSBY</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38056-2025</t>
        </is>
      </c>
      <c r="B1408" s="1" t="n">
        <v>45882</v>
      </c>
      <c r="C1408" s="1" t="n">
        <v>46033</v>
      </c>
      <c r="D1408" t="inlineStr">
        <is>
          <t>VÄRMLANDS LÄN</t>
        </is>
      </c>
      <c r="E1408" t="inlineStr">
        <is>
          <t>TORSBY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1432-2025</t>
        </is>
      </c>
      <c r="B1409" s="1" t="n">
        <v>45669</v>
      </c>
      <c r="C1409" s="1" t="n">
        <v>46033</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1435-2025</t>
        </is>
      </c>
      <c r="B1410" s="1" t="n">
        <v>45669</v>
      </c>
      <c r="C1410" s="1" t="n">
        <v>46033</v>
      </c>
      <c r="D1410" t="inlineStr">
        <is>
          <t>VÄRMLANDS LÄN</t>
        </is>
      </c>
      <c r="E1410" t="inlineStr">
        <is>
          <t>TORSBY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22687-2023</t>
        </is>
      </c>
      <c r="B1411" s="1" t="n">
        <v>45071</v>
      </c>
      <c r="C1411" s="1" t="n">
        <v>46033</v>
      </c>
      <c r="D1411" t="inlineStr">
        <is>
          <t>VÄRMLANDS LÄN</t>
        </is>
      </c>
      <c r="E1411" t="inlineStr">
        <is>
          <t>TORSBY</t>
        </is>
      </c>
      <c r="F1411" t="inlineStr">
        <is>
          <t>Bergvik skog väst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375-2025</t>
        </is>
      </c>
      <c r="B1412" s="1" t="n">
        <v>45661</v>
      </c>
      <c r="C1412" s="1" t="n">
        <v>46033</v>
      </c>
      <c r="D1412" t="inlineStr">
        <is>
          <t>VÄRMLANDS LÄN</t>
        </is>
      </c>
      <c r="E1412" t="inlineStr">
        <is>
          <t>TORSBY</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38315-2025</t>
        </is>
      </c>
      <c r="B1413" s="1" t="n">
        <v>45883.47824074074</v>
      </c>
      <c r="C1413" s="1" t="n">
        <v>46033</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20182-2021</t>
        </is>
      </c>
      <c r="B1414" s="1" t="n">
        <v>44312</v>
      </c>
      <c r="C1414" s="1" t="n">
        <v>46033</v>
      </c>
      <c r="D1414" t="inlineStr">
        <is>
          <t>VÄRMLANDS LÄN</t>
        </is>
      </c>
      <c r="E1414" t="inlineStr">
        <is>
          <t>TORSBY</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53652-2023</t>
        </is>
      </c>
      <c r="B1415" s="1" t="n">
        <v>45224</v>
      </c>
      <c r="C1415" s="1" t="n">
        <v>46033</v>
      </c>
      <c r="D1415" t="inlineStr">
        <is>
          <t>VÄRMLANDS LÄN</t>
        </is>
      </c>
      <c r="E1415" t="inlineStr">
        <is>
          <t>TORSBY</t>
        </is>
      </c>
      <c r="F1415" t="inlineStr">
        <is>
          <t>Övriga statliga verk och myndigheter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43599-2023</t>
        </is>
      </c>
      <c r="B1416" s="1" t="n">
        <v>45184</v>
      </c>
      <c r="C1416" s="1" t="n">
        <v>46033</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38076-2024</t>
        </is>
      </c>
      <c r="B1417" s="1" t="n">
        <v>45544</v>
      </c>
      <c r="C1417" s="1" t="n">
        <v>46033</v>
      </c>
      <c r="D1417" t="inlineStr">
        <is>
          <t>VÄRMLANDS LÄN</t>
        </is>
      </c>
      <c r="E1417" t="inlineStr">
        <is>
          <t>TORSBY</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44325-2024</t>
        </is>
      </c>
      <c r="B1418" s="1" t="n">
        <v>45573</v>
      </c>
      <c r="C1418" s="1" t="n">
        <v>46033</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40987-2024</t>
        </is>
      </c>
      <c r="B1419" s="1" t="n">
        <v>45558</v>
      </c>
      <c r="C1419" s="1" t="n">
        <v>46033</v>
      </c>
      <c r="D1419" t="inlineStr">
        <is>
          <t>VÄRMLANDS LÄN</t>
        </is>
      </c>
      <c r="E1419" t="inlineStr">
        <is>
          <t>TORSBY</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9056-2023</t>
        </is>
      </c>
      <c r="B1420" s="1" t="n">
        <v>44979</v>
      </c>
      <c r="C1420" s="1" t="n">
        <v>46033</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38397-2025</t>
        </is>
      </c>
      <c r="B1421" s="1" t="n">
        <v>45883</v>
      </c>
      <c r="C1421" s="1" t="n">
        <v>46033</v>
      </c>
      <c r="D1421" t="inlineStr">
        <is>
          <t>VÄRMLANDS LÄN</t>
        </is>
      </c>
      <c r="E1421" t="inlineStr">
        <is>
          <t>TORSBY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65301-2021</t>
        </is>
      </c>
      <c r="B1422" s="1" t="n">
        <v>44515</v>
      </c>
      <c r="C1422" s="1" t="n">
        <v>46033</v>
      </c>
      <c r="D1422" t="inlineStr">
        <is>
          <t>VÄRMLANDS LÄN</t>
        </is>
      </c>
      <c r="E1422" t="inlineStr">
        <is>
          <t>TORSBY</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32343-2024</t>
        </is>
      </c>
      <c r="B1423" s="1" t="n">
        <v>45512.520625</v>
      </c>
      <c r="C1423" s="1" t="n">
        <v>46033</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46033</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62015-2025</t>
        </is>
      </c>
      <c r="B1425" s="1" t="n">
        <v>46003</v>
      </c>
      <c r="C1425" s="1" t="n">
        <v>46033</v>
      </c>
      <c r="D1425" t="inlineStr">
        <is>
          <t>VÄRMLANDS LÄN</t>
        </is>
      </c>
      <c r="E1425" t="inlineStr">
        <is>
          <t>TORSBY</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31830-2024</t>
        </is>
      </c>
      <c r="B1426" s="1" t="n">
        <v>45509</v>
      </c>
      <c r="C1426" s="1" t="n">
        <v>46033</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62120-2025</t>
        </is>
      </c>
      <c r="B1427" s="1" t="n">
        <v>46006.44184027778</v>
      </c>
      <c r="C1427" s="1" t="n">
        <v>46033</v>
      </c>
      <c r="D1427" t="inlineStr">
        <is>
          <t>VÄRMLANDS LÄN</t>
        </is>
      </c>
      <c r="E1427" t="inlineStr">
        <is>
          <t>TORSBY</t>
        </is>
      </c>
      <c r="F1427" t="inlineStr">
        <is>
          <t>Övriga statliga verk och myndigheter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37818-2025</t>
        </is>
      </c>
      <c r="B1428" s="1" t="n">
        <v>45881</v>
      </c>
      <c r="C1428" s="1" t="n">
        <v>46033</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38165-2025</t>
        </is>
      </c>
      <c r="B1429" s="1" t="n">
        <v>45882.63063657407</v>
      </c>
      <c r="C1429" s="1" t="n">
        <v>46033</v>
      </c>
      <c r="D1429" t="inlineStr">
        <is>
          <t>VÄRMLANDS LÄN</t>
        </is>
      </c>
      <c r="E1429" t="inlineStr">
        <is>
          <t>TORSBY</t>
        </is>
      </c>
      <c r="F1429" t="inlineStr">
        <is>
          <t>Bergvik skog väst AB</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54412-2025</t>
        </is>
      </c>
      <c r="B1430" s="1" t="n">
        <v>45965.46076388889</v>
      </c>
      <c r="C1430" s="1" t="n">
        <v>46033</v>
      </c>
      <c r="D1430" t="inlineStr">
        <is>
          <t>VÄRMLANDS LÄN</t>
        </is>
      </c>
      <c r="E1430" t="inlineStr">
        <is>
          <t>TORSBY</t>
        </is>
      </c>
      <c r="F1430" t="inlineStr">
        <is>
          <t>Bergvik skog väst AB</t>
        </is>
      </c>
      <c r="G1430" t="n">
        <v>37.8</v>
      </c>
      <c r="H1430" t="n">
        <v>0</v>
      </c>
      <c r="I1430" t="n">
        <v>0</v>
      </c>
      <c r="J1430" t="n">
        <v>0</v>
      </c>
      <c r="K1430" t="n">
        <v>0</v>
      </c>
      <c r="L1430" t="n">
        <v>0</v>
      </c>
      <c r="M1430" t="n">
        <v>0</v>
      </c>
      <c r="N1430" t="n">
        <v>0</v>
      </c>
      <c r="O1430" t="n">
        <v>0</v>
      </c>
      <c r="P1430" t="n">
        <v>0</v>
      </c>
      <c r="Q1430" t="n">
        <v>0</v>
      </c>
      <c r="R1430" s="2" t="inlineStr"/>
    </row>
    <row r="1431" ht="15" customHeight="1">
      <c r="A1431" t="inlineStr">
        <is>
          <t>A 37878-2025</t>
        </is>
      </c>
      <c r="B1431" s="1" t="n">
        <v>45881</v>
      </c>
      <c r="C1431" s="1" t="n">
        <v>46033</v>
      </c>
      <c r="D1431" t="inlineStr">
        <is>
          <t>VÄRMLANDS LÄN</t>
        </is>
      </c>
      <c r="E1431" t="inlineStr">
        <is>
          <t>TORSBY</t>
        </is>
      </c>
      <c r="F1431" t="inlineStr">
        <is>
          <t>Bergvik skog väst AB</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42428-2024</t>
        </is>
      </c>
      <c r="B1432" s="1" t="n">
        <v>45565</v>
      </c>
      <c r="C1432" s="1" t="n">
        <v>46033</v>
      </c>
      <c r="D1432" t="inlineStr">
        <is>
          <t>VÄRMLANDS LÄN</t>
        </is>
      </c>
      <c r="E1432" t="inlineStr">
        <is>
          <t>TORSBY</t>
        </is>
      </c>
      <c r="F1432" t="inlineStr">
        <is>
          <t>Bergvik skog väst AB</t>
        </is>
      </c>
      <c r="G1432" t="n">
        <v>20.7</v>
      </c>
      <c r="H1432" t="n">
        <v>0</v>
      </c>
      <c r="I1432" t="n">
        <v>0</v>
      </c>
      <c r="J1432" t="n">
        <v>0</v>
      </c>
      <c r="K1432" t="n">
        <v>0</v>
      </c>
      <c r="L1432" t="n">
        <v>0</v>
      </c>
      <c r="M1432" t="n">
        <v>0</v>
      </c>
      <c r="N1432" t="n">
        <v>0</v>
      </c>
      <c r="O1432" t="n">
        <v>0</v>
      </c>
      <c r="P1432" t="n">
        <v>0</v>
      </c>
      <c r="Q1432" t="n">
        <v>0</v>
      </c>
      <c r="R1432" s="2" t="inlineStr"/>
    </row>
    <row r="1433" ht="15" customHeight="1">
      <c r="A1433" t="inlineStr">
        <is>
          <t>A 38232-2025</t>
        </is>
      </c>
      <c r="B1433" s="1" t="n">
        <v>45883</v>
      </c>
      <c r="C1433" s="1" t="n">
        <v>46033</v>
      </c>
      <c r="D1433" t="inlineStr">
        <is>
          <t>VÄRMLANDS LÄN</t>
        </is>
      </c>
      <c r="E1433" t="inlineStr">
        <is>
          <t>TORSBY</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46033</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54101-2025</t>
        </is>
      </c>
      <c r="B1435" s="1" t="n">
        <v>45964.42424768519</v>
      </c>
      <c r="C1435" s="1" t="n">
        <v>46033</v>
      </c>
      <c r="D1435" t="inlineStr">
        <is>
          <t>VÄRMLANDS LÄN</t>
        </is>
      </c>
      <c r="E1435" t="inlineStr">
        <is>
          <t>TORSBY</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54079-2025</t>
        </is>
      </c>
      <c r="B1436" s="1" t="n">
        <v>45964</v>
      </c>
      <c r="C1436" s="1" t="n">
        <v>46033</v>
      </c>
      <c r="D1436" t="inlineStr">
        <is>
          <t>VÄRMLANDS LÄN</t>
        </is>
      </c>
      <c r="E1436" t="inlineStr">
        <is>
          <t>TORSBY</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61368-2025</t>
        </is>
      </c>
      <c r="B1437" s="1" t="n">
        <v>46001</v>
      </c>
      <c r="C1437" s="1" t="n">
        <v>46033</v>
      </c>
      <c r="D1437" t="inlineStr">
        <is>
          <t>VÄRMLANDS LÄN</t>
        </is>
      </c>
      <c r="E1437" t="inlineStr">
        <is>
          <t>TORSBY</t>
        </is>
      </c>
      <c r="F1437" t="inlineStr">
        <is>
          <t>Bergvik skog väst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61504-2025</t>
        </is>
      </c>
      <c r="B1438" s="1" t="n">
        <v>46001</v>
      </c>
      <c r="C1438" s="1" t="n">
        <v>46033</v>
      </c>
      <c r="D1438" t="inlineStr">
        <is>
          <t>VÄRMLANDS LÄN</t>
        </is>
      </c>
      <c r="E1438" t="inlineStr">
        <is>
          <t>TORSBY</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60525-2023</t>
        </is>
      </c>
      <c r="B1439" s="1" t="n">
        <v>45259</v>
      </c>
      <c r="C1439" s="1" t="n">
        <v>46033</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55428-2022</t>
        </is>
      </c>
      <c r="B1440" s="1" t="n">
        <v>44887.60894675926</v>
      </c>
      <c r="C1440" s="1" t="n">
        <v>46033</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62363-2025</t>
        </is>
      </c>
      <c r="B1441" s="1" t="n">
        <v>46006</v>
      </c>
      <c r="C1441" s="1" t="n">
        <v>46033</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54144-2025</t>
        </is>
      </c>
      <c r="B1442" s="1" t="n">
        <v>45964.48305555555</v>
      </c>
      <c r="C1442" s="1" t="n">
        <v>46033</v>
      </c>
      <c r="D1442" t="inlineStr">
        <is>
          <t>VÄRMLANDS LÄN</t>
        </is>
      </c>
      <c r="E1442" t="inlineStr">
        <is>
          <t>TORSBY</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43037-2024</t>
        </is>
      </c>
      <c r="B1443" s="1" t="n">
        <v>45567</v>
      </c>
      <c r="C1443" s="1" t="n">
        <v>46033</v>
      </c>
      <c r="D1443" t="inlineStr">
        <is>
          <t>VÄRMLANDS LÄN</t>
        </is>
      </c>
      <c r="E1443" t="inlineStr">
        <is>
          <t>TORSBY</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23572-2023</t>
        </is>
      </c>
      <c r="B1444" s="1" t="n">
        <v>45077</v>
      </c>
      <c r="C1444" s="1" t="n">
        <v>46033</v>
      </c>
      <c r="D1444" t="inlineStr">
        <is>
          <t>VÄRMLANDS LÄN</t>
        </is>
      </c>
      <c r="E1444" t="inlineStr">
        <is>
          <t>TORSBY</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53499-2023</t>
        </is>
      </c>
      <c r="B1445" s="1" t="n">
        <v>45223</v>
      </c>
      <c r="C1445" s="1" t="n">
        <v>46033</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61367-2025</t>
        </is>
      </c>
      <c r="B1446" s="1" t="n">
        <v>46001</v>
      </c>
      <c r="C1446" s="1" t="n">
        <v>46033</v>
      </c>
      <c r="D1446" t="inlineStr">
        <is>
          <t>VÄRMLANDS LÄN</t>
        </is>
      </c>
      <c r="E1446" t="inlineStr">
        <is>
          <t>TORSBY</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54528-2023</t>
        </is>
      </c>
      <c r="B1447" s="1" t="n">
        <v>45233.59122685185</v>
      </c>
      <c r="C1447" s="1" t="n">
        <v>46033</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52239-2024</t>
        </is>
      </c>
      <c r="B1448" s="1" t="n">
        <v>45608.61837962963</v>
      </c>
      <c r="C1448" s="1" t="n">
        <v>46033</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46424-2023</t>
        </is>
      </c>
      <c r="B1449" s="1" t="n">
        <v>45197.56141203704</v>
      </c>
      <c r="C1449" s="1" t="n">
        <v>46033</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54091-2025</t>
        </is>
      </c>
      <c r="B1450" s="1" t="n">
        <v>45964.39363425926</v>
      </c>
      <c r="C1450" s="1" t="n">
        <v>46033</v>
      </c>
      <c r="D1450" t="inlineStr">
        <is>
          <t>VÄRMLANDS LÄN</t>
        </is>
      </c>
      <c r="E1450" t="inlineStr">
        <is>
          <t>TORSBY</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46033</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61531-2025</t>
        </is>
      </c>
      <c r="B1452" s="1" t="n">
        <v>46001</v>
      </c>
      <c r="C1452" s="1" t="n">
        <v>46033</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34667-2022</t>
        </is>
      </c>
      <c r="B1453" s="1" t="n">
        <v>44795</v>
      </c>
      <c r="C1453" s="1" t="n">
        <v>46033</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61365-2025</t>
        </is>
      </c>
      <c r="B1454" s="1" t="n">
        <v>46001</v>
      </c>
      <c r="C1454" s="1" t="n">
        <v>46033</v>
      </c>
      <c r="D1454" t="inlineStr">
        <is>
          <t>VÄRMLANDS LÄN</t>
        </is>
      </c>
      <c r="E1454" t="inlineStr">
        <is>
          <t>TORSBY</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54071-2025</t>
        </is>
      </c>
      <c r="B1455" s="1" t="n">
        <v>45962</v>
      </c>
      <c r="C1455" s="1" t="n">
        <v>46033</v>
      </c>
      <c r="D1455" t="inlineStr">
        <is>
          <t>VÄRMLANDS LÄN</t>
        </is>
      </c>
      <c r="E1455" t="inlineStr">
        <is>
          <t>TORSBY</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61388-2025</t>
        </is>
      </c>
      <c r="B1456" s="1" t="n">
        <v>46001</v>
      </c>
      <c r="C1456" s="1" t="n">
        <v>46033</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54505-2025</t>
        </is>
      </c>
      <c r="B1457" s="1" t="n">
        <v>45965.6169212963</v>
      </c>
      <c r="C1457" s="1" t="n">
        <v>46033</v>
      </c>
      <c r="D1457" t="inlineStr">
        <is>
          <t>VÄRMLANDS LÄN</t>
        </is>
      </c>
      <c r="E1457" t="inlineStr">
        <is>
          <t>TORSBY</t>
        </is>
      </c>
      <c r="F1457" t="inlineStr">
        <is>
          <t>Bergvik skog väst AB</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62366-2025</t>
        </is>
      </c>
      <c r="B1458" s="1" t="n">
        <v>46006</v>
      </c>
      <c r="C1458" s="1" t="n">
        <v>46033</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46033</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54168-2025</t>
        </is>
      </c>
      <c r="B1460" s="1" t="n">
        <v>45964.52528935186</v>
      </c>
      <c r="C1460" s="1" t="n">
        <v>46033</v>
      </c>
      <c r="D1460" t="inlineStr">
        <is>
          <t>VÄRMLANDS LÄN</t>
        </is>
      </c>
      <c r="E1460" t="inlineStr">
        <is>
          <t>TORSBY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62005-2025</t>
        </is>
      </c>
      <c r="B1461" s="1" t="n">
        <v>46003</v>
      </c>
      <c r="C1461" s="1" t="n">
        <v>46033</v>
      </c>
      <c r="D1461" t="inlineStr">
        <is>
          <t>VÄRMLANDS LÄN</t>
        </is>
      </c>
      <c r="E1461" t="inlineStr">
        <is>
          <t>TORSBY</t>
        </is>
      </c>
      <c r="F1461" t="inlineStr">
        <is>
          <t>Kommuner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60385-2024</t>
        </is>
      </c>
      <c r="B1462" s="1" t="n">
        <v>45643</v>
      </c>
      <c r="C1462" s="1" t="n">
        <v>46033</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46033</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30531-2023</t>
        </is>
      </c>
      <c r="B1464" s="1" t="n">
        <v>45111.68223379629</v>
      </c>
      <c r="C1464" s="1" t="n">
        <v>46033</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63036-2025</t>
        </is>
      </c>
      <c r="B1465" s="1" t="n">
        <v>46009.61314814815</v>
      </c>
      <c r="C1465" s="1" t="n">
        <v>46033</v>
      </c>
      <c r="D1465" t="inlineStr">
        <is>
          <t>VÄRMLANDS LÄN</t>
        </is>
      </c>
      <c r="E1465" t="inlineStr">
        <is>
          <t>TORSBY</t>
        </is>
      </c>
      <c r="F1465" t="inlineStr">
        <is>
          <t>Bergvik skog väst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62007-2025</t>
        </is>
      </c>
      <c r="B1466" s="1" t="n">
        <v>46003</v>
      </c>
      <c r="C1466" s="1" t="n">
        <v>46033</v>
      </c>
      <c r="D1466" t="inlineStr">
        <is>
          <t>VÄRMLANDS LÄN</t>
        </is>
      </c>
      <c r="E1466" t="inlineStr">
        <is>
          <t>TORSBY</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38497-2025</t>
        </is>
      </c>
      <c r="B1467" s="1" t="n">
        <v>45884</v>
      </c>
      <c r="C1467" s="1" t="n">
        <v>46033</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39390-2023</t>
        </is>
      </c>
      <c r="B1468" s="1" t="n">
        <v>45166.65104166666</v>
      </c>
      <c r="C1468" s="1" t="n">
        <v>46033</v>
      </c>
      <c r="D1468" t="inlineStr">
        <is>
          <t>VÄRMLANDS LÄN</t>
        </is>
      </c>
      <c r="E1468" t="inlineStr">
        <is>
          <t>TORSBY</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15126-2024</t>
        </is>
      </c>
      <c r="B1469" s="1" t="n">
        <v>45399</v>
      </c>
      <c r="C1469" s="1" t="n">
        <v>46033</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15127-2024</t>
        </is>
      </c>
      <c r="B1470" s="1" t="n">
        <v>45399.76815972223</v>
      </c>
      <c r="C1470" s="1" t="n">
        <v>46033</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9793-2024</t>
        </is>
      </c>
      <c r="B1471" s="1" t="n">
        <v>45362.71013888889</v>
      </c>
      <c r="C1471" s="1" t="n">
        <v>46033</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54762-2025</t>
        </is>
      </c>
      <c r="B1472" s="1" t="n">
        <v>45966.60082175926</v>
      </c>
      <c r="C1472" s="1" t="n">
        <v>46033</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25264-2024</t>
        </is>
      </c>
      <c r="B1473" s="1" t="n">
        <v>45462.61859953704</v>
      </c>
      <c r="C1473" s="1" t="n">
        <v>46033</v>
      </c>
      <c r="D1473" t="inlineStr">
        <is>
          <t>VÄRMLANDS LÄN</t>
        </is>
      </c>
      <c r="E1473" t="inlineStr">
        <is>
          <t>TORSBY</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38143-2025</t>
        </is>
      </c>
      <c r="B1474" s="1" t="n">
        <v>45882</v>
      </c>
      <c r="C1474" s="1" t="n">
        <v>46033</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20872-2024</t>
        </is>
      </c>
      <c r="B1475" s="1" t="n">
        <v>45439.44173611111</v>
      </c>
      <c r="C1475" s="1" t="n">
        <v>46033</v>
      </c>
      <c r="D1475" t="inlineStr">
        <is>
          <t>VÄRMLANDS LÄN</t>
        </is>
      </c>
      <c r="E1475" t="inlineStr">
        <is>
          <t>TORSBY</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8054-2022</t>
        </is>
      </c>
      <c r="B1476" s="1" t="n">
        <v>44609</v>
      </c>
      <c r="C1476" s="1" t="n">
        <v>46033</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48721-2024</t>
        </is>
      </c>
      <c r="B1477" s="1" t="n">
        <v>45593.54752314815</v>
      </c>
      <c r="C1477" s="1" t="n">
        <v>46033</v>
      </c>
      <c r="D1477" t="inlineStr">
        <is>
          <t>VÄRMLANDS LÄN</t>
        </is>
      </c>
      <c r="E1477" t="inlineStr">
        <is>
          <t>TORSBY</t>
        </is>
      </c>
      <c r="F1477" t="inlineStr">
        <is>
          <t>Bergvik skog väst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49073-2022</t>
        </is>
      </c>
      <c r="B1478" s="1" t="n">
        <v>44860</v>
      </c>
      <c r="C1478" s="1" t="n">
        <v>46033</v>
      </c>
      <c r="D1478" t="inlineStr">
        <is>
          <t>VÄRMLANDS LÄN</t>
        </is>
      </c>
      <c r="E1478" t="inlineStr">
        <is>
          <t>TORSBY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46915-2024</t>
        </is>
      </c>
      <c r="B1479" s="1" t="n">
        <v>45583</v>
      </c>
      <c r="C1479" s="1" t="n">
        <v>46033</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50147-2023</t>
        </is>
      </c>
      <c r="B1480" s="1" t="n">
        <v>45215</v>
      </c>
      <c r="C1480" s="1" t="n">
        <v>46033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11447-2022</t>
        </is>
      </c>
      <c r="B1481" s="1" t="n">
        <v>44630</v>
      </c>
      <c r="C1481" s="1" t="n">
        <v>46033</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55071-2025</t>
        </is>
      </c>
      <c r="B1482" s="1" t="n">
        <v>45967</v>
      </c>
      <c r="C1482" s="1" t="n">
        <v>46033</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44470-2024</t>
        </is>
      </c>
      <c r="B1483" s="1" t="n">
        <v>45574</v>
      </c>
      <c r="C1483" s="1" t="n">
        <v>46033</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62518-2025</t>
        </is>
      </c>
      <c r="B1484" s="1" t="n">
        <v>46007</v>
      </c>
      <c r="C1484" s="1" t="n">
        <v>46033</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44497-2023</t>
        </is>
      </c>
      <c r="B1485" s="1" t="n">
        <v>45189.45701388889</v>
      </c>
      <c r="C1485" s="1" t="n">
        <v>46033</v>
      </c>
      <c r="D1485" t="inlineStr">
        <is>
          <t>VÄRMLANDS LÄN</t>
        </is>
      </c>
      <c r="E1485" t="inlineStr">
        <is>
          <t>TORSBY</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53714-2025</t>
        </is>
      </c>
      <c r="B1486" s="1" t="n">
        <v>45960</v>
      </c>
      <c r="C1486" s="1" t="n">
        <v>46033</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41936-2024</t>
        </is>
      </c>
      <c r="B1487" s="1" t="n">
        <v>45561</v>
      </c>
      <c r="C1487" s="1" t="n">
        <v>46033</v>
      </c>
      <c r="D1487" t="inlineStr">
        <is>
          <t>VÄRMLANDS LÄN</t>
        </is>
      </c>
      <c r="E1487" t="inlineStr">
        <is>
          <t>TORSBY</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8447-2023</t>
        </is>
      </c>
      <c r="B1488" s="1" t="n">
        <v>44977</v>
      </c>
      <c r="C1488" s="1" t="n">
        <v>46033</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62568-2025</t>
        </is>
      </c>
      <c r="B1489" s="1" t="n">
        <v>46007</v>
      </c>
      <c r="C1489" s="1" t="n">
        <v>46033</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17941-2021</t>
        </is>
      </c>
      <c r="B1490" s="1" t="n">
        <v>44301</v>
      </c>
      <c r="C1490" s="1" t="n">
        <v>46033</v>
      </c>
      <c r="D1490" t="inlineStr">
        <is>
          <t>VÄRMLANDS LÄN</t>
        </is>
      </c>
      <c r="E1490" t="inlineStr">
        <is>
          <t>TORSBY</t>
        </is>
      </c>
      <c r="F1490" t="inlineStr">
        <is>
          <t>Kommuner</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53583-2024</t>
        </is>
      </c>
      <c r="B1491" s="1" t="n">
        <v>45614.66449074074</v>
      </c>
      <c r="C1491" s="1" t="n">
        <v>46033</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54732-2025</t>
        </is>
      </c>
      <c r="B1492" s="1" t="n">
        <v>45966.56212962963</v>
      </c>
      <c r="C1492" s="1" t="n">
        <v>46033</v>
      </c>
      <c r="D1492" t="inlineStr">
        <is>
          <t>VÄRMLANDS LÄN</t>
        </is>
      </c>
      <c r="E1492" t="inlineStr">
        <is>
          <t>TORSBY</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54734-2025</t>
        </is>
      </c>
      <c r="B1493" s="1" t="n">
        <v>45966.56431712963</v>
      </c>
      <c r="C1493" s="1" t="n">
        <v>46033</v>
      </c>
      <c r="D1493" t="inlineStr">
        <is>
          <t>VÄRMLANDS LÄN</t>
        </is>
      </c>
      <c r="E1493" t="inlineStr">
        <is>
          <t>TORSBY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54784-2025</t>
        </is>
      </c>
      <c r="B1494" s="1" t="n">
        <v>45966.62114583333</v>
      </c>
      <c r="C1494" s="1" t="n">
        <v>46033</v>
      </c>
      <c r="D1494" t="inlineStr">
        <is>
          <t>VÄRMLANDS LÄN</t>
        </is>
      </c>
      <c r="E1494" t="inlineStr">
        <is>
          <t>TORSBY</t>
        </is>
      </c>
      <c r="F1494" t="inlineStr">
        <is>
          <t>Bergvik skog väst AB</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51644-2025</t>
        </is>
      </c>
      <c r="B1495" s="1" t="n">
        <v>45951</v>
      </c>
      <c r="C1495" s="1" t="n">
        <v>46033</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63098-2025</t>
        </is>
      </c>
      <c r="B1496" s="1" t="n">
        <v>46009.69278935185</v>
      </c>
      <c r="C1496" s="1" t="n">
        <v>46033</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54729-2025</t>
        </is>
      </c>
      <c r="B1497" s="1" t="n">
        <v>45966</v>
      </c>
      <c r="C1497" s="1" t="n">
        <v>46033</v>
      </c>
      <c r="D1497" t="inlineStr">
        <is>
          <t>VÄRMLANDS LÄN</t>
        </is>
      </c>
      <c r="E1497" t="inlineStr">
        <is>
          <t>TORSBY</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21581-2024</t>
        </is>
      </c>
      <c r="B1498" s="1" t="n">
        <v>45441</v>
      </c>
      <c r="C1498" s="1" t="n">
        <v>46033</v>
      </c>
      <c r="D1498" t="inlineStr">
        <is>
          <t>VÄRMLANDS LÄN</t>
        </is>
      </c>
      <c r="E1498" t="inlineStr">
        <is>
          <t>TORSBY</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54817-2025</t>
        </is>
      </c>
      <c r="B1499" s="1" t="n">
        <v>45966.65671296296</v>
      </c>
      <c r="C1499" s="1" t="n">
        <v>46033</v>
      </c>
      <c r="D1499" t="inlineStr">
        <is>
          <t>VÄRMLANDS LÄN</t>
        </is>
      </c>
      <c r="E1499" t="inlineStr">
        <is>
          <t>TORSBY</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8979-2025</t>
        </is>
      </c>
      <c r="B1500" s="1" t="n">
        <v>45713</v>
      </c>
      <c r="C1500" s="1" t="n">
        <v>46033</v>
      </c>
      <c r="D1500" t="inlineStr">
        <is>
          <t>VÄRMLANDS LÄN</t>
        </is>
      </c>
      <c r="E1500" t="inlineStr">
        <is>
          <t>TORSBY</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39003-2021</t>
        </is>
      </c>
      <c r="B1501" s="1" t="n">
        <v>44412</v>
      </c>
      <c r="C1501" s="1" t="n">
        <v>46033</v>
      </c>
      <c r="D1501" t="inlineStr">
        <is>
          <t>VÄRMLANDS LÄN</t>
        </is>
      </c>
      <c r="E1501" t="inlineStr">
        <is>
          <t>TORSBY</t>
        </is>
      </c>
      <c r="F1501" t="inlineStr">
        <is>
          <t>Bergvik skog väst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60148-2024</t>
        </is>
      </c>
      <c r="B1502" s="1" t="n">
        <v>45642</v>
      </c>
      <c r="C1502" s="1" t="n">
        <v>46033</v>
      </c>
      <c r="D1502" t="inlineStr">
        <is>
          <t>VÄRMLANDS LÄN</t>
        </is>
      </c>
      <c r="E1502" t="inlineStr">
        <is>
          <t>TORSBY</t>
        </is>
      </c>
      <c r="G1502" t="n">
        <v>12.4</v>
      </c>
      <c r="H1502" t="n">
        <v>0</v>
      </c>
      <c r="I1502" t="n">
        <v>0</v>
      </c>
      <c r="J1502" t="n">
        <v>0</v>
      </c>
      <c r="K1502" t="n">
        <v>0</v>
      </c>
      <c r="L1502" t="n">
        <v>0</v>
      </c>
      <c r="M1502" t="n">
        <v>0</v>
      </c>
      <c r="N1502" t="n">
        <v>0</v>
      </c>
      <c r="O1502" t="n">
        <v>0</v>
      </c>
      <c r="P1502" t="n">
        <v>0</v>
      </c>
      <c r="Q1502" t="n">
        <v>0</v>
      </c>
      <c r="R1502" s="2" t="inlineStr"/>
    </row>
    <row r="1503" ht="15" customHeight="1">
      <c r="A1503" t="inlineStr">
        <is>
          <t>A 1803-2024</t>
        </is>
      </c>
      <c r="B1503" s="1" t="n">
        <v>45307</v>
      </c>
      <c r="C1503" s="1" t="n">
        <v>46033</v>
      </c>
      <c r="D1503" t="inlineStr">
        <is>
          <t>VÄRMLANDS LÄN</t>
        </is>
      </c>
      <c r="E1503" t="inlineStr">
        <is>
          <t>TORSBY</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62186-2025</t>
        </is>
      </c>
      <c r="B1504" s="1" t="n">
        <v>46006</v>
      </c>
      <c r="C1504" s="1" t="n">
        <v>46033</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48903-2024</t>
        </is>
      </c>
      <c r="B1505" s="1" t="n">
        <v>45594</v>
      </c>
      <c r="C1505" s="1" t="n">
        <v>46033</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54780-2025</t>
        </is>
      </c>
      <c r="B1506" s="1" t="n">
        <v>45966</v>
      </c>
      <c r="C1506" s="1" t="n">
        <v>46033</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40036-2022</t>
        </is>
      </c>
      <c r="B1507" s="1" t="n">
        <v>44820.43179398148</v>
      </c>
      <c r="C1507" s="1" t="n">
        <v>46033</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62401-2025</t>
        </is>
      </c>
      <c r="B1508" s="1" t="n">
        <v>46007</v>
      </c>
      <c r="C1508" s="1" t="n">
        <v>46033</v>
      </c>
      <c r="D1508" t="inlineStr">
        <is>
          <t>VÄRMLANDS LÄN</t>
        </is>
      </c>
      <c r="E1508" t="inlineStr">
        <is>
          <t>TORSBY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54692-2025</t>
        </is>
      </c>
      <c r="B1509" s="1" t="n">
        <v>45966</v>
      </c>
      <c r="C1509" s="1" t="n">
        <v>46033</v>
      </c>
      <c r="D1509" t="inlineStr">
        <is>
          <t>VÄRMLANDS LÄN</t>
        </is>
      </c>
      <c r="E1509" t="inlineStr">
        <is>
          <t>TORSBY</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43256-2024</t>
        </is>
      </c>
      <c r="B1510" s="1" t="n">
        <v>45568</v>
      </c>
      <c r="C1510" s="1" t="n">
        <v>46033</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62559-2025</t>
        </is>
      </c>
      <c r="B1511" s="1" t="n">
        <v>46007</v>
      </c>
      <c r="C1511" s="1" t="n">
        <v>46033</v>
      </c>
      <c r="D1511" t="inlineStr">
        <is>
          <t>VÄRMLANDS LÄN</t>
        </is>
      </c>
      <c r="E1511" t="inlineStr">
        <is>
          <t>TORSBY</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54996-2025</t>
        </is>
      </c>
      <c r="B1512" s="1" t="n">
        <v>45967</v>
      </c>
      <c r="C1512" s="1" t="n">
        <v>46033</v>
      </c>
      <c r="D1512" t="inlineStr">
        <is>
          <t>VÄRMLANDS LÄN</t>
        </is>
      </c>
      <c r="E1512" t="inlineStr">
        <is>
          <t>TORSBY</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53368-2024</t>
        </is>
      </c>
      <c r="B1513" s="1" t="n">
        <v>45614</v>
      </c>
      <c r="C1513" s="1" t="n">
        <v>46033</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62538-2025</t>
        </is>
      </c>
      <c r="B1514" s="1" t="n">
        <v>46007</v>
      </c>
      <c r="C1514" s="1" t="n">
        <v>46033</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52357-2025</t>
        </is>
      </c>
      <c r="B1515" s="1" t="n">
        <v>45952</v>
      </c>
      <c r="C1515" s="1" t="n">
        <v>46033</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52362-2025</t>
        </is>
      </c>
      <c r="B1516" s="1" t="n">
        <v>45952</v>
      </c>
      <c r="C1516" s="1" t="n">
        <v>46033</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57809-2024</t>
        </is>
      </c>
      <c r="B1517" s="1" t="n">
        <v>45631</v>
      </c>
      <c r="C1517" s="1" t="n">
        <v>46033</v>
      </c>
      <c r="D1517" t="inlineStr">
        <is>
          <t>VÄRMLANDS LÄN</t>
        </is>
      </c>
      <c r="E1517" t="inlineStr">
        <is>
          <t>TORSBY</t>
        </is>
      </c>
      <c r="F1517" t="inlineStr">
        <is>
          <t>Bergvik skog väst AB</t>
        </is>
      </c>
      <c r="G1517" t="n">
        <v>10.9</v>
      </c>
      <c r="H1517" t="n">
        <v>0</v>
      </c>
      <c r="I1517" t="n">
        <v>0</v>
      </c>
      <c r="J1517" t="n">
        <v>0</v>
      </c>
      <c r="K1517" t="n">
        <v>0</v>
      </c>
      <c r="L1517" t="n">
        <v>0</v>
      </c>
      <c r="M1517" t="n">
        <v>0</v>
      </c>
      <c r="N1517" t="n">
        <v>0</v>
      </c>
      <c r="O1517" t="n">
        <v>0</v>
      </c>
      <c r="P1517" t="n">
        <v>0</v>
      </c>
      <c r="Q1517" t="n">
        <v>0</v>
      </c>
      <c r="R1517" s="2" t="inlineStr"/>
    </row>
    <row r="1518" ht="15" customHeight="1">
      <c r="A1518" t="inlineStr">
        <is>
          <t>A 63379-2025</t>
        </is>
      </c>
      <c r="B1518" s="1" t="n">
        <v>46010.75222222223</v>
      </c>
      <c r="C1518" s="1" t="n">
        <v>46033</v>
      </c>
      <c r="D1518" t="inlineStr">
        <is>
          <t>VÄRMLANDS LÄN</t>
        </is>
      </c>
      <c r="E1518" t="inlineStr">
        <is>
          <t>TORSBY</t>
        </is>
      </c>
      <c r="F1518" t="inlineStr">
        <is>
          <t>Bergvik skog väst AB</t>
        </is>
      </c>
      <c r="G1518" t="n">
        <v>21.9</v>
      </c>
      <c r="H1518" t="n">
        <v>0</v>
      </c>
      <c r="I1518" t="n">
        <v>0</v>
      </c>
      <c r="J1518" t="n">
        <v>0</v>
      </c>
      <c r="K1518" t="n">
        <v>0</v>
      </c>
      <c r="L1518" t="n">
        <v>0</v>
      </c>
      <c r="M1518" t="n">
        <v>0</v>
      </c>
      <c r="N1518" t="n">
        <v>0</v>
      </c>
      <c r="O1518" t="n">
        <v>0</v>
      </c>
      <c r="P1518" t="n">
        <v>0</v>
      </c>
      <c r="Q1518" t="n">
        <v>0</v>
      </c>
      <c r="R1518" s="2" t="inlineStr"/>
    </row>
    <row r="1519" ht="15" customHeight="1">
      <c r="A1519" t="inlineStr">
        <is>
          <t>A 32138-2024</t>
        </is>
      </c>
      <c r="B1519" s="1" t="n">
        <v>45511</v>
      </c>
      <c r="C1519" s="1" t="n">
        <v>46033</v>
      </c>
      <c r="D1519" t="inlineStr">
        <is>
          <t>VÄRMLANDS LÄN</t>
        </is>
      </c>
      <c r="E1519" t="inlineStr">
        <is>
          <t>TORSBY</t>
        </is>
      </c>
      <c r="F1519" t="inlineStr">
        <is>
          <t>Bergvik skog väst AB</t>
        </is>
      </c>
      <c r="G1519" t="n">
        <v>26.3</v>
      </c>
      <c r="H1519" t="n">
        <v>0</v>
      </c>
      <c r="I1519" t="n">
        <v>0</v>
      </c>
      <c r="J1519" t="n">
        <v>0</v>
      </c>
      <c r="K1519" t="n">
        <v>0</v>
      </c>
      <c r="L1519" t="n">
        <v>0</v>
      </c>
      <c r="M1519" t="n">
        <v>0</v>
      </c>
      <c r="N1519" t="n">
        <v>0</v>
      </c>
      <c r="O1519" t="n">
        <v>0</v>
      </c>
      <c r="P1519" t="n">
        <v>0</v>
      </c>
      <c r="Q1519" t="n">
        <v>0</v>
      </c>
      <c r="R1519" s="2" t="inlineStr"/>
    </row>
    <row r="1520" ht="15" customHeight="1">
      <c r="A1520" t="inlineStr">
        <is>
          <t>A 41065-2022</t>
        </is>
      </c>
      <c r="B1520" s="1" t="n">
        <v>44825.59258101852</v>
      </c>
      <c r="C1520" s="1" t="n">
        <v>46033</v>
      </c>
      <c r="D1520" t="inlineStr">
        <is>
          <t>VÄRMLANDS LÄN</t>
        </is>
      </c>
      <c r="E1520" t="inlineStr">
        <is>
          <t>TORSBY</t>
        </is>
      </c>
      <c r="F1520" t="inlineStr">
        <is>
          <t>Kommuner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20130-2023</t>
        </is>
      </c>
      <c r="B1521" s="1" t="n">
        <v>45055.38503472223</v>
      </c>
      <c r="C1521" s="1" t="n">
        <v>46033</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36239-2023</t>
        </is>
      </c>
      <c r="B1522" s="1" t="n">
        <v>45150</v>
      </c>
      <c r="C1522" s="1" t="n">
        <v>46033</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55269-2025</t>
        </is>
      </c>
      <c r="B1523" s="1" t="n">
        <v>45968</v>
      </c>
      <c r="C1523" s="1" t="n">
        <v>46033</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55386-2025</t>
        </is>
      </c>
      <c r="B1524" s="1" t="n">
        <v>45971</v>
      </c>
      <c r="C1524" s="1" t="n">
        <v>46033</v>
      </c>
      <c r="D1524" t="inlineStr">
        <is>
          <t>VÄRMLANDS LÄN</t>
        </is>
      </c>
      <c r="E1524" t="inlineStr">
        <is>
          <t>TORSBY</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55177-2025</t>
        </is>
      </c>
      <c r="B1525" s="1" t="n">
        <v>45968</v>
      </c>
      <c r="C1525" s="1" t="n">
        <v>46033</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14292-2023</t>
        </is>
      </c>
      <c r="B1526" s="1" t="n">
        <v>45011</v>
      </c>
      <c r="C1526" s="1" t="n">
        <v>46033</v>
      </c>
      <c r="D1526" t="inlineStr">
        <is>
          <t>VÄRMLANDS LÄN</t>
        </is>
      </c>
      <c r="E1526" t="inlineStr">
        <is>
          <t>TORSBY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14293-2023</t>
        </is>
      </c>
      <c r="B1527" s="1" t="n">
        <v>45011</v>
      </c>
      <c r="C1527" s="1" t="n">
        <v>46033</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2195-2025</t>
        </is>
      </c>
      <c r="B1528" s="1" t="n">
        <v>45673.38138888889</v>
      </c>
      <c r="C1528" s="1" t="n">
        <v>46033</v>
      </c>
      <c r="D1528" t="inlineStr">
        <is>
          <t>VÄRMLANDS LÄN</t>
        </is>
      </c>
      <c r="E1528" t="inlineStr">
        <is>
          <t>TORSBY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2699-2022</t>
        </is>
      </c>
      <c r="B1529" s="1" t="n">
        <v>44580.62828703703</v>
      </c>
      <c r="C1529" s="1" t="n">
        <v>46033</v>
      </c>
      <c r="D1529" t="inlineStr">
        <is>
          <t>VÄRMLANDS LÄN</t>
        </is>
      </c>
      <c r="E1529" t="inlineStr">
        <is>
          <t>TORSBY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6532-2025</t>
        </is>
      </c>
      <c r="B1530" s="1" t="n">
        <v>45699</v>
      </c>
      <c r="C1530" s="1" t="n">
        <v>46033</v>
      </c>
      <c r="D1530" t="inlineStr">
        <is>
          <t>VÄRMLANDS LÄN</t>
        </is>
      </c>
      <c r="E1530" t="inlineStr">
        <is>
          <t>TORSBY</t>
        </is>
      </c>
      <c r="F1530" t="inlineStr">
        <is>
          <t>Kommuner</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55296-2025</t>
        </is>
      </c>
      <c r="B1531" s="1" t="n">
        <v>45969.53423611111</v>
      </c>
      <c r="C1531" s="1" t="n">
        <v>46033</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60189-2025</t>
        </is>
      </c>
      <c r="B1532" s="1" t="n">
        <v>45994</v>
      </c>
      <c r="C1532" s="1" t="n">
        <v>46033</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62629-2025</t>
        </is>
      </c>
      <c r="B1533" s="1" t="n">
        <v>46008</v>
      </c>
      <c r="C1533" s="1" t="n">
        <v>46033</v>
      </c>
      <c r="D1533" t="inlineStr">
        <is>
          <t>VÄRMLANDS LÄN</t>
        </is>
      </c>
      <c r="E1533" t="inlineStr">
        <is>
          <t>TORSBY</t>
        </is>
      </c>
      <c r="F1533" t="inlineStr">
        <is>
          <t>Bergvik skog väst AB</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53744-2024</t>
        </is>
      </c>
      <c r="B1534" s="1" t="n">
        <v>45615</v>
      </c>
      <c r="C1534" s="1" t="n">
        <v>46033</v>
      </c>
      <c r="D1534" t="inlineStr">
        <is>
          <t>VÄRMLANDS LÄN</t>
        </is>
      </c>
      <c r="E1534" t="inlineStr">
        <is>
          <t>TORSBY</t>
        </is>
      </c>
      <c r="G1534" t="n">
        <v>16.9</v>
      </c>
      <c r="H1534" t="n">
        <v>0</v>
      </c>
      <c r="I1534" t="n">
        <v>0</v>
      </c>
      <c r="J1534" t="n">
        <v>0</v>
      </c>
      <c r="K1534" t="n">
        <v>0</v>
      </c>
      <c r="L1534" t="n">
        <v>0</v>
      </c>
      <c r="M1534" t="n">
        <v>0</v>
      </c>
      <c r="N1534" t="n">
        <v>0</v>
      </c>
      <c r="O1534" t="n">
        <v>0</v>
      </c>
      <c r="P1534" t="n">
        <v>0</v>
      </c>
      <c r="Q1534" t="n">
        <v>0</v>
      </c>
      <c r="R1534" s="2" t="inlineStr"/>
    </row>
    <row r="1535" ht="15" customHeight="1">
      <c r="A1535" t="inlineStr">
        <is>
          <t>A 33848-2023</t>
        </is>
      </c>
      <c r="B1535" s="1" t="n">
        <v>45133.68835648148</v>
      </c>
      <c r="C1535" s="1" t="n">
        <v>46033</v>
      </c>
      <c r="D1535" t="inlineStr">
        <is>
          <t>VÄRMLANDS LÄN</t>
        </is>
      </c>
      <c r="E1535" t="inlineStr">
        <is>
          <t>TORSBY</t>
        </is>
      </c>
      <c r="F1535" t="inlineStr">
        <is>
          <t>Bergvik skog väst AB</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55139-2025</t>
        </is>
      </c>
      <c r="B1536" s="1" t="n">
        <v>45968.42827546296</v>
      </c>
      <c r="C1536" s="1" t="n">
        <v>46033</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55178-2025</t>
        </is>
      </c>
      <c r="B1537" s="1" t="n">
        <v>45968</v>
      </c>
      <c r="C1537" s="1" t="n">
        <v>46033</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66978-2021</t>
        </is>
      </c>
      <c r="B1538" s="1" t="n">
        <v>44522</v>
      </c>
      <c r="C1538" s="1" t="n">
        <v>46033</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18480-2025</t>
        </is>
      </c>
      <c r="B1539" s="1" t="n">
        <v>45762.9171412037</v>
      </c>
      <c r="C1539" s="1" t="n">
        <v>46033</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15488-2023</t>
        </is>
      </c>
      <c r="B1540" s="1" t="n">
        <v>45020</v>
      </c>
      <c r="C1540" s="1" t="n">
        <v>46033</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56473-2022</t>
        </is>
      </c>
      <c r="B1541" s="1" t="n">
        <v>44893</v>
      </c>
      <c r="C1541" s="1" t="n">
        <v>46033</v>
      </c>
      <c r="D1541" t="inlineStr">
        <is>
          <t>VÄRMLANDS LÄN</t>
        </is>
      </c>
      <c r="E1541" t="inlineStr">
        <is>
          <t>TORSBY</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55622-2025</t>
        </is>
      </c>
      <c r="B1542" s="1" t="n">
        <v>45971</v>
      </c>
      <c r="C1542" s="1" t="n">
        <v>46033</v>
      </c>
      <c r="D1542" t="inlineStr">
        <is>
          <t>VÄRMLANDS LÄN</t>
        </is>
      </c>
      <c r="E1542" t="inlineStr">
        <is>
          <t>TORSBY</t>
        </is>
      </c>
      <c r="F1542" t="inlineStr">
        <is>
          <t>Kyrkan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55320-2025</t>
        </is>
      </c>
      <c r="B1543" s="1" t="n">
        <v>45971.31269675926</v>
      </c>
      <c r="C1543" s="1" t="n">
        <v>46033</v>
      </c>
      <c r="D1543" t="inlineStr">
        <is>
          <t>VÄRMLANDS LÄN</t>
        </is>
      </c>
      <c r="E1543" t="inlineStr">
        <is>
          <t>TORSBY</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59649-2025</t>
        </is>
      </c>
      <c r="B1544" s="1" t="n">
        <v>45992</v>
      </c>
      <c r="C1544" s="1" t="n">
        <v>46033</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16362-2025</t>
        </is>
      </c>
      <c r="B1545" s="1" t="n">
        <v>45751</v>
      </c>
      <c r="C1545" s="1" t="n">
        <v>46033</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56098-2025</t>
        </is>
      </c>
      <c r="B1546" s="1" t="n">
        <v>45973</v>
      </c>
      <c r="C1546" s="1" t="n">
        <v>46033</v>
      </c>
      <c r="D1546" t="inlineStr">
        <is>
          <t>VÄRMLANDS LÄN</t>
        </is>
      </c>
      <c r="E1546" t="inlineStr">
        <is>
          <t>TORSBY</t>
        </is>
      </c>
      <c r="F1546" t="inlineStr">
        <is>
          <t>Kyrkan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56129-2025</t>
        </is>
      </c>
      <c r="B1547" s="1" t="n">
        <v>45973</v>
      </c>
      <c r="C1547" s="1" t="n">
        <v>46033</v>
      </c>
      <c r="D1547" t="inlineStr">
        <is>
          <t>VÄRMLANDS LÄN</t>
        </is>
      </c>
      <c r="E1547" t="inlineStr">
        <is>
          <t>TORSBY</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63609-2025</t>
        </is>
      </c>
      <c r="B1548" s="1" t="n">
        <v>46014.34188657408</v>
      </c>
      <c r="C1548" s="1" t="n">
        <v>46033</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63626-2025</t>
        </is>
      </c>
      <c r="B1549" s="1" t="n">
        <v>46014.36179398148</v>
      </c>
      <c r="C1549" s="1" t="n">
        <v>46033</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20321-2023</t>
        </is>
      </c>
      <c r="B1550" s="1" t="n">
        <v>45056.45232638889</v>
      </c>
      <c r="C1550" s="1" t="n">
        <v>46033</v>
      </c>
      <c r="D1550" t="inlineStr">
        <is>
          <t>VÄRMLANDS LÄN</t>
        </is>
      </c>
      <c r="E1550" t="inlineStr">
        <is>
          <t>TORSBY</t>
        </is>
      </c>
      <c r="F1550" t="inlineStr">
        <is>
          <t>Kyrkan</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54076-2025</t>
        </is>
      </c>
      <c r="B1551" s="1" t="n">
        <v>45964</v>
      </c>
      <c r="C1551" s="1" t="n">
        <v>46033</v>
      </c>
      <c r="D1551" t="inlineStr">
        <is>
          <t>VÄRMLANDS LÄN</t>
        </is>
      </c>
      <c r="E1551" t="inlineStr">
        <is>
          <t>TORSBY</t>
        </is>
      </c>
      <c r="F1551" t="inlineStr">
        <is>
          <t>Övriga statliga verk och myndigheter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63507-2025</t>
        </is>
      </c>
      <c r="B1552" s="1" t="n">
        <v>46013</v>
      </c>
      <c r="C1552" s="1" t="n">
        <v>46033</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55953-2025</t>
        </is>
      </c>
      <c r="B1553" s="1" t="n">
        <v>45973</v>
      </c>
      <c r="C1553" s="1" t="n">
        <v>46033</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55958-2025</t>
        </is>
      </c>
      <c r="B1554" s="1" t="n">
        <v>45973</v>
      </c>
      <c r="C1554" s="1" t="n">
        <v>46033</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63636-2025</t>
        </is>
      </c>
      <c r="B1555" s="1" t="n">
        <v>46014.38842592593</v>
      </c>
      <c r="C1555" s="1" t="n">
        <v>46033</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55938-2025</t>
        </is>
      </c>
      <c r="B1556" s="1" t="n">
        <v>45973.44658564815</v>
      </c>
      <c r="C1556" s="1" t="n">
        <v>46033</v>
      </c>
      <c r="D1556" t="inlineStr">
        <is>
          <t>VÄRMLANDS LÄN</t>
        </is>
      </c>
      <c r="E1556" t="inlineStr">
        <is>
          <t>TORSBY</t>
        </is>
      </c>
      <c r="F1556" t="inlineStr">
        <is>
          <t>Bergvik skog väst AB</t>
        </is>
      </c>
      <c r="G1556" t="n">
        <v>21.2</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46033</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46014.35408564815</v>
      </c>
      <c r="C1558" s="1" t="n">
        <v>46033</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56033-2025</t>
        </is>
      </c>
      <c r="B1559" s="1" t="n">
        <v>45973.6066087963</v>
      </c>
      <c r="C1559" s="1" t="n">
        <v>46033</v>
      </c>
      <c r="D1559" t="inlineStr">
        <is>
          <t>VÄRMLANDS LÄN</t>
        </is>
      </c>
      <c r="E1559" t="inlineStr">
        <is>
          <t>TORSBY</t>
        </is>
      </c>
      <c r="F1559" t="inlineStr">
        <is>
          <t>Bergvik skog väst AB</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56052-2025</t>
        </is>
      </c>
      <c r="B1560" s="1" t="n">
        <v>45973.63180555555</v>
      </c>
      <c r="C1560" s="1" t="n">
        <v>46033</v>
      </c>
      <c r="D1560" t="inlineStr">
        <is>
          <t>VÄRMLANDS LÄN</t>
        </is>
      </c>
      <c r="E1560" t="inlineStr">
        <is>
          <t>TORSBY</t>
        </is>
      </c>
      <c r="F1560" t="inlineStr">
        <is>
          <t>Bergvik skog väst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55664-2025</t>
        </is>
      </c>
      <c r="B1561" s="1" t="n">
        <v>45972.39621527777</v>
      </c>
      <c r="C1561" s="1" t="n">
        <v>46033</v>
      </c>
      <c r="D1561" t="inlineStr">
        <is>
          <t>VÄRMLANDS LÄN</t>
        </is>
      </c>
      <c r="E1561" t="inlineStr">
        <is>
          <t>TORSBY</t>
        </is>
      </c>
      <c r="F1561" t="inlineStr">
        <is>
          <t>Bergvik skog väst AB</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55675-2025</t>
        </is>
      </c>
      <c r="B1562" s="1" t="n">
        <v>45972.4175</v>
      </c>
      <c r="C1562" s="1" t="n">
        <v>46033</v>
      </c>
      <c r="D1562" t="inlineStr">
        <is>
          <t>VÄRMLANDS LÄN</t>
        </is>
      </c>
      <c r="E1562" t="inlineStr">
        <is>
          <t>TORSBY</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10589-2024</t>
        </is>
      </c>
      <c r="B1563" s="1" t="n">
        <v>45366</v>
      </c>
      <c r="C1563" s="1" t="n">
        <v>46033</v>
      </c>
      <c r="D1563" t="inlineStr">
        <is>
          <t>VÄRMLANDS LÄN</t>
        </is>
      </c>
      <c r="E1563" t="inlineStr">
        <is>
          <t>TORSBY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21587-2024</t>
        </is>
      </c>
      <c r="B1564" s="1" t="n">
        <v>45441</v>
      </c>
      <c r="C1564" s="1" t="n">
        <v>46033</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17001-2024</t>
        </is>
      </c>
      <c r="B1565" s="1" t="n">
        <v>45412.35605324074</v>
      </c>
      <c r="C1565" s="1" t="n">
        <v>46033</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17018-2025</t>
        </is>
      </c>
      <c r="B1566" s="1" t="n">
        <v>45755</v>
      </c>
      <c r="C1566" s="1" t="n">
        <v>46033</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58707-2024</t>
        </is>
      </c>
      <c r="B1567" s="1" t="n">
        <v>45635</v>
      </c>
      <c r="C1567" s="1" t="n">
        <v>46033</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56130-2025</t>
        </is>
      </c>
      <c r="B1568" s="1" t="n">
        <v>45973</v>
      </c>
      <c r="C1568" s="1" t="n">
        <v>46033</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55863-2025</t>
        </is>
      </c>
      <c r="B1569" s="1" t="n">
        <v>45973.3465162037</v>
      </c>
      <c r="C1569" s="1" t="n">
        <v>46033</v>
      </c>
      <c r="D1569" t="inlineStr">
        <is>
          <t>VÄRMLANDS LÄN</t>
        </is>
      </c>
      <c r="E1569" t="inlineStr">
        <is>
          <t>TORSBY</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63697-2025</t>
        </is>
      </c>
      <c r="B1570" s="1" t="n">
        <v>46014.5778587963</v>
      </c>
      <c r="C1570" s="1" t="n">
        <v>46033</v>
      </c>
      <c r="D1570" t="inlineStr">
        <is>
          <t>VÄRMLANDS LÄN</t>
        </is>
      </c>
      <c r="E1570" t="inlineStr">
        <is>
          <t>TORSBY</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39069-2022</t>
        </is>
      </c>
      <c r="B1571" s="1" t="n">
        <v>44816</v>
      </c>
      <c r="C1571" s="1" t="n">
        <v>46033</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40788-2022</t>
        </is>
      </c>
      <c r="B1572" s="1" t="n">
        <v>44824</v>
      </c>
      <c r="C1572" s="1" t="n">
        <v>46033</v>
      </c>
      <c r="D1572" t="inlineStr">
        <is>
          <t>VÄRMLANDS LÄN</t>
        </is>
      </c>
      <c r="E1572" t="inlineStr">
        <is>
          <t>TORSBY</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52483-2022</t>
        </is>
      </c>
      <c r="B1573" s="1" t="n">
        <v>44874.48637731482</v>
      </c>
      <c r="C1573" s="1" t="n">
        <v>46033</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48762-2023</t>
        </is>
      </c>
      <c r="B1574" s="1" t="n">
        <v>45208</v>
      </c>
      <c r="C1574" s="1" t="n">
        <v>46033</v>
      </c>
      <c r="D1574" t="inlineStr">
        <is>
          <t>VÄRMLANDS LÄN</t>
        </is>
      </c>
      <c r="E1574" t="inlineStr">
        <is>
          <t>TORSBY</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51661-2024</t>
        </is>
      </c>
      <c r="B1575" s="1" t="n">
        <v>45606.74392361111</v>
      </c>
      <c r="C1575" s="1" t="n">
        <v>46033</v>
      </c>
      <c r="D1575" t="inlineStr">
        <is>
          <t>VÄRMLANDS LÄN</t>
        </is>
      </c>
      <c r="E1575" t="inlineStr">
        <is>
          <t>TORSBY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51663-2024</t>
        </is>
      </c>
      <c r="B1576" s="1" t="n">
        <v>45606.76396990741</v>
      </c>
      <c r="C1576" s="1" t="n">
        <v>46033</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56187-2025</t>
        </is>
      </c>
      <c r="B1577" s="1" t="n">
        <v>45974.42451388889</v>
      </c>
      <c r="C1577" s="1" t="n">
        <v>46033</v>
      </c>
      <c r="D1577" t="inlineStr">
        <is>
          <t>VÄRMLANDS LÄN</t>
        </is>
      </c>
      <c r="E1577" t="inlineStr">
        <is>
          <t>TORSBY</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3098-2023</t>
        </is>
      </c>
      <c r="B1578" s="1" t="n">
        <v>44946.46096064815</v>
      </c>
      <c r="C1578" s="1" t="n">
        <v>46033</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3103-2023</t>
        </is>
      </c>
      <c r="B1579" s="1" t="n">
        <v>44946</v>
      </c>
      <c r="C1579" s="1" t="n">
        <v>46033</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56263-2025</t>
        </is>
      </c>
      <c r="B1580" s="1" t="n">
        <v>45974.57358796296</v>
      </c>
      <c r="C1580" s="1" t="n">
        <v>46033</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56575-2025</t>
        </is>
      </c>
      <c r="B1581" s="1" t="n">
        <v>45975</v>
      </c>
      <c r="C1581" s="1" t="n">
        <v>46033</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56258-2025</t>
        </is>
      </c>
      <c r="B1582" s="1" t="n">
        <v>45974.56655092593</v>
      </c>
      <c r="C1582" s="1" t="n">
        <v>46033</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17941-2021</t>
        </is>
      </c>
      <c r="B1583" s="1" t="n">
        <v>44301</v>
      </c>
      <c r="C1583" s="1" t="n">
        <v>46033</v>
      </c>
      <c r="D1583" t="inlineStr">
        <is>
          <t>VÄRMLANDS LÄN</t>
        </is>
      </c>
      <c r="E1583" t="inlineStr">
        <is>
          <t>TORSBY</t>
        </is>
      </c>
      <c r="F1583" t="inlineStr">
        <is>
          <t>Kommuner</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56786-2025</t>
        </is>
      </c>
      <c r="B1584" s="1" t="n">
        <v>45978.4254050926</v>
      </c>
      <c r="C1584" s="1" t="n">
        <v>46033</v>
      </c>
      <c r="D1584" t="inlineStr">
        <is>
          <t>VÄRMLANDS LÄN</t>
        </is>
      </c>
      <c r="E1584" t="inlineStr">
        <is>
          <t>TORSBY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15660-2025</t>
        </is>
      </c>
      <c r="B1585" s="1" t="n">
        <v>45748</v>
      </c>
      <c r="C1585" s="1" t="n">
        <v>46033</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20737-2023</t>
        </is>
      </c>
      <c r="B1586" s="1" t="n">
        <v>45058</v>
      </c>
      <c r="C1586" s="1" t="n">
        <v>46033</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62210-2023</t>
        </is>
      </c>
      <c r="B1587" s="1" t="n">
        <v>45267.49430555556</v>
      </c>
      <c r="C1587" s="1" t="n">
        <v>46033</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62250-2023</t>
        </is>
      </c>
      <c r="B1588" s="1" t="n">
        <v>45266</v>
      </c>
      <c r="C1588" s="1" t="n">
        <v>46033</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43943-2022</t>
        </is>
      </c>
      <c r="B1589" s="1" t="n">
        <v>44838</v>
      </c>
      <c r="C1589" s="1" t="n">
        <v>46033</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8428-2025</t>
        </is>
      </c>
      <c r="B1590" s="1" t="n">
        <v>45709.41995370371</v>
      </c>
      <c r="C1590" s="1" t="n">
        <v>46033</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32496-2022</t>
        </is>
      </c>
      <c r="B1591" s="1" t="n">
        <v>44782</v>
      </c>
      <c r="C1591" s="1" t="n">
        <v>46033</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57137-2025</t>
        </is>
      </c>
      <c r="B1592" s="1" t="n">
        <v>45979</v>
      </c>
      <c r="C1592" s="1" t="n">
        <v>46033</v>
      </c>
      <c r="D1592" t="inlineStr">
        <is>
          <t>VÄRMLANDS LÄN</t>
        </is>
      </c>
      <c r="E1592" t="inlineStr">
        <is>
          <t>TORSBY</t>
        </is>
      </c>
      <c r="F1592" t="inlineStr">
        <is>
          <t>Övriga statliga verk och myndigheter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63908-2025</t>
        </is>
      </c>
      <c r="B1593" s="1" t="n">
        <v>46020.69140046297</v>
      </c>
      <c r="C1593" s="1" t="n">
        <v>46033</v>
      </c>
      <c r="D1593" t="inlineStr">
        <is>
          <t>VÄRMLANDS LÄN</t>
        </is>
      </c>
      <c r="E1593" t="inlineStr">
        <is>
          <t>TORSBY</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56761-2025</t>
        </is>
      </c>
      <c r="B1594" s="1" t="n">
        <v>45978.37505787037</v>
      </c>
      <c r="C1594" s="1" t="n">
        <v>46033</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11195-2025</t>
        </is>
      </c>
      <c r="B1595" s="1" t="n">
        <v>45725.85177083333</v>
      </c>
      <c r="C1595" s="1" t="n">
        <v>46033</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56772-2025</t>
        </is>
      </c>
      <c r="B1596" s="1" t="n">
        <v>45978</v>
      </c>
      <c r="C1596" s="1" t="n">
        <v>46033</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56778-2025</t>
        </is>
      </c>
      <c r="B1597" s="1" t="n">
        <v>45978</v>
      </c>
      <c r="C1597" s="1" t="n">
        <v>46033</v>
      </c>
      <c r="D1597" t="inlineStr">
        <is>
          <t>VÄRMLANDS LÄN</t>
        </is>
      </c>
      <c r="E1597" t="inlineStr">
        <is>
          <t>TORSBY</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56170-2023</t>
        </is>
      </c>
      <c r="B1598" s="1" t="n">
        <v>45240.62975694444</v>
      </c>
      <c r="C1598" s="1" t="n">
        <v>46033</v>
      </c>
      <c r="D1598" t="inlineStr">
        <is>
          <t>VÄRMLANDS LÄN</t>
        </is>
      </c>
      <c r="E1598" t="inlineStr">
        <is>
          <t>TORSBY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9578-2023</t>
        </is>
      </c>
      <c r="B1599" s="1" t="n">
        <v>44982.69790509259</v>
      </c>
      <c r="C1599" s="1" t="n">
        <v>46033</v>
      </c>
      <c r="D1599" t="inlineStr">
        <is>
          <t>VÄRMLANDS LÄN</t>
        </is>
      </c>
      <c r="E1599" t="inlineStr">
        <is>
          <t>TORSBY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47241-2023</t>
        </is>
      </c>
      <c r="B1600" s="1" t="n">
        <v>45202.39821759259</v>
      </c>
      <c r="C1600" s="1" t="n">
        <v>46033</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55811-2021</t>
        </is>
      </c>
      <c r="B1601" s="1" t="n">
        <v>44476</v>
      </c>
      <c r="C1601" s="1" t="n">
        <v>46033</v>
      </c>
      <c r="D1601" t="inlineStr">
        <is>
          <t>VÄRMLANDS LÄN</t>
        </is>
      </c>
      <c r="E1601" t="inlineStr">
        <is>
          <t>TORSBY</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56747-2025</t>
        </is>
      </c>
      <c r="B1602" s="1" t="n">
        <v>45978</v>
      </c>
      <c r="C1602" s="1" t="n">
        <v>46033</v>
      </c>
      <c r="D1602" t="inlineStr">
        <is>
          <t>VÄRMLANDS LÄN</t>
        </is>
      </c>
      <c r="E1602" t="inlineStr">
        <is>
          <t>TORSBY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57370-2025</t>
        </is>
      </c>
      <c r="B1603" s="1" t="n">
        <v>45979</v>
      </c>
      <c r="C1603" s="1" t="n">
        <v>46033</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63781-2025</t>
        </is>
      </c>
      <c r="B1604" s="1" t="n">
        <v>46019.56042824074</v>
      </c>
      <c r="C1604" s="1" t="n">
        <v>46033</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56889-2025</t>
        </is>
      </c>
      <c r="B1605" s="1" t="n">
        <v>45978</v>
      </c>
      <c r="C1605" s="1" t="n">
        <v>46033</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64042-2025</t>
        </is>
      </c>
      <c r="B1606" s="1" t="n">
        <v>46021.54581018518</v>
      </c>
      <c r="C1606" s="1" t="n">
        <v>46033</v>
      </c>
      <c r="D1606" t="inlineStr">
        <is>
          <t>VÄRMLANDS LÄN</t>
        </is>
      </c>
      <c r="E1606" t="inlineStr">
        <is>
          <t>TORSBY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56848-2025</t>
        </is>
      </c>
      <c r="B1607" s="1" t="n">
        <v>45978.4887037037</v>
      </c>
      <c r="C1607" s="1" t="n">
        <v>46033</v>
      </c>
      <c r="D1607" t="inlineStr">
        <is>
          <t>VÄRMLANDS LÄN</t>
        </is>
      </c>
      <c r="E1607" t="inlineStr">
        <is>
          <t>TORSBY</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57980-2023</t>
        </is>
      </c>
      <c r="B1608" s="1" t="n">
        <v>45247.59328703704</v>
      </c>
      <c r="C1608" s="1" t="n">
        <v>46033</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46033</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15315-2024</t>
        </is>
      </c>
      <c r="B1610" s="1" t="n">
        <v>45400</v>
      </c>
      <c r="C1610" s="1" t="n">
        <v>46033</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57073-2025</t>
        </is>
      </c>
      <c r="B1611" s="1" t="n">
        <v>45979</v>
      </c>
      <c r="C1611" s="1" t="n">
        <v>46033</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46233-2023</t>
        </is>
      </c>
      <c r="B1612" s="1" t="n">
        <v>45196.69575231482</v>
      </c>
      <c r="C1612" s="1" t="n">
        <v>46033</v>
      </c>
      <c r="D1612" t="inlineStr">
        <is>
          <t>VÄRMLANDS LÄN</t>
        </is>
      </c>
      <c r="E1612" t="inlineStr">
        <is>
          <t>TORSBY</t>
        </is>
      </c>
      <c r="F1612" t="inlineStr">
        <is>
          <t>Kyrkan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36850-2024</t>
        </is>
      </c>
      <c r="B1613" s="1" t="n">
        <v>45538</v>
      </c>
      <c r="C1613" s="1" t="n">
        <v>46033</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56784-2025</t>
        </is>
      </c>
      <c r="B1614" s="1" t="n">
        <v>45978.41734953703</v>
      </c>
      <c r="C1614" s="1" t="n">
        <v>46033</v>
      </c>
      <c r="D1614" t="inlineStr">
        <is>
          <t>VÄRMLANDS LÄN</t>
        </is>
      </c>
      <c r="E1614" t="inlineStr">
        <is>
          <t>TORSBY</t>
        </is>
      </c>
      <c r="F1614" t="inlineStr">
        <is>
          <t>Bergvik skog väst AB</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56785-2025</t>
        </is>
      </c>
      <c r="B1615" s="1" t="n">
        <v>45978.42228009259</v>
      </c>
      <c r="C1615" s="1" t="n">
        <v>46033</v>
      </c>
      <c r="D1615" t="inlineStr">
        <is>
          <t>VÄRMLANDS LÄN</t>
        </is>
      </c>
      <c r="E1615" t="inlineStr">
        <is>
          <t>TORSBY</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13924-2025</t>
        </is>
      </c>
      <c r="B1616" s="1" t="n">
        <v>45737</v>
      </c>
      <c r="C1616" s="1" t="n">
        <v>46033</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58246-2025</t>
        </is>
      </c>
      <c r="B1617" s="1" t="n">
        <v>45981</v>
      </c>
      <c r="C1617" s="1" t="n">
        <v>46033</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57364-2025</t>
        </is>
      </c>
      <c r="B1618" s="1" t="n">
        <v>45980</v>
      </c>
      <c r="C1618" s="1" t="n">
        <v>46033</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57348-2025</t>
        </is>
      </c>
      <c r="B1619" s="1" t="n">
        <v>45980.35927083333</v>
      </c>
      <c r="C1619" s="1" t="n">
        <v>46033</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57695-2025</t>
        </is>
      </c>
      <c r="B1620" s="1" t="n">
        <v>45981.45201388889</v>
      </c>
      <c r="C1620" s="1" t="n">
        <v>46033</v>
      </c>
      <c r="D1620" t="inlineStr">
        <is>
          <t>VÄRMLANDS LÄN</t>
        </is>
      </c>
      <c r="E1620" t="inlineStr">
        <is>
          <t>TORSBY</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57787-2025</t>
        </is>
      </c>
      <c r="B1621" s="1" t="n">
        <v>45981</v>
      </c>
      <c r="C1621" s="1" t="n">
        <v>46033</v>
      </c>
      <c r="D1621" t="inlineStr">
        <is>
          <t>VÄRMLANDS LÄN</t>
        </is>
      </c>
      <c r="E1621" t="inlineStr">
        <is>
          <t>TORSBY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7643-2025</t>
        </is>
      </c>
      <c r="B1622" s="1" t="n">
        <v>45705.78703703704</v>
      </c>
      <c r="C1622" s="1" t="n">
        <v>46033</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11259-2024</t>
        </is>
      </c>
      <c r="B1623" s="1" t="n">
        <v>45371</v>
      </c>
      <c r="C1623" s="1" t="n">
        <v>46033</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57935-2025</t>
        </is>
      </c>
      <c r="B1624" s="1" t="n">
        <v>45981</v>
      </c>
      <c r="C1624" s="1" t="n">
        <v>46033</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57446-2025</t>
        </is>
      </c>
      <c r="B1625" s="1" t="n">
        <v>45980</v>
      </c>
      <c r="C1625" s="1" t="n">
        <v>46033</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34405-2023</t>
        </is>
      </c>
      <c r="B1626" s="1" t="n">
        <v>45139.55131944444</v>
      </c>
      <c r="C1626" s="1" t="n">
        <v>46033</v>
      </c>
      <c r="D1626" t="inlineStr">
        <is>
          <t>VÄRMLANDS LÄN</t>
        </is>
      </c>
      <c r="E1626" t="inlineStr">
        <is>
          <t>TORSBY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34697-2024</t>
        </is>
      </c>
      <c r="B1627" s="1" t="n">
        <v>45526.55518518519</v>
      </c>
      <c r="C1627" s="1" t="n">
        <v>46033</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58396-2025</t>
        </is>
      </c>
      <c r="B1628" s="1" t="n">
        <v>45985</v>
      </c>
      <c r="C1628" s="1" t="n">
        <v>46033</v>
      </c>
      <c r="D1628" t="inlineStr">
        <is>
          <t>VÄRMLANDS LÄN</t>
        </is>
      </c>
      <c r="E1628" t="inlineStr">
        <is>
          <t>TORSBY</t>
        </is>
      </c>
      <c r="F1628" t="inlineStr">
        <is>
          <t>Bergvik skog väst AB</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60383-2024</t>
        </is>
      </c>
      <c r="B1629" s="1" t="n">
        <v>45643.47674768518</v>
      </c>
      <c r="C1629" s="1" t="n">
        <v>46033</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60386-2024</t>
        </is>
      </c>
      <c r="B1630" s="1" t="n">
        <v>45643</v>
      </c>
      <c r="C1630" s="1" t="n">
        <v>46033</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45548-2024</t>
        </is>
      </c>
      <c r="B1631" s="1" t="n">
        <v>45579</v>
      </c>
      <c r="C1631" s="1" t="n">
        <v>46033</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17065-2025</t>
        </is>
      </c>
      <c r="B1632" s="1" t="n">
        <v>45754</v>
      </c>
      <c r="C1632" s="1" t="n">
        <v>46033</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60477-2024</t>
        </is>
      </c>
      <c r="B1633" s="1" t="n">
        <v>45643</v>
      </c>
      <c r="C1633" s="1" t="n">
        <v>46033</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57647-2023</t>
        </is>
      </c>
      <c r="B1634" s="1" t="n">
        <v>45246.59627314815</v>
      </c>
      <c r="C1634" s="1" t="n">
        <v>46033</v>
      </c>
      <c r="D1634" t="inlineStr">
        <is>
          <t>VÄRMLANDS LÄN</t>
        </is>
      </c>
      <c r="E1634" t="inlineStr">
        <is>
          <t>TORSBY</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21089-2022</t>
        </is>
      </c>
      <c r="B1635" s="1" t="n">
        <v>44704</v>
      </c>
      <c r="C1635" s="1" t="n">
        <v>46033</v>
      </c>
      <c r="D1635" t="inlineStr">
        <is>
          <t>VÄRMLANDS LÄN</t>
        </is>
      </c>
      <c r="E1635" t="inlineStr">
        <is>
          <t>TORSBY</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235-2026</t>
        </is>
      </c>
      <c r="B1636" s="1" t="n">
        <v>46027.36185185185</v>
      </c>
      <c r="C1636" s="1" t="n">
        <v>46033</v>
      </c>
      <c r="D1636" t="inlineStr">
        <is>
          <t>VÄRMLANDS LÄN</t>
        </is>
      </c>
      <c r="E1636" t="inlineStr">
        <is>
          <t>TORSBY</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53331-2024</t>
        </is>
      </c>
      <c r="B1637" s="1" t="n">
        <v>45614</v>
      </c>
      <c r="C1637" s="1" t="n">
        <v>46033</v>
      </c>
      <c r="D1637" t="inlineStr">
        <is>
          <t>VÄRMLANDS LÄN</t>
        </is>
      </c>
      <c r="E1637" t="inlineStr">
        <is>
          <t>TORSBY</t>
        </is>
      </c>
      <c r="F1637" t="inlineStr">
        <is>
          <t>Bergvik skog väst AB</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58537-2025</t>
        </is>
      </c>
      <c r="B1638" s="1" t="n">
        <v>45985</v>
      </c>
      <c r="C1638" s="1" t="n">
        <v>46033</v>
      </c>
      <c r="D1638" t="inlineStr">
        <is>
          <t>VÄRMLANDS LÄN</t>
        </is>
      </c>
      <c r="E1638" t="inlineStr">
        <is>
          <t>TORSBY</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58540-2025</t>
        </is>
      </c>
      <c r="B1639" s="1" t="n">
        <v>45985</v>
      </c>
      <c r="C1639" s="1" t="n">
        <v>46033</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38-2026</t>
        </is>
      </c>
      <c r="B1640" s="1" t="n">
        <v>46024.3949074074</v>
      </c>
      <c r="C1640" s="1" t="n">
        <v>46033</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16591-2024</t>
        </is>
      </c>
      <c r="B1641" s="1" t="n">
        <v>45408.49420138889</v>
      </c>
      <c r="C1641" s="1" t="n">
        <v>46033</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72-2026</t>
        </is>
      </c>
      <c r="B1642" s="1" t="n">
        <v>46024.46258101852</v>
      </c>
      <c r="C1642" s="1" t="n">
        <v>46033</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56021-2023</t>
        </is>
      </c>
      <c r="B1643" s="1" t="n">
        <v>45240</v>
      </c>
      <c r="C1643" s="1" t="n">
        <v>46033</v>
      </c>
      <c r="D1643" t="inlineStr">
        <is>
          <t>VÄRMLANDS LÄN</t>
        </is>
      </c>
      <c r="E1643" t="inlineStr">
        <is>
          <t>TORSBY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32340-2024</t>
        </is>
      </c>
      <c r="B1644" s="1" t="n">
        <v>45512.50826388889</v>
      </c>
      <c r="C1644" s="1" t="n">
        <v>46033</v>
      </c>
      <c r="D1644" t="inlineStr">
        <is>
          <t>VÄRMLANDS LÄN</t>
        </is>
      </c>
      <c r="E1644" t="inlineStr">
        <is>
          <t>TORSBY</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36917-2024</t>
        </is>
      </c>
      <c r="B1645" s="1" t="n">
        <v>45538.65065972223</v>
      </c>
      <c r="C1645" s="1" t="n">
        <v>46033</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36922-2024</t>
        </is>
      </c>
      <c r="B1646" s="1" t="n">
        <v>45538</v>
      </c>
      <c r="C1646" s="1" t="n">
        <v>46033</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58956-2022</t>
        </is>
      </c>
      <c r="B1647" s="1" t="n">
        <v>44903.65895833333</v>
      </c>
      <c r="C1647" s="1" t="n">
        <v>46033</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345-2023</t>
        </is>
      </c>
      <c r="B1648" s="1" t="n">
        <v>44923</v>
      </c>
      <c r="C1648" s="1" t="n">
        <v>46033</v>
      </c>
      <c r="D1648" t="inlineStr">
        <is>
          <t>VÄRMLANDS LÄN</t>
        </is>
      </c>
      <c r="E1648" t="inlineStr">
        <is>
          <t>TORSBY</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57931-2025</t>
        </is>
      </c>
      <c r="B1649" s="1" t="n">
        <v>45981.90670138889</v>
      </c>
      <c r="C1649" s="1" t="n">
        <v>46033</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11872-2025</t>
        </is>
      </c>
      <c r="B1650" s="1" t="n">
        <v>45728.43021990741</v>
      </c>
      <c r="C1650" s="1" t="n">
        <v>46033</v>
      </c>
      <c r="D1650" t="inlineStr">
        <is>
          <t>VÄRMLANDS LÄN</t>
        </is>
      </c>
      <c r="E1650" t="inlineStr">
        <is>
          <t>TORSBY</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9203-2024</t>
        </is>
      </c>
      <c r="B1651" s="1" t="n">
        <v>45358</v>
      </c>
      <c r="C1651" s="1" t="n">
        <v>46033</v>
      </c>
      <c r="D1651" t="inlineStr">
        <is>
          <t>VÄRMLANDS LÄN</t>
        </is>
      </c>
      <c r="E1651" t="inlineStr">
        <is>
          <t>TORSBY</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58363-2025</t>
        </is>
      </c>
      <c r="B1652" s="1" t="n">
        <v>45985</v>
      </c>
      <c r="C1652" s="1" t="n">
        <v>46033</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27090-2024</t>
        </is>
      </c>
      <c r="B1653" s="1" t="n">
        <v>45471</v>
      </c>
      <c r="C1653" s="1" t="n">
        <v>46033</v>
      </c>
      <c r="D1653" t="inlineStr">
        <is>
          <t>VÄRMLANDS LÄN</t>
        </is>
      </c>
      <c r="E1653" t="inlineStr">
        <is>
          <t>TORSBY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748-2026</t>
        </is>
      </c>
      <c r="B1654" s="1" t="n">
        <v>46029.67458333333</v>
      </c>
      <c r="C1654" s="1" t="n">
        <v>46033</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58978-2025</t>
        </is>
      </c>
      <c r="B1655" s="1" t="n">
        <v>45987</v>
      </c>
      <c r="C1655" s="1" t="n">
        <v>46033</v>
      </c>
      <c r="D1655" t="inlineStr">
        <is>
          <t>VÄRMLANDS LÄN</t>
        </is>
      </c>
      <c r="E1655" t="inlineStr">
        <is>
          <t>TORSBY</t>
        </is>
      </c>
      <c r="F1655" t="inlineStr">
        <is>
          <t>Bergvik skog väst AB</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53748-2024</t>
        </is>
      </c>
      <c r="B1656" s="1" t="n">
        <v>45615.48322916667</v>
      </c>
      <c r="C1656" s="1" t="n">
        <v>46033</v>
      </c>
      <c r="D1656" t="inlineStr">
        <is>
          <t>VÄRMLANDS LÄN</t>
        </is>
      </c>
      <c r="E1656" t="inlineStr">
        <is>
          <t>TORSBY</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53358-2024</t>
        </is>
      </c>
      <c r="B1657" s="1" t="n">
        <v>45614</v>
      </c>
      <c r="C1657" s="1" t="n">
        <v>46033</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63390-2025</t>
        </is>
      </c>
      <c r="B1658" s="1" t="n">
        <v>46011</v>
      </c>
      <c r="C1658" s="1" t="n">
        <v>46033</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58836-2025</t>
        </is>
      </c>
      <c r="B1659" s="1" t="n">
        <v>45987.35586805556</v>
      </c>
      <c r="C1659" s="1" t="n">
        <v>46033</v>
      </c>
      <c r="D1659" t="inlineStr">
        <is>
          <t>VÄRMLANDS LÄN</t>
        </is>
      </c>
      <c r="E1659" t="inlineStr">
        <is>
          <t>TORSBY</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44423-2024</t>
        </is>
      </c>
      <c r="B1660" s="1" t="n">
        <v>45573</v>
      </c>
      <c r="C1660" s="1" t="n">
        <v>46033</v>
      </c>
      <c r="D1660" t="inlineStr">
        <is>
          <t>VÄRMLANDS LÄN</t>
        </is>
      </c>
      <c r="E1660" t="inlineStr">
        <is>
          <t>TORSBY</t>
        </is>
      </c>
      <c r="G1660" t="n">
        <v>34.1</v>
      </c>
      <c r="H1660" t="n">
        <v>0</v>
      </c>
      <c r="I1660" t="n">
        <v>0</v>
      </c>
      <c r="J1660" t="n">
        <v>0</v>
      </c>
      <c r="K1660" t="n">
        <v>0</v>
      </c>
      <c r="L1660" t="n">
        <v>0</v>
      </c>
      <c r="M1660" t="n">
        <v>0</v>
      </c>
      <c r="N1660" t="n">
        <v>0</v>
      </c>
      <c r="O1660" t="n">
        <v>0</v>
      </c>
      <c r="P1660" t="n">
        <v>0</v>
      </c>
      <c r="Q1660" t="n">
        <v>0</v>
      </c>
      <c r="R1660" s="2" t="inlineStr"/>
    </row>
    <row r="1661" ht="15" customHeight="1">
      <c r="A1661" t="inlineStr">
        <is>
          <t>A 637-2026</t>
        </is>
      </c>
      <c r="B1661" s="1" t="n">
        <v>46029.5590162037</v>
      </c>
      <c r="C1661" s="1" t="n">
        <v>46033</v>
      </c>
      <c r="D1661" t="inlineStr">
        <is>
          <t>VÄRMLANDS LÄN</t>
        </is>
      </c>
      <c r="E1661" t="inlineStr">
        <is>
          <t>TORSBY</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25579-2023</t>
        </is>
      </c>
      <c r="B1662" s="1" t="n">
        <v>45089.62266203704</v>
      </c>
      <c r="C1662" s="1" t="n">
        <v>46033</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7283-2023</t>
        </is>
      </c>
      <c r="B1663" s="1" t="n">
        <v>44970</v>
      </c>
      <c r="C1663" s="1" t="n">
        <v>46033</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58678-2025</t>
        </is>
      </c>
      <c r="B1664" s="1" t="n">
        <v>45986.56342592592</v>
      </c>
      <c r="C1664" s="1" t="n">
        <v>46033</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58919-2025</t>
        </is>
      </c>
      <c r="B1665" s="1" t="n">
        <v>45987</v>
      </c>
      <c r="C1665" s="1" t="n">
        <v>46033</v>
      </c>
      <c r="D1665" t="inlineStr">
        <is>
          <t>VÄRMLANDS LÄN</t>
        </is>
      </c>
      <c r="E1665" t="inlineStr">
        <is>
          <t>TORSBY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54532-2023</t>
        </is>
      </c>
      <c r="B1666" s="1" t="n">
        <v>45233</v>
      </c>
      <c r="C1666" s="1" t="n">
        <v>46033</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63512-2025</t>
        </is>
      </c>
      <c r="B1667" s="1" t="n">
        <v>46013</v>
      </c>
      <c r="C1667" s="1" t="n">
        <v>46033</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58625-2025</t>
        </is>
      </c>
      <c r="B1668" s="1" t="n">
        <v>45986.4740625</v>
      </c>
      <c r="C1668" s="1" t="n">
        <v>46033</v>
      </c>
      <c r="D1668" t="inlineStr">
        <is>
          <t>VÄRMLANDS LÄN</t>
        </is>
      </c>
      <c r="E1668" t="inlineStr">
        <is>
          <t>TORSBY</t>
        </is>
      </c>
      <c r="F1668" t="inlineStr">
        <is>
          <t>Kyrkan</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59009-2025</t>
        </is>
      </c>
      <c r="B1669" s="1" t="n">
        <v>45987</v>
      </c>
      <c r="C1669" s="1" t="n">
        <v>46033</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15899-2024</t>
        </is>
      </c>
      <c r="B1670" s="1" t="n">
        <v>45405.4034837963</v>
      </c>
      <c r="C1670" s="1" t="n">
        <v>46033</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58928-2025</t>
        </is>
      </c>
      <c r="B1671" s="1" t="n">
        <v>45987</v>
      </c>
      <c r="C1671" s="1" t="n">
        <v>46033</v>
      </c>
      <c r="D1671" t="inlineStr">
        <is>
          <t>VÄRMLANDS LÄN</t>
        </is>
      </c>
      <c r="E1671" t="inlineStr">
        <is>
          <t>TORSBY</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13586-2023</t>
        </is>
      </c>
      <c r="B1672" s="1" t="n">
        <v>45006</v>
      </c>
      <c r="C1672" s="1" t="n">
        <v>46033</v>
      </c>
      <c r="D1672" t="inlineStr">
        <is>
          <t>VÄRMLANDS LÄN</t>
        </is>
      </c>
      <c r="E1672" t="inlineStr">
        <is>
          <t>TORSBY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62510-2023</t>
        </is>
      </c>
      <c r="B1673" s="1" t="n">
        <v>45268.61853009259</v>
      </c>
      <c r="C1673" s="1" t="n">
        <v>46033</v>
      </c>
      <c r="D1673" t="inlineStr">
        <is>
          <t>VÄRMLANDS LÄN</t>
        </is>
      </c>
      <c r="E1673" t="inlineStr">
        <is>
          <t>TORSBY</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58840-2025</t>
        </is>
      </c>
      <c r="B1674" s="1" t="n">
        <v>45987.36246527778</v>
      </c>
      <c r="C1674" s="1" t="n">
        <v>46033</v>
      </c>
      <c r="D1674" t="inlineStr">
        <is>
          <t>VÄRMLANDS LÄN</t>
        </is>
      </c>
      <c r="E1674" t="inlineStr">
        <is>
          <t>TORSBY</t>
        </is>
      </c>
      <c r="F1674" t="inlineStr">
        <is>
          <t>Bergvik skog väst AB</t>
        </is>
      </c>
      <c r="G1674" t="n">
        <v>18.9</v>
      </c>
      <c r="H1674" t="n">
        <v>0</v>
      </c>
      <c r="I1674" t="n">
        <v>0</v>
      </c>
      <c r="J1674" t="n">
        <v>0</v>
      </c>
      <c r="K1674" t="n">
        <v>0</v>
      </c>
      <c r="L1674" t="n">
        <v>0</v>
      </c>
      <c r="M1674" t="n">
        <v>0</v>
      </c>
      <c r="N1674" t="n">
        <v>0</v>
      </c>
      <c r="O1674" t="n">
        <v>0</v>
      </c>
      <c r="P1674" t="n">
        <v>0</v>
      </c>
      <c r="Q1674" t="n">
        <v>0</v>
      </c>
      <c r="R1674" s="2" t="inlineStr"/>
    </row>
    <row r="1675" ht="15" customHeight="1">
      <c r="A1675" t="inlineStr">
        <is>
          <t>A 58903-2025</t>
        </is>
      </c>
      <c r="B1675" s="1" t="n">
        <v>45987.50533564815</v>
      </c>
      <c r="C1675" s="1" t="n">
        <v>46033</v>
      </c>
      <c r="D1675" t="inlineStr">
        <is>
          <t>VÄRMLANDS LÄN</t>
        </is>
      </c>
      <c r="E1675" t="inlineStr">
        <is>
          <t>TORSBY</t>
        </is>
      </c>
      <c r="F1675" t="inlineStr">
        <is>
          <t>Bergvik skog väst AB</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15083-2024</t>
        </is>
      </c>
      <c r="B1676" s="1" t="n">
        <v>45399.63163194444</v>
      </c>
      <c r="C1676" s="1" t="n">
        <v>46033</v>
      </c>
      <c r="D1676" t="inlineStr">
        <is>
          <t>VÄRMLANDS LÄN</t>
        </is>
      </c>
      <c r="E1676" t="inlineStr">
        <is>
          <t>TORSBY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58897-2025</t>
        </is>
      </c>
      <c r="B1677" s="1" t="n">
        <v>45987.49574074074</v>
      </c>
      <c r="C1677" s="1" t="n">
        <v>46033</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58899-2025</t>
        </is>
      </c>
      <c r="B1678" s="1" t="n">
        <v>45987.500625</v>
      </c>
      <c r="C1678" s="1" t="n">
        <v>46033</v>
      </c>
      <c r="D1678" t="inlineStr">
        <is>
          <t>VÄRMLANDS LÄN</t>
        </is>
      </c>
      <c r="E1678" t="inlineStr">
        <is>
          <t>TORSBY</t>
        </is>
      </c>
      <c r="F1678" t="inlineStr">
        <is>
          <t>Bergvik skog väst AB</t>
        </is>
      </c>
      <c r="G1678" t="n">
        <v>18.9</v>
      </c>
      <c r="H1678" t="n">
        <v>0</v>
      </c>
      <c r="I1678" t="n">
        <v>0</v>
      </c>
      <c r="J1678" t="n">
        <v>0</v>
      </c>
      <c r="K1678" t="n">
        <v>0</v>
      </c>
      <c r="L1678" t="n">
        <v>0</v>
      </c>
      <c r="M1678" t="n">
        <v>0</v>
      </c>
      <c r="N1678" t="n">
        <v>0</v>
      </c>
      <c r="O1678" t="n">
        <v>0</v>
      </c>
      <c r="P1678" t="n">
        <v>0</v>
      </c>
      <c r="Q1678" t="n">
        <v>0</v>
      </c>
      <c r="R1678" s="2" t="inlineStr"/>
    </row>
    <row r="1679" ht="15" customHeight="1">
      <c r="A1679" t="inlineStr">
        <is>
          <t>A 41022-2023</t>
        </is>
      </c>
      <c r="B1679" s="1" t="n">
        <v>45173</v>
      </c>
      <c r="C1679" s="1" t="n">
        <v>46033</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27115-2024</t>
        </is>
      </c>
      <c r="B1680" s="1" t="n">
        <v>45471</v>
      </c>
      <c r="C1680" s="1" t="n">
        <v>46033</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61497-2025</t>
        </is>
      </c>
      <c r="B1681" s="1" t="n">
        <v>46001</v>
      </c>
      <c r="C1681" s="1" t="n">
        <v>46033</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54609-2024</t>
        </is>
      </c>
      <c r="B1682" s="1" t="n">
        <v>45617</v>
      </c>
      <c r="C1682" s="1" t="n">
        <v>46033</v>
      </c>
      <c r="D1682" t="inlineStr">
        <is>
          <t>VÄRMLANDS LÄN</t>
        </is>
      </c>
      <c r="E1682" t="inlineStr">
        <is>
          <t>TORSBY</t>
        </is>
      </c>
      <c r="F1682" t="inlineStr">
        <is>
          <t>Kommuner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58901-2025</t>
        </is>
      </c>
      <c r="B1683" s="1" t="n">
        <v>45987.50243055556</v>
      </c>
      <c r="C1683" s="1" t="n">
        <v>46033</v>
      </c>
      <c r="D1683" t="inlineStr">
        <is>
          <t>VÄRMLANDS LÄN</t>
        </is>
      </c>
      <c r="E1683" t="inlineStr">
        <is>
          <t>TORSBY</t>
        </is>
      </c>
      <c r="F1683" t="inlineStr">
        <is>
          <t>Bergvik skog väst AB</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58538-2025</t>
        </is>
      </c>
      <c r="B1684" s="1" t="n">
        <v>45985.89356481482</v>
      </c>
      <c r="C1684" s="1" t="n">
        <v>46033</v>
      </c>
      <c r="D1684" t="inlineStr">
        <is>
          <t>VÄRMLANDS LÄN</t>
        </is>
      </c>
      <c r="E1684" t="inlineStr">
        <is>
          <t>TORSBY</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67933-2021</t>
        </is>
      </c>
      <c r="B1685" s="1" t="n">
        <v>44525</v>
      </c>
      <c r="C1685" s="1" t="n">
        <v>46033</v>
      </c>
      <c r="D1685" t="inlineStr">
        <is>
          <t>VÄRMLANDS LÄN</t>
        </is>
      </c>
      <c r="E1685" t="inlineStr">
        <is>
          <t>TORSBY</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58864-2025</t>
        </is>
      </c>
      <c r="B1686" s="1" t="n">
        <v>45987.44736111111</v>
      </c>
      <c r="C1686" s="1" t="n">
        <v>46033</v>
      </c>
      <c r="D1686" t="inlineStr">
        <is>
          <t>VÄRMLANDS LÄN</t>
        </is>
      </c>
      <c r="E1686" t="inlineStr">
        <is>
          <t>TORSBY</t>
        </is>
      </c>
      <c r="F1686" t="inlineStr">
        <is>
          <t>Kyrkan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34164-2024</t>
        </is>
      </c>
      <c r="B1687" s="1" t="n">
        <v>45524.41924768518</v>
      </c>
      <c r="C1687" s="1" t="n">
        <v>46033</v>
      </c>
      <c r="D1687" t="inlineStr">
        <is>
          <t>VÄRMLANDS LÄN</t>
        </is>
      </c>
      <c r="E1687" t="inlineStr">
        <is>
          <t>TORSBY</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4219-2024</t>
        </is>
      </c>
      <c r="B1688" s="1" t="n">
        <v>45324</v>
      </c>
      <c r="C1688" s="1" t="n">
        <v>46033</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13262-2024</t>
        </is>
      </c>
      <c r="B1689" s="1" t="n">
        <v>45386.59236111111</v>
      </c>
      <c r="C1689" s="1" t="n">
        <v>46033</v>
      </c>
      <c r="D1689" t="inlineStr">
        <is>
          <t>VÄRMLANDS LÄN</t>
        </is>
      </c>
      <c r="E1689" t="inlineStr">
        <is>
          <t>TORSBY</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3223-2025</t>
        </is>
      </c>
      <c r="B1690" s="1" t="n">
        <v>45679</v>
      </c>
      <c r="C1690" s="1" t="n">
        <v>46033</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3226-2025</t>
        </is>
      </c>
      <c r="B1691" s="1" t="n">
        <v>45679.48003472222</v>
      </c>
      <c r="C1691" s="1" t="n">
        <v>46033</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60133-2023</t>
        </is>
      </c>
      <c r="B1692" s="1" t="n">
        <v>45258</v>
      </c>
      <c r="C1692" s="1" t="n">
        <v>46033</v>
      </c>
      <c r="D1692" t="inlineStr">
        <is>
          <t>VÄRMLANDS LÄN</t>
        </is>
      </c>
      <c r="E1692" t="inlineStr">
        <is>
          <t>TORSBY</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7133-2023</t>
        </is>
      </c>
      <c r="B1693" s="1" t="n">
        <v>44970.43622685185</v>
      </c>
      <c r="C1693" s="1" t="n">
        <v>46033</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57393-2022</t>
        </is>
      </c>
      <c r="B1694" s="1" t="n">
        <v>44896.47630787037</v>
      </c>
      <c r="C1694" s="1" t="n">
        <v>46033</v>
      </c>
      <c r="D1694" t="inlineStr">
        <is>
          <t>VÄRMLANDS LÄN</t>
        </is>
      </c>
      <c r="E1694" t="inlineStr">
        <is>
          <t>TORSBY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1045-2026</t>
        </is>
      </c>
      <c r="B1695" s="1" t="n">
        <v>46030.62517361111</v>
      </c>
      <c r="C1695" s="1" t="n">
        <v>46033</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62258-2023</t>
        </is>
      </c>
      <c r="B1696" s="1" t="n">
        <v>45266</v>
      </c>
      <c r="C1696" s="1" t="n">
        <v>46033</v>
      </c>
      <c r="D1696" t="inlineStr">
        <is>
          <t>VÄRMLANDS LÄN</t>
        </is>
      </c>
      <c r="E1696" t="inlineStr">
        <is>
          <t>TORSBY</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19743-2025</t>
        </is>
      </c>
      <c r="B1697" s="1" t="n">
        <v>45771.37554398148</v>
      </c>
      <c r="C1697" s="1" t="n">
        <v>46033</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15022-2025</t>
        </is>
      </c>
      <c r="B1698" s="1" t="n">
        <v>45743</v>
      </c>
      <c r="C1698" s="1" t="n">
        <v>46033</v>
      </c>
      <c r="D1698" t="inlineStr">
        <is>
          <t>VÄRMLANDS LÄN</t>
        </is>
      </c>
      <c r="E1698" t="inlineStr">
        <is>
          <t>TORSBY</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11364-2023</t>
        </is>
      </c>
      <c r="B1699" s="1" t="n">
        <v>44993.43150462963</v>
      </c>
      <c r="C1699" s="1" t="n">
        <v>46033</v>
      </c>
      <c r="D1699" t="inlineStr">
        <is>
          <t>VÄRMLANDS LÄN</t>
        </is>
      </c>
      <c r="E1699" t="inlineStr">
        <is>
          <t>TORSBY</t>
        </is>
      </c>
      <c r="G1699" t="n">
        <v>31.9</v>
      </c>
      <c r="H1699" t="n">
        <v>0</v>
      </c>
      <c r="I1699" t="n">
        <v>0</v>
      </c>
      <c r="J1699" t="n">
        <v>0</v>
      </c>
      <c r="K1699" t="n">
        <v>0</v>
      </c>
      <c r="L1699" t="n">
        <v>0</v>
      </c>
      <c r="M1699" t="n">
        <v>0</v>
      </c>
      <c r="N1699" t="n">
        <v>0</v>
      </c>
      <c r="O1699" t="n">
        <v>0</v>
      </c>
      <c r="P1699" t="n">
        <v>0</v>
      </c>
      <c r="Q1699" t="n">
        <v>0</v>
      </c>
      <c r="R1699" s="2" t="inlineStr"/>
    </row>
    <row r="1700" ht="15" customHeight="1">
      <c r="A1700" t="inlineStr">
        <is>
          <t>A 46503-2024</t>
        </is>
      </c>
      <c r="B1700" s="1" t="n">
        <v>45582</v>
      </c>
      <c r="C1700" s="1" t="n">
        <v>46033</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1137-2026</t>
        </is>
      </c>
      <c r="B1701" s="1" t="n">
        <v>46030.78601851852</v>
      </c>
      <c r="C1701" s="1" t="n">
        <v>46033</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1148-2026</t>
        </is>
      </c>
      <c r="B1702" s="1" t="n">
        <v>46030.90633101852</v>
      </c>
      <c r="C1702" s="1" t="n">
        <v>46033</v>
      </c>
      <c r="D1702" t="inlineStr">
        <is>
          <t>VÄRMLANDS LÄN</t>
        </is>
      </c>
      <c r="E1702" t="inlineStr">
        <is>
          <t>TORSBY</t>
        </is>
      </c>
      <c r="F1702" t="inlineStr">
        <is>
          <t>Bergvik skog väst AB</t>
        </is>
      </c>
      <c r="G1702" t="n">
        <v>11.8</v>
      </c>
      <c r="H1702" t="n">
        <v>0</v>
      </c>
      <c r="I1702" t="n">
        <v>0</v>
      </c>
      <c r="J1702" t="n">
        <v>0</v>
      </c>
      <c r="K1702" t="n">
        <v>0</v>
      </c>
      <c r="L1702" t="n">
        <v>0</v>
      </c>
      <c r="M1702" t="n">
        <v>0</v>
      </c>
      <c r="N1702" t="n">
        <v>0</v>
      </c>
      <c r="O1702" t="n">
        <v>0</v>
      </c>
      <c r="P1702" t="n">
        <v>0</v>
      </c>
      <c r="Q1702" t="n">
        <v>0</v>
      </c>
      <c r="R1702" s="2" t="inlineStr"/>
    </row>
    <row r="1703" ht="15" customHeight="1">
      <c r="A1703" t="inlineStr">
        <is>
          <t>A 14369-2025</t>
        </is>
      </c>
      <c r="B1703" s="1" t="n">
        <v>45741</v>
      </c>
      <c r="C1703" s="1" t="n">
        <v>46033</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54822-2023</t>
        </is>
      </c>
      <c r="B1704" s="1" t="n">
        <v>45229</v>
      </c>
      <c r="C1704" s="1" t="n">
        <v>46033</v>
      </c>
      <c r="D1704" t="inlineStr">
        <is>
          <t>VÄRMLANDS LÄN</t>
        </is>
      </c>
      <c r="E1704" t="inlineStr">
        <is>
          <t>TORSBY</t>
        </is>
      </c>
      <c r="F1704" t="inlineStr">
        <is>
          <t>Övriga Aktiebolag</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36775-2024</t>
        </is>
      </c>
      <c r="B1705" s="1" t="n">
        <v>45538</v>
      </c>
      <c r="C1705" s="1" t="n">
        <v>46033</v>
      </c>
      <c r="D1705" t="inlineStr">
        <is>
          <t>VÄRMLANDS LÄN</t>
        </is>
      </c>
      <c r="E1705" t="inlineStr">
        <is>
          <t>TORSBY</t>
        </is>
      </c>
      <c r="F1705" t="inlineStr">
        <is>
          <t>Kyrkan</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14730-2024</t>
        </is>
      </c>
      <c r="B1706" s="1" t="n">
        <v>45397.58518518518</v>
      </c>
      <c r="C1706" s="1" t="n">
        <v>46033</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36758-2024</t>
        </is>
      </c>
      <c r="B1707" s="1" t="n">
        <v>45538.35525462963</v>
      </c>
      <c r="C1707" s="1" t="n">
        <v>46033</v>
      </c>
      <c r="D1707" t="inlineStr">
        <is>
          <t>VÄRMLANDS LÄN</t>
        </is>
      </c>
      <c r="E1707" t="inlineStr">
        <is>
          <t>TORSBY</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2390-2025</t>
        </is>
      </c>
      <c r="B1708" s="1" t="n">
        <v>45674.32071759259</v>
      </c>
      <c r="C1708" s="1" t="n">
        <v>46033</v>
      </c>
      <c r="D1708" t="inlineStr">
        <is>
          <t>VÄRMLANDS LÄN</t>
        </is>
      </c>
      <c r="E1708" t="inlineStr">
        <is>
          <t>TORSBY</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59030-2025</t>
        </is>
      </c>
      <c r="B1709" s="1" t="n">
        <v>45988</v>
      </c>
      <c r="C1709" s="1" t="n">
        <v>46033</v>
      </c>
      <c r="D1709" t="inlineStr">
        <is>
          <t>VÄRMLANDS LÄN</t>
        </is>
      </c>
      <c r="E1709" t="inlineStr">
        <is>
          <t>TORSBY</t>
        </is>
      </c>
      <c r="F1709" t="inlineStr">
        <is>
          <t>Kyrkan</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14613-2025</t>
        </is>
      </c>
      <c r="B1710" s="1" t="n">
        <v>45742.39615740741</v>
      </c>
      <c r="C1710" s="1" t="n">
        <v>46033</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991-2026</t>
        </is>
      </c>
      <c r="B1711" s="1" t="n">
        <v>46030.58675925926</v>
      </c>
      <c r="C1711" s="1" t="n">
        <v>46033</v>
      </c>
      <c r="D1711" t="inlineStr">
        <is>
          <t>VÄRMLANDS LÄN</t>
        </is>
      </c>
      <c r="E1711" t="inlineStr">
        <is>
          <t>TORSBY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37279-2022</t>
        </is>
      </c>
      <c r="B1712" s="1" t="n">
        <v>44807</v>
      </c>
      <c r="C1712" s="1" t="n">
        <v>46033</v>
      </c>
      <c r="D1712" t="inlineStr">
        <is>
          <t>VÄRMLANDS LÄN</t>
        </is>
      </c>
      <c r="E1712" t="inlineStr">
        <is>
          <t>TORSBY</t>
        </is>
      </c>
      <c r="G1712" t="n">
        <v>18.2</v>
      </c>
      <c r="H1712" t="n">
        <v>0</v>
      </c>
      <c r="I1712" t="n">
        <v>0</v>
      </c>
      <c r="J1712" t="n">
        <v>0</v>
      </c>
      <c r="K1712" t="n">
        <v>0</v>
      </c>
      <c r="L1712" t="n">
        <v>0</v>
      </c>
      <c r="M1712" t="n">
        <v>0</v>
      </c>
      <c r="N1712" t="n">
        <v>0</v>
      </c>
      <c r="O1712" t="n">
        <v>0</v>
      </c>
      <c r="P1712" t="n">
        <v>0</v>
      </c>
      <c r="Q1712" t="n">
        <v>0</v>
      </c>
      <c r="R1712" s="2" t="inlineStr"/>
    </row>
    <row r="1713" ht="15" customHeight="1">
      <c r="A1713" t="inlineStr">
        <is>
          <t>A 59536-2025</t>
        </is>
      </c>
      <c r="B1713" s="1" t="n">
        <v>45989</v>
      </c>
      <c r="C1713" s="1" t="n">
        <v>46033</v>
      </c>
      <c r="D1713" t="inlineStr">
        <is>
          <t>VÄRMLANDS LÄN</t>
        </is>
      </c>
      <c r="E1713" t="inlineStr">
        <is>
          <t>TORSBY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37340-2022</t>
        </is>
      </c>
      <c r="B1714" s="1" t="n">
        <v>44809</v>
      </c>
      <c r="C1714" s="1" t="n">
        <v>46033</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60592-2025</t>
        </is>
      </c>
      <c r="B1715" s="1" t="n">
        <v>45996</v>
      </c>
      <c r="C1715" s="1" t="n">
        <v>46033</v>
      </c>
      <c r="D1715" t="inlineStr">
        <is>
          <t>VÄRMLANDS LÄN</t>
        </is>
      </c>
      <c r="E1715" t="inlineStr">
        <is>
          <t>TORSBY</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56299-2025</t>
        </is>
      </c>
      <c r="B1716" s="1" t="n">
        <v>45974</v>
      </c>
      <c r="C1716" s="1" t="n">
        <v>46033</v>
      </c>
      <c r="D1716" t="inlineStr">
        <is>
          <t>VÄRMLANDS LÄN</t>
        </is>
      </c>
      <c r="E1716" t="inlineStr">
        <is>
          <t>TORSBY</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59236-2023</t>
        </is>
      </c>
      <c r="B1717" s="1" t="n">
        <v>45253</v>
      </c>
      <c r="C1717" s="1" t="n">
        <v>46033</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8022-2025</t>
        </is>
      </c>
      <c r="B1718" s="1" t="n">
        <v>45707.57733796296</v>
      </c>
      <c r="C1718" s="1" t="n">
        <v>46033</v>
      </c>
      <c r="D1718" t="inlineStr">
        <is>
          <t>VÄRMLANDS LÄN</t>
        </is>
      </c>
      <c r="E1718" t="inlineStr">
        <is>
          <t>TORSBY</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36184-2024</t>
        </is>
      </c>
      <c r="B1719" s="1" t="n">
        <v>45534.4178125</v>
      </c>
      <c r="C1719" s="1" t="n">
        <v>46033</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1139-2026</t>
        </is>
      </c>
      <c r="B1720" s="1" t="n">
        <v>46030.79063657407</v>
      </c>
      <c r="C1720" s="1" t="n">
        <v>46033</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14801-2025</t>
        </is>
      </c>
      <c r="B1721" s="1" t="n">
        <v>45743</v>
      </c>
      <c r="C1721" s="1" t="n">
        <v>46033</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60346-2025</t>
        </is>
      </c>
      <c r="B1722" s="1" t="n">
        <v>45995</v>
      </c>
      <c r="C1722" s="1" t="n">
        <v>46033</v>
      </c>
      <c r="D1722" t="inlineStr">
        <is>
          <t>VÄRMLANDS LÄN</t>
        </is>
      </c>
      <c r="E1722" t="inlineStr">
        <is>
          <t>TORSBY</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23818-2022</t>
        </is>
      </c>
      <c r="B1723" s="1" t="n">
        <v>44722</v>
      </c>
      <c r="C1723" s="1" t="n">
        <v>46033</v>
      </c>
      <c r="D1723" t="inlineStr">
        <is>
          <t>VÄRMLANDS LÄN</t>
        </is>
      </c>
      <c r="E1723" t="inlineStr">
        <is>
          <t>TORSBY</t>
        </is>
      </c>
      <c r="G1723" t="n">
        <v>23.5</v>
      </c>
      <c r="H1723" t="n">
        <v>0</v>
      </c>
      <c r="I1723" t="n">
        <v>0</v>
      </c>
      <c r="J1723" t="n">
        <v>0</v>
      </c>
      <c r="K1723" t="n">
        <v>0</v>
      </c>
      <c r="L1723" t="n">
        <v>0</v>
      </c>
      <c r="M1723" t="n">
        <v>0</v>
      </c>
      <c r="N1723" t="n">
        <v>0</v>
      </c>
      <c r="O1723" t="n">
        <v>0</v>
      </c>
      <c r="P1723" t="n">
        <v>0</v>
      </c>
      <c r="Q1723" t="n">
        <v>0</v>
      </c>
      <c r="R1723" s="2" t="inlineStr"/>
    </row>
    <row r="1724" ht="15" customHeight="1">
      <c r="A1724" t="inlineStr">
        <is>
          <t>A 17548-2023</t>
        </is>
      </c>
      <c r="B1724" s="1" t="n">
        <v>45036</v>
      </c>
      <c r="C1724" s="1" t="n">
        <v>46033</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65134-2023</t>
        </is>
      </c>
      <c r="B1725" s="1" t="n">
        <v>45288.52010416667</v>
      </c>
      <c r="C1725" s="1" t="n">
        <v>46033</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40573-2024</t>
        </is>
      </c>
      <c r="B1726" s="1" t="n">
        <v>45555.69518518518</v>
      </c>
      <c r="C1726" s="1" t="n">
        <v>46033</v>
      </c>
      <c r="D1726" t="inlineStr">
        <is>
          <t>VÄRMLANDS LÄN</t>
        </is>
      </c>
      <c r="E1726" t="inlineStr">
        <is>
          <t>TORSBY</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502-2024</t>
        </is>
      </c>
      <c r="B1727" s="1" t="n">
        <v>45299</v>
      </c>
      <c r="C1727" s="1" t="n">
        <v>46033</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4302-2025</t>
        </is>
      </c>
      <c r="B1728" s="1" t="n">
        <v>45685.67939814815</v>
      </c>
      <c r="C1728" s="1" t="n">
        <v>46033</v>
      </c>
      <c r="D1728" t="inlineStr">
        <is>
          <t>VÄRMLANDS LÄN</t>
        </is>
      </c>
      <c r="E1728" t="inlineStr">
        <is>
          <t>TORSBY</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2797-2025</t>
        </is>
      </c>
      <c r="B1729" s="1" t="n">
        <v>45677</v>
      </c>
      <c r="C1729" s="1" t="n">
        <v>46033</v>
      </c>
      <c r="D1729" t="inlineStr">
        <is>
          <t>VÄRMLANDS LÄN</t>
        </is>
      </c>
      <c r="E1729" t="inlineStr">
        <is>
          <t>TORSBY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63158-2023</t>
        </is>
      </c>
      <c r="B1730" s="1" t="n">
        <v>45273.51715277778</v>
      </c>
      <c r="C1730" s="1" t="n">
        <v>46033</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34568-2022</t>
        </is>
      </c>
      <c r="B1731" s="1" t="n">
        <v>44795.28277777778</v>
      </c>
      <c r="C1731" s="1" t="n">
        <v>46033</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4516-2025</t>
        </is>
      </c>
      <c r="B1732" s="1" t="n">
        <v>45686.88212962963</v>
      </c>
      <c r="C1732" s="1" t="n">
        <v>46033</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4517-2025</t>
        </is>
      </c>
      <c r="B1733" s="1" t="n">
        <v>45686</v>
      </c>
      <c r="C1733" s="1" t="n">
        <v>46033</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25537-2022</t>
        </is>
      </c>
      <c r="B1734" s="1" t="n">
        <v>44732</v>
      </c>
      <c r="C1734" s="1" t="n">
        <v>46033</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57642-2023</t>
        </is>
      </c>
      <c r="B1735" s="1" t="n">
        <v>45246.5915625</v>
      </c>
      <c r="C1735" s="1" t="n">
        <v>46033</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58013-2023</t>
        </is>
      </c>
      <c r="B1736" s="1" t="n">
        <v>45247.62346064814</v>
      </c>
      <c r="C1736" s="1" t="n">
        <v>46033</v>
      </c>
      <c r="D1736" t="inlineStr">
        <is>
          <t>VÄRMLANDS LÄN</t>
        </is>
      </c>
      <c r="E1736" t="inlineStr">
        <is>
          <t>TORSBY</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36290-2022</t>
        </is>
      </c>
      <c r="B1737" s="1" t="n">
        <v>44803</v>
      </c>
      <c r="C1737" s="1" t="n">
        <v>46033</v>
      </c>
      <c r="D1737" t="inlineStr">
        <is>
          <t>VÄRMLANDS LÄN</t>
        </is>
      </c>
      <c r="E1737" t="inlineStr">
        <is>
          <t>TORSBY</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39075-2024</t>
        </is>
      </c>
      <c r="B1738" s="1" t="n">
        <v>45548</v>
      </c>
      <c r="C1738" s="1" t="n">
        <v>46033</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40007-2023</t>
        </is>
      </c>
      <c r="B1739" s="1" t="n">
        <v>45168</v>
      </c>
      <c r="C1739" s="1" t="n">
        <v>46033</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7745-2023</t>
        </is>
      </c>
      <c r="B1740" s="1" t="n">
        <v>44973.35336805556</v>
      </c>
      <c r="C1740" s="1" t="n">
        <v>46033</v>
      </c>
      <c r="D1740" t="inlineStr">
        <is>
          <t>VÄRMLANDS LÄN</t>
        </is>
      </c>
      <c r="E1740" t="inlineStr">
        <is>
          <t>TORSBY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22826-2022</t>
        </is>
      </c>
      <c r="B1741" s="1" t="n">
        <v>44714</v>
      </c>
      <c r="C1741" s="1" t="n">
        <v>46033</v>
      </c>
      <c r="D1741" t="inlineStr">
        <is>
          <t>VÄRMLANDS LÄN</t>
        </is>
      </c>
      <c r="E1741" t="inlineStr">
        <is>
          <t>TORSBY</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34717-2024</t>
        </is>
      </c>
      <c r="B1742" s="1" t="n">
        <v>45526.56409722222</v>
      </c>
      <c r="C1742" s="1" t="n">
        <v>46033</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18883-2024</t>
        </is>
      </c>
      <c r="B1743" s="1" t="n">
        <v>45426</v>
      </c>
      <c r="C1743" s="1" t="n">
        <v>46033</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14304-2023</t>
        </is>
      </c>
      <c r="B1744" s="1" t="n">
        <v>45011.76541666667</v>
      </c>
      <c r="C1744" s="1" t="n">
        <v>46033</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33620-2024</t>
        </is>
      </c>
      <c r="B1745" s="1" t="n">
        <v>45520.41530092592</v>
      </c>
      <c r="C1745" s="1" t="n">
        <v>46033</v>
      </c>
      <c r="D1745" t="inlineStr">
        <is>
          <t>VÄRMLANDS LÄN</t>
        </is>
      </c>
      <c r="E1745" t="inlineStr">
        <is>
          <t>TORSBY</t>
        </is>
      </c>
      <c r="F1745" t="inlineStr">
        <is>
          <t>Bergvik skog väst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46033</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40971-2023</t>
        </is>
      </c>
      <c r="B1747" s="1" t="n">
        <v>45173</v>
      </c>
      <c r="C1747" s="1" t="n">
        <v>46033</v>
      </c>
      <c r="D1747" t="inlineStr">
        <is>
          <t>VÄRMLANDS LÄN</t>
        </is>
      </c>
      <c r="E1747" t="inlineStr">
        <is>
          <t>TORSBY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18314-2025</t>
        </is>
      </c>
      <c r="B1748" s="1" t="n">
        <v>45762.44986111111</v>
      </c>
      <c r="C1748" s="1" t="n">
        <v>46033</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34961-2024</t>
        </is>
      </c>
      <c r="B1749" s="1" t="n">
        <v>45527.48923611111</v>
      </c>
      <c r="C1749" s="1" t="n">
        <v>46033</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39746-2024</t>
        </is>
      </c>
      <c r="B1750" s="1" t="n">
        <v>45552</v>
      </c>
      <c r="C1750" s="1" t="n">
        <v>46033</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15460-2022</t>
        </is>
      </c>
      <c r="B1751" s="1" t="n">
        <v>44661</v>
      </c>
      <c r="C1751" s="1" t="n">
        <v>46033</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51987-2024</t>
        </is>
      </c>
      <c r="B1752" s="1" t="n">
        <v>45607</v>
      </c>
      <c r="C1752" s="1" t="n">
        <v>46033</v>
      </c>
      <c r="D1752" t="inlineStr">
        <is>
          <t>VÄRMLANDS LÄN</t>
        </is>
      </c>
      <c r="E1752" t="inlineStr">
        <is>
          <t>TORSBY</t>
        </is>
      </c>
      <c r="G1752" t="n">
        <v>17.7</v>
      </c>
      <c r="H1752" t="n">
        <v>0</v>
      </c>
      <c r="I1752" t="n">
        <v>0</v>
      </c>
      <c r="J1752" t="n">
        <v>0</v>
      </c>
      <c r="K1752" t="n">
        <v>0</v>
      </c>
      <c r="L1752" t="n">
        <v>0</v>
      </c>
      <c r="M1752" t="n">
        <v>0</v>
      </c>
      <c r="N1752" t="n">
        <v>0</v>
      </c>
      <c r="O1752" t="n">
        <v>0</v>
      </c>
      <c r="P1752" t="n">
        <v>0</v>
      </c>
      <c r="Q1752" t="n">
        <v>0</v>
      </c>
      <c r="R1752" s="2" t="inlineStr"/>
    </row>
    <row r="1753" ht="15" customHeight="1">
      <c r="A1753" t="inlineStr">
        <is>
          <t>A 2576-2021</t>
        </is>
      </c>
      <c r="B1753" s="1" t="n">
        <v>44214</v>
      </c>
      <c r="C1753" s="1" t="n">
        <v>46033</v>
      </c>
      <c r="D1753" t="inlineStr">
        <is>
          <t>VÄRMLANDS LÄN</t>
        </is>
      </c>
      <c r="E1753" t="inlineStr">
        <is>
          <t>TORSBY</t>
        </is>
      </c>
      <c r="F1753" t="inlineStr">
        <is>
          <t>Kommuner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57726-2022</t>
        </is>
      </c>
      <c r="B1754" s="1" t="n">
        <v>44897.56420138889</v>
      </c>
      <c r="C1754" s="1" t="n">
        <v>46033</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20528-2023</t>
        </is>
      </c>
      <c r="B1755" s="1" t="n">
        <v>45057</v>
      </c>
      <c r="C1755" s="1" t="n">
        <v>46033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18876-2023</t>
        </is>
      </c>
      <c r="B1756" s="1" t="n">
        <v>45044.50101851852</v>
      </c>
      <c r="C1756" s="1" t="n">
        <v>46033</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28624-2024</t>
        </is>
      </c>
      <c r="B1757" s="1" t="n">
        <v>45478.44297453704</v>
      </c>
      <c r="C1757" s="1" t="n">
        <v>46033</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11214-2024</t>
        </is>
      </c>
      <c r="B1758" s="1" t="n">
        <v>45371</v>
      </c>
      <c r="C1758" s="1" t="n">
        <v>46033</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43179-2023</t>
        </is>
      </c>
      <c r="B1759" s="1" t="n">
        <v>45183.37615740741</v>
      </c>
      <c r="C1759" s="1" t="n">
        <v>46033</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2308-2024</t>
        </is>
      </c>
      <c r="B1760" s="1" t="n">
        <v>45310</v>
      </c>
      <c r="C1760" s="1" t="n">
        <v>46033</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46195-2023</t>
        </is>
      </c>
      <c r="B1761" s="1" t="n">
        <v>45196</v>
      </c>
      <c r="C1761" s="1" t="n">
        <v>46033</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18959-2024</t>
        </is>
      </c>
      <c r="B1762" s="1" t="n">
        <v>45427.53032407408</v>
      </c>
      <c r="C1762" s="1" t="n">
        <v>46033</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19630-2025</t>
        </is>
      </c>
      <c r="B1763" s="1" t="n">
        <v>45770.64239583333</v>
      </c>
      <c r="C1763" s="1" t="n">
        <v>46033</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46033</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29921-2022</t>
        </is>
      </c>
      <c r="B1765" s="1" t="n">
        <v>44756</v>
      </c>
      <c r="C1765" s="1" t="n">
        <v>46033</v>
      </c>
      <c r="D1765" t="inlineStr">
        <is>
          <t>VÄRMLANDS LÄN</t>
        </is>
      </c>
      <c r="E1765" t="inlineStr">
        <is>
          <t>TORSBY</t>
        </is>
      </c>
      <c r="F1765" t="inlineStr">
        <is>
          <t>Kommuner</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64641-2023</t>
        </is>
      </c>
      <c r="B1766" s="1" t="n">
        <v>45281.55908564815</v>
      </c>
      <c r="C1766" s="1" t="n">
        <v>46033</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11569-2025</t>
        </is>
      </c>
      <c r="B1767" s="1" t="n">
        <v>45727.37971064815</v>
      </c>
      <c r="C1767" s="1" t="n">
        <v>46033</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16427-2023</t>
        </is>
      </c>
      <c r="B1768" s="1" t="n">
        <v>45022</v>
      </c>
      <c r="C1768" s="1" t="n">
        <v>46033</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34434-2022</t>
        </is>
      </c>
      <c r="B1769" s="1" t="n">
        <v>44792</v>
      </c>
      <c r="C1769" s="1" t="n">
        <v>46033</v>
      </c>
      <c r="D1769" t="inlineStr">
        <is>
          <t>VÄRMLANDS LÄN</t>
        </is>
      </c>
      <c r="E1769" t="inlineStr">
        <is>
          <t>TORSBY</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2321-2021</t>
        </is>
      </c>
      <c r="B1770" s="1" t="n">
        <v>44214</v>
      </c>
      <c r="C1770" s="1" t="n">
        <v>46033</v>
      </c>
      <c r="D1770" t="inlineStr">
        <is>
          <t>VÄRMLANDS LÄN</t>
        </is>
      </c>
      <c r="E1770" t="inlineStr">
        <is>
          <t>TORSBY</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7636-2024</t>
        </is>
      </c>
      <c r="B1771" s="1" t="n">
        <v>45348</v>
      </c>
      <c r="C1771" s="1" t="n">
        <v>46033</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3160-2021</t>
        </is>
      </c>
      <c r="B1772" s="1" t="n">
        <v>44217</v>
      </c>
      <c r="C1772" s="1" t="n">
        <v>46033</v>
      </c>
      <c r="D1772" t="inlineStr">
        <is>
          <t>VÄRMLANDS LÄN</t>
        </is>
      </c>
      <c r="E1772" t="inlineStr">
        <is>
          <t>TORSBY</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3590-2024</t>
        </is>
      </c>
      <c r="B1773" s="1" t="n">
        <v>45320</v>
      </c>
      <c r="C1773" s="1" t="n">
        <v>46033</v>
      </c>
      <c r="D1773" t="inlineStr">
        <is>
          <t>VÄRMLANDS LÄN</t>
        </is>
      </c>
      <c r="E1773" t="inlineStr">
        <is>
          <t>TORSBY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18258-2025</t>
        </is>
      </c>
      <c r="B1774" s="1" t="n">
        <v>45762.35762731481</v>
      </c>
      <c r="C1774" s="1" t="n">
        <v>46033</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37822-2023</t>
        </is>
      </c>
      <c r="B1775" s="1" t="n">
        <v>45160.30215277777</v>
      </c>
      <c r="C1775" s="1" t="n">
        <v>46033</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21825-2024</t>
        </is>
      </c>
      <c r="B1776" s="1" t="n">
        <v>45442</v>
      </c>
      <c r="C1776" s="1" t="n">
        <v>46033</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20721-2023</t>
        </is>
      </c>
      <c r="B1777" s="1" t="n">
        <v>45058</v>
      </c>
      <c r="C1777" s="1" t="n">
        <v>46033</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16369-2024</t>
        </is>
      </c>
      <c r="B1778" s="1" t="n">
        <v>45407</v>
      </c>
      <c r="C1778" s="1" t="n">
        <v>46033</v>
      </c>
      <c r="D1778" t="inlineStr">
        <is>
          <t>VÄRMLANDS LÄN</t>
        </is>
      </c>
      <c r="E1778" t="inlineStr">
        <is>
          <t>TORSBY</t>
        </is>
      </c>
      <c r="F1778" t="inlineStr">
        <is>
          <t>Kommuner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42615-2021</t>
        </is>
      </c>
      <c r="B1779" s="1" t="n">
        <v>44428</v>
      </c>
      <c r="C1779" s="1" t="n">
        <v>46033</v>
      </c>
      <c r="D1779" t="inlineStr">
        <is>
          <t>VÄRMLANDS LÄN</t>
        </is>
      </c>
      <c r="E1779" t="inlineStr">
        <is>
          <t>TORSBY</t>
        </is>
      </c>
      <c r="F1779" t="inlineStr">
        <is>
          <t>Bergvik skog väst AB</t>
        </is>
      </c>
      <c r="G1779" t="n">
        <v>37.2</v>
      </c>
      <c r="H1779" t="n">
        <v>0</v>
      </c>
      <c r="I1779" t="n">
        <v>0</v>
      </c>
      <c r="J1779" t="n">
        <v>0</v>
      </c>
      <c r="K1779" t="n">
        <v>0</v>
      </c>
      <c r="L1779" t="n">
        <v>0</v>
      </c>
      <c r="M1779" t="n">
        <v>0</v>
      </c>
      <c r="N1779" t="n">
        <v>0</v>
      </c>
      <c r="O1779" t="n">
        <v>0</v>
      </c>
      <c r="P1779" t="n">
        <v>0</v>
      </c>
      <c r="Q1779" t="n">
        <v>0</v>
      </c>
      <c r="R1779" s="2" t="inlineStr"/>
    </row>
    <row r="1780" ht="15" customHeight="1">
      <c r="A1780" t="inlineStr">
        <is>
          <t>A 18337-2024</t>
        </is>
      </c>
      <c r="B1780" s="1" t="n">
        <v>45422</v>
      </c>
      <c r="C1780" s="1" t="n">
        <v>46033</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43111-2022</t>
        </is>
      </c>
      <c r="B1781" s="1" t="n">
        <v>44833</v>
      </c>
      <c r="C1781" s="1" t="n">
        <v>46033</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392-2025</t>
        </is>
      </c>
      <c r="B1782" s="1" t="n">
        <v>45663.35111111111</v>
      </c>
      <c r="C1782" s="1" t="n">
        <v>46033</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19964-2025</t>
        </is>
      </c>
      <c r="B1783" s="1" t="n">
        <v>45771.67315972222</v>
      </c>
      <c r="C1783" s="1" t="n">
        <v>46033</v>
      </c>
      <c r="D1783" t="inlineStr">
        <is>
          <t>VÄRMLANDS LÄN</t>
        </is>
      </c>
      <c r="E1783" t="inlineStr">
        <is>
          <t>TORSBY</t>
        </is>
      </c>
      <c r="F1783" t="inlineStr">
        <is>
          <t>Bergvik skog väst AB</t>
        </is>
      </c>
      <c r="G1783" t="n">
        <v>23.8</v>
      </c>
      <c r="H1783" t="n">
        <v>0</v>
      </c>
      <c r="I1783" t="n">
        <v>0</v>
      </c>
      <c r="J1783" t="n">
        <v>0</v>
      </c>
      <c r="K1783" t="n">
        <v>0</v>
      </c>
      <c r="L1783" t="n">
        <v>0</v>
      </c>
      <c r="M1783" t="n">
        <v>0</v>
      </c>
      <c r="N1783" t="n">
        <v>0</v>
      </c>
      <c r="O1783" t="n">
        <v>0</v>
      </c>
      <c r="P1783" t="n">
        <v>0</v>
      </c>
      <c r="Q1783" t="n">
        <v>0</v>
      </c>
      <c r="R1783" s="2" t="inlineStr"/>
    </row>
    <row r="1784" ht="15" customHeight="1">
      <c r="A1784" t="inlineStr">
        <is>
          <t>A 27273-2024</t>
        </is>
      </c>
      <c r="B1784" s="1" t="n">
        <v>45471.84013888889</v>
      </c>
      <c r="C1784" s="1" t="n">
        <v>46033</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27275-2024</t>
        </is>
      </c>
      <c r="B1785" s="1" t="n">
        <v>45471.85645833334</v>
      </c>
      <c r="C1785" s="1" t="n">
        <v>46033</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1947-2023</t>
        </is>
      </c>
      <c r="B1786" s="1" t="n">
        <v>44939</v>
      </c>
      <c r="C1786" s="1" t="n">
        <v>46033</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60537-2024</t>
        </is>
      </c>
      <c r="B1787" s="1" t="n">
        <v>45643.77138888889</v>
      </c>
      <c r="C1787" s="1" t="n">
        <v>46033</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44342-2024</t>
        </is>
      </c>
      <c r="B1788" s="1" t="n">
        <v>45573.61793981482</v>
      </c>
      <c r="C1788" s="1" t="n">
        <v>46033</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4522-2021</t>
        </is>
      </c>
      <c r="B1789" s="1" t="n">
        <v>44224</v>
      </c>
      <c r="C1789" s="1" t="n">
        <v>46033</v>
      </c>
      <c r="D1789" t="inlineStr">
        <is>
          <t>VÄRMLANDS LÄN</t>
        </is>
      </c>
      <c r="E1789" t="inlineStr">
        <is>
          <t>TORSBY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52809-2024</t>
        </is>
      </c>
      <c r="B1790" s="1" t="n">
        <v>45610</v>
      </c>
      <c r="C1790" s="1" t="n">
        <v>46033</v>
      </c>
      <c r="D1790" t="inlineStr">
        <is>
          <t>VÄRMLANDS LÄN</t>
        </is>
      </c>
      <c r="E1790" t="inlineStr">
        <is>
          <t>TORSBY</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10979-2025</t>
        </is>
      </c>
      <c r="B1791" s="1" t="n">
        <v>45723.39988425926</v>
      </c>
      <c r="C1791" s="1" t="n">
        <v>46033</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27292-2024</t>
        </is>
      </c>
      <c r="B1792" s="1" t="n">
        <v>45471.93378472222</v>
      </c>
      <c r="C1792" s="1" t="n">
        <v>46033</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53570-2024</t>
        </is>
      </c>
      <c r="B1793" s="1" t="n">
        <v>45614.65956018519</v>
      </c>
      <c r="C1793" s="1" t="n">
        <v>46033</v>
      </c>
      <c r="D1793" t="inlineStr">
        <is>
          <t>VÄRMLANDS LÄN</t>
        </is>
      </c>
      <c r="E1793" t="inlineStr">
        <is>
          <t>TORSBY</t>
        </is>
      </c>
      <c r="G1793" t="n">
        <v>15.5</v>
      </c>
      <c r="H1793" t="n">
        <v>0</v>
      </c>
      <c r="I1793" t="n">
        <v>0</v>
      </c>
      <c r="J1793" t="n">
        <v>0</v>
      </c>
      <c r="K1793" t="n">
        <v>0</v>
      </c>
      <c r="L1793" t="n">
        <v>0</v>
      </c>
      <c r="M1793" t="n">
        <v>0</v>
      </c>
      <c r="N1793" t="n">
        <v>0</v>
      </c>
      <c r="O1793" t="n">
        <v>0</v>
      </c>
      <c r="P1793" t="n">
        <v>0</v>
      </c>
      <c r="Q1793" t="n">
        <v>0</v>
      </c>
      <c r="R1793" s="2" t="inlineStr"/>
    </row>
    <row r="1794" ht="15" customHeight="1">
      <c r="A1794" t="inlineStr">
        <is>
          <t>A 53044-2024</t>
        </is>
      </c>
      <c r="B1794" s="1" t="n">
        <v>45611.44701388889</v>
      </c>
      <c r="C1794" s="1" t="n">
        <v>46033</v>
      </c>
      <c r="D1794" t="inlineStr">
        <is>
          <t>VÄRMLANDS LÄN</t>
        </is>
      </c>
      <c r="E1794" t="inlineStr">
        <is>
          <t>TORSBY</t>
        </is>
      </c>
      <c r="F1794" t="inlineStr">
        <is>
          <t>Kyrkan</t>
        </is>
      </c>
      <c r="G1794" t="n">
        <v>25.8</v>
      </c>
      <c r="H1794" t="n">
        <v>0</v>
      </c>
      <c r="I1794" t="n">
        <v>0</v>
      </c>
      <c r="J1794" t="n">
        <v>0</v>
      </c>
      <c r="K1794" t="n">
        <v>0</v>
      </c>
      <c r="L1794" t="n">
        <v>0</v>
      </c>
      <c r="M1794" t="n">
        <v>0</v>
      </c>
      <c r="N1794" t="n">
        <v>0</v>
      </c>
      <c r="O1794" t="n">
        <v>0</v>
      </c>
      <c r="P1794" t="n">
        <v>0</v>
      </c>
      <c r="Q1794" t="n">
        <v>0</v>
      </c>
      <c r="R1794" s="2" t="inlineStr"/>
    </row>
    <row r="1795" ht="15" customHeight="1">
      <c r="A1795" t="inlineStr">
        <is>
          <t>A 17039-2025</t>
        </is>
      </c>
      <c r="B1795" s="1" t="n">
        <v>45754</v>
      </c>
      <c r="C1795" s="1" t="n">
        <v>46033</v>
      </c>
      <c r="D1795" t="inlineStr">
        <is>
          <t>VÄRMLANDS LÄN</t>
        </is>
      </c>
      <c r="E1795" t="inlineStr">
        <is>
          <t>TORSBY</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17062-2025</t>
        </is>
      </c>
      <c r="B1796" s="1" t="n">
        <v>45754</v>
      </c>
      <c r="C1796" s="1" t="n">
        <v>46033</v>
      </c>
      <c r="D1796" t="inlineStr">
        <is>
          <t>VÄRMLANDS LÄN</t>
        </is>
      </c>
      <c r="E1796" t="inlineStr">
        <is>
          <t>TORSBY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11575-2024</t>
        </is>
      </c>
      <c r="B1797" s="1" t="n">
        <v>45373</v>
      </c>
      <c r="C1797" s="1" t="n">
        <v>46033</v>
      </c>
      <c r="D1797" t="inlineStr">
        <is>
          <t>VÄRMLANDS LÄN</t>
        </is>
      </c>
      <c r="E1797" t="inlineStr">
        <is>
          <t>TORSBY</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14413-2025</t>
        </is>
      </c>
      <c r="B1798" s="1" t="n">
        <v>45741</v>
      </c>
      <c r="C1798" s="1" t="n">
        <v>46033</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39642-2021</t>
        </is>
      </c>
      <c r="B1799" s="1" t="n">
        <v>44417</v>
      </c>
      <c r="C1799" s="1" t="n">
        <v>46033</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14945-2023</t>
        </is>
      </c>
      <c r="B1800" s="1" t="n">
        <v>45014</v>
      </c>
      <c r="C1800" s="1" t="n">
        <v>46033</v>
      </c>
      <c r="D1800" t="inlineStr">
        <is>
          <t>VÄRMLANDS LÄN</t>
        </is>
      </c>
      <c r="E1800" t="inlineStr">
        <is>
          <t>TORSBY</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55100-2023</t>
        </is>
      </c>
      <c r="B1801" s="1" t="n">
        <v>45237.45715277778</v>
      </c>
      <c r="C1801" s="1" t="n">
        <v>46033</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59423-2024</t>
        </is>
      </c>
      <c r="B1802" s="1" t="n">
        <v>45638</v>
      </c>
      <c r="C1802" s="1" t="n">
        <v>46033</v>
      </c>
      <c r="D1802" t="inlineStr">
        <is>
          <t>VÄRMLANDS LÄN</t>
        </is>
      </c>
      <c r="E1802" t="inlineStr">
        <is>
          <t>TORSBY</t>
        </is>
      </c>
      <c r="G1802" t="n">
        <v>23.7</v>
      </c>
      <c r="H1802" t="n">
        <v>0</v>
      </c>
      <c r="I1802" t="n">
        <v>0</v>
      </c>
      <c r="J1802" t="n">
        <v>0</v>
      </c>
      <c r="K1802" t="n">
        <v>0</v>
      </c>
      <c r="L1802" t="n">
        <v>0</v>
      </c>
      <c r="M1802" t="n">
        <v>0</v>
      </c>
      <c r="N1802" t="n">
        <v>0</v>
      </c>
      <c r="O1802" t="n">
        <v>0</v>
      </c>
      <c r="P1802" t="n">
        <v>0</v>
      </c>
      <c r="Q1802" t="n">
        <v>0</v>
      </c>
      <c r="R1802" s="2" t="inlineStr"/>
    </row>
    <row r="1803" ht="15" customHeight="1">
      <c r="A1803" t="inlineStr">
        <is>
          <t>A 27086-2024</t>
        </is>
      </c>
      <c r="B1803" s="1" t="n">
        <v>45471</v>
      </c>
      <c r="C1803" s="1" t="n">
        <v>46033</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15274-2024</t>
        </is>
      </c>
      <c r="B1804" s="1" t="n">
        <v>45400.58201388889</v>
      </c>
      <c r="C1804" s="1" t="n">
        <v>46033</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34966-2024</t>
        </is>
      </c>
      <c r="B1805" s="1" t="n">
        <v>45527.49600694444</v>
      </c>
      <c r="C1805" s="1" t="n">
        <v>46033</v>
      </c>
      <c r="D1805" t="inlineStr">
        <is>
          <t>VÄRMLANDS LÄN</t>
        </is>
      </c>
      <c r="E1805" t="inlineStr">
        <is>
          <t>TORSBY</t>
        </is>
      </c>
      <c r="F1805" t="inlineStr">
        <is>
          <t>Bergvik skog väst AB</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44670-2023</t>
        </is>
      </c>
      <c r="B1806" s="1" t="n">
        <v>45189</v>
      </c>
      <c r="C1806" s="1" t="n">
        <v>46033</v>
      </c>
      <c r="D1806" t="inlineStr">
        <is>
          <t>VÄRMLANDS LÄN</t>
        </is>
      </c>
      <c r="E1806" t="inlineStr">
        <is>
          <t>TORSBY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44710-2023</t>
        </is>
      </c>
      <c r="B1807" s="1" t="n">
        <v>45190</v>
      </c>
      <c r="C1807" s="1" t="n">
        <v>46033</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16488-2024</t>
        </is>
      </c>
      <c r="B1808" s="1" t="n">
        <v>45408.34597222223</v>
      </c>
      <c r="C1808" s="1" t="n">
        <v>46033</v>
      </c>
      <c r="D1808" t="inlineStr">
        <is>
          <t>VÄRMLANDS LÄN</t>
        </is>
      </c>
      <c r="E1808" t="inlineStr">
        <is>
          <t>TORSBY</t>
        </is>
      </c>
      <c r="F1808" t="inlineStr">
        <is>
          <t>Bergvik skog väst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16592-2024</t>
        </is>
      </c>
      <c r="B1809" s="1" t="n">
        <v>45408.49623842593</v>
      </c>
      <c r="C1809" s="1" t="n">
        <v>46033</v>
      </c>
      <c r="D1809" t="inlineStr">
        <is>
          <t>VÄRMLANDS LÄN</t>
        </is>
      </c>
      <c r="E1809" t="inlineStr">
        <is>
          <t>TORSBY</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54014-2024</t>
        </is>
      </c>
      <c r="B1810" s="1" t="n">
        <v>45616.38003472222</v>
      </c>
      <c r="C1810" s="1" t="n">
        <v>46033</v>
      </c>
      <c r="D1810" t="inlineStr">
        <is>
          <t>VÄRMLANDS LÄN</t>
        </is>
      </c>
      <c r="E1810" t="inlineStr">
        <is>
          <t>TORSBY</t>
        </is>
      </c>
      <c r="F1810" t="inlineStr">
        <is>
          <t>Kommuner</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44448-2024</t>
        </is>
      </c>
      <c r="B1811" s="1" t="n">
        <v>45574</v>
      </c>
      <c r="C1811" s="1" t="n">
        <v>46033</v>
      </c>
      <c r="D1811" t="inlineStr">
        <is>
          <t>VÄRMLANDS LÄN</t>
        </is>
      </c>
      <c r="E1811" t="inlineStr">
        <is>
          <t>TORSBY</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739-2022</t>
        </is>
      </c>
      <c r="B1812" s="1" t="n">
        <v>44568</v>
      </c>
      <c r="C1812" s="1" t="n">
        <v>46033</v>
      </c>
      <c r="D1812" t="inlineStr">
        <is>
          <t>VÄRMLANDS LÄN</t>
        </is>
      </c>
      <c r="E1812" t="inlineStr">
        <is>
          <t>TORSBY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36318-2022</t>
        </is>
      </c>
      <c r="B1813" s="1" t="n">
        <v>44803</v>
      </c>
      <c r="C1813" s="1" t="n">
        <v>46033</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50380-2024</t>
        </is>
      </c>
      <c r="B1814" s="1" t="n">
        <v>45601.30582175926</v>
      </c>
      <c r="C1814" s="1" t="n">
        <v>46033</v>
      </c>
      <c r="D1814" t="inlineStr">
        <is>
          <t>VÄRMLANDS LÄN</t>
        </is>
      </c>
      <c r="E1814" t="inlineStr">
        <is>
          <t>TORSBY</t>
        </is>
      </c>
      <c r="F1814" t="inlineStr">
        <is>
          <t>Bergvik skog väst AB</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32444-2022</t>
        </is>
      </c>
      <c r="B1815" s="1" t="n">
        <v>44782</v>
      </c>
      <c r="C1815" s="1" t="n">
        <v>46033</v>
      </c>
      <c r="D1815" t="inlineStr">
        <is>
          <t>VÄRMLANDS LÄN</t>
        </is>
      </c>
      <c r="E1815" t="inlineStr">
        <is>
          <t>TORSBY</t>
        </is>
      </c>
      <c r="F1815" t="inlineStr">
        <is>
          <t>Bergvik skog väst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15773-2023</t>
        </is>
      </c>
      <c r="B1816" s="1" t="n">
        <v>45021</v>
      </c>
      <c r="C1816" s="1" t="n">
        <v>46033</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15992-2023</t>
        </is>
      </c>
      <c r="B1817" s="1" t="n">
        <v>45023.5066087963</v>
      </c>
      <c r="C1817" s="1" t="n">
        <v>46033</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16044-2023</t>
        </is>
      </c>
      <c r="B1818" s="1" t="n">
        <v>45027</v>
      </c>
      <c r="C1818" s="1" t="n">
        <v>46033</v>
      </c>
      <c r="D1818" t="inlineStr">
        <is>
          <t>VÄRMLANDS LÄN</t>
        </is>
      </c>
      <c r="E1818" t="inlineStr">
        <is>
          <t>TORSBY</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10288-2025</t>
        </is>
      </c>
      <c r="B1819" s="1" t="n">
        <v>45720.41396990741</v>
      </c>
      <c r="C1819" s="1" t="n">
        <v>46033</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14367-2025</t>
        </is>
      </c>
      <c r="B1820" s="1" t="n">
        <v>45741.38988425926</v>
      </c>
      <c r="C1820" s="1" t="n">
        <v>46033</v>
      </c>
      <c r="D1820" t="inlineStr">
        <is>
          <t>VÄRMLANDS LÄN</t>
        </is>
      </c>
      <c r="E1820" t="inlineStr">
        <is>
          <t>TORSBY</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14419-2025</t>
        </is>
      </c>
      <c r="B1821" s="1" t="n">
        <v>45741</v>
      </c>
      <c r="C1821" s="1" t="n">
        <v>46033</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36050-2023</t>
        </is>
      </c>
      <c r="B1822" s="1" t="n">
        <v>45149</v>
      </c>
      <c r="C1822" s="1" t="n">
        <v>46033</v>
      </c>
      <c r="D1822" t="inlineStr">
        <is>
          <t>VÄRMLANDS LÄN</t>
        </is>
      </c>
      <c r="E1822" t="inlineStr">
        <is>
          <t>TORSBY</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11187-2024</t>
        </is>
      </c>
      <c r="B1823" s="1" t="n">
        <v>45371</v>
      </c>
      <c r="C1823" s="1" t="n">
        <v>46033</v>
      </c>
      <c r="D1823" t="inlineStr">
        <is>
          <t>VÄRMLANDS LÄN</t>
        </is>
      </c>
      <c r="E1823" t="inlineStr">
        <is>
          <t>TORSBY</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67457-2021</t>
        </is>
      </c>
      <c r="B1824" s="1" t="n">
        <v>44524</v>
      </c>
      <c r="C1824" s="1" t="n">
        <v>46033</v>
      </c>
      <c r="D1824" t="inlineStr">
        <is>
          <t>VÄRMLANDS LÄN</t>
        </is>
      </c>
      <c r="E1824" t="inlineStr">
        <is>
          <t>TORSBY</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21308-2024</t>
        </is>
      </c>
      <c r="B1825" s="1" t="n">
        <v>45440</v>
      </c>
      <c r="C1825" s="1" t="n">
        <v>46033</v>
      </c>
      <c r="D1825" t="inlineStr">
        <is>
          <t>VÄRMLANDS LÄN</t>
        </is>
      </c>
      <c r="E1825" t="inlineStr">
        <is>
          <t>TORSBY</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9067-2023</t>
        </is>
      </c>
      <c r="B1826" s="1" t="n">
        <v>44979</v>
      </c>
      <c r="C1826" s="1" t="n">
        <v>46033</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19887-2024</t>
        </is>
      </c>
      <c r="B1827" s="1" t="n">
        <v>45433</v>
      </c>
      <c r="C1827" s="1" t="n">
        <v>46033</v>
      </c>
      <c r="D1827" t="inlineStr">
        <is>
          <t>VÄRMLANDS LÄN</t>
        </is>
      </c>
      <c r="E1827" t="inlineStr">
        <is>
          <t>TORSBY</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24965-2023</t>
        </is>
      </c>
      <c r="B1828" s="1" t="n">
        <v>45085</v>
      </c>
      <c r="C1828" s="1" t="n">
        <v>46033</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24969-2023</t>
        </is>
      </c>
      <c r="B1829" s="1" t="n">
        <v>45085.61429398148</v>
      </c>
      <c r="C1829" s="1" t="n">
        <v>46033</v>
      </c>
      <c r="D1829" t="inlineStr">
        <is>
          <t>VÄRMLANDS LÄN</t>
        </is>
      </c>
      <c r="E1829" t="inlineStr">
        <is>
          <t>TORSBY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43137-2024</t>
        </is>
      </c>
      <c r="B1830" s="1" t="n">
        <v>45567</v>
      </c>
      <c r="C1830" s="1" t="n">
        <v>46033</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17554-2023</t>
        </is>
      </c>
      <c r="B1831" s="1" t="n">
        <v>45034</v>
      </c>
      <c r="C1831" s="1" t="n">
        <v>46033</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44150-2023</t>
        </is>
      </c>
      <c r="B1832" s="1" t="n">
        <v>45188.47791666666</v>
      </c>
      <c r="C1832" s="1" t="n">
        <v>46033</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37081-2023</t>
        </is>
      </c>
      <c r="B1833" s="1" t="n">
        <v>45155</v>
      </c>
      <c r="C1833" s="1" t="n">
        <v>46033</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62507-2023</t>
        </is>
      </c>
      <c r="B1834" s="1" t="n">
        <v>45267</v>
      </c>
      <c r="C1834" s="1" t="n">
        <v>46033</v>
      </c>
      <c r="D1834" t="inlineStr">
        <is>
          <t>VÄRMLANDS LÄN</t>
        </is>
      </c>
      <c r="E1834" t="inlineStr">
        <is>
          <t>TORSBY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15087-2023</t>
        </is>
      </c>
      <c r="B1835" s="1" t="n">
        <v>45016</v>
      </c>
      <c r="C1835" s="1" t="n">
        <v>46033</v>
      </c>
      <c r="D1835" t="inlineStr">
        <is>
          <t>VÄRMLANDS LÄN</t>
        </is>
      </c>
      <c r="E1835" t="inlineStr">
        <is>
          <t>TORSBY</t>
        </is>
      </c>
      <c r="F1835" t="inlineStr">
        <is>
          <t>Bergvik skog väst AB</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44262-2023</t>
        </is>
      </c>
      <c r="B1836" s="1" t="n">
        <v>45188.59809027778</v>
      </c>
      <c r="C1836" s="1" t="n">
        <v>46033</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20647-2024</t>
        </is>
      </c>
      <c r="B1837" s="1" t="n">
        <v>45436</v>
      </c>
      <c r="C1837" s="1" t="n">
        <v>46033</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17898-2023</t>
        </is>
      </c>
      <c r="B1838" s="1" t="n">
        <v>45039.72086805556</v>
      </c>
      <c r="C1838" s="1" t="n">
        <v>46033</v>
      </c>
      <c r="D1838" t="inlineStr">
        <is>
          <t>VÄRMLANDS LÄN</t>
        </is>
      </c>
      <c r="E1838" t="inlineStr">
        <is>
          <t>TORSBY</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13785-2023</t>
        </is>
      </c>
      <c r="B1839" s="1" t="n">
        <v>45007</v>
      </c>
      <c r="C1839" s="1" t="n">
        <v>46033</v>
      </c>
      <c r="D1839" t="inlineStr">
        <is>
          <t>VÄRMLANDS LÄN</t>
        </is>
      </c>
      <c r="E1839" t="inlineStr">
        <is>
          <t>TORSBY</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35134-2022</t>
        </is>
      </c>
      <c r="B1840" s="1" t="n">
        <v>44797</v>
      </c>
      <c r="C1840" s="1" t="n">
        <v>46033</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8048-2022</t>
        </is>
      </c>
      <c r="B1841" s="1" t="n">
        <v>44609</v>
      </c>
      <c r="C1841" s="1" t="n">
        <v>46033</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55794-2021</t>
        </is>
      </c>
      <c r="B1842" s="1" t="n">
        <v>44476</v>
      </c>
      <c r="C1842" s="1" t="n">
        <v>46033</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64602-2023</t>
        </is>
      </c>
      <c r="B1843" s="1" t="n">
        <v>45281.50085648148</v>
      </c>
      <c r="C1843" s="1" t="n">
        <v>46033</v>
      </c>
      <c r="D1843" t="inlineStr">
        <is>
          <t>VÄRMLANDS LÄN</t>
        </is>
      </c>
      <c r="E1843" t="inlineStr">
        <is>
          <t>TORSBY</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41631-2024</t>
        </is>
      </c>
      <c r="B1844" s="1" t="n">
        <v>45560</v>
      </c>
      <c r="C1844" s="1" t="n">
        <v>46033</v>
      </c>
      <c r="D1844" t="inlineStr">
        <is>
          <t>VÄRMLANDS LÄN</t>
        </is>
      </c>
      <c r="E1844" t="inlineStr">
        <is>
          <t>TORSBY</t>
        </is>
      </c>
      <c r="F1844" t="inlineStr">
        <is>
          <t>Bergvik skog väst AB</t>
        </is>
      </c>
      <c r="G1844" t="n">
        <v>16.3</v>
      </c>
      <c r="H1844" t="n">
        <v>0</v>
      </c>
      <c r="I1844" t="n">
        <v>0</v>
      </c>
      <c r="J1844" t="n">
        <v>0</v>
      </c>
      <c r="K1844" t="n">
        <v>0</v>
      </c>
      <c r="L1844" t="n">
        <v>0</v>
      </c>
      <c r="M1844" t="n">
        <v>0</v>
      </c>
      <c r="N1844" t="n">
        <v>0</v>
      </c>
      <c r="O1844" t="n">
        <v>0</v>
      </c>
      <c r="P1844" t="n">
        <v>0</v>
      </c>
      <c r="Q1844" t="n">
        <v>0</v>
      </c>
      <c r="R1844" s="2" t="inlineStr"/>
    </row>
    <row r="1845" ht="15" customHeight="1">
      <c r="A1845" t="inlineStr">
        <is>
          <t>A 70658-2021</t>
        </is>
      </c>
      <c r="B1845" s="1" t="n">
        <v>44537.52368055555</v>
      </c>
      <c r="C1845" s="1" t="n">
        <v>46033</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1979-2023</t>
        </is>
      </c>
      <c r="B1846" s="1" t="n">
        <v>44939</v>
      </c>
      <c r="C1846" s="1" t="n">
        <v>46033</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46909-2024</t>
        </is>
      </c>
      <c r="B1847" s="1" t="n">
        <v>45583</v>
      </c>
      <c r="C1847" s="1" t="n">
        <v>46033</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26887-2024</t>
        </is>
      </c>
      <c r="B1848" s="1" t="n">
        <v>45470.64864583333</v>
      </c>
      <c r="C1848" s="1" t="n">
        <v>46033</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58727-2021</t>
        </is>
      </c>
      <c r="B1849" s="1" t="n">
        <v>44489.49052083334</v>
      </c>
      <c r="C1849" s="1" t="n">
        <v>46033</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36700-2021</t>
        </is>
      </c>
      <c r="B1850" s="1" t="n">
        <v>44392</v>
      </c>
      <c r="C1850" s="1" t="n">
        <v>46033</v>
      </c>
      <c r="D1850" t="inlineStr">
        <is>
          <t>VÄRMLANDS LÄN</t>
        </is>
      </c>
      <c r="E1850" t="inlineStr">
        <is>
          <t>TORSBY</t>
        </is>
      </c>
      <c r="F1850" t="inlineStr">
        <is>
          <t>Bergvik skog väst AB</t>
        </is>
      </c>
      <c r="G1850" t="n">
        <v>9.9</v>
      </c>
      <c r="H1850" t="n">
        <v>0</v>
      </c>
      <c r="I1850" t="n">
        <v>0</v>
      </c>
      <c r="J1850" t="n">
        <v>0</v>
      </c>
      <c r="K1850" t="n">
        <v>0</v>
      </c>
      <c r="L1850" t="n">
        <v>0</v>
      </c>
      <c r="M1850" t="n">
        <v>0</v>
      </c>
      <c r="N1850" t="n">
        <v>0</v>
      </c>
      <c r="O1850" t="n">
        <v>0</v>
      </c>
      <c r="P1850" t="n">
        <v>0</v>
      </c>
      <c r="Q1850" t="n">
        <v>0</v>
      </c>
      <c r="R1850" s="2" t="inlineStr"/>
    </row>
    <row r="1851" ht="15" customHeight="1">
      <c r="A1851" t="inlineStr">
        <is>
          <t>A 25163-2023</t>
        </is>
      </c>
      <c r="B1851" s="1" t="n">
        <v>45086</v>
      </c>
      <c r="C1851" s="1" t="n">
        <v>46033</v>
      </c>
      <c r="D1851" t="inlineStr">
        <is>
          <t>VÄRMLANDS LÄN</t>
        </is>
      </c>
      <c r="E1851" t="inlineStr">
        <is>
          <t>TORSBY</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47651-2024</t>
        </is>
      </c>
      <c r="B1852" s="1" t="n">
        <v>45588</v>
      </c>
      <c r="C1852" s="1" t="n">
        <v>46033</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61367-2022</t>
        </is>
      </c>
      <c r="B1853" s="1" t="n">
        <v>44915.82997685186</v>
      </c>
      <c r="C1853" s="1" t="n">
        <v>46033</v>
      </c>
      <c r="D1853" t="inlineStr">
        <is>
          <t>VÄRMLANDS LÄN</t>
        </is>
      </c>
      <c r="E1853" t="inlineStr">
        <is>
          <t>TORSBY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30110-2023</t>
        </is>
      </c>
      <c r="B1854" s="1" t="n">
        <v>45110</v>
      </c>
      <c r="C1854" s="1" t="n">
        <v>46033</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44340-2022</t>
        </is>
      </c>
      <c r="B1855" s="1" t="n">
        <v>44838</v>
      </c>
      <c r="C1855" s="1" t="n">
        <v>46033</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49206-2022</t>
        </is>
      </c>
      <c r="B1856" s="1" t="n">
        <v>44860.95984953704</v>
      </c>
      <c r="C1856" s="1" t="n">
        <v>46033</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18101-2022</t>
        </is>
      </c>
      <c r="B1857" s="1" t="n">
        <v>44684</v>
      </c>
      <c r="C1857" s="1" t="n">
        <v>46033</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21076-2023</t>
        </is>
      </c>
      <c r="B1858" s="1" t="n">
        <v>45061</v>
      </c>
      <c r="C1858" s="1" t="n">
        <v>46033</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18244-2023</t>
        </is>
      </c>
      <c r="B1859" s="1" t="n">
        <v>45041</v>
      </c>
      <c r="C1859" s="1" t="n">
        <v>46033</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20968-2024</t>
        </is>
      </c>
      <c r="B1860" s="1" t="n">
        <v>45439</v>
      </c>
      <c r="C1860" s="1" t="n">
        <v>46033</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19148-2025</t>
        </is>
      </c>
      <c r="B1861" s="1" t="n">
        <v>45769</v>
      </c>
      <c r="C1861" s="1" t="n">
        <v>46033</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54452-2022</t>
        </is>
      </c>
      <c r="B1862" s="1" t="n">
        <v>44880</v>
      </c>
      <c r="C1862" s="1" t="n">
        <v>46033</v>
      </c>
      <c r="D1862" t="inlineStr">
        <is>
          <t>VÄRMLANDS LÄN</t>
        </is>
      </c>
      <c r="E1862" t="inlineStr">
        <is>
          <t>TORSBY</t>
        </is>
      </c>
      <c r="F1862" t="inlineStr">
        <is>
          <t>Kyrkan</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41843-2023</t>
        </is>
      </c>
      <c r="B1863" s="1" t="n">
        <v>45176.60533564815</v>
      </c>
      <c r="C1863" s="1" t="n">
        <v>46033</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41264-2022</t>
        </is>
      </c>
      <c r="B1864" s="1" t="n">
        <v>44823</v>
      </c>
      <c r="C1864" s="1" t="n">
        <v>46033</v>
      </c>
      <c r="D1864" t="inlineStr">
        <is>
          <t>VÄRMLANDS LÄN</t>
        </is>
      </c>
      <c r="E1864" t="inlineStr">
        <is>
          <t>TORSBY</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64902-2021</t>
        </is>
      </c>
      <c r="B1865" s="1" t="n">
        <v>44512.64336805556</v>
      </c>
      <c r="C1865" s="1" t="n">
        <v>46033</v>
      </c>
      <c r="D1865" t="inlineStr">
        <is>
          <t>VÄRMLANDS LÄN</t>
        </is>
      </c>
      <c r="E1865" t="inlineStr">
        <is>
          <t>TORSBY</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61546-2024</t>
        </is>
      </c>
      <c r="B1866" s="1" t="n">
        <v>45645</v>
      </c>
      <c r="C1866" s="1" t="n">
        <v>46033</v>
      </c>
      <c r="D1866" t="inlineStr">
        <is>
          <t>VÄRMLANDS LÄN</t>
        </is>
      </c>
      <c r="E1866" t="inlineStr">
        <is>
          <t>TORSBY</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276-2024</t>
        </is>
      </c>
      <c r="B1867" s="1" t="n">
        <v>45295</v>
      </c>
      <c r="C1867" s="1" t="n">
        <v>46033</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11135-2024</t>
        </is>
      </c>
      <c r="B1868" s="1" t="n">
        <v>45371</v>
      </c>
      <c r="C1868" s="1" t="n">
        <v>46033</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21258-2023</t>
        </is>
      </c>
      <c r="B1869" s="1" t="n">
        <v>45058</v>
      </c>
      <c r="C1869" s="1" t="n">
        <v>46033</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53988-2022</t>
        </is>
      </c>
      <c r="B1870" s="1" t="n">
        <v>44876</v>
      </c>
      <c r="C1870" s="1" t="n">
        <v>46033</v>
      </c>
      <c r="D1870" t="inlineStr">
        <is>
          <t>VÄRMLANDS LÄN</t>
        </is>
      </c>
      <c r="E1870" t="inlineStr">
        <is>
          <t>TORSBY</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61128-2022</t>
        </is>
      </c>
      <c r="B1871" s="1" t="n">
        <v>44915.4455787037</v>
      </c>
      <c r="C1871" s="1" t="n">
        <v>46033</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21390-2023</t>
        </is>
      </c>
      <c r="B1872" s="1" t="n">
        <v>45063</v>
      </c>
      <c r="C1872" s="1" t="n">
        <v>46033</v>
      </c>
      <c r="D1872" t="inlineStr">
        <is>
          <t>VÄRMLANDS LÄN</t>
        </is>
      </c>
      <c r="E1872" t="inlineStr">
        <is>
          <t>TORSBY</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7215-2025</t>
        </is>
      </c>
      <c r="B1873" s="1" t="n">
        <v>45702</v>
      </c>
      <c r="C1873" s="1" t="n">
        <v>46033</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56101-2024</t>
        </is>
      </c>
      <c r="B1874" s="1" t="n">
        <v>45624</v>
      </c>
      <c r="C1874" s="1" t="n">
        <v>46033</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6121-2021</t>
        </is>
      </c>
      <c r="B1875" s="1" t="n">
        <v>44232</v>
      </c>
      <c r="C1875" s="1" t="n">
        <v>46033</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45849-2024</t>
        </is>
      </c>
      <c r="B1876" s="1" t="n">
        <v>45580</v>
      </c>
      <c r="C1876" s="1" t="n">
        <v>46033</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41781-2022</t>
        </is>
      </c>
      <c r="B1877" s="1" t="n">
        <v>44827.70537037037</v>
      </c>
      <c r="C1877" s="1" t="n">
        <v>46033</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3387-2025</t>
        </is>
      </c>
      <c r="B1878" s="1" t="n">
        <v>45680</v>
      </c>
      <c r="C1878" s="1" t="n">
        <v>46033</v>
      </c>
      <c r="D1878" t="inlineStr">
        <is>
          <t>VÄRMLANDS LÄN</t>
        </is>
      </c>
      <c r="E1878" t="inlineStr">
        <is>
          <t>TORSBY</t>
        </is>
      </c>
      <c r="F1878" t="inlineStr">
        <is>
          <t>Kommuner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55522-2023</t>
        </is>
      </c>
      <c r="B1879" s="1" t="n">
        <v>45238</v>
      </c>
      <c r="C1879" s="1" t="n">
        <v>46033</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44659-2024</t>
        </is>
      </c>
      <c r="B1880" s="1" t="n">
        <v>45574</v>
      </c>
      <c r="C1880" s="1" t="n">
        <v>46033</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26166-2024</t>
        </is>
      </c>
      <c r="B1881" s="1" t="n">
        <v>45468.55357638889</v>
      </c>
      <c r="C1881" s="1" t="n">
        <v>46033</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6828-2024</t>
        </is>
      </c>
      <c r="B1882" s="1" t="n">
        <v>45342</v>
      </c>
      <c r="C1882" s="1" t="n">
        <v>46033</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33268-2023</t>
        </is>
      </c>
      <c r="B1883" s="1" t="n">
        <v>45127.58094907407</v>
      </c>
      <c r="C1883" s="1" t="n">
        <v>46033</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50445-2023</t>
        </is>
      </c>
      <c r="B1884" s="1" t="n">
        <v>45216</v>
      </c>
      <c r="C1884" s="1" t="n">
        <v>46033</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22426-2024</t>
        </is>
      </c>
      <c r="B1885" s="1" t="n">
        <v>45446</v>
      </c>
      <c r="C1885" s="1" t="n">
        <v>46033</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60454-2024</t>
        </is>
      </c>
      <c r="B1886" s="1" t="n">
        <v>45643</v>
      </c>
      <c r="C1886" s="1" t="n">
        <v>46033</v>
      </c>
      <c r="D1886" t="inlineStr">
        <is>
          <t>VÄRMLANDS LÄN</t>
        </is>
      </c>
      <c r="E1886" t="inlineStr">
        <is>
          <t>TORSBY</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46033</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10587-2024</t>
        </is>
      </c>
      <c r="B1888" s="1" t="n">
        <v>45366</v>
      </c>
      <c r="C1888" s="1" t="n">
        <v>46033</v>
      </c>
      <c r="D1888" t="inlineStr">
        <is>
          <t>VÄRMLANDS LÄN</t>
        </is>
      </c>
      <c r="E1888" t="inlineStr">
        <is>
          <t>TORSBY</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1095-2025</t>
        </is>
      </c>
      <c r="B1889" s="1" t="n">
        <v>45666.63681712963</v>
      </c>
      <c r="C1889" s="1" t="n">
        <v>46033</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53705-2021</t>
        </is>
      </c>
      <c r="B1890" s="1" t="n">
        <v>44469</v>
      </c>
      <c r="C1890" s="1" t="n">
        <v>46033</v>
      </c>
      <c r="D1890" t="inlineStr">
        <is>
          <t>VÄRMLANDS LÄN</t>
        </is>
      </c>
      <c r="E1890" t="inlineStr">
        <is>
          <t>TORSBY</t>
        </is>
      </c>
      <c r="F1890" t="inlineStr">
        <is>
          <t>Kyrkan</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53396-2024</t>
        </is>
      </c>
      <c r="B1891" s="1" t="n">
        <v>45614</v>
      </c>
      <c r="C1891" s="1" t="n">
        <v>46033</v>
      </c>
      <c r="D1891" t="inlineStr">
        <is>
          <t>VÄRMLANDS LÄN</t>
        </is>
      </c>
      <c r="E1891" t="inlineStr">
        <is>
          <t>TORSBY</t>
        </is>
      </c>
      <c r="F1891" t="inlineStr">
        <is>
          <t>Bergvik skog väst AB</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60781-2024</t>
        </is>
      </c>
      <c r="B1892" s="1" t="n">
        <v>45642</v>
      </c>
      <c r="C1892" s="1" t="n">
        <v>46033</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21280-2024</t>
        </is>
      </c>
      <c r="B1893" s="1" t="n">
        <v>45440</v>
      </c>
      <c r="C1893" s="1" t="n">
        <v>46033</v>
      </c>
      <c r="D1893" t="inlineStr">
        <is>
          <t>VÄRMLANDS LÄN</t>
        </is>
      </c>
      <c r="E1893" t="inlineStr">
        <is>
          <t>TORSBY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36327-2021</t>
        </is>
      </c>
      <c r="B1894" s="1" t="n">
        <v>44390</v>
      </c>
      <c r="C1894" s="1" t="n">
        <v>46033</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27346-2024</t>
        </is>
      </c>
      <c r="B1895" s="1" t="n">
        <v>45473.58984953703</v>
      </c>
      <c r="C1895" s="1" t="n">
        <v>46033</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27349-2024</t>
        </is>
      </c>
      <c r="B1896" s="1" t="n">
        <v>45473.65679398148</v>
      </c>
      <c r="C1896" s="1" t="n">
        <v>46033</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44532-2022</t>
        </is>
      </c>
      <c r="B1897" s="1" t="n">
        <v>44840</v>
      </c>
      <c r="C1897" s="1" t="n">
        <v>46033</v>
      </c>
      <c r="D1897" t="inlineStr">
        <is>
          <t>VÄRMLANDS LÄN</t>
        </is>
      </c>
      <c r="E1897" t="inlineStr">
        <is>
          <t>TORSBY</t>
        </is>
      </c>
      <c r="G1897" t="n">
        <v>12.3</v>
      </c>
      <c r="H1897" t="n">
        <v>0</v>
      </c>
      <c r="I1897" t="n">
        <v>0</v>
      </c>
      <c r="J1897" t="n">
        <v>0</v>
      </c>
      <c r="K1897" t="n">
        <v>0</v>
      </c>
      <c r="L1897" t="n">
        <v>0</v>
      </c>
      <c r="M1897" t="n">
        <v>0</v>
      </c>
      <c r="N1897" t="n">
        <v>0</v>
      </c>
      <c r="O1897" t="n">
        <v>0</v>
      </c>
      <c r="P1897" t="n">
        <v>0</v>
      </c>
      <c r="Q1897" t="n">
        <v>0</v>
      </c>
      <c r="R1897" s="2" t="inlineStr"/>
    </row>
    <row r="1898" ht="15" customHeight="1">
      <c r="A1898" t="inlineStr">
        <is>
          <t>A 16073-2024</t>
        </is>
      </c>
      <c r="B1898" s="1" t="n">
        <v>45406</v>
      </c>
      <c r="C1898" s="1" t="n">
        <v>46033</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1042-2024</t>
        </is>
      </c>
      <c r="B1899" s="1" t="n">
        <v>45301</v>
      </c>
      <c r="C1899" s="1" t="n">
        <v>46033</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48540-2024</t>
        </is>
      </c>
      <c r="B1900" s="1" t="n">
        <v>45593</v>
      </c>
      <c r="C1900" s="1" t="n">
        <v>46033</v>
      </c>
      <c r="D1900" t="inlineStr">
        <is>
          <t>VÄRMLANDS LÄN</t>
        </is>
      </c>
      <c r="E1900" t="inlineStr">
        <is>
          <t>TORSBY</t>
        </is>
      </c>
      <c r="G1900" t="n">
        <v>16.5</v>
      </c>
      <c r="H1900" t="n">
        <v>0</v>
      </c>
      <c r="I1900" t="n">
        <v>0</v>
      </c>
      <c r="J1900" t="n">
        <v>0</v>
      </c>
      <c r="K1900" t="n">
        <v>0</v>
      </c>
      <c r="L1900" t="n">
        <v>0</v>
      </c>
      <c r="M1900" t="n">
        <v>0</v>
      </c>
      <c r="N1900" t="n">
        <v>0</v>
      </c>
      <c r="O1900" t="n">
        <v>0</v>
      </c>
      <c r="P1900" t="n">
        <v>0</v>
      </c>
      <c r="Q1900" t="n">
        <v>0</v>
      </c>
      <c r="R1900" s="2" t="inlineStr"/>
    </row>
    <row r="1901" ht="15" customHeight="1">
      <c r="A1901" t="inlineStr">
        <is>
          <t>A 43060-2021</t>
        </is>
      </c>
      <c r="B1901" s="1" t="n">
        <v>44431</v>
      </c>
      <c r="C1901" s="1" t="n">
        <v>46033</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58948-2024</t>
        </is>
      </c>
      <c r="B1902" s="1" t="n">
        <v>45636</v>
      </c>
      <c r="C1902" s="1" t="n">
        <v>46033</v>
      </c>
      <c r="D1902" t="inlineStr">
        <is>
          <t>VÄRMLANDS LÄN</t>
        </is>
      </c>
      <c r="E1902" t="inlineStr">
        <is>
          <t>TORSBY</t>
        </is>
      </c>
      <c r="F1902" t="inlineStr">
        <is>
          <t>Bergvik skog väst AB</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18676-2025</t>
        </is>
      </c>
      <c r="B1903" s="1" t="n">
        <v>45763</v>
      </c>
      <c r="C1903" s="1" t="n">
        <v>46033</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59256-2023</t>
        </is>
      </c>
      <c r="B1904" s="1" t="n">
        <v>45251</v>
      </c>
      <c r="C1904" s="1" t="n">
        <v>46033</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55836-2024</t>
        </is>
      </c>
      <c r="B1905" s="1" t="n">
        <v>45623.49150462963</v>
      </c>
      <c r="C1905" s="1" t="n">
        <v>46033</v>
      </c>
      <c r="D1905" t="inlineStr">
        <is>
          <t>VÄRMLANDS LÄN</t>
        </is>
      </c>
      <c r="E1905" t="inlineStr">
        <is>
          <t>TORSBY</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37357-2023</t>
        </is>
      </c>
      <c r="B1906" s="1" t="n">
        <v>45156.48006944444</v>
      </c>
      <c r="C1906" s="1" t="n">
        <v>46033</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5763-2023</t>
        </is>
      </c>
      <c r="B1907" s="1" t="n">
        <v>44963.36383101852</v>
      </c>
      <c r="C1907" s="1" t="n">
        <v>46033</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46033</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63177-2023</t>
        </is>
      </c>
      <c r="B1909" s="1" t="n">
        <v>45272</v>
      </c>
      <c r="C1909" s="1" t="n">
        <v>46033</v>
      </c>
      <c r="D1909" t="inlineStr">
        <is>
          <t>VÄRMLANDS LÄN</t>
        </is>
      </c>
      <c r="E1909" t="inlineStr">
        <is>
          <t>TORSBY</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9904-2024</t>
        </is>
      </c>
      <c r="B1910" s="1" t="n">
        <v>45363</v>
      </c>
      <c r="C1910" s="1" t="n">
        <v>46033</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9908-2024</t>
        </is>
      </c>
      <c r="B1911" s="1" t="n">
        <v>45363</v>
      </c>
      <c r="C1911" s="1" t="n">
        <v>46033</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4585-2023</t>
        </is>
      </c>
      <c r="B1912" s="1" t="n">
        <v>44956.79790509259</v>
      </c>
      <c r="C1912" s="1" t="n">
        <v>46033</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29925-2024</t>
        </is>
      </c>
      <c r="B1913" s="1" t="n">
        <v>45488</v>
      </c>
      <c r="C1913" s="1" t="n">
        <v>46033</v>
      </c>
      <c r="D1913" t="inlineStr">
        <is>
          <t>VÄRMLANDS LÄN</t>
        </is>
      </c>
      <c r="E1913" t="inlineStr">
        <is>
          <t>TORSBY</t>
        </is>
      </c>
      <c r="F1913" t="inlineStr">
        <is>
          <t>Kyrkan</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15101-2024</t>
        </is>
      </c>
      <c r="B1914" s="1" t="n">
        <v>45399.66148148148</v>
      </c>
      <c r="C1914" s="1" t="n">
        <v>46033</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41253-2021</t>
        </is>
      </c>
      <c r="B1915" s="1" t="n">
        <v>44424</v>
      </c>
      <c r="C1915" s="1" t="n">
        <v>46033</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52669-2024</t>
        </is>
      </c>
      <c r="B1916" s="1" t="n">
        <v>45610</v>
      </c>
      <c r="C1916" s="1" t="n">
        <v>46033</v>
      </c>
      <c r="D1916" t="inlineStr">
        <is>
          <t>VÄRMLANDS LÄN</t>
        </is>
      </c>
      <c r="E1916" t="inlineStr">
        <is>
          <t>TORSBY</t>
        </is>
      </c>
      <c r="F1916" t="inlineStr">
        <is>
          <t>Kyrkan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23804-2022</t>
        </is>
      </c>
      <c r="B1917" s="1" t="n">
        <v>44722</v>
      </c>
      <c r="C1917" s="1" t="n">
        <v>46033</v>
      </c>
      <c r="D1917" t="inlineStr">
        <is>
          <t>VÄRMLANDS LÄN</t>
        </is>
      </c>
      <c r="E1917" t="inlineStr">
        <is>
          <t>TORSBY</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42457-2024</t>
        </is>
      </c>
      <c r="B1918" s="1" t="n">
        <v>45565.46346064815</v>
      </c>
      <c r="C1918" s="1" t="n">
        <v>46033</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8728-2024</t>
        </is>
      </c>
      <c r="B1919" s="1" t="n">
        <v>45356.42799768518</v>
      </c>
      <c r="C1919" s="1" t="n">
        <v>46033</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39771-2024</t>
        </is>
      </c>
      <c r="B1920" s="1" t="n">
        <v>45552</v>
      </c>
      <c r="C1920" s="1" t="n">
        <v>46033</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71679-2021</t>
        </is>
      </c>
      <c r="B1921" s="1" t="n">
        <v>44543</v>
      </c>
      <c r="C1921" s="1" t="n">
        <v>46033</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22124-2022</t>
        </is>
      </c>
      <c r="B1922" s="1" t="n">
        <v>44712</v>
      </c>
      <c r="C1922" s="1" t="n">
        <v>46033</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22943-2023</t>
        </is>
      </c>
      <c r="B1923" s="1" t="n">
        <v>45072</v>
      </c>
      <c r="C1923" s="1" t="n">
        <v>46033</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38497-2024</t>
        </is>
      </c>
      <c r="B1924" s="1" t="n">
        <v>45546.51869212963</v>
      </c>
      <c r="C1924" s="1" t="n">
        <v>46033</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17931-2024</t>
        </is>
      </c>
      <c r="B1925" s="1" t="n">
        <v>45419</v>
      </c>
      <c r="C1925" s="1" t="n">
        <v>46033</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54006-2024</t>
        </is>
      </c>
      <c r="B1926" s="1" t="n">
        <v>45616.3717824074</v>
      </c>
      <c r="C1926" s="1" t="n">
        <v>46033</v>
      </c>
      <c r="D1926" t="inlineStr">
        <is>
          <t>VÄRMLANDS LÄN</t>
        </is>
      </c>
      <c r="E1926" t="inlineStr">
        <is>
          <t>TORSBY</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32847-2024</t>
        </is>
      </c>
      <c r="B1927" s="1" t="n">
        <v>45516.63021990741</v>
      </c>
      <c r="C1927" s="1" t="n">
        <v>46033</v>
      </c>
      <c r="D1927" t="inlineStr">
        <is>
          <t>VÄRMLANDS LÄN</t>
        </is>
      </c>
      <c r="E1927" t="inlineStr">
        <is>
          <t>TORSBY</t>
        </is>
      </c>
      <c r="F1927" t="inlineStr">
        <is>
          <t>Bergvik skog väst AB</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8016-2023</t>
        </is>
      </c>
      <c r="B1928" s="1" t="n">
        <v>44973</v>
      </c>
      <c r="C1928" s="1" t="n">
        <v>46033</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68136-2021</t>
        </is>
      </c>
      <c r="B1929" s="1" t="n">
        <v>44526.40984953703</v>
      </c>
      <c r="C1929" s="1" t="n">
        <v>46033</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40227-2024</t>
        </is>
      </c>
      <c r="B1930" s="1" t="n">
        <v>45554</v>
      </c>
      <c r="C1930" s="1" t="n">
        <v>46033</v>
      </c>
      <c r="D1930" t="inlineStr">
        <is>
          <t>VÄRMLANDS LÄN</t>
        </is>
      </c>
      <c r="E1930" t="inlineStr">
        <is>
          <t>TORSBY</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41501-2024</t>
        </is>
      </c>
      <c r="B1931" s="1" t="n">
        <v>45560</v>
      </c>
      <c r="C1931" s="1" t="n">
        <v>46033</v>
      </c>
      <c r="D1931" t="inlineStr">
        <is>
          <t>VÄRMLANDS LÄN</t>
        </is>
      </c>
      <c r="E1931" t="inlineStr">
        <is>
          <t>TORSBY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3922-2024</t>
        </is>
      </c>
      <c r="B1932" s="1" t="n">
        <v>45322.57271990741</v>
      </c>
      <c r="C1932" s="1" t="n">
        <v>46033</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17944-2021</t>
        </is>
      </c>
      <c r="B1933" s="1" t="n">
        <v>44301</v>
      </c>
      <c r="C1933" s="1" t="n">
        <v>46033</v>
      </c>
      <c r="D1933" t="inlineStr">
        <is>
          <t>VÄRMLANDS LÄN</t>
        </is>
      </c>
      <c r="E1933" t="inlineStr">
        <is>
          <t>TORSBY</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27195-2023</t>
        </is>
      </c>
      <c r="B1934" s="1" t="n">
        <v>45096</v>
      </c>
      <c r="C1934" s="1" t="n">
        <v>46033</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60796-2024</t>
        </is>
      </c>
      <c r="B1935" s="1" t="n">
        <v>45642</v>
      </c>
      <c r="C1935" s="1" t="n">
        <v>46033</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18344-2021</t>
        </is>
      </c>
      <c r="B1936" s="1" t="n">
        <v>44305</v>
      </c>
      <c r="C1936" s="1" t="n">
        <v>46033</v>
      </c>
      <c r="D1936" t="inlineStr">
        <is>
          <t>VÄRMLANDS LÄN</t>
        </is>
      </c>
      <c r="E1936" t="inlineStr">
        <is>
          <t>TORSBY</t>
        </is>
      </c>
      <c r="F1936" t="inlineStr">
        <is>
          <t>Kommuner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57990-2023</t>
        </is>
      </c>
      <c r="B1937" s="1" t="n">
        <v>45247.60293981482</v>
      </c>
      <c r="C1937" s="1" t="n">
        <v>46033</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24244-2023</t>
        </is>
      </c>
      <c r="B1938" s="1" t="n">
        <v>45079.61969907407</v>
      </c>
      <c r="C1938" s="1" t="n">
        <v>46033</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27223-2022</t>
        </is>
      </c>
      <c r="B1939" s="1" t="n">
        <v>44741</v>
      </c>
      <c r="C1939" s="1" t="n">
        <v>46033</v>
      </c>
      <c r="D1939" t="inlineStr">
        <is>
          <t>VÄRMLANDS LÄN</t>
        </is>
      </c>
      <c r="E1939" t="inlineStr">
        <is>
          <t>TORSBY</t>
        </is>
      </c>
      <c r="F1939" t="inlineStr">
        <is>
          <t>Bergvik skog väst AB</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423-2024</t>
        </is>
      </c>
      <c r="B1940" s="1" t="n">
        <v>45296.53034722222</v>
      </c>
      <c r="C1940" s="1" t="n">
        <v>46033</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12365-2022</t>
        </is>
      </c>
      <c r="B1941" s="1" t="n">
        <v>44637.70670138889</v>
      </c>
      <c r="C1941" s="1" t="n">
        <v>46033</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58430-2023</t>
        </is>
      </c>
      <c r="B1942" s="1" t="n">
        <v>45250.80646990741</v>
      </c>
      <c r="C1942" s="1" t="n">
        <v>46033</v>
      </c>
      <c r="D1942" t="inlineStr">
        <is>
          <t>VÄRMLANDS LÄN</t>
        </is>
      </c>
      <c r="E1942" t="inlineStr">
        <is>
          <t>TORSBY</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27270-2024</t>
        </is>
      </c>
      <c r="B1943" s="1" t="n">
        <v>45471.81967592592</v>
      </c>
      <c r="C1943" s="1" t="n">
        <v>46033</v>
      </c>
      <c r="D1943" t="inlineStr">
        <is>
          <t>VÄRMLANDS LÄN</t>
        </is>
      </c>
      <c r="E1943" t="inlineStr">
        <is>
          <t>TORSBY</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40180-2024</t>
        </is>
      </c>
      <c r="B1944" s="1" t="n">
        <v>45554.55413194445</v>
      </c>
      <c r="C1944" s="1" t="n">
        <v>46033</v>
      </c>
      <c r="D1944" t="inlineStr">
        <is>
          <t>VÄRMLANDS LÄN</t>
        </is>
      </c>
      <c r="E1944" t="inlineStr">
        <is>
          <t>TORSBY</t>
        </is>
      </c>
      <c r="F1944" t="inlineStr">
        <is>
          <t>Bergvik skog väst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10584-2023</t>
        </is>
      </c>
      <c r="B1945" s="1" t="n">
        <v>44988.36736111111</v>
      </c>
      <c r="C1945" s="1" t="n">
        <v>46033</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42632-2023</t>
        </is>
      </c>
      <c r="B1946" s="1" t="n">
        <v>45181</v>
      </c>
      <c r="C1946" s="1" t="n">
        <v>46033</v>
      </c>
      <c r="D1946" t="inlineStr">
        <is>
          <t>VÄRMLANDS LÄN</t>
        </is>
      </c>
      <c r="E1946" t="inlineStr">
        <is>
          <t>TORSBY</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42635-2023</t>
        </is>
      </c>
      <c r="B1947" s="1" t="n">
        <v>45181.49310185185</v>
      </c>
      <c r="C1947" s="1" t="n">
        <v>46033</v>
      </c>
      <c r="D1947" t="inlineStr">
        <is>
          <t>VÄRMLANDS LÄN</t>
        </is>
      </c>
      <c r="E1947" t="inlineStr">
        <is>
          <t>TORSBY</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4510-2023</t>
        </is>
      </c>
      <c r="B1948" s="1" t="n">
        <v>44956.57528935185</v>
      </c>
      <c r="C1948" s="1" t="n">
        <v>46033</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33499-2024</t>
        </is>
      </c>
      <c r="B1949" s="1" t="n">
        <v>45519.62280092593</v>
      </c>
      <c r="C1949" s="1" t="n">
        <v>46033</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31052-2023</t>
        </is>
      </c>
      <c r="B1950" s="1" t="n">
        <v>45113</v>
      </c>
      <c r="C1950" s="1" t="n">
        <v>46033</v>
      </c>
      <c r="D1950" t="inlineStr">
        <is>
          <t>VÄRMLANDS LÄN</t>
        </is>
      </c>
      <c r="E1950" t="inlineStr">
        <is>
          <t>TORSBY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27358-2024</t>
        </is>
      </c>
      <c r="B1951" s="1" t="n">
        <v>45473.71635416667</v>
      </c>
      <c r="C1951" s="1" t="n">
        <v>46033</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27360-2024</t>
        </is>
      </c>
      <c r="B1952" s="1" t="n">
        <v>45473</v>
      </c>
      <c r="C1952" s="1" t="n">
        <v>46033</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39768-2024</t>
        </is>
      </c>
      <c r="B1953" s="1" t="n">
        <v>45552</v>
      </c>
      <c r="C1953" s="1" t="n">
        <v>46033</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31936-2023</t>
        </is>
      </c>
      <c r="B1954" s="1" t="n">
        <v>45107</v>
      </c>
      <c r="C1954" s="1" t="n">
        <v>46033</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54011-2024</t>
        </is>
      </c>
      <c r="B1955" s="1" t="n">
        <v>45616.37576388889</v>
      </c>
      <c r="C1955" s="1" t="n">
        <v>46033</v>
      </c>
      <c r="D1955" t="inlineStr">
        <is>
          <t>VÄRMLANDS LÄN</t>
        </is>
      </c>
      <c r="E1955" t="inlineStr">
        <is>
          <t>TORSBY</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54026-2024</t>
        </is>
      </c>
      <c r="B1956" s="1" t="n">
        <v>45616</v>
      </c>
      <c r="C1956" s="1" t="n">
        <v>46033</v>
      </c>
      <c r="D1956" t="inlineStr">
        <is>
          <t>VÄRMLANDS LÄN</t>
        </is>
      </c>
      <c r="E1956" t="inlineStr">
        <is>
          <t>TORSBY</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56509-2024</t>
        </is>
      </c>
      <c r="B1957" s="1" t="n">
        <v>45625</v>
      </c>
      <c r="C1957" s="1" t="n">
        <v>46033</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54223-2023</t>
        </is>
      </c>
      <c r="B1958" s="1" t="n">
        <v>45232</v>
      </c>
      <c r="C1958" s="1" t="n">
        <v>46033</v>
      </c>
      <c r="D1958" t="inlineStr">
        <is>
          <t>VÄRMLANDS LÄN</t>
        </is>
      </c>
      <c r="E1958" t="inlineStr">
        <is>
          <t>TORSBY</t>
        </is>
      </c>
      <c r="F1958" t="inlineStr">
        <is>
          <t>Bergvik skog väst AB</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40157-2024</t>
        </is>
      </c>
      <c r="B1959" s="1" t="n">
        <v>45554</v>
      </c>
      <c r="C1959" s="1" t="n">
        <v>46033</v>
      </c>
      <c r="D1959" t="inlineStr">
        <is>
          <t>VÄRMLANDS LÄN</t>
        </is>
      </c>
      <c r="E1959" t="inlineStr">
        <is>
          <t>TORSBY</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46033</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18447-2025</t>
        </is>
      </c>
      <c r="B1961" s="1" t="n">
        <v>45762</v>
      </c>
      <c r="C1961" s="1" t="n">
        <v>46033</v>
      </c>
      <c r="D1961" t="inlineStr">
        <is>
          <t>VÄRMLANDS LÄN</t>
        </is>
      </c>
      <c r="E1961" t="inlineStr">
        <is>
          <t>TORSBY</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40207-2023</t>
        </is>
      </c>
      <c r="B1962" s="1" t="n">
        <v>45169.44604166667</v>
      </c>
      <c r="C1962" s="1" t="n">
        <v>46033</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55485-2023</t>
        </is>
      </c>
      <c r="B1963" s="1" t="n">
        <v>45238.52023148148</v>
      </c>
      <c r="C1963" s="1" t="n">
        <v>46033</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54714-2023</t>
        </is>
      </c>
      <c r="B1964" s="1" t="n">
        <v>45236.3515162037</v>
      </c>
      <c r="C1964" s="1" t="n">
        <v>46033</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21094-2022</t>
        </is>
      </c>
      <c r="B1965" s="1" t="n">
        <v>44704</v>
      </c>
      <c r="C1965" s="1" t="n">
        <v>46033</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50973-2023</t>
        </is>
      </c>
      <c r="B1966" s="1" t="n">
        <v>45218.50408564815</v>
      </c>
      <c r="C1966" s="1" t="n">
        <v>46033</v>
      </c>
      <c r="D1966" t="inlineStr">
        <is>
          <t>VÄRMLANDS LÄN</t>
        </is>
      </c>
      <c r="E1966" t="inlineStr">
        <is>
          <t>TORSBY</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51836-2024</t>
        </is>
      </c>
      <c r="B1967" s="1" t="n">
        <v>45607</v>
      </c>
      <c r="C1967" s="1" t="n">
        <v>46033</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20060-2025</t>
        </is>
      </c>
      <c r="B1968" s="1" t="n">
        <v>45772.41831018519</v>
      </c>
      <c r="C1968" s="1" t="n">
        <v>46033</v>
      </c>
      <c r="D1968" t="inlineStr">
        <is>
          <t>VÄRMLANDS LÄN</t>
        </is>
      </c>
      <c r="E1968" t="inlineStr">
        <is>
          <t>TORSBY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54489-2024</t>
        </is>
      </c>
      <c r="B1969" s="1" t="n">
        <v>45617.56674768519</v>
      </c>
      <c r="C1969" s="1" t="n">
        <v>46033</v>
      </c>
      <c r="D1969" t="inlineStr">
        <is>
          <t>VÄRMLANDS LÄN</t>
        </is>
      </c>
      <c r="E1969" t="inlineStr">
        <is>
          <t>TORSBY</t>
        </is>
      </c>
      <c r="F1969" t="inlineStr">
        <is>
          <t>Bergvik skog väst AB</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924-2024</t>
        </is>
      </c>
      <c r="B1970" s="1" t="n">
        <v>45301</v>
      </c>
      <c r="C1970" s="1" t="n">
        <v>46033</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11695-2021</t>
        </is>
      </c>
      <c r="B1971" s="1" t="n">
        <v>44264.87736111111</v>
      </c>
      <c r="C1971" s="1" t="n">
        <v>46033</v>
      </c>
      <c r="D1971" t="inlineStr">
        <is>
          <t>VÄRMLANDS LÄN</t>
        </is>
      </c>
      <c r="E1971" t="inlineStr">
        <is>
          <t>TORSBY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20309-2025</t>
        </is>
      </c>
      <c r="B1972" s="1" t="n">
        <v>45775.28427083333</v>
      </c>
      <c r="C1972" s="1" t="n">
        <v>46033</v>
      </c>
      <c r="D1972" t="inlineStr">
        <is>
          <t>VÄRMLANDS LÄN</t>
        </is>
      </c>
      <c r="E1972" t="inlineStr">
        <is>
          <t>TORSBY</t>
        </is>
      </c>
      <c r="F1972" t="inlineStr">
        <is>
          <t>Bergvik skog väst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16498-2022</t>
        </is>
      </c>
      <c r="B1973" s="1" t="n">
        <v>44671</v>
      </c>
      <c r="C1973" s="1" t="n">
        <v>46033</v>
      </c>
      <c r="D1973" t="inlineStr">
        <is>
          <t>VÄRMLANDS LÄN</t>
        </is>
      </c>
      <c r="E1973" t="inlineStr">
        <is>
          <t>TORSBY</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21411-2023</t>
        </is>
      </c>
      <c r="B1974" s="1" t="n">
        <v>45063.38505787037</v>
      </c>
      <c r="C1974" s="1" t="n">
        <v>46033</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48320-2022</t>
        </is>
      </c>
      <c r="B1975" s="1" t="n">
        <v>44853</v>
      </c>
      <c r="C1975" s="1" t="n">
        <v>46033</v>
      </c>
      <c r="D1975" t="inlineStr">
        <is>
          <t>VÄRMLANDS LÄN</t>
        </is>
      </c>
      <c r="E1975" t="inlineStr">
        <is>
          <t>TORSBY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3841-2022</t>
        </is>
      </c>
      <c r="B1976" s="1" t="n">
        <v>44587</v>
      </c>
      <c r="C1976" s="1" t="n">
        <v>46033</v>
      </c>
      <c r="D1976" t="inlineStr">
        <is>
          <t>VÄRMLANDS LÄN</t>
        </is>
      </c>
      <c r="E1976" t="inlineStr">
        <is>
          <t>TORSBY</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58185-2023</t>
        </is>
      </c>
      <c r="B1977" s="1" t="n">
        <v>45250.41873842593</v>
      </c>
      <c r="C1977" s="1" t="n">
        <v>46033</v>
      </c>
      <c r="D1977" t="inlineStr">
        <is>
          <t>VÄRMLANDS LÄN</t>
        </is>
      </c>
      <c r="E1977" t="inlineStr">
        <is>
          <t>TORSBY</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27038-2024</t>
        </is>
      </c>
      <c r="B1978" s="1" t="n">
        <v>45471</v>
      </c>
      <c r="C1978" s="1" t="n">
        <v>46033</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27045-2024</t>
        </is>
      </c>
      <c r="B1979" s="1" t="n">
        <v>45471</v>
      </c>
      <c r="C1979" s="1" t="n">
        <v>46033</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27920-2023</t>
        </is>
      </c>
      <c r="B1980" s="1" t="n">
        <v>45098.64269675926</v>
      </c>
      <c r="C1980" s="1" t="n">
        <v>46033</v>
      </c>
      <c r="D1980" t="inlineStr">
        <is>
          <t>VÄRMLANDS LÄN</t>
        </is>
      </c>
      <c r="E1980" t="inlineStr">
        <is>
          <t>TORSBY</t>
        </is>
      </c>
      <c r="F1980" t="inlineStr">
        <is>
          <t>Kyrkan</t>
        </is>
      </c>
      <c r="G1980" t="n">
        <v>14.7</v>
      </c>
      <c r="H1980" t="n">
        <v>0</v>
      </c>
      <c r="I1980" t="n">
        <v>0</v>
      </c>
      <c r="J1980" t="n">
        <v>0</v>
      </c>
      <c r="K1980" t="n">
        <v>0</v>
      </c>
      <c r="L1980" t="n">
        <v>0</v>
      </c>
      <c r="M1980" t="n">
        <v>0</v>
      </c>
      <c r="N1980" t="n">
        <v>0</v>
      </c>
      <c r="O1980" t="n">
        <v>0</v>
      </c>
      <c r="P1980" t="n">
        <v>0</v>
      </c>
      <c r="Q1980" t="n">
        <v>0</v>
      </c>
      <c r="R1980" s="2" t="inlineStr"/>
    </row>
    <row r="1981" ht="15" customHeight="1">
      <c r="A1981" t="inlineStr">
        <is>
          <t>A 14614-2025</t>
        </is>
      </c>
      <c r="B1981" s="1" t="n">
        <v>45742</v>
      </c>
      <c r="C1981" s="1" t="n">
        <v>46033</v>
      </c>
      <c r="D1981" t="inlineStr">
        <is>
          <t>VÄRMLANDS LÄN</t>
        </is>
      </c>
      <c r="E1981" t="inlineStr">
        <is>
          <t>TORSBY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24639-2023</t>
        </is>
      </c>
      <c r="B1982" s="1" t="n">
        <v>45084</v>
      </c>
      <c r="C1982" s="1" t="n">
        <v>46033</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57072-2022</t>
        </is>
      </c>
      <c r="B1983" s="1" t="n">
        <v>44895.4252662037</v>
      </c>
      <c r="C1983" s="1" t="n">
        <v>46033</v>
      </c>
      <c r="D1983" t="inlineStr">
        <is>
          <t>VÄRMLANDS LÄN</t>
        </is>
      </c>
      <c r="E1983" t="inlineStr">
        <is>
          <t>TORSBY</t>
        </is>
      </c>
      <c r="F1983" t="inlineStr">
        <is>
          <t>Övriga statliga verk och myndigheter</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46033</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52581-2024</t>
        </is>
      </c>
      <c r="B1985" s="1" t="n">
        <v>45609</v>
      </c>
      <c r="C1985" s="1" t="n">
        <v>46033</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44708-2022</t>
        </is>
      </c>
      <c r="B1986" s="1" t="n">
        <v>44840.73633101852</v>
      </c>
      <c r="C1986" s="1" t="n">
        <v>46033</v>
      </c>
      <c r="D1986" t="inlineStr">
        <is>
          <t>VÄRMLANDS LÄN</t>
        </is>
      </c>
      <c r="E1986" t="inlineStr">
        <is>
          <t>TORSBY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56970-2023</t>
        </is>
      </c>
      <c r="B1987" s="1" t="n">
        <v>45244.63689814815</v>
      </c>
      <c r="C1987" s="1" t="n">
        <v>46033</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38100-2024</t>
        </is>
      </c>
      <c r="B1988" s="1" t="n">
        <v>45545</v>
      </c>
      <c r="C1988" s="1" t="n">
        <v>46033</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41529-2024</t>
        </is>
      </c>
      <c r="B1989" s="1" t="n">
        <v>45560.48552083333</v>
      </c>
      <c r="C1989" s="1" t="n">
        <v>46033</v>
      </c>
      <c r="D1989" t="inlineStr">
        <is>
          <t>VÄRMLANDS LÄN</t>
        </is>
      </c>
      <c r="E1989" t="inlineStr">
        <is>
          <t>TORSBY</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56281-2022</t>
        </is>
      </c>
      <c r="B1990" s="1" t="n">
        <v>44890</v>
      </c>
      <c r="C1990" s="1" t="n">
        <v>46033</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47355-2023</t>
        </is>
      </c>
      <c r="B1991" s="1" t="n">
        <v>45202</v>
      </c>
      <c r="C1991" s="1" t="n">
        <v>46033</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40997-2022</t>
        </is>
      </c>
      <c r="B1992" s="1" t="n">
        <v>44825.50576388889</v>
      </c>
      <c r="C1992" s="1" t="n">
        <v>46033</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39770-2024</t>
        </is>
      </c>
      <c r="B1993" s="1" t="n">
        <v>45552</v>
      </c>
      <c r="C1993" s="1" t="n">
        <v>46033</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18682-2024</t>
        </is>
      </c>
      <c r="B1994" s="1" t="n">
        <v>45426.37251157407</v>
      </c>
      <c r="C1994" s="1" t="n">
        <v>46033</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3542-2023</t>
        </is>
      </c>
      <c r="B1995" s="1" t="n">
        <v>44950</v>
      </c>
      <c r="C1995" s="1" t="n">
        <v>46033</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60737-2022</t>
        </is>
      </c>
      <c r="B1996" s="1" t="n">
        <v>44913.88537037037</v>
      </c>
      <c r="C1996" s="1" t="n">
        <v>46033</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37929-2022</t>
        </is>
      </c>
      <c r="B1997" s="1" t="n">
        <v>44811.45628472222</v>
      </c>
      <c r="C1997" s="1" t="n">
        <v>46033</v>
      </c>
      <c r="D1997" t="inlineStr">
        <is>
          <t>VÄRMLANDS LÄN</t>
        </is>
      </c>
      <c r="E1997" t="inlineStr">
        <is>
          <t>TORSBY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53297-2024</t>
        </is>
      </c>
      <c r="B1998" s="1" t="n">
        <v>45614.38802083334</v>
      </c>
      <c r="C1998" s="1" t="n">
        <v>46033</v>
      </c>
      <c r="D1998" t="inlineStr">
        <is>
          <t>VÄRMLANDS LÄN</t>
        </is>
      </c>
      <c r="E1998" t="inlineStr">
        <is>
          <t>TORSBY</t>
        </is>
      </c>
      <c r="F1998" t="inlineStr">
        <is>
          <t>Bergvik skog väst AB</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22973-2024</t>
        </is>
      </c>
      <c r="B1999" s="1" t="n">
        <v>45449</v>
      </c>
      <c r="C1999" s="1" t="n">
        <v>46033</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9057-2022</t>
        </is>
      </c>
      <c r="B2000" s="1" t="n">
        <v>44615</v>
      </c>
      <c r="C2000" s="1" t="n">
        <v>46033</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13189-2025</t>
        </is>
      </c>
      <c r="B2001" s="1" t="n">
        <v>45735.39708333334</v>
      </c>
      <c r="C2001" s="1" t="n">
        <v>46033</v>
      </c>
      <c r="D2001" t="inlineStr">
        <is>
          <t>VÄRMLANDS LÄN</t>
        </is>
      </c>
      <c r="E2001" t="inlineStr">
        <is>
          <t>TORSBY</t>
        </is>
      </c>
      <c r="G2001" t="n">
        <v>15.4</v>
      </c>
      <c r="H2001" t="n">
        <v>0</v>
      </c>
      <c r="I2001" t="n">
        <v>0</v>
      </c>
      <c r="J2001" t="n">
        <v>0</v>
      </c>
      <c r="K2001" t="n">
        <v>0</v>
      </c>
      <c r="L2001" t="n">
        <v>0</v>
      </c>
      <c r="M2001" t="n">
        <v>0</v>
      </c>
      <c r="N2001" t="n">
        <v>0</v>
      </c>
      <c r="O2001" t="n">
        <v>0</v>
      </c>
      <c r="P2001" t="n">
        <v>0</v>
      </c>
      <c r="Q2001" t="n">
        <v>0</v>
      </c>
      <c r="R2001" s="2" t="inlineStr"/>
    </row>
    <row r="2002" ht="15" customHeight="1">
      <c r="A2002" t="inlineStr">
        <is>
          <t>A 3326-2024</t>
        </is>
      </c>
      <c r="B2002" s="1" t="n">
        <v>45317</v>
      </c>
      <c r="C2002" s="1" t="n">
        <v>46033</v>
      </c>
      <c r="D2002" t="inlineStr">
        <is>
          <t>VÄRMLANDS LÄN</t>
        </is>
      </c>
      <c r="E2002" t="inlineStr">
        <is>
          <t>TORSBY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10329-2025</t>
        </is>
      </c>
      <c r="B2003" s="1" t="n">
        <v>45720</v>
      </c>
      <c r="C2003" s="1" t="n">
        <v>46033</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10343-2025</t>
        </is>
      </c>
      <c r="B2004" s="1" t="n">
        <v>45720</v>
      </c>
      <c r="C2004" s="1" t="n">
        <v>46033</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52901-2022</t>
        </is>
      </c>
      <c r="B2005" s="1" t="n">
        <v>44872</v>
      </c>
      <c r="C2005" s="1" t="n">
        <v>46033</v>
      </c>
      <c r="D2005" t="inlineStr">
        <is>
          <t>VÄRMLANDS LÄN</t>
        </is>
      </c>
      <c r="E2005" t="inlineStr">
        <is>
          <t>TORSBY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47077-2023</t>
        </is>
      </c>
      <c r="B2006" s="1" t="n">
        <v>45201</v>
      </c>
      <c r="C2006" s="1" t="n">
        <v>46033</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20745-2023</t>
        </is>
      </c>
      <c r="B2007" s="1" t="n">
        <v>45058</v>
      </c>
      <c r="C2007" s="1" t="n">
        <v>46033</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70926-2021</t>
        </is>
      </c>
      <c r="B2008" s="1" t="n">
        <v>44538</v>
      </c>
      <c r="C2008" s="1" t="n">
        <v>46033</v>
      </c>
      <c r="D2008" t="inlineStr">
        <is>
          <t>VÄRMLANDS LÄN</t>
        </is>
      </c>
      <c r="E2008" t="inlineStr">
        <is>
          <t>TORSBY</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72200-2021</t>
        </is>
      </c>
      <c r="B2009" s="1" t="n">
        <v>44544.67358796296</v>
      </c>
      <c r="C2009" s="1" t="n">
        <v>46033</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52592-2024</t>
        </is>
      </c>
      <c r="B2010" s="1" t="n">
        <v>45609</v>
      </c>
      <c r="C2010" s="1" t="n">
        <v>46033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18877-2022</t>
        </is>
      </c>
      <c r="B2011" s="1" t="n">
        <v>44690.52556712963</v>
      </c>
      <c r="C2011" s="1" t="n">
        <v>46033</v>
      </c>
      <c r="D2011" t="inlineStr">
        <is>
          <t>VÄRMLANDS LÄN</t>
        </is>
      </c>
      <c r="E2011" t="inlineStr">
        <is>
          <t>TORSBY</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5830-2023</t>
        </is>
      </c>
      <c r="B2012" s="1" t="n">
        <v>44963</v>
      </c>
      <c r="C2012" s="1" t="n">
        <v>46033</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22158-2022</t>
        </is>
      </c>
      <c r="B2013" s="1" t="n">
        <v>44708</v>
      </c>
      <c r="C2013" s="1" t="n">
        <v>46033</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20175-2022</t>
        </is>
      </c>
      <c r="B2014" s="1" t="n">
        <v>44698</v>
      </c>
      <c r="C2014" s="1" t="n">
        <v>46033</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6646-2024</t>
        </is>
      </c>
      <c r="B2015" s="1" t="n">
        <v>45341.66643518519</v>
      </c>
      <c r="C2015" s="1" t="n">
        <v>46033</v>
      </c>
      <c r="D2015" t="inlineStr">
        <is>
          <t>VÄRMLANDS LÄN</t>
        </is>
      </c>
      <c r="E2015" t="inlineStr">
        <is>
          <t>TORSBY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6648-2024</t>
        </is>
      </c>
      <c r="B2016" s="1" t="n">
        <v>45341</v>
      </c>
      <c r="C2016" s="1" t="n">
        <v>46033</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41841-2023</t>
        </is>
      </c>
      <c r="B2017" s="1" t="n">
        <v>45176.60436342593</v>
      </c>
      <c r="C2017" s="1" t="n">
        <v>46033</v>
      </c>
      <c r="D2017" t="inlineStr">
        <is>
          <t>VÄRMLANDS LÄN</t>
        </is>
      </c>
      <c r="E2017" t="inlineStr">
        <is>
          <t>TORSBY</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6713-2023</t>
        </is>
      </c>
      <c r="B2018" s="1" t="n">
        <v>44960</v>
      </c>
      <c r="C2018" s="1" t="n">
        <v>46033</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63409-2023</t>
        </is>
      </c>
      <c r="B2019" s="1" t="n">
        <v>45274.51719907407</v>
      </c>
      <c r="C2019" s="1" t="n">
        <v>46033</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12051-2024</t>
        </is>
      </c>
      <c r="B2020" s="1" t="n">
        <v>45377</v>
      </c>
      <c r="C2020" s="1" t="n">
        <v>46033</v>
      </c>
      <c r="D2020" t="inlineStr">
        <is>
          <t>VÄRMLANDS LÄN</t>
        </is>
      </c>
      <c r="E2020" t="inlineStr">
        <is>
          <t>TORSBY</t>
        </is>
      </c>
      <c r="F2020" t="inlineStr">
        <is>
          <t>Bergvik skog väst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73553-2021</t>
        </is>
      </c>
      <c r="B2021" s="1" t="n">
        <v>44551</v>
      </c>
      <c r="C2021" s="1" t="n">
        <v>46033</v>
      </c>
      <c r="D2021" t="inlineStr">
        <is>
          <t>VÄRMLANDS LÄN</t>
        </is>
      </c>
      <c r="E2021" t="inlineStr">
        <is>
          <t>TORSBY</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18099-2022</t>
        </is>
      </c>
      <c r="B2022" s="1" t="n">
        <v>44684</v>
      </c>
      <c r="C2022" s="1" t="n">
        <v>46033</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54306-2024</t>
        </is>
      </c>
      <c r="B2023" s="1" t="n">
        <v>45617</v>
      </c>
      <c r="C2023" s="1" t="n">
        <v>46033</v>
      </c>
      <c r="D2023" t="inlineStr">
        <is>
          <t>VÄRMLANDS LÄN</t>
        </is>
      </c>
      <c r="E2023" t="inlineStr">
        <is>
          <t>TORSBY</t>
        </is>
      </c>
      <c r="F2023" t="inlineStr">
        <is>
          <t>Bergvik skog väst AB</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54265-2024</t>
        </is>
      </c>
      <c r="B2024" s="1" t="n">
        <v>45616</v>
      </c>
      <c r="C2024" s="1" t="n">
        <v>46033</v>
      </c>
      <c r="D2024" t="inlineStr">
        <is>
          <t>VÄRMLANDS LÄN</t>
        </is>
      </c>
      <c r="E2024" t="inlineStr">
        <is>
          <t>TORSBY</t>
        </is>
      </c>
      <c r="F2024" t="inlineStr">
        <is>
          <t>Kommuner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1161-2025</t>
        </is>
      </c>
      <c r="B2025" s="1" t="n">
        <v>45666</v>
      </c>
      <c r="C2025" s="1" t="n">
        <v>46033</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14301-2025</t>
        </is>
      </c>
      <c r="B2026" s="1" t="n">
        <v>45740</v>
      </c>
      <c r="C2026" s="1" t="n">
        <v>46033</v>
      </c>
      <c r="D2026" t="inlineStr">
        <is>
          <t>VÄRMLANDS LÄN</t>
        </is>
      </c>
      <c r="E2026" t="inlineStr">
        <is>
          <t>TORSBY</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11395-2025</t>
        </is>
      </c>
      <c r="B2027" s="1" t="n">
        <v>45726.5728125</v>
      </c>
      <c r="C2027" s="1" t="n">
        <v>46033</v>
      </c>
      <c r="D2027" t="inlineStr">
        <is>
          <t>VÄRMLANDS LÄN</t>
        </is>
      </c>
      <c r="E2027" t="inlineStr">
        <is>
          <t>TORSBY</t>
        </is>
      </c>
      <c r="G2027" t="n">
        <v>25.3</v>
      </c>
      <c r="H2027" t="n">
        <v>0</v>
      </c>
      <c r="I2027" t="n">
        <v>0</v>
      </c>
      <c r="J2027" t="n">
        <v>0</v>
      </c>
      <c r="K2027" t="n">
        <v>0</v>
      </c>
      <c r="L2027" t="n">
        <v>0</v>
      </c>
      <c r="M2027" t="n">
        <v>0</v>
      </c>
      <c r="N2027" t="n">
        <v>0</v>
      </c>
      <c r="O2027" t="n">
        <v>0</v>
      </c>
      <c r="P2027" t="n">
        <v>0</v>
      </c>
      <c r="Q2027" t="n">
        <v>0</v>
      </c>
      <c r="R2027" s="2" t="inlineStr"/>
    </row>
    <row r="2028" ht="15" customHeight="1">
      <c r="A2028" t="inlineStr">
        <is>
          <t>A 19575-2025</t>
        </is>
      </c>
      <c r="B2028" s="1" t="n">
        <v>45770.55957175926</v>
      </c>
      <c r="C2028" s="1" t="n">
        <v>46033</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4908-2024</t>
        </is>
      </c>
      <c r="B2029" s="1" t="n">
        <v>45329</v>
      </c>
      <c r="C2029" s="1" t="n">
        <v>46033</v>
      </c>
      <c r="D2029" t="inlineStr">
        <is>
          <t>VÄRMLANDS LÄN</t>
        </is>
      </c>
      <c r="E2029" t="inlineStr">
        <is>
          <t>TORSBY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1100-2025</t>
        </is>
      </c>
      <c r="B2030" s="1" t="n">
        <v>45666.64099537037</v>
      </c>
      <c r="C2030" s="1" t="n">
        <v>46033</v>
      </c>
      <c r="D2030" t="inlineStr">
        <is>
          <t>VÄRMLANDS LÄN</t>
        </is>
      </c>
      <c r="E2030" t="inlineStr">
        <is>
          <t>TORSBY</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49982-2023</t>
        </is>
      </c>
      <c r="B2031" s="1" t="n">
        <v>45215.4216087963</v>
      </c>
      <c r="C2031" s="1" t="n">
        <v>46033</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48874-2024</t>
        </is>
      </c>
      <c r="B2032" s="1" t="n">
        <v>45594</v>
      </c>
      <c r="C2032" s="1" t="n">
        <v>46033</v>
      </c>
      <c r="D2032" t="inlineStr">
        <is>
          <t>VÄRMLANDS LÄN</t>
        </is>
      </c>
      <c r="E2032" t="inlineStr">
        <is>
          <t>TORSBY</t>
        </is>
      </c>
      <c r="F2032" t="inlineStr">
        <is>
          <t>Bergvik skog väst AB</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10027-2023</t>
        </is>
      </c>
      <c r="B2033" s="1" t="n">
        <v>44979</v>
      </c>
      <c r="C2033" s="1" t="n">
        <v>46033</v>
      </c>
      <c r="D2033" t="inlineStr">
        <is>
          <t>VÄRMLANDS LÄN</t>
        </is>
      </c>
      <c r="E2033" t="inlineStr">
        <is>
          <t>TORSBY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26343-2023</t>
        </is>
      </c>
      <c r="B2034" s="1" t="n">
        <v>45091</v>
      </c>
      <c r="C2034" s="1" t="n">
        <v>46033</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24148-2024</t>
        </is>
      </c>
      <c r="B2035" s="1" t="n">
        <v>45456</v>
      </c>
      <c r="C2035" s="1" t="n">
        <v>46033</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34427-2023</t>
        </is>
      </c>
      <c r="B2036" s="1" t="n">
        <v>45139.61741898148</v>
      </c>
      <c r="C2036" s="1" t="n">
        <v>46033</v>
      </c>
      <c r="D2036" t="inlineStr">
        <is>
          <t>VÄRMLANDS LÄN</t>
        </is>
      </c>
      <c r="E2036" t="inlineStr">
        <is>
          <t>TORSBY</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12933-2023</t>
        </is>
      </c>
      <c r="B2037" s="1" t="n">
        <v>45001</v>
      </c>
      <c r="C2037" s="1" t="n">
        <v>46033</v>
      </c>
      <c r="D2037" t="inlineStr">
        <is>
          <t>VÄRMLANDS LÄN</t>
        </is>
      </c>
      <c r="E2037" t="inlineStr">
        <is>
          <t>TORSBY</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23264-2022</t>
        </is>
      </c>
      <c r="B2038" s="1" t="n">
        <v>44720.40818287037</v>
      </c>
      <c r="C2038" s="1" t="n">
        <v>46033</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9574-2023</t>
        </is>
      </c>
      <c r="B2039" s="1" t="n">
        <v>44982.55168981481</v>
      </c>
      <c r="C2039" s="1" t="n">
        <v>46033</v>
      </c>
      <c r="D2039" t="inlineStr">
        <is>
          <t>VÄRMLANDS LÄN</t>
        </is>
      </c>
      <c r="E2039" t="inlineStr">
        <is>
          <t>TORSBY</t>
        </is>
      </c>
      <c r="F2039" t="inlineStr">
        <is>
          <t>Övriga statliga verk och myndigheter</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6656-2021</t>
        </is>
      </c>
      <c r="B2040" s="1" t="n">
        <v>44236</v>
      </c>
      <c r="C2040" s="1" t="n">
        <v>46033</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35777-2024</t>
        </is>
      </c>
      <c r="B2041" s="1" t="n">
        <v>45532</v>
      </c>
      <c r="C2041" s="1" t="n">
        <v>46033</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37752-2022</t>
        </is>
      </c>
      <c r="B2042" s="1" t="n">
        <v>44810</v>
      </c>
      <c r="C2042" s="1" t="n">
        <v>46033</v>
      </c>
      <c r="D2042" t="inlineStr">
        <is>
          <t>VÄRMLANDS LÄN</t>
        </is>
      </c>
      <c r="E2042" t="inlineStr">
        <is>
          <t>TORSBY</t>
        </is>
      </c>
      <c r="F2042" t="inlineStr">
        <is>
          <t>Kyrkan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17841-2025</t>
        </is>
      </c>
      <c r="B2043" s="1" t="n">
        <v>45758</v>
      </c>
      <c r="C2043" s="1" t="n">
        <v>46033</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41156-2023</t>
        </is>
      </c>
      <c r="B2044" s="1" t="n">
        <v>45174</v>
      </c>
      <c r="C2044" s="1" t="n">
        <v>46033</v>
      </c>
      <c r="D2044" t="inlineStr">
        <is>
          <t>VÄRMLANDS LÄN</t>
        </is>
      </c>
      <c r="E2044" t="inlineStr">
        <is>
          <t>TORSBY</t>
        </is>
      </c>
      <c r="F2044" t="inlineStr">
        <is>
          <t>Kyrkan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64672-2023</t>
        </is>
      </c>
      <c r="B2045" s="1" t="n">
        <v>45281.61913194445</v>
      </c>
      <c r="C2045" s="1" t="n">
        <v>46033</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55031-2023</t>
        </is>
      </c>
      <c r="B2046" s="1" t="n">
        <v>45237.34733796296</v>
      </c>
      <c r="C2046" s="1" t="n">
        <v>46033</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9871-2024</t>
        </is>
      </c>
      <c r="B2047" s="1" t="n">
        <v>45363</v>
      </c>
      <c r="C2047" s="1" t="n">
        <v>46033</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29043-2023</t>
        </is>
      </c>
      <c r="B2048" s="1" t="n">
        <v>45104</v>
      </c>
      <c r="C2048" s="1" t="n">
        <v>46033</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60058-2023</t>
        </is>
      </c>
      <c r="B2049" s="1" t="n">
        <v>45258.37978009259</v>
      </c>
      <c r="C2049" s="1" t="n">
        <v>46033</v>
      </c>
      <c r="D2049" t="inlineStr">
        <is>
          <t>VÄRMLANDS LÄN</t>
        </is>
      </c>
      <c r="E2049" t="inlineStr">
        <is>
          <t>TORSBY</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27363-2024</t>
        </is>
      </c>
      <c r="B2050" s="1" t="n">
        <v>45473</v>
      </c>
      <c r="C2050" s="1" t="n">
        <v>46033</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8197-2025</t>
        </is>
      </c>
      <c r="B2051" s="1" t="n">
        <v>45708.4318287037</v>
      </c>
      <c r="C2051" s="1" t="n">
        <v>46033</v>
      </c>
      <c r="D2051" t="inlineStr">
        <is>
          <t>VÄRMLANDS LÄN</t>
        </is>
      </c>
      <c r="E2051" t="inlineStr">
        <is>
          <t>TORSBY</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56571-2024</t>
        </is>
      </c>
      <c r="B2052" s="1" t="n">
        <v>45625</v>
      </c>
      <c r="C2052" s="1" t="n">
        <v>46033</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33232-2024</t>
        </is>
      </c>
      <c r="B2053" s="1" t="n">
        <v>45518</v>
      </c>
      <c r="C2053" s="1" t="n">
        <v>46033</v>
      </c>
      <c r="D2053" t="inlineStr">
        <is>
          <t>VÄRMLANDS LÄN</t>
        </is>
      </c>
      <c r="E2053" t="inlineStr">
        <is>
          <t>TORSBY</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48253-2024</t>
        </is>
      </c>
      <c r="B2054" s="1" t="n">
        <v>45590</v>
      </c>
      <c r="C2054" s="1" t="n">
        <v>46033</v>
      </c>
      <c r="D2054" t="inlineStr">
        <is>
          <t>VÄRMLANDS LÄN</t>
        </is>
      </c>
      <c r="E2054" t="inlineStr">
        <is>
          <t>TORSBY</t>
        </is>
      </c>
      <c r="F2054" t="inlineStr">
        <is>
          <t>Bergvik skog väst AB</t>
        </is>
      </c>
      <c r="G2054" t="n">
        <v>20.7</v>
      </c>
      <c r="H2054" t="n">
        <v>0</v>
      </c>
      <c r="I2054" t="n">
        <v>0</v>
      </c>
      <c r="J2054" t="n">
        <v>0</v>
      </c>
      <c r="K2054" t="n">
        <v>0</v>
      </c>
      <c r="L2054" t="n">
        <v>0</v>
      </c>
      <c r="M2054" t="n">
        <v>0</v>
      </c>
      <c r="N2054" t="n">
        <v>0</v>
      </c>
      <c r="O2054" t="n">
        <v>0</v>
      </c>
      <c r="P2054" t="n">
        <v>0</v>
      </c>
      <c r="Q2054" t="n">
        <v>0</v>
      </c>
      <c r="R2054" s="2" t="inlineStr"/>
    </row>
    <row r="2055" ht="15" customHeight="1">
      <c r="A2055" t="inlineStr">
        <is>
          <t>A 43301-2024</t>
        </is>
      </c>
      <c r="B2055" s="1" t="n">
        <v>45568</v>
      </c>
      <c r="C2055" s="1" t="n">
        <v>46033</v>
      </c>
      <c r="D2055" t="inlineStr">
        <is>
          <t>VÄRMLANDS LÄN</t>
        </is>
      </c>
      <c r="E2055" t="inlineStr">
        <is>
          <t>TORSBY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24004-2024</t>
        </is>
      </c>
      <c r="B2056" s="1" t="n">
        <v>45456</v>
      </c>
      <c r="C2056" s="1" t="n">
        <v>46033</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37623-2023</t>
        </is>
      </c>
      <c r="B2057" s="1" t="n">
        <v>45159.45560185185</v>
      </c>
      <c r="C2057" s="1" t="n">
        <v>46033</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42347-2021</t>
        </is>
      </c>
      <c r="B2058" s="1" t="n">
        <v>44427</v>
      </c>
      <c r="C2058" s="1" t="n">
        <v>46033</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23044-2024</t>
        </is>
      </c>
      <c r="B2059" s="1" t="n">
        <v>45450</v>
      </c>
      <c r="C2059" s="1" t="n">
        <v>46033</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18354-2021</t>
        </is>
      </c>
      <c r="B2060" s="1" t="n">
        <v>44305.56186342592</v>
      </c>
      <c r="C2060" s="1" t="n">
        <v>46033</v>
      </c>
      <c r="D2060" t="inlineStr">
        <is>
          <t>VÄRMLANDS LÄN</t>
        </is>
      </c>
      <c r="E2060" t="inlineStr">
        <is>
          <t>TORSBY</t>
        </is>
      </c>
      <c r="F2060" t="inlineStr">
        <is>
          <t>Kommuner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17184-2023</t>
        </is>
      </c>
      <c r="B2061" s="1" t="n">
        <v>45034.69127314815</v>
      </c>
      <c r="C2061" s="1" t="n">
        <v>46033</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44424-2024</t>
        </is>
      </c>
      <c r="B2062" s="1" t="n">
        <v>45573</v>
      </c>
      <c r="C2062" s="1" t="n">
        <v>46033</v>
      </c>
      <c r="D2062" t="inlineStr">
        <is>
          <t>VÄRMLANDS LÄN</t>
        </is>
      </c>
      <c r="E2062" t="inlineStr">
        <is>
          <t>TORSBY</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33853-2021</t>
        </is>
      </c>
      <c r="B2063" s="1" t="n">
        <v>44378.61460648148</v>
      </c>
      <c r="C2063" s="1" t="n">
        <v>46033</v>
      </c>
      <c r="D2063" t="inlineStr">
        <is>
          <t>VÄRMLANDS LÄN</t>
        </is>
      </c>
      <c r="E2063" t="inlineStr">
        <is>
          <t>TORSBY</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49936-2024</t>
        </is>
      </c>
      <c r="B2064" s="1" t="n">
        <v>45597</v>
      </c>
      <c r="C2064" s="1" t="n">
        <v>46033</v>
      </c>
      <c r="D2064" t="inlineStr">
        <is>
          <t>VÄRMLANDS LÄN</t>
        </is>
      </c>
      <c r="E2064" t="inlineStr">
        <is>
          <t>TORSBY</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33072-2023</t>
        </is>
      </c>
      <c r="B2065" s="1" t="n">
        <v>45126</v>
      </c>
      <c r="C2065" s="1" t="n">
        <v>46033</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52078-2023</t>
        </is>
      </c>
      <c r="B2066" s="1" t="n">
        <v>45223</v>
      </c>
      <c r="C2066" s="1" t="n">
        <v>46033</v>
      </c>
      <c r="D2066" t="inlineStr">
        <is>
          <t>VÄRMLANDS LÄN</t>
        </is>
      </c>
      <c r="E2066" t="inlineStr">
        <is>
          <t>TORSBY</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3670-2023</t>
        </is>
      </c>
      <c r="B2067" s="1" t="n">
        <v>44950</v>
      </c>
      <c r="C2067" s="1" t="n">
        <v>46033</v>
      </c>
      <c r="D2067" t="inlineStr">
        <is>
          <t>VÄRMLANDS LÄN</t>
        </is>
      </c>
      <c r="E2067" t="inlineStr">
        <is>
          <t>TORSBY</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26979-2023</t>
        </is>
      </c>
      <c r="B2068" s="1" t="n">
        <v>45091</v>
      </c>
      <c r="C2068" s="1" t="n">
        <v>46033</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22702-2023</t>
        </is>
      </c>
      <c r="B2069" s="1" t="n">
        <v>45071</v>
      </c>
      <c r="C2069" s="1" t="n">
        <v>46033</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8188-2025</t>
        </is>
      </c>
      <c r="B2070" s="1" t="n">
        <v>45708.40246527778</v>
      </c>
      <c r="C2070" s="1" t="n">
        <v>46033</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10888-2023</t>
        </is>
      </c>
      <c r="B2071" s="1" t="n">
        <v>44985</v>
      </c>
      <c r="C2071" s="1" t="n">
        <v>46033</v>
      </c>
      <c r="D2071" t="inlineStr">
        <is>
          <t>VÄRMLANDS LÄN</t>
        </is>
      </c>
      <c r="E2071" t="inlineStr">
        <is>
          <t>TORSBY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50608-2023</t>
        </is>
      </c>
      <c r="B2072" s="1" t="n">
        <v>45217</v>
      </c>
      <c r="C2072" s="1" t="n">
        <v>46033</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56716-2023</t>
        </is>
      </c>
      <c r="B2073" s="1" t="n">
        <v>45238</v>
      </c>
      <c r="C2073" s="1" t="n">
        <v>46033</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54556-2023</t>
        </is>
      </c>
      <c r="B2074" s="1" t="n">
        <v>45233.63445601852</v>
      </c>
      <c r="C2074" s="1" t="n">
        <v>46033</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30700-2024</t>
        </is>
      </c>
      <c r="B2075" s="1" t="n">
        <v>45496.35869212963</v>
      </c>
      <c r="C2075" s="1" t="n">
        <v>46033</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30705-2024</t>
        </is>
      </c>
      <c r="B2076" s="1" t="n">
        <v>45496.38092592593</v>
      </c>
      <c r="C2076" s="1" t="n">
        <v>46033</v>
      </c>
      <c r="D2076" t="inlineStr">
        <is>
          <t>VÄRMLANDS LÄN</t>
        </is>
      </c>
      <c r="E2076" t="inlineStr">
        <is>
          <t>TORSBY</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6068-2021</t>
        </is>
      </c>
      <c r="B2077" s="1" t="n">
        <v>44232</v>
      </c>
      <c r="C2077" s="1" t="n">
        <v>46033</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26686-2022</t>
        </is>
      </c>
      <c r="B2078" s="1" t="n">
        <v>44739.67833333334</v>
      </c>
      <c r="C2078" s="1" t="n">
        <v>46033</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63266-2023</t>
        </is>
      </c>
      <c r="B2079" s="1" t="n">
        <v>45273.741875</v>
      </c>
      <c r="C2079" s="1" t="n">
        <v>46033</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38914-2022</t>
        </is>
      </c>
      <c r="B2080" s="1" t="n">
        <v>44816.61194444444</v>
      </c>
      <c r="C2080" s="1" t="n">
        <v>46033</v>
      </c>
      <c r="D2080" t="inlineStr">
        <is>
          <t>VÄRMLANDS LÄN</t>
        </is>
      </c>
      <c r="E2080" t="inlineStr">
        <is>
          <t>TORSBY</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38882-2022</t>
        </is>
      </c>
      <c r="B2081" s="1" t="n">
        <v>44816.565625</v>
      </c>
      <c r="C2081" s="1" t="n">
        <v>46033</v>
      </c>
      <c r="D2081" t="inlineStr">
        <is>
          <t>VÄRMLANDS LÄN</t>
        </is>
      </c>
      <c r="E2081" t="inlineStr">
        <is>
          <t>TORSBY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10895-2024</t>
        </is>
      </c>
      <c r="B2082" s="1" t="n">
        <v>45370.34901620371</v>
      </c>
      <c r="C2082" s="1" t="n">
        <v>46033</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44170-2022</t>
        </is>
      </c>
      <c r="B2083" s="1" t="n">
        <v>44838</v>
      </c>
      <c r="C2083" s="1" t="n">
        <v>46033</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7907-2025</t>
        </is>
      </c>
      <c r="B2084" s="1" t="n">
        <v>45707</v>
      </c>
      <c r="C2084" s="1" t="n">
        <v>46033</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6529-2025</t>
        </is>
      </c>
      <c r="B2085" s="1" t="n">
        <v>45699</v>
      </c>
      <c r="C2085" s="1" t="n">
        <v>46033</v>
      </c>
      <c r="D2085" t="inlineStr">
        <is>
          <t>VÄRMLANDS LÄN</t>
        </is>
      </c>
      <c r="E2085" t="inlineStr">
        <is>
          <t>TORSBY</t>
        </is>
      </c>
      <c r="F2085" t="inlineStr">
        <is>
          <t>Kommuner</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33469-2024</t>
        </is>
      </c>
      <c r="B2086" s="1" t="n">
        <v>45519.5996875</v>
      </c>
      <c r="C2086" s="1" t="n">
        <v>46033</v>
      </c>
      <c r="D2086" t="inlineStr">
        <is>
          <t>VÄRMLANDS LÄN</t>
        </is>
      </c>
      <c r="E2086" t="inlineStr">
        <is>
          <t>TORSBY</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3071-2022</t>
        </is>
      </c>
      <c r="B2087" s="1" t="n">
        <v>44582.42109953704</v>
      </c>
      <c r="C2087" s="1" t="n">
        <v>46033</v>
      </c>
      <c r="D2087" t="inlineStr">
        <is>
          <t>VÄRMLANDS LÄN</t>
        </is>
      </c>
      <c r="E2087" t="inlineStr">
        <is>
          <t>TORSBY</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15154-2025</t>
        </is>
      </c>
      <c r="B2088" s="1" t="n">
        <v>45744.46157407408</v>
      </c>
      <c r="C2088" s="1" t="n">
        <v>46033</v>
      </c>
      <c r="D2088" t="inlineStr">
        <is>
          <t>VÄRMLANDS LÄN</t>
        </is>
      </c>
      <c r="E2088" t="inlineStr">
        <is>
          <t>TORSBY</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19307-2022</t>
        </is>
      </c>
      <c r="B2089" s="1" t="n">
        <v>44692.55497685185</v>
      </c>
      <c r="C2089" s="1" t="n">
        <v>46033</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58945-2024</t>
        </is>
      </c>
      <c r="B2090" s="1" t="n">
        <v>45636</v>
      </c>
      <c r="C2090" s="1" t="n">
        <v>46033</v>
      </c>
      <c r="D2090" t="inlineStr">
        <is>
          <t>VÄRMLANDS LÄN</t>
        </is>
      </c>
      <c r="E2090" t="inlineStr">
        <is>
          <t>TORSBY</t>
        </is>
      </c>
      <c r="F2090" t="inlineStr">
        <is>
          <t>Bergvik skog väst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58386-2023</t>
        </is>
      </c>
      <c r="B2091" s="1" t="n">
        <v>45250</v>
      </c>
      <c r="C2091" s="1" t="n">
        <v>46033</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6111-2021</t>
        </is>
      </c>
      <c r="B2092" s="1" t="n">
        <v>44232</v>
      </c>
      <c r="C2092" s="1" t="n">
        <v>46033</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61138-2022</t>
        </is>
      </c>
      <c r="B2093" s="1" t="n">
        <v>44915</v>
      </c>
      <c r="C2093" s="1" t="n">
        <v>46033</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3904-2025</t>
        </is>
      </c>
      <c r="B2094" s="1" t="n">
        <v>45684</v>
      </c>
      <c r="C2094" s="1" t="n">
        <v>46033</v>
      </c>
      <c r="D2094" t="inlineStr">
        <is>
          <t>VÄRMLANDS LÄN</t>
        </is>
      </c>
      <c r="E2094" t="inlineStr">
        <is>
          <t>TORSBY</t>
        </is>
      </c>
      <c r="F2094" t="inlineStr">
        <is>
          <t>Övriga statliga verk och myndigheter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3951-2025</t>
        </is>
      </c>
      <c r="B2095" s="1" t="n">
        <v>45684.49333333333</v>
      </c>
      <c r="C2095" s="1" t="n">
        <v>46033</v>
      </c>
      <c r="D2095" t="inlineStr">
        <is>
          <t>VÄRMLANDS LÄN</t>
        </is>
      </c>
      <c r="E2095" t="inlineStr">
        <is>
          <t>TORSBY</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6063-2021</t>
        </is>
      </c>
      <c r="B2096" s="1" t="n">
        <v>44232</v>
      </c>
      <c r="C2096" s="1" t="n">
        <v>46033</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4030-2024</t>
        </is>
      </c>
      <c r="B2097" s="1" t="n">
        <v>45323</v>
      </c>
      <c r="C2097" s="1" t="n">
        <v>46033</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11235-2024</t>
        </is>
      </c>
      <c r="B2098" s="1" t="n">
        <v>45371</v>
      </c>
      <c r="C2098" s="1" t="n">
        <v>46033</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11242-2024</t>
        </is>
      </c>
      <c r="B2099" s="1" t="n">
        <v>45371</v>
      </c>
      <c r="C2099" s="1" t="n">
        <v>46033</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11253-2024</t>
        </is>
      </c>
      <c r="B2100" s="1" t="n">
        <v>45371</v>
      </c>
      <c r="C2100" s="1" t="n">
        <v>46033</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38991-2023</t>
        </is>
      </c>
      <c r="B2101" s="1" t="n">
        <v>45163.65929398148</v>
      </c>
      <c r="C2101" s="1" t="n">
        <v>46033</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16949-2025</t>
        </is>
      </c>
      <c r="B2102" s="1" t="n">
        <v>45755</v>
      </c>
      <c r="C2102" s="1" t="n">
        <v>46033</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55436-2022</t>
        </is>
      </c>
      <c r="B2103" s="1" t="n">
        <v>44887</v>
      </c>
      <c r="C2103" s="1" t="n">
        <v>46033</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1911-2022</t>
        </is>
      </c>
      <c r="B2104" s="1" t="n">
        <v>44575</v>
      </c>
      <c r="C2104" s="1" t="n">
        <v>46033</v>
      </c>
      <c r="D2104" t="inlineStr">
        <is>
          <t>VÄRMLANDS LÄN</t>
        </is>
      </c>
      <c r="E2104" t="inlineStr">
        <is>
          <t>TORSBY</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53921-2023</t>
        </is>
      </c>
      <c r="B2105" s="1" t="n">
        <v>45231</v>
      </c>
      <c r="C2105" s="1" t="n">
        <v>46033</v>
      </c>
      <c r="D2105" t="inlineStr">
        <is>
          <t>VÄRMLANDS LÄN</t>
        </is>
      </c>
      <c r="E2105" t="inlineStr">
        <is>
          <t>TORSBY</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3667-2023</t>
        </is>
      </c>
      <c r="B2106" s="1" t="n">
        <v>44950</v>
      </c>
      <c r="C2106" s="1" t="n">
        <v>46033</v>
      </c>
      <c r="D2106" t="inlineStr">
        <is>
          <t>VÄRMLANDS LÄN</t>
        </is>
      </c>
      <c r="E2106" t="inlineStr">
        <is>
          <t>TORSBY</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4342-2025</t>
        </is>
      </c>
      <c r="B2107" s="1" t="n">
        <v>45685</v>
      </c>
      <c r="C2107" s="1" t="n">
        <v>46033</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45812-2024</t>
        </is>
      </c>
      <c r="B2108" s="1" t="n">
        <v>45579</v>
      </c>
      <c r="C2108" s="1" t="n">
        <v>46033</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49814-2022</t>
        </is>
      </c>
      <c r="B2109" s="1" t="n">
        <v>44859</v>
      </c>
      <c r="C2109" s="1" t="n">
        <v>46033</v>
      </c>
      <c r="D2109" t="inlineStr">
        <is>
          <t>VÄRMLANDS LÄN</t>
        </is>
      </c>
      <c r="E2109" t="inlineStr">
        <is>
          <t>TORSBY</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40541-2024</t>
        </is>
      </c>
      <c r="B2110" s="1" t="n">
        <v>45555.62736111111</v>
      </c>
      <c r="C2110" s="1" t="n">
        <v>46033</v>
      </c>
      <c r="D2110" t="inlineStr">
        <is>
          <t>VÄRMLANDS LÄN</t>
        </is>
      </c>
      <c r="E2110" t="inlineStr">
        <is>
          <t>TORSBY</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234-2024</t>
        </is>
      </c>
      <c r="B2111" s="1" t="n">
        <v>45294.8253587963</v>
      </c>
      <c r="C2111" s="1" t="n">
        <v>46033</v>
      </c>
      <c r="D2111" t="inlineStr">
        <is>
          <t>VÄRMLANDS LÄN</t>
        </is>
      </c>
      <c r="E2111" t="inlineStr">
        <is>
          <t>TORSBY</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236-2024</t>
        </is>
      </c>
      <c r="B2112" s="1" t="n">
        <v>45294.85927083333</v>
      </c>
      <c r="C2112" s="1" t="n">
        <v>46033</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30104-2023</t>
        </is>
      </c>
      <c r="B2113" s="1" t="n">
        <v>45110</v>
      </c>
      <c r="C2113" s="1" t="n">
        <v>46033</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1839-2022</t>
        </is>
      </c>
      <c r="B2114" s="1" t="n">
        <v>44574</v>
      </c>
      <c r="C2114" s="1" t="n">
        <v>46033</v>
      </c>
      <c r="D2114" t="inlineStr">
        <is>
          <t>VÄRMLANDS LÄN</t>
        </is>
      </c>
      <c r="E2114" t="inlineStr">
        <is>
          <t>TORSBY</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21465-2022</t>
        </is>
      </c>
      <c r="B2115" s="1" t="n">
        <v>44706.38893518518</v>
      </c>
      <c r="C2115" s="1" t="n">
        <v>46033</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21078-2023</t>
        </is>
      </c>
      <c r="B2116" s="1" t="n">
        <v>45061</v>
      </c>
      <c r="C2116" s="1" t="n">
        <v>46033</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36718-2024</t>
        </is>
      </c>
      <c r="B2117" s="1" t="n">
        <v>45537</v>
      </c>
      <c r="C2117" s="1" t="n">
        <v>46033</v>
      </c>
      <c r="D2117" t="inlineStr">
        <is>
          <t>VÄRMLANDS LÄN</t>
        </is>
      </c>
      <c r="E2117" t="inlineStr">
        <is>
          <t>TORSBY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15019-2025</t>
        </is>
      </c>
      <c r="B2118" s="1" t="n">
        <v>45743.63811342593</v>
      </c>
      <c r="C2118" s="1" t="n">
        <v>46033</v>
      </c>
      <c r="D2118" t="inlineStr">
        <is>
          <t>VÄRMLANDS LÄN</t>
        </is>
      </c>
      <c r="E2118" t="inlineStr">
        <is>
          <t>TORSBY</t>
        </is>
      </c>
      <c r="F2118" t="inlineStr">
        <is>
          <t>Övriga statliga verk och myndigheter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45328-2022</t>
        </is>
      </c>
      <c r="B2119" s="1" t="n">
        <v>44844</v>
      </c>
      <c r="C2119" s="1" t="n">
        <v>46033</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10608-2022</t>
        </is>
      </c>
      <c r="B2120" s="1" t="n">
        <v>44624</v>
      </c>
      <c r="C2120" s="1" t="n">
        <v>46033</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33429-2024</t>
        </is>
      </c>
      <c r="B2121" s="1" t="n">
        <v>45519.52792824074</v>
      </c>
      <c r="C2121" s="1" t="n">
        <v>46033</v>
      </c>
      <c r="D2121" t="inlineStr">
        <is>
          <t>VÄRMLANDS LÄN</t>
        </is>
      </c>
      <c r="E2121" t="inlineStr">
        <is>
          <t>TORSBY</t>
        </is>
      </c>
      <c r="F2121" t="inlineStr">
        <is>
          <t>Bergvik skog väst AB</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61073-2024</t>
        </is>
      </c>
      <c r="B2122" s="1" t="n">
        <v>45645.50665509259</v>
      </c>
      <c r="C2122" s="1" t="n">
        <v>46033</v>
      </c>
      <c r="D2122" t="inlineStr">
        <is>
          <t>VÄRMLANDS LÄN</t>
        </is>
      </c>
      <c r="E2122" t="inlineStr">
        <is>
          <t>TORSBY</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1997-2025</t>
        </is>
      </c>
      <c r="B2123" s="1" t="n">
        <v>45672.44431712963</v>
      </c>
      <c r="C2123" s="1" t="n">
        <v>46033</v>
      </c>
      <c r="D2123" t="inlineStr">
        <is>
          <t>VÄRMLANDS LÄN</t>
        </is>
      </c>
      <c r="E2123" t="inlineStr">
        <is>
          <t>TORSBY</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25932-2024</t>
        </is>
      </c>
      <c r="B2124" s="1" t="n">
        <v>45467.62097222222</v>
      </c>
      <c r="C2124" s="1" t="n">
        <v>46033</v>
      </c>
      <c r="D2124" t="inlineStr">
        <is>
          <t>VÄRMLANDS LÄN</t>
        </is>
      </c>
      <c r="E2124" t="inlineStr">
        <is>
          <t>TORSBY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48185-2024</t>
        </is>
      </c>
      <c r="B2125" s="1" t="n">
        <v>45589.90284722222</v>
      </c>
      <c r="C2125" s="1" t="n">
        <v>46033</v>
      </c>
      <c r="D2125" t="inlineStr">
        <is>
          <t>VÄRMLANDS LÄN</t>
        </is>
      </c>
      <c r="E2125" t="inlineStr">
        <is>
          <t>TORSBY</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38541-2023</t>
        </is>
      </c>
      <c r="B2126" s="1" t="n">
        <v>45162</v>
      </c>
      <c r="C2126" s="1" t="n">
        <v>46033</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19878-2025</t>
        </is>
      </c>
      <c r="B2127" s="1" t="n">
        <v>45771.55361111111</v>
      </c>
      <c r="C2127" s="1" t="n">
        <v>46033</v>
      </c>
      <c r="D2127" t="inlineStr">
        <is>
          <t>VÄRMLANDS LÄN</t>
        </is>
      </c>
      <c r="E2127" t="inlineStr">
        <is>
          <t>TORSBY</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2616-2025</t>
        </is>
      </c>
      <c r="B2128" s="1" t="n">
        <v>45675</v>
      </c>
      <c r="C2128" s="1" t="n">
        <v>46033</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14026-2025</t>
        </is>
      </c>
      <c r="B2129" s="1" t="n">
        <v>45740.35003472222</v>
      </c>
      <c r="C2129" s="1" t="n">
        <v>46033</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10579-2021</t>
        </is>
      </c>
      <c r="B2130" s="1" t="n">
        <v>44257</v>
      </c>
      <c r="C2130" s="1" t="n">
        <v>46033</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32747-2021</t>
        </is>
      </c>
      <c r="B2131" s="1" t="n">
        <v>44375</v>
      </c>
      <c r="C2131" s="1" t="n">
        <v>46033</v>
      </c>
      <c r="D2131" t="inlineStr">
        <is>
          <t>VÄRMLANDS LÄN</t>
        </is>
      </c>
      <c r="E2131" t="inlineStr">
        <is>
          <t>TORSBY</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9286-2025</t>
        </is>
      </c>
      <c r="B2132" s="1" t="n">
        <v>45714</v>
      </c>
      <c r="C2132" s="1" t="n">
        <v>46033</v>
      </c>
      <c r="D2132" t="inlineStr">
        <is>
          <t>VÄRMLANDS LÄN</t>
        </is>
      </c>
      <c r="E2132" t="inlineStr">
        <is>
          <t>TORSBY</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51505-2021</t>
        </is>
      </c>
      <c r="B2133" s="1" t="n">
        <v>44460</v>
      </c>
      <c r="C2133" s="1" t="n">
        <v>46033</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15052-2024</t>
        </is>
      </c>
      <c r="B2134" s="1" t="n">
        <v>45399.52613425926</v>
      </c>
      <c r="C2134" s="1" t="n">
        <v>46033</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19787-2025</t>
        </is>
      </c>
      <c r="B2135" s="1" t="n">
        <v>45771.4408912037</v>
      </c>
      <c r="C2135" s="1" t="n">
        <v>46033</v>
      </c>
      <c r="D2135" t="inlineStr">
        <is>
          <t>VÄRMLANDS LÄN</t>
        </is>
      </c>
      <c r="E2135" t="inlineStr">
        <is>
          <t>TORSBY</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49298-2024</t>
        </is>
      </c>
      <c r="B2136" s="1" t="n">
        <v>45595.54357638889</v>
      </c>
      <c r="C2136" s="1" t="n">
        <v>46033</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1040-2024</t>
        </is>
      </c>
      <c r="B2137" s="1" t="n">
        <v>45301</v>
      </c>
      <c r="C2137" s="1" t="n">
        <v>46033</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14303-2023</t>
        </is>
      </c>
      <c r="B2138" s="1" t="n">
        <v>45011.75886574074</v>
      </c>
      <c r="C2138" s="1" t="n">
        <v>46033</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21828-2024</t>
        </is>
      </c>
      <c r="B2139" s="1" t="n">
        <v>45442</v>
      </c>
      <c r="C2139" s="1" t="n">
        <v>46033</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17153-2025</t>
        </is>
      </c>
      <c r="B2140" s="1" t="n">
        <v>45756</v>
      </c>
      <c r="C2140" s="1" t="n">
        <v>46033</v>
      </c>
      <c r="D2140" t="inlineStr">
        <is>
          <t>VÄRMLANDS LÄN</t>
        </is>
      </c>
      <c r="E2140" t="inlineStr">
        <is>
          <t>TORSBY</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41671-2021</t>
        </is>
      </c>
      <c r="B2141" s="1" t="n">
        <v>44425</v>
      </c>
      <c r="C2141" s="1" t="n">
        <v>46033</v>
      </c>
      <c r="D2141" t="inlineStr">
        <is>
          <t>VÄRMLANDS LÄN</t>
        </is>
      </c>
      <c r="E2141" t="inlineStr">
        <is>
          <t>TORSBY</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13191-2025</t>
        </is>
      </c>
      <c r="B2142" s="1" t="n">
        <v>45735.40501157408</v>
      </c>
      <c r="C2142" s="1" t="n">
        <v>46033</v>
      </c>
      <c r="D2142" t="inlineStr">
        <is>
          <t>VÄRMLANDS LÄN</t>
        </is>
      </c>
      <c r="E2142" t="inlineStr">
        <is>
          <t>TORSBY</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33133-2024</t>
        </is>
      </c>
      <c r="B2143" s="1" t="n">
        <v>45518.31722222222</v>
      </c>
      <c r="C2143" s="1" t="n">
        <v>46033</v>
      </c>
      <c r="D2143" t="inlineStr">
        <is>
          <t>VÄRMLANDS LÄN</t>
        </is>
      </c>
      <c r="E2143" t="inlineStr">
        <is>
          <t>TORSBY</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14162-2025</t>
        </is>
      </c>
      <c r="B2144" s="1" t="n">
        <v>45740</v>
      </c>
      <c r="C2144" s="1" t="n">
        <v>46033</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43545-2024</t>
        </is>
      </c>
      <c r="B2145" s="1" t="n">
        <v>45569.36980324074</v>
      </c>
      <c r="C2145" s="1" t="n">
        <v>46033</v>
      </c>
      <c r="D2145" t="inlineStr">
        <is>
          <t>VÄRMLANDS LÄN</t>
        </is>
      </c>
      <c r="E2145" t="inlineStr">
        <is>
          <t>TORSBY</t>
        </is>
      </c>
      <c r="F2145" t="inlineStr">
        <is>
          <t>Bergvik skog väst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21365-2023</t>
        </is>
      </c>
      <c r="B2146" s="1" t="n">
        <v>45063.26761574074</v>
      </c>
      <c r="C2146" s="1" t="n">
        <v>46033</v>
      </c>
      <c r="D2146" t="inlineStr">
        <is>
          <t>VÄRMLANDS LÄN</t>
        </is>
      </c>
      <c r="E2146" t="inlineStr">
        <is>
          <t>TORSBY</t>
        </is>
      </c>
      <c r="F2146" t="inlineStr">
        <is>
          <t>Kyrkan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19527-2023</t>
        </is>
      </c>
      <c r="B2147" s="1" t="n">
        <v>45050</v>
      </c>
      <c r="C2147" s="1" t="n">
        <v>46033</v>
      </c>
      <c r="D2147" t="inlineStr">
        <is>
          <t>VÄRMLANDS LÄN</t>
        </is>
      </c>
      <c r="E2147" t="inlineStr">
        <is>
          <t>TORSBY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4236-2023</t>
        </is>
      </c>
      <c r="B2148" s="1" t="n">
        <v>44953.48950231481</v>
      </c>
      <c r="C2148" s="1" t="n">
        <v>46033</v>
      </c>
      <c r="D2148" t="inlineStr">
        <is>
          <t>VÄRMLANDS LÄN</t>
        </is>
      </c>
      <c r="E2148" t="inlineStr">
        <is>
          <t>TORSBY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4250-2023</t>
        </is>
      </c>
      <c r="B2149" s="1" t="n">
        <v>44953.51747685186</v>
      </c>
      <c r="C2149" s="1" t="n">
        <v>46033</v>
      </c>
      <c r="D2149" t="inlineStr">
        <is>
          <t>VÄRMLANDS LÄN</t>
        </is>
      </c>
      <c r="E2149" t="inlineStr">
        <is>
          <t>TORSBY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29256-2023</t>
        </is>
      </c>
      <c r="B2150" s="1" t="n">
        <v>45105.65310185185</v>
      </c>
      <c r="C2150" s="1" t="n">
        <v>46033</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29990-2022</t>
        </is>
      </c>
      <c r="B2151" s="1" t="n">
        <v>44756.73530092592</v>
      </c>
      <c r="C2151" s="1" t="n">
        <v>46033</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18308-2024</t>
        </is>
      </c>
      <c r="B2152" s="1" t="n">
        <v>45422</v>
      </c>
      <c r="C2152" s="1" t="n">
        <v>46033</v>
      </c>
      <c r="D2152" t="inlineStr">
        <is>
          <t>VÄRMLANDS LÄN</t>
        </is>
      </c>
      <c r="E2152" t="inlineStr">
        <is>
          <t>TORSBY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25355-2024</t>
        </is>
      </c>
      <c r="B2153" s="1" t="n">
        <v>45462.92868055555</v>
      </c>
      <c r="C2153" s="1" t="n">
        <v>46033</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12701-2024</t>
        </is>
      </c>
      <c r="B2154" s="1" t="n">
        <v>45384</v>
      </c>
      <c r="C2154" s="1" t="n">
        <v>46033</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39781-2022</t>
        </is>
      </c>
      <c r="B2155" s="1" t="n">
        <v>44819</v>
      </c>
      <c r="C2155" s="1" t="n">
        <v>46033</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45336.60763888889</v>
      </c>
      <c r="C2156" s="1" t="n">
        <v>46033</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43289-2022</t>
        </is>
      </c>
      <c r="B2157" s="1" t="n">
        <v>44834.51623842592</v>
      </c>
      <c r="C2157" s="1" t="n">
        <v>46033</v>
      </c>
      <c r="D2157" t="inlineStr">
        <is>
          <t>VÄRMLANDS LÄN</t>
        </is>
      </c>
      <c r="E2157" t="inlineStr">
        <is>
          <t>TORSBY</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4707-2023</t>
        </is>
      </c>
      <c r="B2158" s="1" t="n">
        <v>44957</v>
      </c>
      <c r="C2158" s="1" t="n">
        <v>46033</v>
      </c>
      <c r="D2158" t="inlineStr">
        <is>
          <t>VÄRMLANDS LÄN</t>
        </is>
      </c>
      <c r="E2158" t="inlineStr">
        <is>
          <t>TORSBY</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35553-2023</t>
        </is>
      </c>
      <c r="B2159" s="1" t="n">
        <v>45147</v>
      </c>
      <c r="C2159" s="1" t="n">
        <v>46033</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60272-2024</t>
        </is>
      </c>
      <c r="B2160" s="1" t="n">
        <v>45642</v>
      </c>
      <c r="C2160" s="1" t="n">
        <v>46033</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37075-2021</t>
        </is>
      </c>
      <c r="B2161" s="1" t="n">
        <v>44394</v>
      </c>
      <c r="C2161" s="1" t="n">
        <v>46033</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22565-2024</t>
        </is>
      </c>
      <c r="B2162" s="1" t="n">
        <v>45447</v>
      </c>
      <c r="C2162" s="1" t="n">
        <v>46033</v>
      </c>
      <c r="D2162" t="inlineStr">
        <is>
          <t>VÄRMLANDS LÄN</t>
        </is>
      </c>
      <c r="E2162" t="inlineStr">
        <is>
          <t>TORSBY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53460-2024</t>
        </is>
      </c>
      <c r="B2163" s="1" t="n">
        <v>45611</v>
      </c>
      <c r="C2163" s="1" t="n">
        <v>46033</v>
      </c>
      <c r="D2163" t="inlineStr">
        <is>
          <t>VÄRMLANDS LÄN</t>
        </is>
      </c>
      <c r="E2163" t="inlineStr">
        <is>
          <t>TORSBY</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46914-2024</t>
        </is>
      </c>
      <c r="B2164" s="1" t="n">
        <v>45583.7577662037</v>
      </c>
      <c r="C2164" s="1" t="n">
        <v>46033</v>
      </c>
      <c r="D2164" t="inlineStr">
        <is>
          <t>VÄRMLANDS LÄN</t>
        </is>
      </c>
      <c r="E2164" t="inlineStr">
        <is>
          <t>TORSBY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35057-2023</t>
        </is>
      </c>
      <c r="B2165" s="1" t="n">
        <v>45145.3909375</v>
      </c>
      <c r="C2165" s="1" t="n">
        <v>46033</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8012-2023</t>
        </is>
      </c>
      <c r="B2166" s="1" t="n">
        <v>44973</v>
      </c>
      <c r="C2166" s="1" t="n">
        <v>46033</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27446-2021</t>
        </is>
      </c>
      <c r="B2167" s="1" t="n">
        <v>44351</v>
      </c>
      <c r="C2167" s="1" t="n">
        <v>46033</v>
      </c>
      <c r="D2167" t="inlineStr">
        <is>
          <t>VÄRMLANDS LÄN</t>
        </is>
      </c>
      <c r="E2167" t="inlineStr">
        <is>
          <t>TORSBY</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28559-2021</t>
        </is>
      </c>
      <c r="B2168" s="1" t="n">
        <v>44356</v>
      </c>
      <c r="C2168" s="1" t="n">
        <v>46033</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21757-2024</t>
        </is>
      </c>
      <c r="B2169" s="1" t="n">
        <v>45442</v>
      </c>
      <c r="C2169" s="1" t="n">
        <v>46033</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34430-2023</t>
        </is>
      </c>
      <c r="B2170" s="1" t="n">
        <v>45139.62216435185</v>
      </c>
      <c r="C2170" s="1" t="n">
        <v>46033</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43988-2024</t>
        </is>
      </c>
      <c r="B2171" s="1" t="n">
        <v>45572</v>
      </c>
      <c r="C2171" s="1" t="n">
        <v>46033</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18331-2025</t>
        </is>
      </c>
      <c r="B2172" s="1" t="n">
        <v>45762</v>
      </c>
      <c r="C2172" s="1" t="n">
        <v>46033</v>
      </c>
      <c r="D2172" t="inlineStr">
        <is>
          <t>VÄRMLANDS LÄN</t>
        </is>
      </c>
      <c r="E2172" t="inlineStr">
        <is>
          <t>TORSBY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47271-2021</t>
        </is>
      </c>
      <c r="B2173" s="1" t="n">
        <v>44447</v>
      </c>
      <c r="C2173" s="1" t="n">
        <v>46033</v>
      </c>
      <c r="D2173" t="inlineStr">
        <is>
          <t>VÄRMLANDS LÄN</t>
        </is>
      </c>
      <c r="E2173" t="inlineStr">
        <is>
          <t>TORSBY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50680-2023</t>
        </is>
      </c>
      <c r="B2174" s="1" t="n">
        <v>45217.5165625</v>
      </c>
      <c r="C2174" s="1" t="n">
        <v>46033</v>
      </c>
      <c r="D2174" t="inlineStr">
        <is>
          <t>VÄRMLANDS LÄN</t>
        </is>
      </c>
      <c r="E2174" t="inlineStr">
        <is>
          <t>TORSBY</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21409-2023</t>
        </is>
      </c>
      <c r="B2175" s="1" t="n">
        <v>45063</v>
      </c>
      <c r="C2175" s="1" t="n">
        <v>46033</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15939-2021</t>
        </is>
      </c>
      <c r="B2176" s="1" t="n">
        <v>44287</v>
      </c>
      <c r="C2176" s="1" t="n">
        <v>46033</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14025-2025</t>
        </is>
      </c>
      <c r="B2177" s="1" t="n">
        <v>45740</v>
      </c>
      <c r="C2177" s="1" t="n">
        <v>46033</v>
      </c>
      <c r="D2177" t="inlineStr">
        <is>
          <t>VÄRMLANDS LÄN</t>
        </is>
      </c>
      <c r="E2177" t="inlineStr">
        <is>
          <t>TORSBY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42945-2024</t>
        </is>
      </c>
      <c r="B2178" s="1" t="n">
        <v>45567</v>
      </c>
      <c r="C2178" s="1" t="n">
        <v>46033</v>
      </c>
      <c r="D2178" t="inlineStr">
        <is>
          <t>VÄRMLANDS LÄN</t>
        </is>
      </c>
      <c r="E2178" t="inlineStr">
        <is>
          <t>TORSBY</t>
        </is>
      </c>
      <c r="F2178" t="inlineStr">
        <is>
          <t>Bergvik skog väst AB</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20725-2024</t>
        </is>
      </c>
      <c r="B2179" s="1" t="n">
        <v>45436.65284722222</v>
      </c>
      <c r="C2179" s="1" t="n">
        <v>46033</v>
      </c>
      <c r="D2179" t="inlineStr">
        <is>
          <t>VÄRMLANDS LÄN</t>
        </is>
      </c>
      <c r="E2179" t="inlineStr">
        <is>
          <t>TORSBY</t>
        </is>
      </c>
      <c r="F2179" t="inlineStr">
        <is>
          <t>Bergvik skog väst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20461-2025</t>
        </is>
      </c>
      <c r="B2180" s="1" t="n">
        <v>45775.53158564815</v>
      </c>
      <c r="C2180" s="1" t="n">
        <v>46033</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11153-2024</t>
        </is>
      </c>
      <c r="B2181" s="1" t="n">
        <v>45371.4759837963</v>
      </c>
      <c r="C2181" s="1" t="n">
        <v>46033</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11211-2024</t>
        </is>
      </c>
      <c r="B2182" s="1" t="n">
        <v>45371</v>
      </c>
      <c r="C2182" s="1" t="n">
        <v>46033</v>
      </c>
      <c r="D2182" t="inlineStr">
        <is>
          <t>VÄRMLANDS LÄN</t>
        </is>
      </c>
      <c r="E2182" t="inlineStr">
        <is>
          <t>TORSBY</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31547-2023</t>
        </is>
      </c>
      <c r="B2183" s="1" t="n">
        <v>45117</v>
      </c>
      <c r="C2183" s="1" t="n">
        <v>46033</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22301-2023</t>
        </is>
      </c>
      <c r="B2184" s="1" t="n">
        <v>45070</v>
      </c>
      <c r="C2184" s="1" t="n">
        <v>46033</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14709-2023</t>
        </is>
      </c>
      <c r="B2185" s="1" t="n">
        <v>45014.41900462963</v>
      </c>
      <c r="C2185" s="1" t="n">
        <v>46033</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19489-2022</t>
        </is>
      </c>
      <c r="B2186" s="1" t="n">
        <v>44693</v>
      </c>
      <c r="C2186" s="1" t="n">
        <v>46033</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36558-2024</t>
        </is>
      </c>
      <c r="B2187" s="1" t="n">
        <v>45537</v>
      </c>
      <c r="C2187" s="1" t="n">
        <v>46033</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11581-2025</t>
        </is>
      </c>
      <c r="B2188" s="1" t="n">
        <v>45727</v>
      </c>
      <c r="C2188" s="1" t="n">
        <v>46033</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23073-2023</t>
        </is>
      </c>
      <c r="B2189" s="1" t="n">
        <v>45070</v>
      </c>
      <c r="C2189" s="1" t="n">
        <v>46033</v>
      </c>
      <c r="D2189" t="inlineStr">
        <is>
          <t>VÄRMLANDS LÄN</t>
        </is>
      </c>
      <c r="E2189" t="inlineStr">
        <is>
          <t>TORSBY</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63083-2023</t>
        </is>
      </c>
      <c r="B2190" s="1" t="n">
        <v>45273.348125</v>
      </c>
      <c r="C2190" s="1" t="n">
        <v>46033</v>
      </c>
      <c r="D2190" t="inlineStr">
        <is>
          <t>VÄRMLANDS LÄN</t>
        </is>
      </c>
      <c r="E2190" t="inlineStr">
        <is>
          <t>TORSBY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54004-2024</t>
        </is>
      </c>
      <c r="B2191" s="1" t="n">
        <v>45616.36659722222</v>
      </c>
      <c r="C2191" s="1" t="n">
        <v>46033</v>
      </c>
      <c r="D2191" t="inlineStr">
        <is>
          <t>VÄRMLANDS LÄN</t>
        </is>
      </c>
      <c r="E2191" t="inlineStr">
        <is>
          <t>TORSBY</t>
        </is>
      </c>
      <c r="F2191" t="inlineStr">
        <is>
          <t>Kommuner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33862-2024</t>
        </is>
      </c>
      <c r="B2192" s="1" t="n">
        <v>45520.69163194444</v>
      </c>
      <c r="C2192" s="1" t="n">
        <v>46033</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57536-2024</t>
        </is>
      </c>
      <c r="B2193" s="1" t="n">
        <v>45630.43023148148</v>
      </c>
      <c r="C2193" s="1" t="n">
        <v>46033</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26086-2024</t>
        </is>
      </c>
      <c r="B2194" s="1" t="n">
        <v>45468</v>
      </c>
      <c r="C2194" s="1" t="n">
        <v>46033</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22536-2024</t>
        </is>
      </c>
      <c r="B2195" s="1" t="n">
        <v>45447</v>
      </c>
      <c r="C2195" s="1" t="n">
        <v>46033</v>
      </c>
      <c r="D2195" t="inlineStr">
        <is>
          <t>VÄRMLANDS LÄN</t>
        </is>
      </c>
      <c r="E2195" t="inlineStr">
        <is>
          <t>TORSBY</t>
        </is>
      </c>
      <c r="G2195" t="n">
        <v>25.2</v>
      </c>
      <c r="H2195" t="n">
        <v>0</v>
      </c>
      <c r="I2195" t="n">
        <v>0</v>
      </c>
      <c r="J2195" t="n">
        <v>0</v>
      </c>
      <c r="K2195" t="n">
        <v>0</v>
      </c>
      <c r="L2195" t="n">
        <v>0</v>
      </c>
      <c r="M2195" t="n">
        <v>0</v>
      </c>
      <c r="N2195" t="n">
        <v>0</v>
      </c>
      <c r="O2195" t="n">
        <v>0</v>
      </c>
      <c r="P2195" t="n">
        <v>0</v>
      </c>
      <c r="Q2195" t="n">
        <v>0</v>
      </c>
      <c r="R2195" s="2" t="inlineStr"/>
    </row>
    <row r="2196" ht="15" customHeight="1">
      <c r="A2196" t="inlineStr">
        <is>
          <t>A 62574-2022</t>
        </is>
      </c>
      <c r="B2196" s="1" t="n">
        <v>44924.85943287037</v>
      </c>
      <c r="C2196" s="1" t="n">
        <v>46033</v>
      </c>
      <c r="D2196" t="inlineStr">
        <is>
          <t>VÄRMLANDS LÄN</t>
        </is>
      </c>
      <c r="E2196" t="inlineStr">
        <is>
          <t>TORSBY</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59005-2024</t>
        </is>
      </c>
      <c r="B2197" s="1" t="n">
        <v>45636.65234953703</v>
      </c>
      <c r="C2197" s="1" t="n">
        <v>46033</v>
      </c>
      <c r="D2197" t="inlineStr">
        <is>
          <t>VÄRMLANDS LÄN</t>
        </is>
      </c>
      <c r="E2197" t="inlineStr">
        <is>
          <t>TORSBY</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21580-2024</t>
        </is>
      </c>
      <c r="B2198" s="1" t="n">
        <v>45441</v>
      </c>
      <c r="C2198" s="1" t="n">
        <v>46033</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45587-2023</t>
        </is>
      </c>
      <c r="B2199" s="1" t="n">
        <v>45194.62877314815</v>
      </c>
      <c r="C2199" s="1" t="n">
        <v>46033</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20393-2023</t>
        </is>
      </c>
      <c r="B2200" s="1" t="n">
        <v>45056</v>
      </c>
      <c r="C2200" s="1" t="n">
        <v>46033</v>
      </c>
      <c r="D2200" t="inlineStr">
        <is>
          <t>VÄRMLANDS LÄN</t>
        </is>
      </c>
      <c r="E2200" t="inlineStr">
        <is>
          <t>TORSBY</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14917-2023</t>
        </is>
      </c>
      <c r="B2201" s="1" t="n">
        <v>45015.39938657408</v>
      </c>
      <c r="C2201" s="1" t="n">
        <v>46033</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19614-2022</t>
        </is>
      </c>
      <c r="B2202" s="1" t="n">
        <v>44694</v>
      </c>
      <c r="C2202" s="1" t="n">
        <v>46033</v>
      </c>
      <c r="D2202" t="inlineStr">
        <is>
          <t>VÄRMLANDS LÄN</t>
        </is>
      </c>
      <c r="E2202" t="inlineStr">
        <is>
          <t>TORSBY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1547-2024</t>
        </is>
      </c>
      <c r="B2203" s="1" t="n">
        <v>45306.48456018518</v>
      </c>
      <c r="C2203" s="1" t="n">
        <v>46033</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11842-2025</t>
        </is>
      </c>
      <c r="B2204" s="1" t="n">
        <v>45728.36950231482</v>
      </c>
      <c r="C2204" s="1" t="n">
        <v>46033</v>
      </c>
      <c r="D2204" t="inlineStr">
        <is>
          <t>VÄRMLANDS LÄN</t>
        </is>
      </c>
      <c r="E2204" t="inlineStr">
        <is>
          <t>TORSBY</t>
        </is>
      </c>
      <c r="F2204" t="inlineStr">
        <is>
          <t>Bergvik skog väst AB</t>
        </is>
      </c>
      <c r="G2204" t="n">
        <v>32.1</v>
      </c>
      <c r="H2204" t="n">
        <v>0</v>
      </c>
      <c r="I2204" t="n">
        <v>0</v>
      </c>
      <c r="J2204" t="n">
        <v>0</v>
      </c>
      <c r="K2204" t="n">
        <v>0</v>
      </c>
      <c r="L2204" t="n">
        <v>0</v>
      </c>
      <c r="M2204" t="n">
        <v>0</v>
      </c>
      <c r="N2204" t="n">
        <v>0</v>
      </c>
      <c r="O2204" t="n">
        <v>0</v>
      </c>
      <c r="P2204" t="n">
        <v>0</v>
      </c>
      <c r="Q2204" t="n">
        <v>0</v>
      </c>
      <c r="R2204" s="2" t="inlineStr"/>
    </row>
    <row r="2205" ht="15" customHeight="1">
      <c r="A2205" t="inlineStr">
        <is>
          <t>A 34968-2024</t>
        </is>
      </c>
      <c r="B2205" s="1" t="n">
        <v>45527.49986111111</v>
      </c>
      <c r="C2205" s="1" t="n">
        <v>46033</v>
      </c>
      <c r="D2205" t="inlineStr">
        <is>
          <t>VÄRMLANDS LÄN</t>
        </is>
      </c>
      <c r="E2205" t="inlineStr">
        <is>
          <t>TORSBY</t>
        </is>
      </c>
      <c r="F2205" t="inlineStr">
        <is>
          <t>Bergvik skog väst AB</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22705-2023</t>
        </is>
      </c>
      <c r="B2206" s="1" t="n">
        <v>45071</v>
      </c>
      <c r="C2206" s="1" t="n">
        <v>46033</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61206-2024</t>
        </is>
      </c>
      <c r="B2207" s="1" t="n">
        <v>45645.64626157407</v>
      </c>
      <c r="C2207" s="1" t="n">
        <v>46033</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59781-2023</t>
        </is>
      </c>
      <c r="B2208" s="1" t="n">
        <v>45257.44043981482</v>
      </c>
      <c r="C2208" s="1" t="n">
        <v>46033</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20843-2025</t>
        </is>
      </c>
      <c r="B2209" s="1" t="n">
        <v>45776.9233912037</v>
      </c>
      <c r="C2209" s="1" t="n">
        <v>46033</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20816-2025</t>
        </is>
      </c>
      <c r="B2210" s="1" t="n">
        <v>45776</v>
      </c>
      <c r="C2210" s="1" t="n">
        <v>46033</v>
      </c>
      <c r="D2210" t="inlineStr">
        <is>
          <t>VÄRMLANDS LÄN</t>
        </is>
      </c>
      <c r="E2210" t="inlineStr">
        <is>
          <t>TORSBY</t>
        </is>
      </c>
      <c r="F2210" t="inlineStr">
        <is>
          <t>Bergvik skog väst AB</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20740-2025</t>
        </is>
      </c>
      <c r="B2211" s="1" t="n">
        <v>45776.54284722222</v>
      </c>
      <c r="C2211" s="1" t="n">
        <v>46033</v>
      </c>
      <c r="D2211" t="inlineStr">
        <is>
          <t>VÄRMLANDS LÄN</t>
        </is>
      </c>
      <c r="E2211" t="inlineStr">
        <is>
          <t>TORSBY</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20914-2025</t>
        </is>
      </c>
      <c r="B2212" s="1" t="n">
        <v>45777</v>
      </c>
      <c r="C2212" s="1" t="n">
        <v>46033</v>
      </c>
      <c r="D2212" t="inlineStr">
        <is>
          <t>VÄRMLANDS LÄN</t>
        </is>
      </c>
      <c r="E2212" t="inlineStr">
        <is>
          <t>TORSBY</t>
        </is>
      </c>
      <c r="F2212" t="inlineStr">
        <is>
          <t>Bergvik skog väst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20773-2025</t>
        </is>
      </c>
      <c r="B2213" s="1" t="n">
        <v>45776.59321759259</v>
      </c>
      <c r="C2213" s="1" t="n">
        <v>46033</v>
      </c>
      <c r="D2213" t="inlineStr">
        <is>
          <t>VÄRMLANDS LÄN</t>
        </is>
      </c>
      <c r="E2213" t="inlineStr">
        <is>
          <t>TORSBY</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21274-2025</t>
        </is>
      </c>
      <c r="B2214" s="1" t="n">
        <v>45779.62877314815</v>
      </c>
      <c r="C2214" s="1" t="n">
        <v>46033</v>
      </c>
      <c r="D2214" t="inlineStr">
        <is>
          <t>VÄRMLANDS LÄN</t>
        </is>
      </c>
      <c r="E2214" t="inlineStr">
        <is>
          <t>TORSBY</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21462-2025</t>
        </is>
      </c>
      <c r="B2215" s="1" t="n">
        <v>45782.56770833334</v>
      </c>
      <c r="C2215" s="1" t="n">
        <v>46033</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52057-2024</t>
        </is>
      </c>
      <c r="B2216" s="1" t="n">
        <v>45608</v>
      </c>
      <c r="C2216" s="1" t="n">
        <v>46033</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c r="A2217" t="inlineStr">
        <is>
          <t>A 21808-2025</t>
        </is>
      </c>
      <c r="B2217" s="1" t="n">
        <v>45783.70846064815</v>
      </c>
      <c r="C2217" s="1" t="n">
        <v>46033</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2026-01-11T10:53:37Z</dcterms:created>
  <dcterms:modified xmlns:dcterms="http://purl.org/dc/terms/" xmlns:xsi="http://www.w3.org/2001/XMLSchema-instance" xsi:type="dcterms:W3CDTF">2026-01-11T10:53:39Z</dcterms:modified>
</cp:coreProperties>
</file>