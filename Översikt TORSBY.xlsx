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45627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45627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45627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45627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45627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45627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45627</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45627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45627</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45627</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45627</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45627</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45627</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45627</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45627</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45627</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45627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45627</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45627</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45627</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45627</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45627</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45627</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45627</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45627</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45627</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45627</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45627</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45627</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45627</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45627</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45627</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45627</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45627</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45627</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45627</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45627</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45627</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45627</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45627</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45627</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45627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45627</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45627</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45627</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45627</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45627</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45627</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45627</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45627</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45627</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45627</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45627</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45627</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45627</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45627</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45627</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45627</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45627</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45627</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45627</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45627</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45627</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45627</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45627</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45627</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45627</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45627</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45627</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45627</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45627</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45627</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45627</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45627</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45627</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45627</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45627</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45627</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45627</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45627</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45627</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45627</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45627</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45627</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45627</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45627</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45627</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45627</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45627</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45627</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45627</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45627</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45627</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45627</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45627</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45627</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45627</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45627</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45627</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45627</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45627</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45627</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45627</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45627</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45627</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45627</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45627</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45627</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45627</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45627</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45627</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45627</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45627</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45627</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45627</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45627</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45627</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45627</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45627</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45627</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45627</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45627</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45627</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45627</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45627</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45627</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45627</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45627</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45627</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45627</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45627</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45627</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45627</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45627</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45627</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45627</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45627</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45627</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45627</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45627</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45627</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45627</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45627</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45627</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45627</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45627</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45627</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45627</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45627</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45627</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45627</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45627</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45627</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45627</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45627</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45627</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54009-2024</t>
        </is>
      </c>
      <c r="B159" s="1" t="n">
        <v>45616</v>
      </c>
      <c r="C159" s="1" t="n">
        <v>45627</v>
      </c>
      <c r="D159" t="inlineStr">
        <is>
          <t>VÄRMLANDS LÄN</t>
        </is>
      </c>
      <c r="E159" t="inlineStr">
        <is>
          <t>TORSBY</t>
        </is>
      </c>
      <c r="F159" t="inlineStr">
        <is>
          <t>Bergvik skog väst AB</t>
        </is>
      </c>
      <c r="G159" t="n">
        <v>8.800000000000001</v>
      </c>
      <c r="H159" t="n">
        <v>1</v>
      </c>
      <c r="I159" t="n">
        <v>1</v>
      </c>
      <c r="J159" t="n">
        <v>0</v>
      </c>
      <c r="K159" t="n">
        <v>0</v>
      </c>
      <c r="L159" t="n">
        <v>0</v>
      </c>
      <c r="M159" t="n">
        <v>0</v>
      </c>
      <c r="N159" t="n">
        <v>0</v>
      </c>
      <c r="O159" t="n">
        <v>0</v>
      </c>
      <c r="P159" t="n">
        <v>0</v>
      </c>
      <c r="Q159" t="n">
        <v>1</v>
      </c>
      <c r="R159" s="2" t="inlineStr">
        <is>
          <t>Korallrot</t>
        </is>
      </c>
      <c r="S159">
        <f>HYPERLINK("https://klasma.github.io/Logging_1737/artfynd/A 54009-2024 artfynd.xlsx", "A 54009-2024")</f>
        <v/>
      </c>
      <c r="T159">
        <f>HYPERLINK("https://klasma.github.io/Logging_1737/kartor/A 54009-2024 karta.png", "A 54009-2024")</f>
        <v/>
      </c>
      <c r="V159">
        <f>HYPERLINK("https://klasma.github.io/Logging_1737/klagomål/A 54009-2024 FSC-klagomål.docx", "A 54009-2024")</f>
        <v/>
      </c>
      <c r="W159">
        <f>HYPERLINK("https://klasma.github.io/Logging_1737/klagomålsmail/A 54009-2024 FSC-klagomål mail.docx", "A 54009-2024")</f>
        <v/>
      </c>
      <c r="X159">
        <f>HYPERLINK("https://klasma.github.io/Logging_1737/tillsyn/A 54009-2024 tillsynsbegäran.docx", "A 54009-2024")</f>
        <v/>
      </c>
      <c r="Y159">
        <f>HYPERLINK("https://klasma.github.io/Logging_1737/tillsynsmail/A 54009-2024 tillsynsbegäran mail.docx", "A 54009-2024")</f>
        <v/>
      </c>
    </row>
    <row r="160" ht="15" customHeight="1">
      <c r="A160" t="inlineStr">
        <is>
          <t>A 54029-2024</t>
        </is>
      </c>
      <c r="B160" s="1" t="n">
        <v>45616</v>
      </c>
      <c r="C160" s="1" t="n">
        <v>45627</v>
      </c>
      <c r="D160" t="inlineStr">
        <is>
          <t>VÄRMLANDS LÄN</t>
        </is>
      </c>
      <c r="E160" t="inlineStr">
        <is>
          <t>TORSBY</t>
        </is>
      </c>
      <c r="G160" t="n">
        <v>10.2</v>
      </c>
      <c r="H160" t="n">
        <v>0</v>
      </c>
      <c r="I160" t="n">
        <v>1</v>
      </c>
      <c r="J160" t="n">
        <v>0</v>
      </c>
      <c r="K160" t="n">
        <v>0</v>
      </c>
      <c r="L160" t="n">
        <v>0</v>
      </c>
      <c r="M160" t="n">
        <v>0</v>
      </c>
      <c r="N160" t="n">
        <v>0</v>
      </c>
      <c r="O160" t="n">
        <v>0</v>
      </c>
      <c r="P160" t="n">
        <v>0</v>
      </c>
      <c r="Q160" t="n">
        <v>1</v>
      </c>
      <c r="R160" s="2" t="inlineStr">
        <is>
          <t>Vedticka</t>
        </is>
      </c>
      <c r="S160">
        <f>HYPERLINK("https://klasma.github.io/Logging_1737/artfynd/A 54029-2024 artfynd.xlsx", "A 54029-2024")</f>
        <v/>
      </c>
      <c r="T160">
        <f>HYPERLINK("https://klasma.github.io/Logging_1737/kartor/A 54029-2024 karta.png", "A 54029-2024")</f>
        <v/>
      </c>
      <c r="V160">
        <f>HYPERLINK("https://klasma.github.io/Logging_1737/klagomål/A 54029-2024 FSC-klagomål.docx", "A 54029-2024")</f>
        <v/>
      </c>
      <c r="W160">
        <f>HYPERLINK("https://klasma.github.io/Logging_1737/klagomålsmail/A 54029-2024 FSC-klagomål mail.docx", "A 54029-2024")</f>
        <v/>
      </c>
      <c r="X160">
        <f>HYPERLINK("https://klasma.github.io/Logging_1737/tillsyn/A 54029-2024 tillsynsbegäran.docx", "A 54029-2024")</f>
        <v/>
      </c>
      <c r="Y160">
        <f>HYPERLINK("https://klasma.github.io/Logging_1737/tillsynsmail/A 54029-2024 tillsynsbegäran mail.docx", "A 54029-2024")</f>
        <v/>
      </c>
    </row>
    <row r="161" ht="15" customHeight="1">
      <c r="A161" t="inlineStr">
        <is>
          <t>A 54786-2024</t>
        </is>
      </c>
      <c r="B161" s="1" t="n">
        <v>45618</v>
      </c>
      <c r="C161" s="1" t="n">
        <v>45627</v>
      </c>
      <c r="D161" t="inlineStr">
        <is>
          <t>VÄRMLANDS LÄN</t>
        </is>
      </c>
      <c r="E161" t="inlineStr">
        <is>
          <t>TORSBY</t>
        </is>
      </c>
      <c r="G161" t="n">
        <v>3.8</v>
      </c>
      <c r="H161" t="n">
        <v>0</v>
      </c>
      <c r="I161" t="n">
        <v>0</v>
      </c>
      <c r="J161" t="n">
        <v>1</v>
      </c>
      <c r="K161" t="n">
        <v>0</v>
      </c>
      <c r="L161" t="n">
        <v>0</v>
      </c>
      <c r="M161" t="n">
        <v>0</v>
      </c>
      <c r="N161" t="n">
        <v>0</v>
      </c>
      <c r="O161" t="n">
        <v>1</v>
      </c>
      <c r="P161" t="n">
        <v>0</v>
      </c>
      <c r="Q161" t="n">
        <v>1</v>
      </c>
      <c r="R161" s="2" t="inlineStr">
        <is>
          <t>Dvärgbägarlav</t>
        </is>
      </c>
      <c r="S161">
        <f>HYPERLINK("https://klasma.github.io/Logging_1737/artfynd/A 54786-2024 artfynd.xlsx", "A 54786-2024")</f>
        <v/>
      </c>
      <c r="T161">
        <f>HYPERLINK("https://klasma.github.io/Logging_1737/kartor/A 54786-2024 karta.png", "A 54786-2024")</f>
        <v/>
      </c>
      <c r="V161">
        <f>HYPERLINK("https://klasma.github.io/Logging_1737/klagomål/A 54786-2024 FSC-klagomål.docx", "A 54786-2024")</f>
        <v/>
      </c>
      <c r="W161">
        <f>HYPERLINK("https://klasma.github.io/Logging_1737/klagomålsmail/A 54786-2024 FSC-klagomål mail.docx", "A 54786-2024")</f>
        <v/>
      </c>
      <c r="X161">
        <f>HYPERLINK("https://klasma.github.io/Logging_1737/tillsyn/A 54786-2024 tillsynsbegäran.docx", "A 54786-2024")</f>
        <v/>
      </c>
      <c r="Y161">
        <f>HYPERLINK("https://klasma.github.io/Logging_1737/tillsynsmail/A 54786-2024 tillsynsbegäran mail.docx", "A 54786-2024")</f>
        <v/>
      </c>
    </row>
    <row r="162" ht="15" customHeight="1">
      <c r="A162" t="inlineStr">
        <is>
          <t>A 54788-2024</t>
        </is>
      </c>
      <c r="B162" s="1" t="n">
        <v>45618</v>
      </c>
      <c r="C162" s="1" t="n">
        <v>45627</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56133-2024</t>
        </is>
      </c>
      <c r="B163" s="1" t="n">
        <v>45624</v>
      </c>
      <c r="C163" s="1" t="n">
        <v>45627</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17808-2019</t>
        </is>
      </c>
      <c r="B164" s="1" t="n">
        <v>43556</v>
      </c>
      <c r="C164" s="1" t="n">
        <v>45627</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17788-2019</t>
        </is>
      </c>
      <c r="B165" s="1" t="n">
        <v>43556</v>
      </c>
      <c r="C165" s="1" t="n">
        <v>45627</v>
      </c>
      <c r="D165" t="inlineStr">
        <is>
          <t>VÄRMLANDS LÄN</t>
        </is>
      </c>
      <c r="E165" t="inlineStr">
        <is>
          <t>TORSBY</t>
        </is>
      </c>
      <c r="G165" t="n">
        <v>2.3</v>
      </c>
      <c r="H165" t="n">
        <v>0</v>
      </c>
      <c r="I165" t="n">
        <v>0</v>
      </c>
      <c r="J165" t="n">
        <v>0</v>
      </c>
      <c r="K165" t="n">
        <v>0</v>
      </c>
      <c r="L165" t="n">
        <v>0</v>
      </c>
      <c r="M165" t="n">
        <v>0</v>
      </c>
      <c r="N165" t="n">
        <v>0</v>
      </c>
      <c r="O165" t="n">
        <v>0</v>
      </c>
      <c r="P165" t="n">
        <v>0</v>
      </c>
      <c r="Q165" t="n">
        <v>0</v>
      </c>
      <c r="R165" s="2" t="inlineStr"/>
    </row>
    <row r="166" ht="15" customHeight="1">
      <c r="A166" t="inlineStr">
        <is>
          <t>A 17957-2019</t>
        </is>
      </c>
      <c r="B166" s="1" t="n">
        <v>43557</v>
      </c>
      <c r="C166" s="1" t="n">
        <v>45627</v>
      </c>
      <c r="D166" t="inlineStr">
        <is>
          <t>VÄRMLANDS LÄN</t>
        </is>
      </c>
      <c r="E166" t="inlineStr">
        <is>
          <t>TORSBY</t>
        </is>
      </c>
      <c r="G166" t="n">
        <v>1.6</v>
      </c>
      <c r="H166" t="n">
        <v>0</v>
      </c>
      <c r="I166" t="n">
        <v>0</v>
      </c>
      <c r="J166" t="n">
        <v>0</v>
      </c>
      <c r="K166" t="n">
        <v>0</v>
      </c>
      <c r="L166" t="n">
        <v>0</v>
      </c>
      <c r="M166" t="n">
        <v>0</v>
      </c>
      <c r="N166" t="n">
        <v>0</v>
      </c>
      <c r="O166" t="n">
        <v>0</v>
      </c>
      <c r="P166" t="n">
        <v>0</v>
      </c>
      <c r="Q166" t="n">
        <v>0</v>
      </c>
      <c r="R166" s="2" t="inlineStr"/>
    </row>
    <row r="167" ht="15" customHeight="1">
      <c r="A167" t="inlineStr">
        <is>
          <t>A 17864-2019</t>
        </is>
      </c>
      <c r="B167" s="1" t="n">
        <v>43557</v>
      </c>
      <c r="C167" s="1" t="n">
        <v>45627</v>
      </c>
      <c r="D167" t="inlineStr">
        <is>
          <t>VÄRMLANDS LÄN</t>
        </is>
      </c>
      <c r="E167" t="inlineStr">
        <is>
          <t>TORSBY</t>
        </is>
      </c>
      <c r="G167" t="n">
        <v>1.4</v>
      </c>
      <c r="H167" t="n">
        <v>0</v>
      </c>
      <c r="I167" t="n">
        <v>0</v>
      </c>
      <c r="J167" t="n">
        <v>0</v>
      </c>
      <c r="K167" t="n">
        <v>0</v>
      </c>
      <c r="L167" t="n">
        <v>0</v>
      </c>
      <c r="M167" t="n">
        <v>0</v>
      </c>
      <c r="N167" t="n">
        <v>0</v>
      </c>
      <c r="O167" t="n">
        <v>0</v>
      </c>
      <c r="P167" t="n">
        <v>0</v>
      </c>
      <c r="Q167" t="n">
        <v>0</v>
      </c>
      <c r="R167" s="2" t="inlineStr"/>
    </row>
    <row r="168" ht="15" customHeight="1">
      <c r="A168" t="inlineStr">
        <is>
          <t>A 18551-2019</t>
        </is>
      </c>
      <c r="B168" s="1" t="n">
        <v>43559</v>
      </c>
      <c r="C168" s="1" t="n">
        <v>45627</v>
      </c>
      <c r="D168" t="inlineStr">
        <is>
          <t>VÄRMLANDS LÄN</t>
        </is>
      </c>
      <c r="E168" t="inlineStr">
        <is>
          <t>TORSBY</t>
        </is>
      </c>
      <c r="G168" t="n">
        <v>1.5</v>
      </c>
      <c r="H168" t="n">
        <v>0</v>
      </c>
      <c r="I168" t="n">
        <v>0</v>
      </c>
      <c r="J168" t="n">
        <v>0</v>
      </c>
      <c r="K168" t="n">
        <v>0</v>
      </c>
      <c r="L168" t="n">
        <v>0</v>
      </c>
      <c r="M168" t="n">
        <v>0</v>
      </c>
      <c r="N168" t="n">
        <v>0</v>
      </c>
      <c r="O168" t="n">
        <v>0</v>
      </c>
      <c r="P168" t="n">
        <v>0</v>
      </c>
      <c r="Q168" t="n">
        <v>0</v>
      </c>
      <c r="R168" s="2" t="inlineStr"/>
    </row>
    <row r="169" ht="15" customHeight="1">
      <c r="A169" t="inlineStr">
        <is>
          <t>A 18947-2019</t>
        </is>
      </c>
      <c r="B169" s="1" t="n">
        <v>43563</v>
      </c>
      <c r="C169" s="1" t="n">
        <v>45627</v>
      </c>
      <c r="D169" t="inlineStr">
        <is>
          <t>VÄRMLANDS LÄN</t>
        </is>
      </c>
      <c r="E169" t="inlineStr">
        <is>
          <t>TORSBY</t>
        </is>
      </c>
      <c r="G169" t="n">
        <v>7.6</v>
      </c>
      <c r="H169" t="n">
        <v>0</v>
      </c>
      <c r="I169" t="n">
        <v>0</v>
      </c>
      <c r="J169" t="n">
        <v>0</v>
      </c>
      <c r="K169" t="n">
        <v>0</v>
      </c>
      <c r="L169" t="n">
        <v>0</v>
      </c>
      <c r="M169" t="n">
        <v>0</v>
      </c>
      <c r="N169" t="n">
        <v>0</v>
      </c>
      <c r="O169" t="n">
        <v>0</v>
      </c>
      <c r="P169" t="n">
        <v>0</v>
      </c>
      <c r="Q169" t="n">
        <v>0</v>
      </c>
      <c r="R169" s="2" t="inlineStr"/>
    </row>
    <row r="170" ht="15" customHeight="1">
      <c r="A170" t="inlineStr">
        <is>
          <t>A 19974-2019</t>
        </is>
      </c>
      <c r="B170" s="1" t="n">
        <v>43564</v>
      </c>
      <c r="C170" s="1" t="n">
        <v>45627</v>
      </c>
      <c r="D170" t="inlineStr">
        <is>
          <t>VÄRMLANDS LÄN</t>
        </is>
      </c>
      <c r="E170" t="inlineStr">
        <is>
          <t>TORSBY</t>
        </is>
      </c>
      <c r="G170" t="n">
        <v>5.1</v>
      </c>
      <c r="H170" t="n">
        <v>0</v>
      </c>
      <c r="I170" t="n">
        <v>0</v>
      </c>
      <c r="J170" t="n">
        <v>0</v>
      </c>
      <c r="K170" t="n">
        <v>0</v>
      </c>
      <c r="L170" t="n">
        <v>0</v>
      </c>
      <c r="M170" t="n">
        <v>0</v>
      </c>
      <c r="N170" t="n">
        <v>0</v>
      </c>
      <c r="O170" t="n">
        <v>0</v>
      </c>
      <c r="P170" t="n">
        <v>0</v>
      </c>
      <c r="Q170" t="n">
        <v>0</v>
      </c>
      <c r="R170" s="2" t="inlineStr"/>
    </row>
    <row r="171" ht="15" customHeight="1">
      <c r="A171" t="inlineStr">
        <is>
          <t>A 19125-2019</t>
        </is>
      </c>
      <c r="B171" s="1" t="n">
        <v>43564</v>
      </c>
      <c r="C171" s="1" t="n">
        <v>45627</v>
      </c>
      <c r="D171" t="inlineStr">
        <is>
          <t>VÄRMLANDS LÄN</t>
        </is>
      </c>
      <c r="E171" t="inlineStr">
        <is>
          <t>TORSBY</t>
        </is>
      </c>
      <c r="G171" t="n">
        <v>18.3</v>
      </c>
      <c r="H171" t="n">
        <v>0</v>
      </c>
      <c r="I171" t="n">
        <v>0</v>
      </c>
      <c r="J171" t="n">
        <v>0</v>
      </c>
      <c r="K171" t="n">
        <v>0</v>
      </c>
      <c r="L171" t="n">
        <v>0</v>
      </c>
      <c r="M171" t="n">
        <v>0</v>
      </c>
      <c r="N171" t="n">
        <v>0</v>
      </c>
      <c r="O171" t="n">
        <v>0</v>
      </c>
      <c r="P171" t="n">
        <v>0</v>
      </c>
      <c r="Q171" t="n">
        <v>0</v>
      </c>
      <c r="R171" s="2" t="inlineStr"/>
    </row>
    <row r="172" ht="15" customHeight="1">
      <c r="A172" t="inlineStr">
        <is>
          <t>A 19591-2019</t>
        </is>
      </c>
      <c r="B172" s="1" t="n">
        <v>43566</v>
      </c>
      <c r="C172" s="1" t="n">
        <v>45627</v>
      </c>
      <c r="D172" t="inlineStr">
        <is>
          <t>VÄRMLANDS LÄN</t>
        </is>
      </c>
      <c r="E172" t="inlineStr">
        <is>
          <t>TORSBY</t>
        </is>
      </c>
      <c r="G172" t="n">
        <v>0.9</v>
      </c>
      <c r="H172" t="n">
        <v>0</v>
      </c>
      <c r="I172" t="n">
        <v>0</v>
      </c>
      <c r="J172" t="n">
        <v>0</v>
      </c>
      <c r="K172" t="n">
        <v>0</v>
      </c>
      <c r="L172" t="n">
        <v>0</v>
      </c>
      <c r="M172" t="n">
        <v>0</v>
      </c>
      <c r="N172" t="n">
        <v>0</v>
      </c>
      <c r="O172" t="n">
        <v>0</v>
      </c>
      <c r="P172" t="n">
        <v>0</v>
      </c>
      <c r="Q172" t="n">
        <v>0</v>
      </c>
      <c r="R172" s="2" t="inlineStr"/>
    </row>
    <row r="173" ht="15" customHeight="1">
      <c r="A173" t="inlineStr">
        <is>
          <t>A 20167-2019</t>
        </is>
      </c>
      <c r="B173" s="1" t="n">
        <v>43570</v>
      </c>
      <c r="C173" s="1" t="n">
        <v>45627</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20190-2019</t>
        </is>
      </c>
      <c r="B174" s="1" t="n">
        <v>43570</v>
      </c>
      <c r="C174" s="1" t="n">
        <v>45627</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20244-2019</t>
        </is>
      </c>
      <c r="B175" s="1" t="n">
        <v>43571</v>
      </c>
      <c r="C175" s="1" t="n">
        <v>45627</v>
      </c>
      <c r="D175" t="inlineStr">
        <is>
          <t>VÄRMLANDS LÄN</t>
        </is>
      </c>
      <c r="E175" t="inlineStr">
        <is>
          <t>TORSBY</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20616-2019</t>
        </is>
      </c>
      <c r="B176" s="1" t="n">
        <v>43572</v>
      </c>
      <c r="C176" s="1" t="n">
        <v>45627</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20468-2019</t>
        </is>
      </c>
      <c r="B177" s="1" t="n">
        <v>43572</v>
      </c>
      <c r="C177" s="1" t="n">
        <v>45627</v>
      </c>
      <c r="D177" t="inlineStr">
        <is>
          <t>VÄRMLANDS LÄN</t>
        </is>
      </c>
      <c r="E177" t="inlineStr">
        <is>
          <t>TORSBY</t>
        </is>
      </c>
      <c r="G177" t="n">
        <v>2.9</v>
      </c>
      <c r="H177" t="n">
        <v>0</v>
      </c>
      <c r="I177" t="n">
        <v>0</v>
      </c>
      <c r="J177" t="n">
        <v>0</v>
      </c>
      <c r="K177" t="n">
        <v>0</v>
      </c>
      <c r="L177" t="n">
        <v>0</v>
      </c>
      <c r="M177" t="n">
        <v>0</v>
      </c>
      <c r="N177" t="n">
        <v>0</v>
      </c>
      <c r="O177" t="n">
        <v>0</v>
      </c>
      <c r="P177" t="n">
        <v>0</v>
      </c>
      <c r="Q177" t="n">
        <v>0</v>
      </c>
      <c r="R177" s="2" t="inlineStr"/>
    </row>
    <row r="178" ht="15" customHeight="1">
      <c r="A178" t="inlineStr">
        <is>
          <t>A 21166-2019</t>
        </is>
      </c>
      <c r="B178" s="1" t="n">
        <v>43578</v>
      </c>
      <c r="C178" s="1" t="n">
        <v>45627</v>
      </c>
      <c r="D178" t="inlineStr">
        <is>
          <t>VÄRMLANDS LÄN</t>
        </is>
      </c>
      <c r="E178" t="inlineStr">
        <is>
          <t>TORSBY</t>
        </is>
      </c>
      <c r="G178" t="n">
        <v>3.4</v>
      </c>
      <c r="H178" t="n">
        <v>0</v>
      </c>
      <c r="I178" t="n">
        <v>0</v>
      </c>
      <c r="J178" t="n">
        <v>0</v>
      </c>
      <c r="K178" t="n">
        <v>0</v>
      </c>
      <c r="L178" t="n">
        <v>0</v>
      </c>
      <c r="M178" t="n">
        <v>0</v>
      </c>
      <c r="N178" t="n">
        <v>0</v>
      </c>
      <c r="O178" t="n">
        <v>0</v>
      </c>
      <c r="P178" t="n">
        <v>0</v>
      </c>
      <c r="Q178" t="n">
        <v>0</v>
      </c>
      <c r="R178" s="2" t="inlineStr"/>
    </row>
    <row r="179" ht="15" customHeight="1">
      <c r="A179" t="inlineStr">
        <is>
          <t>A 21387-2019</t>
        </is>
      </c>
      <c r="B179" s="1" t="n">
        <v>43580</v>
      </c>
      <c r="C179" s="1" t="n">
        <v>45627</v>
      </c>
      <c r="D179" t="inlineStr">
        <is>
          <t>VÄRMLANDS LÄN</t>
        </is>
      </c>
      <c r="E179" t="inlineStr">
        <is>
          <t>TORSBY</t>
        </is>
      </c>
      <c r="G179" t="n">
        <v>2.4</v>
      </c>
      <c r="H179" t="n">
        <v>0</v>
      </c>
      <c r="I179" t="n">
        <v>0</v>
      </c>
      <c r="J179" t="n">
        <v>0</v>
      </c>
      <c r="K179" t="n">
        <v>0</v>
      </c>
      <c r="L179" t="n">
        <v>0</v>
      </c>
      <c r="M179" t="n">
        <v>0</v>
      </c>
      <c r="N179" t="n">
        <v>0</v>
      </c>
      <c r="O179" t="n">
        <v>0</v>
      </c>
      <c r="P179" t="n">
        <v>0</v>
      </c>
      <c r="Q179" t="n">
        <v>0</v>
      </c>
      <c r="R179" s="2" t="inlineStr"/>
    </row>
    <row r="180" ht="15" customHeight="1">
      <c r="A180" t="inlineStr">
        <is>
          <t>A 21958-2019</t>
        </is>
      </c>
      <c r="B180" s="1" t="n">
        <v>43584</v>
      </c>
      <c r="C180" s="1" t="n">
        <v>45627</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22252-2019</t>
        </is>
      </c>
      <c r="B181" s="1" t="n">
        <v>43585</v>
      </c>
      <c r="C181" s="1" t="n">
        <v>45627</v>
      </c>
      <c r="D181" t="inlineStr">
        <is>
          <t>VÄRMLANDS LÄN</t>
        </is>
      </c>
      <c r="E181" t="inlineStr">
        <is>
          <t>TORSBY</t>
        </is>
      </c>
      <c r="G181" t="n">
        <v>3.7</v>
      </c>
      <c r="H181" t="n">
        <v>0</v>
      </c>
      <c r="I181" t="n">
        <v>0</v>
      </c>
      <c r="J181" t="n">
        <v>0</v>
      </c>
      <c r="K181" t="n">
        <v>0</v>
      </c>
      <c r="L181" t="n">
        <v>0</v>
      </c>
      <c r="M181" t="n">
        <v>0</v>
      </c>
      <c r="N181" t="n">
        <v>0</v>
      </c>
      <c r="O181" t="n">
        <v>0</v>
      </c>
      <c r="P181" t="n">
        <v>0</v>
      </c>
      <c r="Q181" t="n">
        <v>0</v>
      </c>
      <c r="R181" s="2" t="inlineStr"/>
    </row>
    <row r="182" ht="15" customHeight="1">
      <c r="A182" t="inlineStr">
        <is>
          <t>A 22158-2019</t>
        </is>
      </c>
      <c r="B182" s="1" t="n">
        <v>43585</v>
      </c>
      <c r="C182" s="1" t="n">
        <v>45627</v>
      </c>
      <c r="D182" t="inlineStr">
        <is>
          <t>VÄRMLANDS LÄN</t>
        </is>
      </c>
      <c r="E182" t="inlineStr">
        <is>
          <t>TORSBY</t>
        </is>
      </c>
      <c r="G182" t="n">
        <v>4.5</v>
      </c>
      <c r="H182" t="n">
        <v>0</v>
      </c>
      <c r="I182" t="n">
        <v>0</v>
      </c>
      <c r="J182" t="n">
        <v>0</v>
      </c>
      <c r="K182" t="n">
        <v>0</v>
      </c>
      <c r="L182" t="n">
        <v>0</v>
      </c>
      <c r="M182" t="n">
        <v>0</v>
      </c>
      <c r="N182" t="n">
        <v>0</v>
      </c>
      <c r="O182" t="n">
        <v>0</v>
      </c>
      <c r="P182" t="n">
        <v>0</v>
      </c>
      <c r="Q182" t="n">
        <v>0</v>
      </c>
      <c r="R182" s="2" t="inlineStr"/>
    </row>
    <row r="183" ht="15" customHeight="1">
      <c r="A183" t="inlineStr">
        <is>
          <t>A 22416-2019</t>
        </is>
      </c>
      <c r="B183" s="1" t="n">
        <v>43587</v>
      </c>
      <c r="C183" s="1" t="n">
        <v>45627</v>
      </c>
      <c r="D183" t="inlineStr">
        <is>
          <t>VÄRMLANDS LÄN</t>
        </is>
      </c>
      <c r="E183" t="inlineStr">
        <is>
          <t>TORSBY</t>
        </is>
      </c>
      <c r="G183" t="n">
        <v>1.9</v>
      </c>
      <c r="H183" t="n">
        <v>0</v>
      </c>
      <c r="I183" t="n">
        <v>0</v>
      </c>
      <c r="J183" t="n">
        <v>0</v>
      </c>
      <c r="K183" t="n">
        <v>0</v>
      </c>
      <c r="L183" t="n">
        <v>0</v>
      </c>
      <c r="M183" t="n">
        <v>0</v>
      </c>
      <c r="N183" t="n">
        <v>0</v>
      </c>
      <c r="O183" t="n">
        <v>0</v>
      </c>
      <c r="P183" t="n">
        <v>0</v>
      </c>
      <c r="Q183" t="n">
        <v>0</v>
      </c>
      <c r="R183" s="2" t="inlineStr"/>
    </row>
    <row r="184" ht="15" customHeight="1">
      <c r="A184" t="inlineStr">
        <is>
          <t>A 22351-2019</t>
        </is>
      </c>
      <c r="B184" s="1" t="n">
        <v>43587</v>
      </c>
      <c r="C184" s="1" t="n">
        <v>45627</v>
      </c>
      <c r="D184" t="inlineStr">
        <is>
          <t>VÄRMLANDS LÄN</t>
        </is>
      </c>
      <c r="E184" t="inlineStr">
        <is>
          <t>TORSBY</t>
        </is>
      </c>
      <c r="G184" t="n">
        <v>4.3</v>
      </c>
      <c r="H184" t="n">
        <v>0</v>
      </c>
      <c r="I184" t="n">
        <v>0</v>
      </c>
      <c r="J184" t="n">
        <v>0</v>
      </c>
      <c r="K184" t="n">
        <v>0</v>
      </c>
      <c r="L184" t="n">
        <v>0</v>
      </c>
      <c r="M184" t="n">
        <v>0</v>
      </c>
      <c r="N184" t="n">
        <v>0</v>
      </c>
      <c r="O184" t="n">
        <v>0</v>
      </c>
      <c r="P184" t="n">
        <v>0</v>
      </c>
      <c r="Q184" t="n">
        <v>0</v>
      </c>
      <c r="R184" s="2" t="inlineStr"/>
    </row>
    <row r="185" ht="15" customHeight="1">
      <c r="A185" t="inlineStr">
        <is>
          <t>A 22692-2019</t>
        </is>
      </c>
      <c r="B185" s="1" t="n">
        <v>43588</v>
      </c>
      <c r="C185" s="1" t="n">
        <v>45627</v>
      </c>
      <c r="D185" t="inlineStr">
        <is>
          <t>VÄRMLANDS LÄN</t>
        </is>
      </c>
      <c r="E185" t="inlineStr">
        <is>
          <t>TORSBY</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22717-2019</t>
        </is>
      </c>
      <c r="B186" s="1" t="n">
        <v>43588</v>
      </c>
      <c r="C186" s="1" t="n">
        <v>45627</v>
      </c>
      <c r="D186" t="inlineStr">
        <is>
          <t>VÄRMLANDS LÄN</t>
        </is>
      </c>
      <c r="E186" t="inlineStr">
        <is>
          <t>TORSBY</t>
        </is>
      </c>
      <c r="G186" t="n">
        <v>8</v>
      </c>
      <c r="H186" t="n">
        <v>0</v>
      </c>
      <c r="I186" t="n">
        <v>0</v>
      </c>
      <c r="J186" t="n">
        <v>0</v>
      </c>
      <c r="K186" t="n">
        <v>0</v>
      </c>
      <c r="L186" t="n">
        <v>0</v>
      </c>
      <c r="M186" t="n">
        <v>0</v>
      </c>
      <c r="N186" t="n">
        <v>0</v>
      </c>
      <c r="O186" t="n">
        <v>0</v>
      </c>
      <c r="P186" t="n">
        <v>0</v>
      </c>
      <c r="Q186" t="n">
        <v>0</v>
      </c>
      <c r="R186" s="2" t="inlineStr"/>
    </row>
    <row r="187" ht="15" customHeight="1">
      <c r="A187" t="inlineStr">
        <is>
          <t>A 23412-2019</t>
        </is>
      </c>
      <c r="B187" s="1" t="n">
        <v>43593</v>
      </c>
      <c r="C187" s="1" t="n">
        <v>45627</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23892-2019</t>
        </is>
      </c>
      <c r="B188" s="1" t="n">
        <v>43595</v>
      </c>
      <c r="C188" s="1" t="n">
        <v>45627</v>
      </c>
      <c r="D188" t="inlineStr">
        <is>
          <t>VÄRMLANDS LÄN</t>
        </is>
      </c>
      <c r="E188" t="inlineStr">
        <is>
          <t>TORSBY</t>
        </is>
      </c>
      <c r="G188" t="n">
        <v>1.8</v>
      </c>
      <c r="H188" t="n">
        <v>0</v>
      </c>
      <c r="I188" t="n">
        <v>0</v>
      </c>
      <c r="J188" t="n">
        <v>0</v>
      </c>
      <c r="K188" t="n">
        <v>0</v>
      </c>
      <c r="L188" t="n">
        <v>0</v>
      </c>
      <c r="M188" t="n">
        <v>0</v>
      </c>
      <c r="N188" t="n">
        <v>0</v>
      </c>
      <c r="O188" t="n">
        <v>0</v>
      </c>
      <c r="P188" t="n">
        <v>0</v>
      </c>
      <c r="Q188" t="n">
        <v>0</v>
      </c>
      <c r="R188" s="2" t="inlineStr"/>
    </row>
    <row r="189" ht="15" customHeight="1">
      <c r="A189" t="inlineStr">
        <is>
          <t>A 23771-2019</t>
        </is>
      </c>
      <c r="B189" s="1" t="n">
        <v>43595</v>
      </c>
      <c r="C189" s="1" t="n">
        <v>45627</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24667-2019</t>
        </is>
      </c>
      <c r="B190" s="1" t="n">
        <v>43599</v>
      </c>
      <c r="C190" s="1" t="n">
        <v>45627</v>
      </c>
      <c r="D190" t="inlineStr">
        <is>
          <t>VÄRMLANDS LÄN</t>
        </is>
      </c>
      <c r="E190" t="inlineStr">
        <is>
          <t>TORSBY</t>
        </is>
      </c>
      <c r="G190" t="n">
        <v>6.7</v>
      </c>
      <c r="H190" t="n">
        <v>0</v>
      </c>
      <c r="I190" t="n">
        <v>0</v>
      </c>
      <c r="J190" t="n">
        <v>0</v>
      </c>
      <c r="K190" t="n">
        <v>0</v>
      </c>
      <c r="L190" t="n">
        <v>0</v>
      </c>
      <c r="M190" t="n">
        <v>0</v>
      </c>
      <c r="N190" t="n">
        <v>0</v>
      </c>
      <c r="O190" t="n">
        <v>0</v>
      </c>
      <c r="P190" t="n">
        <v>0</v>
      </c>
      <c r="Q190" t="n">
        <v>0</v>
      </c>
      <c r="R190" s="2" t="inlineStr"/>
    </row>
    <row r="191" ht="15" customHeight="1">
      <c r="A191" t="inlineStr">
        <is>
          <t>A 24703-2019</t>
        </is>
      </c>
      <c r="B191" s="1" t="n">
        <v>43601</v>
      </c>
      <c r="C191" s="1" t="n">
        <v>45627</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26493-2019</t>
        </is>
      </c>
      <c r="B192" s="1" t="n">
        <v>43612</v>
      </c>
      <c r="C192" s="1" t="n">
        <v>45627</v>
      </c>
      <c r="D192" t="inlineStr">
        <is>
          <t>VÄRMLANDS LÄN</t>
        </is>
      </c>
      <c r="E192" t="inlineStr">
        <is>
          <t>TORSBY</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27907-2019</t>
        </is>
      </c>
      <c r="B193" s="1" t="n">
        <v>43612</v>
      </c>
      <c r="C193" s="1" t="n">
        <v>45627</v>
      </c>
      <c r="D193" t="inlineStr">
        <is>
          <t>VÄRMLANDS LÄN</t>
        </is>
      </c>
      <c r="E193" t="inlineStr">
        <is>
          <t>TORSBY</t>
        </is>
      </c>
      <c r="G193" t="n">
        <v>7.5</v>
      </c>
      <c r="H193" t="n">
        <v>0</v>
      </c>
      <c r="I193" t="n">
        <v>0</v>
      </c>
      <c r="J193" t="n">
        <v>0</v>
      </c>
      <c r="K193" t="n">
        <v>0</v>
      </c>
      <c r="L193" t="n">
        <v>0</v>
      </c>
      <c r="M193" t="n">
        <v>0</v>
      </c>
      <c r="N193" t="n">
        <v>0</v>
      </c>
      <c r="O193" t="n">
        <v>0</v>
      </c>
      <c r="P193" t="n">
        <v>0</v>
      </c>
      <c r="Q193" t="n">
        <v>0</v>
      </c>
      <c r="R193" s="2" t="inlineStr"/>
    </row>
    <row r="194" ht="15" customHeight="1">
      <c r="A194" t="inlineStr">
        <is>
          <t>A 26783-2019</t>
        </is>
      </c>
      <c r="B194" s="1" t="n">
        <v>43613</v>
      </c>
      <c r="C194" s="1" t="n">
        <v>45627</v>
      </c>
      <c r="D194" t="inlineStr">
        <is>
          <t>VÄRMLANDS LÄN</t>
        </is>
      </c>
      <c r="E194" t="inlineStr">
        <is>
          <t>TORSBY</t>
        </is>
      </c>
      <c r="G194" t="n">
        <v>0.6</v>
      </c>
      <c r="H194" t="n">
        <v>0</v>
      </c>
      <c r="I194" t="n">
        <v>0</v>
      </c>
      <c r="J194" t="n">
        <v>0</v>
      </c>
      <c r="K194" t="n">
        <v>0</v>
      </c>
      <c r="L194" t="n">
        <v>0</v>
      </c>
      <c r="M194" t="n">
        <v>0</v>
      </c>
      <c r="N194" t="n">
        <v>0</v>
      </c>
      <c r="O194" t="n">
        <v>0</v>
      </c>
      <c r="P194" t="n">
        <v>0</v>
      </c>
      <c r="Q194" t="n">
        <v>0</v>
      </c>
      <c r="R194" s="2" t="inlineStr"/>
    </row>
    <row r="195" ht="15" customHeight="1">
      <c r="A195" t="inlineStr">
        <is>
          <t>A 27711-2019</t>
        </is>
      </c>
      <c r="B195" s="1" t="n">
        <v>43619</v>
      </c>
      <c r="C195" s="1" t="n">
        <v>45627</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27682-2019</t>
        </is>
      </c>
      <c r="B196" s="1" t="n">
        <v>43619</v>
      </c>
      <c r="C196" s="1" t="n">
        <v>45627</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28975-2019</t>
        </is>
      </c>
      <c r="B197" s="1" t="n">
        <v>43619</v>
      </c>
      <c r="C197" s="1" t="n">
        <v>45627</v>
      </c>
      <c r="D197" t="inlineStr">
        <is>
          <t>VÄRMLANDS LÄN</t>
        </is>
      </c>
      <c r="E197" t="inlineStr">
        <is>
          <t>TORSBY</t>
        </is>
      </c>
      <c r="G197" t="n">
        <v>6.5</v>
      </c>
      <c r="H197" t="n">
        <v>0</v>
      </c>
      <c r="I197" t="n">
        <v>0</v>
      </c>
      <c r="J197" t="n">
        <v>0</v>
      </c>
      <c r="K197" t="n">
        <v>0</v>
      </c>
      <c r="L197" t="n">
        <v>0</v>
      </c>
      <c r="M197" t="n">
        <v>0</v>
      </c>
      <c r="N197" t="n">
        <v>0</v>
      </c>
      <c r="O197" t="n">
        <v>0</v>
      </c>
      <c r="P197" t="n">
        <v>0</v>
      </c>
      <c r="Q197" t="n">
        <v>0</v>
      </c>
      <c r="R197" s="2" t="inlineStr"/>
    </row>
    <row r="198" ht="15" customHeight="1">
      <c r="A198" t="inlineStr">
        <is>
          <t>A 28487-2019</t>
        </is>
      </c>
      <c r="B198" s="1" t="n">
        <v>43621</v>
      </c>
      <c r="C198" s="1" t="n">
        <v>45627</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28653-2019</t>
        </is>
      </c>
      <c r="B199" s="1" t="n">
        <v>43627</v>
      </c>
      <c r="C199" s="1" t="n">
        <v>45627</v>
      </c>
      <c r="D199" t="inlineStr">
        <is>
          <t>VÄRMLANDS LÄN</t>
        </is>
      </c>
      <c r="E199" t="inlineStr">
        <is>
          <t>TORSBY</t>
        </is>
      </c>
      <c r="G199" t="n">
        <v>5.2</v>
      </c>
      <c r="H199" t="n">
        <v>0</v>
      </c>
      <c r="I199" t="n">
        <v>0</v>
      </c>
      <c r="J199" t="n">
        <v>0</v>
      </c>
      <c r="K199" t="n">
        <v>0</v>
      </c>
      <c r="L199" t="n">
        <v>0</v>
      </c>
      <c r="M199" t="n">
        <v>0</v>
      </c>
      <c r="N199" t="n">
        <v>0</v>
      </c>
      <c r="O199" t="n">
        <v>0</v>
      </c>
      <c r="P199" t="n">
        <v>0</v>
      </c>
      <c r="Q199" t="n">
        <v>0</v>
      </c>
      <c r="R199" s="2" t="inlineStr"/>
    </row>
    <row r="200" ht="15" customHeight="1">
      <c r="A200" t="inlineStr">
        <is>
          <t>A 28818-2019</t>
        </is>
      </c>
      <c r="B200" s="1" t="n">
        <v>43627</v>
      </c>
      <c r="C200" s="1" t="n">
        <v>45627</v>
      </c>
      <c r="D200" t="inlineStr">
        <is>
          <t>VÄRMLANDS LÄN</t>
        </is>
      </c>
      <c r="E200" t="inlineStr">
        <is>
          <t>TORSBY</t>
        </is>
      </c>
      <c r="F200" t="inlineStr">
        <is>
          <t>Bergvik skog väst AB</t>
        </is>
      </c>
      <c r="G200" t="n">
        <v>58.6</v>
      </c>
      <c r="H200" t="n">
        <v>0</v>
      </c>
      <c r="I200" t="n">
        <v>0</v>
      </c>
      <c r="J200" t="n">
        <v>0</v>
      </c>
      <c r="K200" t="n">
        <v>0</v>
      </c>
      <c r="L200" t="n">
        <v>0</v>
      </c>
      <c r="M200" t="n">
        <v>0</v>
      </c>
      <c r="N200" t="n">
        <v>0</v>
      </c>
      <c r="O200" t="n">
        <v>0</v>
      </c>
      <c r="P200" t="n">
        <v>0</v>
      </c>
      <c r="Q200" t="n">
        <v>0</v>
      </c>
      <c r="R200" s="2" t="inlineStr"/>
    </row>
    <row r="201" ht="15" customHeight="1">
      <c r="A201" t="inlineStr">
        <is>
          <t>A 28889-2019</t>
        </is>
      </c>
      <c r="B201" s="1" t="n">
        <v>43628</v>
      </c>
      <c r="C201" s="1" t="n">
        <v>45627</v>
      </c>
      <c r="D201" t="inlineStr">
        <is>
          <t>VÄRMLANDS LÄN</t>
        </is>
      </c>
      <c r="E201" t="inlineStr">
        <is>
          <t>TORSBY</t>
        </is>
      </c>
      <c r="G201" t="n">
        <v>2</v>
      </c>
      <c r="H201" t="n">
        <v>0</v>
      </c>
      <c r="I201" t="n">
        <v>0</v>
      </c>
      <c r="J201" t="n">
        <v>0</v>
      </c>
      <c r="K201" t="n">
        <v>0</v>
      </c>
      <c r="L201" t="n">
        <v>0</v>
      </c>
      <c r="M201" t="n">
        <v>0</v>
      </c>
      <c r="N201" t="n">
        <v>0</v>
      </c>
      <c r="O201" t="n">
        <v>0</v>
      </c>
      <c r="P201" t="n">
        <v>0</v>
      </c>
      <c r="Q201" t="n">
        <v>0</v>
      </c>
      <c r="R201" s="2" t="inlineStr"/>
    </row>
    <row r="202" ht="15" customHeight="1">
      <c r="A202" t="inlineStr">
        <is>
          <t>A 29436-2019</t>
        </is>
      </c>
      <c r="B202" s="1" t="n">
        <v>43629</v>
      </c>
      <c r="C202" s="1" t="n">
        <v>45627</v>
      </c>
      <c r="D202" t="inlineStr">
        <is>
          <t>VÄRMLANDS LÄN</t>
        </is>
      </c>
      <c r="E202" t="inlineStr">
        <is>
          <t>TORSBY</t>
        </is>
      </c>
      <c r="F202" t="inlineStr">
        <is>
          <t>Bergvik skog väst AB</t>
        </is>
      </c>
      <c r="G202" t="n">
        <v>33.7</v>
      </c>
      <c r="H202" t="n">
        <v>0</v>
      </c>
      <c r="I202" t="n">
        <v>0</v>
      </c>
      <c r="J202" t="n">
        <v>0</v>
      </c>
      <c r="K202" t="n">
        <v>0</v>
      </c>
      <c r="L202" t="n">
        <v>0</v>
      </c>
      <c r="M202" t="n">
        <v>0</v>
      </c>
      <c r="N202" t="n">
        <v>0</v>
      </c>
      <c r="O202" t="n">
        <v>0</v>
      </c>
      <c r="P202" t="n">
        <v>0</v>
      </c>
      <c r="Q202" t="n">
        <v>0</v>
      </c>
      <c r="R202" s="2" t="inlineStr"/>
    </row>
    <row r="203" ht="15" customHeight="1">
      <c r="A203" t="inlineStr">
        <is>
          <t>A 30031-2019</t>
        </is>
      </c>
      <c r="B203" s="1" t="n">
        <v>43633</v>
      </c>
      <c r="C203" s="1" t="n">
        <v>45627</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30049-2019</t>
        </is>
      </c>
      <c r="B204" s="1" t="n">
        <v>43633</v>
      </c>
      <c r="C204" s="1" t="n">
        <v>45627</v>
      </c>
      <c r="D204" t="inlineStr">
        <is>
          <t>VÄRMLANDS LÄN</t>
        </is>
      </c>
      <c r="E204" t="inlineStr">
        <is>
          <t>TORSBY</t>
        </is>
      </c>
      <c r="G204" t="n">
        <v>7.1</v>
      </c>
      <c r="H204" t="n">
        <v>0</v>
      </c>
      <c r="I204" t="n">
        <v>0</v>
      </c>
      <c r="J204" t="n">
        <v>0</v>
      </c>
      <c r="K204" t="n">
        <v>0</v>
      </c>
      <c r="L204" t="n">
        <v>0</v>
      </c>
      <c r="M204" t="n">
        <v>0</v>
      </c>
      <c r="N204" t="n">
        <v>0</v>
      </c>
      <c r="O204" t="n">
        <v>0</v>
      </c>
      <c r="P204" t="n">
        <v>0</v>
      </c>
      <c r="Q204" t="n">
        <v>0</v>
      </c>
      <c r="R204" s="2" t="inlineStr"/>
    </row>
    <row r="205" ht="15" customHeight="1">
      <c r="A205" t="inlineStr">
        <is>
          <t>A 29984-2019</t>
        </is>
      </c>
      <c r="B205" s="1" t="n">
        <v>43633</v>
      </c>
      <c r="C205" s="1" t="n">
        <v>45627</v>
      </c>
      <c r="D205" t="inlineStr">
        <is>
          <t>VÄRMLANDS LÄN</t>
        </is>
      </c>
      <c r="E205" t="inlineStr">
        <is>
          <t>TORSBY</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30158-2019</t>
        </is>
      </c>
      <c r="B206" s="1" t="n">
        <v>43634</v>
      </c>
      <c r="C206" s="1" t="n">
        <v>45627</v>
      </c>
      <c r="D206" t="inlineStr">
        <is>
          <t>VÄRMLANDS LÄN</t>
        </is>
      </c>
      <c r="E206" t="inlineStr">
        <is>
          <t>TORSBY</t>
        </is>
      </c>
      <c r="G206" t="n">
        <v>3.3</v>
      </c>
      <c r="H206" t="n">
        <v>0</v>
      </c>
      <c r="I206" t="n">
        <v>0</v>
      </c>
      <c r="J206" t="n">
        <v>0</v>
      </c>
      <c r="K206" t="n">
        <v>0</v>
      </c>
      <c r="L206" t="n">
        <v>0</v>
      </c>
      <c r="M206" t="n">
        <v>0</v>
      </c>
      <c r="N206" t="n">
        <v>0</v>
      </c>
      <c r="O206" t="n">
        <v>0</v>
      </c>
      <c r="P206" t="n">
        <v>0</v>
      </c>
      <c r="Q206" t="n">
        <v>0</v>
      </c>
      <c r="R206" s="2" t="inlineStr"/>
    </row>
    <row r="207" ht="15" customHeight="1">
      <c r="A207" t="inlineStr">
        <is>
          <t>A 30596-2019</t>
        </is>
      </c>
      <c r="B207" s="1" t="n">
        <v>43635</v>
      </c>
      <c r="C207" s="1" t="n">
        <v>45627</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30860-2019</t>
        </is>
      </c>
      <c r="B208" s="1" t="n">
        <v>43636</v>
      </c>
      <c r="C208" s="1" t="n">
        <v>45627</v>
      </c>
      <c r="D208" t="inlineStr">
        <is>
          <t>VÄRMLANDS LÄN</t>
        </is>
      </c>
      <c r="E208" t="inlineStr">
        <is>
          <t>TORSBY</t>
        </is>
      </c>
      <c r="G208" t="n">
        <v>11.7</v>
      </c>
      <c r="H208" t="n">
        <v>0</v>
      </c>
      <c r="I208" t="n">
        <v>0</v>
      </c>
      <c r="J208" t="n">
        <v>0</v>
      </c>
      <c r="K208" t="n">
        <v>0</v>
      </c>
      <c r="L208" t="n">
        <v>0</v>
      </c>
      <c r="M208" t="n">
        <v>0</v>
      </c>
      <c r="N208" t="n">
        <v>0</v>
      </c>
      <c r="O208" t="n">
        <v>0</v>
      </c>
      <c r="P208" t="n">
        <v>0</v>
      </c>
      <c r="Q208" t="n">
        <v>0</v>
      </c>
      <c r="R208" s="2" t="inlineStr"/>
    </row>
    <row r="209" ht="15" customHeight="1">
      <c r="A209" t="inlineStr">
        <is>
          <t>A 31109-2019</t>
        </is>
      </c>
      <c r="B209" s="1" t="n">
        <v>43640</v>
      </c>
      <c r="C209" s="1" t="n">
        <v>45627</v>
      </c>
      <c r="D209" t="inlineStr">
        <is>
          <t>VÄRMLANDS LÄN</t>
        </is>
      </c>
      <c r="E209" t="inlineStr">
        <is>
          <t>TORSBY</t>
        </is>
      </c>
      <c r="G209" t="n">
        <v>4</v>
      </c>
      <c r="H209" t="n">
        <v>0</v>
      </c>
      <c r="I209" t="n">
        <v>0</v>
      </c>
      <c r="J209" t="n">
        <v>0</v>
      </c>
      <c r="K209" t="n">
        <v>0</v>
      </c>
      <c r="L209" t="n">
        <v>0</v>
      </c>
      <c r="M209" t="n">
        <v>0</v>
      </c>
      <c r="N209" t="n">
        <v>0</v>
      </c>
      <c r="O209" t="n">
        <v>0</v>
      </c>
      <c r="P209" t="n">
        <v>0</v>
      </c>
      <c r="Q209" t="n">
        <v>0</v>
      </c>
      <c r="R209" s="2" t="inlineStr"/>
    </row>
    <row r="210" ht="15" customHeight="1">
      <c r="A210" t="inlineStr">
        <is>
          <t>A 31010-2019</t>
        </is>
      </c>
      <c r="B210" s="1" t="n">
        <v>43640</v>
      </c>
      <c r="C210" s="1" t="n">
        <v>45627</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31138-2019</t>
        </is>
      </c>
      <c r="B211" s="1" t="n">
        <v>43640</v>
      </c>
      <c r="C211" s="1" t="n">
        <v>45627</v>
      </c>
      <c r="D211" t="inlineStr">
        <is>
          <t>VÄRMLANDS LÄN</t>
        </is>
      </c>
      <c r="E211" t="inlineStr">
        <is>
          <t>TORSBY</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31543-2019</t>
        </is>
      </c>
      <c r="B212" s="1" t="n">
        <v>43641</v>
      </c>
      <c r="C212" s="1" t="n">
        <v>45627</v>
      </c>
      <c r="D212" t="inlineStr">
        <is>
          <t>VÄRMLANDS LÄN</t>
        </is>
      </c>
      <c r="E212" t="inlineStr">
        <is>
          <t>TORSBY</t>
        </is>
      </c>
      <c r="G212" t="n">
        <v>6</v>
      </c>
      <c r="H212" t="n">
        <v>0</v>
      </c>
      <c r="I212" t="n">
        <v>0</v>
      </c>
      <c r="J212" t="n">
        <v>0</v>
      </c>
      <c r="K212" t="n">
        <v>0</v>
      </c>
      <c r="L212" t="n">
        <v>0</v>
      </c>
      <c r="M212" t="n">
        <v>0</v>
      </c>
      <c r="N212" t="n">
        <v>0</v>
      </c>
      <c r="O212" t="n">
        <v>0</v>
      </c>
      <c r="P212" t="n">
        <v>0</v>
      </c>
      <c r="Q212" t="n">
        <v>0</v>
      </c>
      <c r="R212" s="2" t="inlineStr"/>
    </row>
    <row r="213" ht="15" customHeight="1">
      <c r="A213" t="inlineStr">
        <is>
          <t>A 31930-2019</t>
        </is>
      </c>
      <c r="B213" s="1" t="n">
        <v>43642</v>
      </c>
      <c r="C213" s="1" t="n">
        <v>45627</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32170-2019</t>
        </is>
      </c>
      <c r="B214" s="1" t="n">
        <v>43643</v>
      </c>
      <c r="C214" s="1" t="n">
        <v>45627</v>
      </c>
      <c r="D214" t="inlineStr">
        <is>
          <t>VÄRMLANDS LÄN</t>
        </is>
      </c>
      <c r="E214" t="inlineStr">
        <is>
          <t>TORSBY</t>
        </is>
      </c>
      <c r="G214" t="n">
        <v>4.6</v>
      </c>
      <c r="H214" t="n">
        <v>0</v>
      </c>
      <c r="I214" t="n">
        <v>0</v>
      </c>
      <c r="J214" t="n">
        <v>0</v>
      </c>
      <c r="K214" t="n">
        <v>0</v>
      </c>
      <c r="L214" t="n">
        <v>0</v>
      </c>
      <c r="M214" t="n">
        <v>0</v>
      </c>
      <c r="N214" t="n">
        <v>0</v>
      </c>
      <c r="O214" t="n">
        <v>0</v>
      </c>
      <c r="P214" t="n">
        <v>0</v>
      </c>
      <c r="Q214" t="n">
        <v>0</v>
      </c>
      <c r="R214" s="2" t="inlineStr"/>
    </row>
    <row r="215" ht="15" customHeight="1">
      <c r="A215" t="inlineStr">
        <is>
          <t>A 32443-2019</t>
        </is>
      </c>
      <c r="B215" s="1" t="n">
        <v>43644</v>
      </c>
      <c r="C215" s="1" t="n">
        <v>45627</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32298-2019</t>
        </is>
      </c>
      <c r="B216" s="1" t="n">
        <v>43644</v>
      </c>
      <c r="C216" s="1" t="n">
        <v>45627</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32468-2019</t>
        </is>
      </c>
      <c r="B217" s="1" t="n">
        <v>43644</v>
      </c>
      <c r="C217" s="1" t="n">
        <v>45627</v>
      </c>
      <c r="D217" t="inlineStr">
        <is>
          <t>VÄRMLANDS LÄN</t>
        </is>
      </c>
      <c r="E217" t="inlineStr">
        <is>
          <t>TORSBY</t>
        </is>
      </c>
      <c r="G217" t="n">
        <v>4.7</v>
      </c>
      <c r="H217" t="n">
        <v>0</v>
      </c>
      <c r="I217" t="n">
        <v>0</v>
      </c>
      <c r="J217" t="n">
        <v>0</v>
      </c>
      <c r="K217" t="n">
        <v>0</v>
      </c>
      <c r="L217" t="n">
        <v>0</v>
      </c>
      <c r="M217" t="n">
        <v>0</v>
      </c>
      <c r="N217" t="n">
        <v>0</v>
      </c>
      <c r="O217" t="n">
        <v>0</v>
      </c>
      <c r="P217" t="n">
        <v>0</v>
      </c>
      <c r="Q217" t="n">
        <v>0</v>
      </c>
      <c r="R217" s="2" t="inlineStr"/>
    </row>
    <row r="218" ht="15" customHeight="1">
      <c r="A218" t="inlineStr">
        <is>
          <t>A 32444-2019</t>
        </is>
      </c>
      <c r="B218" s="1" t="n">
        <v>43644</v>
      </c>
      <c r="C218" s="1" t="n">
        <v>45627</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33918-2019</t>
        </is>
      </c>
      <c r="B219" s="1" t="n">
        <v>43654</v>
      </c>
      <c r="C219" s="1" t="n">
        <v>45627</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35505-2019</t>
        </is>
      </c>
      <c r="B220" s="1" t="n">
        <v>43654</v>
      </c>
      <c r="C220" s="1" t="n">
        <v>45627</v>
      </c>
      <c r="D220" t="inlineStr">
        <is>
          <t>VÄRMLANDS LÄN</t>
        </is>
      </c>
      <c r="E220" t="inlineStr">
        <is>
          <t>TORSBY</t>
        </is>
      </c>
      <c r="G220" t="n">
        <v>0.8</v>
      </c>
      <c r="H220" t="n">
        <v>0</v>
      </c>
      <c r="I220" t="n">
        <v>0</v>
      </c>
      <c r="J220" t="n">
        <v>0</v>
      </c>
      <c r="K220" t="n">
        <v>0</v>
      </c>
      <c r="L220" t="n">
        <v>0</v>
      </c>
      <c r="M220" t="n">
        <v>0</v>
      </c>
      <c r="N220" t="n">
        <v>0</v>
      </c>
      <c r="O220" t="n">
        <v>0</v>
      </c>
      <c r="P220" t="n">
        <v>0</v>
      </c>
      <c r="Q220" t="n">
        <v>0</v>
      </c>
      <c r="R220" s="2" t="inlineStr"/>
    </row>
    <row r="221" ht="15" customHeight="1">
      <c r="A221" t="inlineStr">
        <is>
          <t>A 35788-2019</t>
        </is>
      </c>
      <c r="B221" s="1" t="n">
        <v>43656</v>
      </c>
      <c r="C221" s="1" t="n">
        <v>45627</v>
      </c>
      <c r="D221" t="inlineStr">
        <is>
          <t>VÄRMLANDS LÄN</t>
        </is>
      </c>
      <c r="E221" t="inlineStr">
        <is>
          <t>TORSBY</t>
        </is>
      </c>
      <c r="F221" t="inlineStr">
        <is>
          <t>Kyrkan</t>
        </is>
      </c>
      <c r="G221" t="n">
        <v>0.8</v>
      </c>
      <c r="H221" t="n">
        <v>0</v>
      </c>
      <c r="I221" t="n">
        <v>0</v>
      </c>
      <c r="J221" t="n">
        <v>0</v>
      </c>
      <c r="K221" t="n">
        <v>0</v>
      </c>
      <c r="L221" t="n">
        <v>0</v>
      </c>
      <c r="M221" t="n">
        <v>0</v>
      </c>
      <c r="N221" t="n">
        <v>0</v>
      </c>
      <c r="O221" t="n">
        <v>0</v>
      </c>
      <c r="P221" t="n">
        <v>0</v>
      </c>
      <c r="Q221" t="n">
        <v>0</v>
      </c>
      <c r="R221" s="2" t="inlineStr"/>
    </row>
    <row r="222" ht="15" customHeight="1">
      <c r="A222" t="inlineStr">
        <is>
          <t>A 34541-2019</t>
        </is>
      </c>
      <c r="B222" s="1" t="n">
        <v>43657</v>
      </c>
      <c r="C222" s="1" t="n">
        <v>45627</v>
      </c>
      <c r="D222" t="inlineStr">
        <is>
          <t>VÄRMLANDS LÄN</t>
        </is>
      </c>
      <c r="E222" t="inlineStr">
        <is>
          <t>TORSBY</t>
        </is>
      </c>
      <c r="G222" t="n">
        <v>5.7</v>
      </c>
      <c r="H222" t="n">
        <v>0</v>
      </c>
      <c r="I222" t="n">
        <v>0</v>
      </c>
      <c r="J222" t="n">
        <v>0</v>
      </c>
      <c r="K222" t="n">
        <v>0</v>
      </c>
      <c r="L222" t="n">
        <v>0</v>
      </c>
      <c r="M222" t="n">
        <v>0</v>
      </c>
      <c r="N222" t="n">
        <v>0</v>
      </c>
      <c r="O222" t="n">
        <v>0</v>
      </c>
      <c r="P222" t="n">
        <v>0</v>
      </c>
      <c r="Q222" t="n">
        <v>0</v>
      </c>
      <c r="R222" s="2" t="inlineStr"/>
    </row>
    <row r="223" ht="15" customHeight="1">
      <c r="A223" t="inlineStr">
        <is>
          <t>A 36480-2019</t>
        </is>
      </c>
      <c r="B223" s="1" t="n">
        <v>43668</v>
      </c>
      <c r="C223" s="1" t="n">
        <v>45627</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38010-2019</t>
        </is>
      </c>
      <c r="B224" s="1" t="n">
        <v>43669</v>
      </c>
      <c r="C224" s="1" t="n">
        <v>45627</v>
      </c>
      <c r="D224" t="inlineStr">
        <is>
          <t>VÄRMLANDS LÄN</t>
        </is>
      </c>
      <c r="E224" t="inlineStr">
        <is>
          <t>TORSBY</t>
        </is>
      </c>
      <c r="G224" t="n">
        <v>6.2</v>
      </c>
      <c r="H224" t="n">
        <v>0</v>
      </c>
      <c r="I224" t="n">
        <v>0</v>
      </c>
      <c r="J224" t="n">
        <v>0</v>
      </c>
      <c r="K224" t="n">
        <v>0</v>
      </c>
      <c r="L224" t="n">
        <v>0</v>
      </c>
      <c r="M224" t="n">
        <v>0</v>
      </c>
      <c r="N224" t="n">
        <v>0</v>
      </c>
      <c r="O224" t="n">
        <v>0</v>
      </c>
      <c r="P224" t="n">
        <v>0</v>
      </c>
      <c r="Q224" t="n">
        <v>0</v>
      </c>
      <c r="R224" s="2" t="inlineStr"/>
    </row>
    <row r="225" ht="15" customHeight="1">
      <c r="A225" t="inlineStr">
        <is>
          <t>A 38003-2019</t>
        </is>
      </c>
      <c r="B225" s="1" t="n">
        <v>43669</v>
      </c>
      <c r="C225" s="1" t="n">
        <v>45627</v>
      </c>
      <c r="D225" t="inlineStr">
        <is>
          <t>VÄRMLANDS LÄN</t>
        </is>
      </c>
      <c r="E225" t="inlineStr">
        <is>
          <t>TORSBY</t>
        </is>
      </c>
      <c r="G225" t="n">
        <v>3.1</v>
      </c>
      <c r="H225" t="n">
        <v>0</v>
      </c>
      <c r="I225" t="n">
        <v>0</v>
      </c>
      <c r="J225" t="n">
        <v>0</v>
      </c>
      <c r="K225" t="n">
        <v>0</v>
      </c>
      <c r="L225" t="n">
        <v>0</v>
      </c>
      <c r="M225" t="n">
        <v>0</v>
      </c>
      <c r="N225" t="n">
        <v>0</v>
      </c>
      <c r="O225" t="n">
        <v>0</v>
      </c>
      <c r="P225" t="n">
        <v>0</v>
      </c>
      <c r="Q225" t="n">
        <v>0</v>
      </c>
      <c r="R225" s="2" t="inlineStr"/>
    </row>
    <row r="226" ht="15" customHeight="1">
      <c r="A226" t="inlineStr">
        <is>
          <t>A 36712-2019</t>
        </is>
      </c>
      <c r="B226" s="1" t="n">
        <v>43669</v>
      </c>
      <c r="C226" s="1" t="n">
        <v>45627</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36682-2019</t>
        </is>
      </c>
      <c r="B227" s="1" t="n">
        <v>43670</v>
      </c>
      <c r="C227" s="1" t="n">
        <v>45627</v>
      </c>
      <c r="D227" t="inlineStr">
        <is>
          <t>VÄRMLANDS LÄN</t>
        </is>
      </c>
      <c r="E227" t="inlineStr">
        <is>
          <t>TORSBY</t>
        </is>
      </c>
      <c r="G227" t="n">
        <v>8.1</v>
      </c>
      <c r="H227" t="n">
        <v>0</v>
      </c>
      <c r="I227" t="n">
        <v>0</v>
      </c>
      <c r="J227" t="n">
        <v>0</v>
      </c>
      <c r="K227" t="n">
        <v>0</v>
      </c>
      <c r="L227" t="n">
        <v>0</v>
      </c>
      <c r="M227" t="n">
        <v>0</v>
      </c>
      <c r="N227" t="n">
        <v>0</v>
      </c>
      <c r="O227" t="n">
        <v>0</v>
      </c>
      <c r="P227" t="n">
        <v>0</v>
      </c>
      <c r="Q227" t="n">
        <v>0</v>
      </c>
      <c r="R227" s="2" t="inlineStr"/>
    </row>
    <row r="228" ht="15" customHeight="1">
      <c r="A228" t="inlineStr">
        <is>
          <t>A 36734-2019</t>
        </is>
      </c>
      <c r="B228" s="1" t="n">
        <v>43672</v>
      </c>
      <c r="C228" s="1" t="n">
        <v>45627</v>
      </c>
      <c r="D228" t="inlineStr">
        <is>
          <t>VÄRMLANDS LÄN</t>
        </is>
      </c>
      <c r="E228" t="inlineStr">
        <is>
          <t>TORSBY</t>
        </is>
      </c>
      <c r="G228" t="n">
        <v>2.4</v>
      </c>
      <c r="H228" t="n">
        <v>0</v>
      </c>
      <c r="I228" t="n">
        <v>0</v>
      </c>
      <c r="J228" t="n">
        <v>0</v>
      </c>
      <c r="K228" t="n">
        <v>0</v>
      </c>
      <c r="L228" t="n">
        <v>0</v>
      </c>
      <c r="M228" t="n">
        <v>0</v>
      </c>
      <c r="N228" t="n">
        <v>0</v>
      </c>
      <c r="O228" t="n">
        <v>0</v>
      </c>
      <c r="P228" t="n">
        <v>0</v>
      </c>
      <c r="Q228" t="n">
        <v>0</v>
      </c>
      <c r="R228" s="2" t="inlineStr"/>
    </row>
    <row r="229" ht="15" customHeight="1">
      <c r="A229" t="inlineStr">
        <is>
          <t>A 36820-2019</t>
        </is>
      </c>
      <c r="B229" s="1" t="n">
        <v>43673</v>
      </c>
      <c r="C229" s="1" t="n">
        <v>45627</v>
      </c>
      <c r="D229" t="inlineStr">
        <is>
          <t>VÄRMLANDS LÄN</t>
        </is>
      </c>
      <c r="E229" t="inlineStr">
        <is>
          <t>TORSBY</t>
        </is>
      </c>
      <c r="G229" t="n">
        <v>0.2</v>
      </c>
      <c r="H229" t="n">
        <v>0</v>
      </c>
      <c r="I229" t="n">
        <v>0</v>
      </c>
      <c r="J229" t="n">
        <v>0</v>
      </c>
      <c r="K229" t="n">
        <v>0</v>
      </c>
      <c r="L229" t="n">
        <v>0</v>
      </c>
      <c r="M229" t="n">
        <v>0</v>
      </c>
      <c r="N229" t="n">
        <v>0</v>
      </c>
      <c r="O229" t="n">
        <v>0</v>
      </c>
      <c r="P229" t="n">
        <v>0</v>
      </c>
      <c r="Q229" t="n">
        <v>0</v>
      </c>
      <c r="R229" s="2" t="inlineStr"/>
    </row>
    <row r="230" ht="15" customHeight="1">
      <c r="A230" t="inlineStr">
        <is>
          <t>A 37005-2019</t>
        </is>
      </c>
      <c r="B230" s="1" t="n">
        <v>43676</v>
      </c>
      <c r="C230" s="1" t="n">
        <v>45627</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37719-2019</t>
        </is>
      </c>
      <c r="B231" s="1" t="n">
        <v>43682</v>
      </c>
      <c r="C231" s="1" t="n">
        <v>45627</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38068-2019</t>
        </is>
      </c>
      <c r="B232" s="1" t="n">
        <v>43683</v>
      </c>
      <c r="C232" s="1" t="n">
        <v>45627</v>
      </c>
      <c r="D232" t="inlineStr">
        <is>
          <t>VÄRMLANDS LÄN</t>
        </is>
      </c>
      <c r="E232" t="inlineStr">
        <is>
          <t>TORSBY</t>
        </is>
      </c>
      <c r="G232" t="n">
        <v>2.7</v>
      </c>
      <c r="H232" t="n">
        <v>0</v>
      </c>
      <c r="I232" t="n">
        <v>0</v>
      </c>
      <c r="J232" t="n">
        <v>0</v>
      </c>
      <c r="K232" t="n">
        <v>0</v>
      </c>
      <c r="L232" t="n">
        <v>0</v>
      </c>
      <c r="M232" t="n">
        <v>0</v>
      </c>
      <c r="N232" t="n">
        <v>0</v>
      </c>
      <c r="O232" t="n">
        <v>0</v>
      </c>
      <c r="P232" t="n">
        <v>0</v>
      </c>
      <c r="Q232" t="n">
        <v>0</v>
      </c>
      <c r="R232" s="2" t="inlineStr"/>
    </row>
    <row r="233" ht="15" customHeight="1">
      <c r="A233" t="inlineStr">
        <is>
          <t>A 38265-2019</t>
        </is>
      </c>
      <c r="B233" s="1" t="n">
        <v>43684</v>
      </c>
      <c r="C233" s="1" t="n">
        <v>45627</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39213-2019</t>
        </is>
      </c>
      <c r="B234" s="1" t="n">
        <v>43690</v>
      </c>
      <c r="C234" s="1" t="n">
        <v>45627</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40632-2019</t>
        </is>
      </c>
      <c r="B235" s="1" t="n">
        <v>43696</v>
      </c>
      <c r="C235" s="1" t="n">
        <v>45627</v>
      </c>
      <c r="D235" t="inlineStr">
        <is>
          <t>VÄRMLANDS LÄN</t>
        </is>
      </c>
      <c r="E235" t="inlineStr">
        <is>
          <t>TORSBY</t>
        </is>
      </c>
      <c r="G235" t="n">
        <v>4.2</v>
      </c>
      <c r="H235" t="n">
        <v>0</v>
      </c>
      <c r="I235" t="n">
        <v>0</v>
      </c>
      <c r="J235" t="n">
        <v>0</v>
      </c>
      <c r="K235" t="n">
        <v>0</v>
      </c>
      <c r="L235" t="n">
        <v>0</v>
      </c>
      <c r="M235" t="n">
        <v>0</v>
      </c>
      <c r="N235" t="n">
        <v>0</v>
      </c>
      <c r="O235" t="n">
        <v>0</v>
      </c>
      <c r="P235" t="n">
        <v>0</v>
      </c>
      <c r="Q235" t="n">
        <v>0</v>
      </c>
      <c r="R235" s="2" t="inlineStr"/>
    </row>
    <row r="236" ht="15" customHeight="1">
      <c r="A236" t="inlineStr">
        <is>
          <t>A 40589-2019</t>
        </is>
      </c>
      <c r="B236" s="1" t="n">
        <v>43696</v>
      </c>
      <c r="C236" s="1" t="n">
        <v>45627</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40810-2019</t>
        </is>
      </c>
      <c r="B237" s="1" t="n">
        <v>43697</v>
      </c>
      <c r="C237" s="1" t="n">
        <v>45627</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41698-2019</t>
        </is>
      </c>
      <c r="B238" s="1" t="n">
        <v>43697</v>
      </c>
      <c r="C238" s="1" t="n">
        <v>45627</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42441-2019</t>
        </is>
      </c>
      <c r="B239" s="1" t="n">
        <v>43697</v>
      </c>
      <c r="C239" s="1" t="n">
        <v>45627</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41436-2019</t>
        </is>
      </c>
      <c r="B240" s="1" t="n">
        <v>43698</v>
      </c>
      <c r="C240" s="1" t="n">
        <v>45627</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41435-2019</t>
        </is>
      </c>
      <c r="B241" s="1" t="n">
        <v>43698</v>
      </c>
      <c r="C241" s="1" t="n">
        <v>45627</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41438-2019</t>
        </is>
      </c>
      <c r="B242" s="1" t="n">
        <v>43698</v>
      </c>
      <c r="C242" s="1" t="n">
        <v>45627</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41621-2019</t>
        </is>
      </c>
      <c r="B243" s="1" t="n">
        <v>43699</v>
      </c>
      <c r="C243" s="1" t="n">
        <v>45627</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42230-2019</t>
        </is>
      </c>
      <c r="B244" s="1" t="n">
        <v>43703</v>
      </c>
      <c r="C244" s="1" t="n">
        <v>45627</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43273-2019</t>
        </is>
      </c>
      <c r="B245" s="1" t="n">
        <v>43704</v>
      </c>
      <c r="C245" s="1" t="n">
        <v>45627</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43897-2019</t>
        </is>
      </c>
      <c r="B246" s="1" t="n">
        <v>43707</v>
      </c>
      <c r="C246" s="1" t="n">
        <v>45627</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44832-2019</t>
        </is>
      </c>
      <c r="B247" s="1" t="n">
        <v>43707</v>
      </c>
      <c r="C247" s="1" t="n">
        <v>45627</v>
      </c>
      <c r="D247" t="inlineStr">
        <is>
          <t>VÄRMLANDS LÄN</t>
        </is>
      </c>
      <c r="E247" t="inlineStr">
        <is>
          <t>TORSBY</t>
        </is>
      </c>
      <c r="G247" t="n">
        <v>27.1</v>
      </c>
      <c r="H247" t="n">
        <v>0</v>
      </c>
      <c r="I247" t="n">
        <v>0</v>
      </c>
      <c r="J247" t="n">
        <v>0</v>
      </c>
      <c r="K247" t="n">
        <v>0</v>
      </c>
      <c r="L247" t="n">
        <v>0</v>
      </c>
      <c r="M247" t="n">
        <v>0</v>
      </c>
      <c r="N247" t="n">
        <v>0</v>
      </c>
      <c r="O247" t="n">
        <v>0</v>
      </c>
      <c r="P247" t="n">
        <v>0</v>
      </c>
      <c r="Q247" t="n">
        <v>0</v>
      </c>
      <c r="R247" s="2" t="inlineStr"/>
    </row>
    <row r="248" ht="15" customHeight="1">
      <c r="A248" t="inlineStr">
        <is>
          <t>A 44708-2019</t>
        </is>
      </c>
      <c r="B248" s="1" t="n">
        <v>43712</v>
      </c>
      <c r="C248" s="1" t="n">
        <v>45627</v>
      </c>
      <c r="D248" t="inlineStr">
        <is>
          <t>VÄRMLANDS LÄN</t>
        </is>
      </c>
      <c r="E248" t="inlineStr">
        <is>
          <t>TORSBY</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44706-2019</t>
        </is>
      </c>
      <c r="B249" s="1" t="n">
        <v>43712</v>
      </c>
      <c r="C249" s="1" t="n">
        <v>45627</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45053-2019</t>
        </is>
      </c>
      <c r="B250" s="1" t="n">
        <v>43713</v>
      </c>
      <c r="C250" s="1" t="n">
        <v>45627</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45083-2019</t>
        </is>
      </c>
      <c r="B251" s="1" t="n">
        <v>43713</v>
      </c>
      <c r="C251" s="1" t="n">
        <v>45627</v>
      </c>
      <c r="D251" t="inlineStr">
        <is>
          <t>VÄRMLANDS LÄN</t>
        </is>
      </c>
      <c r="E251" t="inlineStr">
        <is>
          <t>TORSBY</t>
        </is>
      </c>
      <c r="F251" t="inlineStr">
        <is>
          <t>Bergvik skog väst AB</t>
        </is>
      </c>
      <c r="G251" t="n">
        <v>37.8</v>
      </c>
      <c r="H251" t="n">
        <v>0</v>
      </c>
      <c r="I251" t="n">
        <v>0</v>
      </c>
      <c r="J251" t="n">
        <v>0</v>
      </c>
      <c r="K251" t="n">
        <v>0</v>
      </c>
      <c r="L251" t="n">
        <v>0</v>
      </c>
      <c r="M251" t="n">
        <v>0</v>
      </c>
      <c r="N251" t="n">
        <v>0</v>
      </c>
      <c r="O251" t="n">
        <v>0</v>
      </c>
      <c r="P251" t="n">
        <v>0</v>
      </c>
      <c r="Q251" t="n">
        <v>0</v>
      </c>
      <c r="R251" s="2" t="inlineStr"/>
    </row>
    <row r="252" ht="15" customHeight="1">
      <c r="A252" t="inlineStr">
        <is>
          <t>A 45189-2019</t>
        </is>
      </c>
      <c r="B252" s="1" t="n">
        <v>43713</v>
      </c>
      <c r="C252" s="1" t="n">
        <v>45627</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45068-2019</t>
        </is>
      </c>
      <c r="B253" s="1" t="n">
        <v>43713</v>
      </c>
      <c r="C253" s="1" t="n">
        <v>45627</v>
      </c>
      <c r="D253" t="inlineStr">
        <is>
          <t>VÄRMLANDS LÄN</t>
        </is>
      </c>
      <c r="E253" t="inlineStr">
        <is>
          <t>TORSBY</t>
        </is>
      </c>
      <c r="G253" t="n">
        <v>2.4</v>
      </c>
      <c r="H253" t="n">
        <v>0</v>
      </c>
      <c r="I253" t="n">
        <v>0</v>
      </c>
      <c r="J253" t="n">
        <v>0</v>
      </c>
      <c r="K253" t="n">
        <v>0</v>
      </c>
      <c r="L253" t="n">
        <v>0</v>
      </c>
      <c r="M253" t="n">
        <v>0</v>
      </c>
      <c r="N253" t="n">
        <v>0</v>
      </c>
      <c r="O253" t="n">
        <v>0</v>
      </c>
      <c r="P253" t="n">
        <v>0</v>
      </c>
      <c r="Q253" t="n">
        <v>0</v>
      </c>
      <c r="R253" s="2" t="inlineStr"/>
    </row>
    <row r="254" ht="15" customHeight="1">
      <c r="A254" t="inlineStr">
        <is>
          <t>A 45891-2019</t>
        </is>
      </c>
      <c r="B254" s="1" t="n">
        <v>43717</v>
      </c>
      <c r="C254" s="1" t="n">
        <v>45627</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46738-2019</t>
        </is>
      </c>
      <c r="B255" s="1" t="n">
        <v>43719</v>
      </c>
      <c r="C255" s="1" t="n">
        <v>45627</v>
      </c>
      <c r="D255" t="inlineStr">
        <is>
          <t>VÄRMLANDS LÄN</t>
        </is>
      </c>
      <c r="E255" t="inlineStr">
        <is>
          <t>TORSBY</t>
        </is>
      </c>
      <c r="G255" t="n">
        <v>1.5</v>
      </c>
      <c r="H255" t="n">
        <v>0</v>
      </c>
      <c r="I255" t="n">
        <v>0</v>
      </c>
      <c r="J255" t="n">
        <v>0</v>
      </c>
      <c r="K255" t="n">
        <v>0</v>
      </c>
      <c r="L255" t="n">
        <v>0</v>
      </c>
      <c r="M255" t="n">
        <v>0</v>
      </c>
      <c r="N255" t="n">
        <v>0</v>
      </c>
      <c r="O255" t="n">
        <v>0</v>
      </c>
      <c r="P255" t="n">
        <v>0</v>
      </c>
      <c r="Q255" t="n">
        <v>0</v>
      </c>
      <c r="R255" s="2" t="inlineStr"/>
    </row>
    <row r="256" ht="15" customHeight="1">
      <c r="A256" t="inlineStr">
        <is>
          <t>A 46743-2019</t>
        </is>
      </c>
      <c r="B256" s="1" t="n">
        <v>43719</v>
      </c>
      <c r="C256" s="1" t="n">
        <v>45627</v>
      </c>
      <c r="D256" t="inlineStr">
        <is>
          <t>VÄRMLANDS LÄN</t>
        </is>
      </c>
      <c r="E256" t="inlineStr">
        <is>
          <t>TORSBY</t>
        </is>
      </c>
      <c r="G256" t="n">
        <v>7</v>
      </c>
      <c r="H256" t="n">
        <v>0</v>
      </c>
      <c r="I256" t="n">
        <v>0</v>
      </c>
      <c r="J256" t="n">
        <v>0</v>
      </c>
      <c r="K256" t="n">
        <v>0</v>
      </c>
      <c r="L256" t="n">
        <v>0</v>
      </c>
      <c r="M256" t="n">
        <v>0</v>
      </c>
      <c r="N256" t="n">
        <v>0</v>
      </c>
      <c r="O256" t="n">
        <v>0</v>
      </c>
      <c r="P256" t="n">
        <v>0</v>
      </c>
      <c r="Q256" t="n">
        <v>0</v>
      </c>
      <c r="R256" s="2" t="inlineStr"/>
    </row>
    <row r="257" ht="15" customHeight="1">
      <c r="A257" t="inlineStr">
        <is>
          <t>A 47114-2019</t>
        </is>
      </c>
      <c r="B257" s="1" t="n">
        <v>43720</v>
      </c>
      <c r="C257" s="1" t="n">
        <v>45627</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47214-2019</t>
        </is>
      </c>
      <c r="B258" s="1" t="n">
        <v>43721</v>
      </c>
      <c r="C258" s="1" t="n">
        <v>45627</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47137-2019</t>
        </is>
      </c>
      <c r="B259" s="1" t="n">
        <v>43721</v>
      </c>
      <c r="C259" s="1" t="n">
        <v>45627</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47316-2019</t>
        </is>
      </c>
      <c r="B260" s="1" t="n">
        <v>43721</v>
      </c>
      <c r="C260" s="1" t="n">
        <v>45627</v>
      </c>
      <c r="D260" t="inlineStr">
        <is>
          <t>VÄRMLANDS LÄN</t>
        </is>
      </c>
      <c r="E260" t="inlineStr">
        <is>
          <t>TORSBY</t>
        </is>
      </c>
      <c r="F260" t="inlineStr">
        <is>
          <t>Bergvik skog väst AB</t>
        </is>
      </c>
      <c r="G260" t="n">
        <v>6.6</v>
      </c>
      <c r="H260" t="n">
        <v>0</v>
      </c>
      <c r="I260" t="n">
        <v>0</v>
      </c>
      <c r="J260" t="n">
        <v>0</v>
      </c>
      <c r="K260" t="n">
        <v>0</v>
      </c>
      <c r="L260" t="n">
        <v>0</v>
      </c>
      <c r="M260" t="n">
        <v>0</v>
      </c>
      <c r="N260" t="n">
        <v>0</v>
      </c>
      <c r="O260" t="n">
        <v>0</v>
      </c>
      <c r="P260" t="n">
        <v>0</v>
      </c>
      <c r="Q260" t="n">
        <v>0</v>
      </c>
      <c r="R260" s="2" t="inlineStr"/>
    </row>
    <row r="261" ht="15" customHeight="1">
      <c r="A261" t="inlineStr">
        <is>
          <t>A 47608-2019</t>
        </is>
      </c>
      <c r="B261" s="1" t="n">
        <v>43724</v>
      </c>
      <c r="C261" s="1" t="n">
        <v>45627</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47772-2019</t>
        </is>
      </c>
      <c r="B262" s="1" t="n">
        <v>43724</v>
      </c>
      <c r="C262" s="1" t="n">
        <v>45627</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47648-2019</t>
        </is>
      </c>
      <c r="B263" s="1" t="n">
        <v>43724</v>
      </c>
      <c r="C263" s="1" t="n">
        <v>45627</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47502-2019</t>
        </is>
      </c>
      <c r="B264" s="1" t="n">
        <v>43724</v>
      </c>
      <c r="C264" s="1" t="n">
        <v>45627</v>
      </c>
      <c r="D264" t="inlineStr">
        <is>
          <t>VÄRMLANDS LÄN</t>
        </is>
      </c>
      <c r="E264" t="inlineStr">
        <is>
          <t>TORSBY</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47869-2019</t>
        </is>
      </c>
      <c r="B265" s="1" t="n">
        <v>43725</v>
      </c>
      <c r="C265" s="1" t="n">
        <v>45627</v>
      </c>
      <c r="D265" t="inlineStr">
        <is>
          <t>VÄRMLANDS LÄN</t>
        </is>
      </c>
      <c r="E265" t="inlineStr">
        <is>
          <t>TORSBY</t>
        </is>
      </c>
      <c r="G265" t="n">
        <v>4.7</v>
      </c>
      <c r="H265" t="n">
        <v>0</v>
      </c>
      <c r="I265" t="n">
        <v>0</v>
      </c>
      <c r="J265" t="n">
        <v>0</v>
      </c>
      <c r="K265" t="n">
        <v>0</v>
      </c>
      <c r="L265" t="n">
        <v>0</v>
      </c>
      <c r="M265" t="n">
        <v>0</v>
      </c>
      <c r="N265" t="n">
        <v>0</v>
      </c>
      <c r="O265" t="n">
        <v>0</v>
      </c>
      <c r="P265" t="n">
        <v>0</v>
      </c>
      <c r="Q265" t="n">
        <v>0</v>
      </c>
      <c r="R265" s="2" t="inlineStr"/>
    </row>
    <row r="266" ht="15" customHeight="1">
      <c r="A266" t="inlineStr">
        <is>
          <t>A 47979-2019</t>
        </is>
      </c>
      <c r="B266" s="1" t="n">
        <v>43725</v>
      </c>
      <c r="C266" s="1" t="n">
        <v>45627</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48040-2019</t>
        </is>
      </c>
      <c r="B267" s="1" t="n">
        <v>43725</v>
      </c>
      <c r="C267" s="1" t="n">
        <v>45627</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48346-2019</t>
        </is>
      </c>
      <c r="B268" s="1" t="n">
        <v>43726</v>
      </c>
      <c r="C268" s="1" t="n">
        <v>45627</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48366-2019</t>
        </is>
      </c>
      <c r="B269" s="1" t="n">
        <v>43726</v>
      </c>
      <c r="C269" s="1" t="n">
        <v>45627</v>
      </c>
      <c r="D269" t="inlineStr">
        <is>
          <t>VÄRMLANDS LÄN</t>
        </is>
      </c>
      <c r="E269" t="inlineStr">
        <is>
          <t>TORSBY</t>
        </is>
      </c>
      <c r="G269" t="n">
        <v>2.3</v>
      </c>
      <c r="H269" t="n">
        <v>0</v>
      </c>
      <c r="I269" t="n">
        <v>0</v>
      </c>
      <c r="J269" t="n">
        <v>0</v>
      </c>
      <c r="K269" t="n">
        <v>0</v>
      </c>
      <c r="L269" t="n">
        <v>0</v>
      </c>
      <c r="M269" t="n">
        <v>0</v>
      </c>
      <c r="N269" t="n">
        <v>0</v>
      </c>
      <c r="O269" t="n">
        <v>0</v>
      </c>
      <c r="P269" t="n">
        <v>0</v>
      </c>
      <c r="Q269" t="n">
        <v>0</v>
      </c>
      <c r="R269" s="2" t="inlineStr"/>
    </row>
    <row r="270" ht="15" customHeight="1">
      <c r="A270" t="inlineStr">
        <is>
          <t>A 49550-2019</t>
        </is>
      </c>
      <c r="B270" s="1" t="n">
        <v>43727</v>
      </c>
      <c r="C270" s="1" t="n">
        <v>45627</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51497-2019</t>
        </is>
      </c>
      <c r="B271" s="1" t="n">
        <v>43734</v>
      </c>
      <c r="C271" s="1" t="n">
        <v>45627</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50428-2019</t>
        </is>
      </c>
      <c r="B272" s="1" t="n">
        <v>43735</v>
      </c>
      <c r="C272" s="1" t="n">
        <v>45627</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52319-2019</t>
        </is>
      </c>
      <c r="B273" s="1" t="n">
        <v>43735</v>
      </c>
      <c r="C273" s="1" t="n">
        <v>45627</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52326-2019</t>
        </is>
      </c>
      <c r="B274" s="1" t="n">
        <v>43735</v>
      </c>
      <c r="C274" s="1" t="n">
        <v>45627</v>
      </c>
      <c r="D274" t="inlineStr">
        <is>
          <t>VÄRMLANDS LÄN</t>
        </is>
      </c>
      <c r="E274" t="inlineStr">
        <is>
          <t>TORSBY</t>
        </is>
      </c>
      <c r="G274" t="n">
        <v>6.2</v>
      </c>
      <c r="H274" t="n">
        <v>0</v>
      </c>
      <c r="I274" t="n">
        <v>0</v>
      </c>
      <c r="J274" t="n">
        <v>0</v>
      </c>
      <c r="K274" t="n">
        <v>0</v>
      </c>
      <c r="L274" t="n">
        <v>0</v>
      </c>
      <c r="M274" t="n">
        <v>0</v>
      </c>
      <c r="N274" t="n">
        <v>0</v>
      </c>
      <c r="O274" t="n">
        <v>0</v>
      </c>
      <c r="P274" t="n">
        <v>0</v>
      </c>
      <c r="Q274" t="n">
        <v>0</v>
      </c>
      <c r="R274" s="2" t="inlineStr"/>
    </row>
    <row r="275" ht="15" customHeight="1">
      <c r="A275" t="inlineStr">
        <is>
          <t>A 52317-2019</t>
        </is>
      </c>
      <c r="B275" s="1" t="n">
        <v>43735</v>
      </c>
      <c r="C275" s="1" t="n">
        <v>45627</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51254-2019</t>
        </is>
      </c>
      <c r="B276" s="1" t="n">
        <v>43739</v>
      </c>
      <c r="C276" s="1" t="n">
        <v>45627</v>
      </c>
      <c r="D276" t="inlineStr">
        <is>
          <t>VÄRMLANDS LÄN</t>
        </is>
      </c>
      <c r="E276" t="inlineStr">
        <is>
          <t>TORSBY</t>
        </is>
      </c>
      <c r="F276" t="inlineStr">
        <is>
          <t>Bergvik skog väst AB</t>
        </is>
      </c>
      <c r="G276" t="n">
        <v>4.5</v>
      </c>
      <c r="H276" t="n">
        <v>0</v>
      </c>
      <c r="I276" t="n">
        <v>0</v>
      </c>
      <c r="J276" t="n">
        <v>0</v>
      </c>
      <c r="K276" t="n">
        <v>0</v>
      </c>
      <c r="L276" t="n">
        <v>0</v>
      </c>
      <c r="M276" t="n">
        <v>0</v>
      </c>
      <c r="N276" t="n">
        <v>0</v>
      </c>
      <c r="O276" t="n">
        <v>0</v>
      </c>
      <c r="P276" t="n">
        <v>0</v>
      </c>
      <c r="Q276" t="n">
        <v>0</v>
      </c>
      <c r="R276" s="2" t="inlineStr"/>
    </row>
    <row r="277" ht="15" customHeight="1">
      <c r="A277" t="inlineStr">
        <is>
          <t>A 52186-2019</t>
        </is>
      </c>
      <c r="B277" s="1" t="n">
        <v>43742</v>
      </c>
      <c r="C277" s="1" t="n">
        <v>45627</v>
      </c>
      <c r="D277" t="inlineStr">
        <is>
          <t>VÄRMLANDS LÄN</t>
        </is>
      </c>
      <c r="E277" t="inlineStr">
        <is>
          <t>TORSBY</t>
        </is>
      </c>
      <c r="G277" t="n">
        <v>3.6</v>
      </c>
      <c r="H277" t="n">
        <v>0</v>
      </c>
      <c r="I277" t="n">
        <v>0</v>
      </c>
      <c r="J277" t="n">
        <v>0</v>
      </c>
      <c r="K277" t="n">
        <v>0</v>
      </c>
      <c r="L277" t="n">
        <v>0</v>
      </c>
      <c r="M277" t="n">
        <v>0</v>
      </c>
      <c r="N277" t="n">
        <v>0</v>
      </c>
      <c r="O277" t="n">
        <v>0</v>
      </c>
      <c r="P277" t="n">
        <v>0</v>
      </c>
      <c r="Q277" t="n">
        <v>0</v>
      </c>
      <c r="R277" s="2" t="inlineStr"/>
    </row>
    <row r="278" ht="15" customHeight="1">
      <c r="A278" t="inlineStr">
        <is>
          <t>A 52311-2019</t>
        </is>
      </c>
      <c r="B278" s="1" t="n">
        <v>43745</v>
      </c>
      <c r="C278" s="1" t="n">
        <v>45627</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52674-2019</t>
        </is>
      </c>
      <c r="B279" s="1" t="n">
        <v>43746</v>
      </c>
      <c r="C279" s="1" t="n">
        <v>45627</v>
      </c>
      <c r="D279" t="inlineStr">
        <is>
          <t>VÄRMLANDS LÄN</t>
        </is>
      </c>
      <c r="E279" t="inlineStr">
        <is>
          <t>TORSBY</t>
        </is>
      </c>
      <c r="F279" t="inlineStr">
        <is>
          <t>Bergvik skog väst AB</t>
        </is>
      </c>
      <c r="G279" t="n">
        <v>26.4</v>
      </c>
      <c r="H279" t="n">
        <v>0</v>
      </c>
      <c r="I279" t="n">
        <v>0</v>
      </c>
      <c r="J279" t="n">
        <v>0</v>
      </c>
      <c r="K279" t="n">
        <v>0</v>
      </c>
      <c r="L279" t="n">
        <v>0</v>
      </c>
      <c r="M279" t="n">
        <v>0</v>
      </c>
      <c r="N279" t="n">
        <v>0</v>
      </c>
      <c r="O279" t="n">
        <v>0</v>
      </c>
      <c r="P279" t="n">
        <v>0</v>
      </c>
      <c r="Q279" t="n">
        <v>0</v>
      </c>
      <c r="R279" s="2" t="inlineStr"/>
    </row>
    <row r="280" ht="15" customHeight="1">
      <c r="A280" t="inlineStr">
        <is>
          <t>A 52885-2019</t>
        </is>
      </c>
      <c r="B280" s="1" t="n">
        <v>43746</v>
      </c>
      <c r="C280" s="1" t="n">
        <v>45627</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53271-2019</t>
        </is>
      </c>
      <c r="B281" s="1" t="n">
        <v>43748</v>
      </c>
      <c r="C281" s="1" t="n">
        <v>45627</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54764-2019</t>
        </is>
      </c>
      <c r="B282" s="1" t="n">
        <v>43748</v>
      </c>
      <c r="C282" s="1" t="n">
        <v>45627</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53635-2019</t>
        </is>
      </c>
      <c r="B283" s="1" t="n">
        <v>43749</v>
      </c>
      <c r="C283" s="1" t="n">
        <v>45627</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53746-2019</t>
        </is>
      </c>
      <c r="B284" s="1" t="n">
        <v>43749</v>
      </c>
      <c r="C284" s="1" t="n">
        <v>45627</v>
      </c>
      <c r="D284" t="inlineStr">
        <is>
          <t>VÄRMLANDS LÄN</t>
        </is>
      </c>
      <c r="E284" t="inlineStr">
        <is>
          <t>TORSBY</t>
        </is>
      </c>
      <c r="G284" t="n">
        <v>0.3</v>
      </c>
      <c r="H284" t="n">
        <v>0</v>
      </c>
      <c r="I284" t="n">
        <v>0</v>
      </c>
      <c r="J284" t="n">
        <v>0</v>
      </c>
      <c r="K284" t="n">
        <v>0</v>
      </c>
      <c r="L284" t="n">
        <v>0</v>
      </c>
      <c r="M284" t="n">
        <v>0</v>
      </c>
      <c r="N284" t="n">
        <v>0</v>
      </c>
      <c r="O284" t="n">
        <v>0</v>
      </c>
      <c r="P284" t="n">
        <v>0</v>
      </c>
      <c r="Q284" t="n">
        <v>0</v>
      </c>
      <c r="R284" s="2" t="inlineStr"/>
    </row>
    <row r="285" ht="15" customHeight="1">
      <c r="A285" t="inlineStr">
        <is>
          <t>A 53744-2019</t>
        </is>
      </c>
      <c r="B285" s="1" t="n">
        <v>43749</v>
      </c>
      <c r="C285" s="1" t="n">
        <v>45627</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54437-2019</t>
        </is>
      </c>
      <c r="B286" s="1" t="n">
        <v>43754</v>
      </c>
      <c r="C286" s="1" t="n">
        <v>45627</v>
      </c>
      <c r="D286" t="inlineStr">
        <is>
          <t>VÄRMLANDS LÄN</t>
        </is>
      </c>
      <c r="E286" t="inlineStr">
        <is>
          <t>TORSBY</t>
        </is>
      </c>
      <c r="G286" t="n">
        <v>1.5</v>
      </c>
      <c r="H286" t="n">
        <v>0</v>
      </c>
      <c r="I286" t="n">
        <v>0</v>
      </c>
      <c r="J286" t="n">
        <v>0</v>
      </c>
      <c r="K286" t="n">
        <v>0</v>
      </c>
      <c r="L286" t="n">
        <v>0</v>
      </c>
      <c r="M286" t="n">
        <v>0</v>
      </c>
      <c r="N286" t="n">
        <v>0</v>
      </c>
      <c r="O286" t="n">
        <v>0</v>
      </c>
      <c r="P286" t="n">
        <v>0</v>
      </c>
      <c r="Q286" t="n">
        <v>0</v>
      </c>
      <c r="R286" s="2" t="inlineStr"/>
    </row>
    <row r="287" ht="15" customHeight="1">
      <c r="A287" t="inlineStr">
        <is>
          <t>A 56256-2019</t>
        </is>
      </c>
      <c r="B287" s="1" t="n">
        <v>43756</v>
      </c>
      <c r="C287" s="1" t="n">
        <v>45627</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55988-2019</t>
        </is>
      </c>
      <c r="B288" s="1" t="n">
        <v>43759</v>
      </c>
      <c r="C288" s="1" t="n">
        <v>45627</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56704-2019</t>
        </is>
      </c>
      <c r="B289" s="1" t="n">
        <v>43759</v>
      </c>
      <c r="C289" s="1" t="n">
        <v>45627</v>
      </c>
      <c r="D289" t="inlineStr">
        <is>
          <t>VÄRMLANDS LÄN</t>
        </is>
      </c>
      <c r="E289" t="inlineStr">
        <is>
          <t>TORSBY</t>
        </is>
      </c>
      <c r="G289" t="n">
        <v>2.6</v>
      </c>
      <c r="H289" t="n">
        <v>0</v>
      </c>
      <c r="I289" t="n">
        <v>0</v>
      </c>
      <c r="J289" t="n">
        <v>0</v>
      </c>
      <c r="K289" t="n">
        <v>0</v>
      </c>
      <c r="L289" t="n">
        <v>0</v>
      </c>
      <c r="M289" t="n">
        <v>0</v>
      </c>
      <c r="N289" t="n">
        <v>0</v>
      </c>
      <c r="O289" t="n">
        <v>0</v>
      </c>
      <c r="P289" t="n">
        <v>0</v>
      </c>
      <c r="Q289" t="n">
        <v>0</v>
      </c>
      <c r="R289" s="2" t="inlineStr"/>
    </row>
    <row r="290" ht="15" customHeight="1">
      <c r="A290" t="inlineStr">
        <is>
          <t>A 55927-2019</t>
        </is>
      </c>
      <c r="B290" s="1" t="n">
        <v>43761</v>
      </c>
      <c r="C290" s="1" t="n">
        <v>45627</v>
      </c>
      <c r="D290" t="inlineStr">
        <is>
          <t>VÄRMLANDS LÄN</t>
        </is>
      </c>
      <c r="E290" t="inlineStr">
        <is>
          <t>TORSBY</t>
        </is>
      </c>
      <c r="G290" t="n">
        <v>2.8</v>
      </c>
      <c r="H290" t="n">
        <v>0</v>
      </c>
      <c r="I290" t="n">
        <v>0</v>
      </c>
      <c r="J290" t="n">
        <v>0</v>
      </c>
      <c r="K290" t="n">
        <v>0</v>
      </c>
      <c r="L290" t="n">
        <v>0</v>
      </c>
      <c r="M290" t="n">
        <v>0</v>
      </c>
      <c r="N290" t="n">
        <v>0</v>
      </c>
      <c r="O290" t="n">
        <v>0</v>
      </c>
      <c r="P290" t="n">
        <v>0</v>
      </c>
      <c r="Q290" t="n">
        <v>0</v>
      </c>
      <c r="R290" s="2" t="inlineStr"/>
    </row>
    <row r="291" ht="15" customHeight="1">
      <c r="A291" t="inlineStr">
        <is>
          <t>A 56021-2019</t>
        </is>
      </c>
      <c r="B291" s="1" t="n">
        <v>43761</v>
      </c>
      <c r="C291" s="1" t="n">
        <v>45627</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56305-2019</t>
        </is>
      </c>
      <c r="B292" s="1" t="n">
        <v>43762</v>
      </c>
      <c r="C292" s="1" t="n">
        <v>45627</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56594-2019</t>
        </is>
      </c>
      <c r="B293" s="1" t="n">
        <v>43763</v>
      </c>
      <c r="C293" s="1" t="n">
        <v>45627</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56633-2019</t>
        </is>
      </c>
      <c r="B294" s="1" t="n">
        <v>43763</v>
      </c>
      <c r="C294" s="1" t="n">
        <v>45627</v>
      </c>
      <c r="D294" t="inlineStr">
        <is>
          <t>VÄRMLANDS LÄN</t>
        </is>
      </c>
      <c r="E294" t="inlineStr">
        <is>
          <t>TORSBY</t>
        </is>
      </c>
      <c r="G294" t="n">
        <v>1.6</v>
      </c>
      <c r="H294" t="n">
        <v>0</v>
      </c>
      <c r="I294" t="n">
        <v>0</v>
      </c>
      <c r="J294" t="n">
        <v>0</v>
      </c>
      <c r="K294" t="n">
        <v>0</v>
      </c>
      <c r="L294" t="n">
        <v>0</v>
      </c>
      <c r="M294" t="n">
        <v>0</v>
      </c>
      <c r="N294" t="n">
        <v>0</v>
      </c>
      <c r="O294" t="n">
        <v>0</v>
      </c>
      <c r="P294" t="n">
        <v>0</v>
      </c>
      <c r="Q294" t="n">
        <v>0</v>
      </c>
      <c r="R294" s="2" t="inlineStr"/>
    </row>
    <row r="295" ht="15" customHeight="1">
      <c r="A295" t="inlineStr">
        <is>
          <t>A 56824-2019</t>
        </is>
      </c>
      <c r="B295" s="1" t="n">
        <v>43764</v>
      </c>
      <c r="C295" s="1" t="n">
        <v>45627</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56935-2019</t>
        </is>
      </c>
      <c r="B296" s="1" t="n">
        <v>43766</v>
      </c>
      <c r="C296" s="1" t="n">
        <v>45627</v>
      </c>
      <c r="D296" t="inlineStr">
        <is>
          <t>VÄRMLANDS LÄN</t>
        </is>
      </c>
      <c r="E296" t="inlineStr">
        <is>
          <t>TORSBY</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57399-2019</t>
        </is>
      </c>
      <c r="B297" s="1" t="n">
        <v>43767</v>
      </c>
      <c r="C297" s="1" t="n">
        <v>45627</v>
      </c>
      <c r="D297" t="inlineStr">
        <is>
          <t>VÄRMLANDS LÄN</t>
        </is>
      </c>
      <c r="E297" t="inlineStr">
        <is>
          <t>TORSBY</t>
        </is>
      </c>
      <c r="F297" t="inlineStr">
        <is>
          <t>Bergvik skog väst AB</t>
        </is>
      </c>
      <c r="G297" t="n">
        <v>18.9</v>
      </c>
      <c r="H297" t="n">
        <v>0</v>
      </c>
      <c r="I297" t="n">
        <v>0</v>
      </c>
      <c r="J297" t="n">
        <v>0</v>
      </c>
      <c r="K297" t="n">
        <v>0</v>
      </c>
      <c r="L297" t="n">
        <v>0</v>
      </c>
      <c r="M297" t="n">
        <v>0</v>
      </c>
      <c r="N297" t="n">
        <v>0</v>
      </c>
      <c r="O297" t="n">
        <v>0</v>
      </c>
      <c r="P297" t="n">
        <v>0</v>
      </c>
      <c r="Q297" t="n">
        <v>0</v>
      </c>
      <c r="R297" s="2" t="inlineStr"/>
    </row>
    <row r="298" ht="15" customHeight="1">
      <c r="A298" t="inlineStr">
        <is>
          <t>A 57251-2019</t>
        </is>
      </c>
      <c r="B298" s="1" t="n">
        <v>43767</v>
      </c>
      <c r="C298" s="1" t="n">
        <v>45627</v>
      </c>
      <c r="D298" t="inlineStr">
        <is>
          <t>VÄRMLANDS LÄN</t>
        </is>
      </c>
      <c r="E298" t="inlineStr">
        <is>
          <t>TORSBY</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57301-2019</t>
        </is>
      </c>
      <c r="B299" s="1" t="n">
        <v>43767</v>
      </c>
      <c r="C299" s="1" t="n">
        <v>45627</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57268-2019</t>
        </is>
      </c>
      <c r="B300" s="1" t="n">
        <v>43767</v>
      </c>
      <c r="C300" s="1" t="n">
        <v>45627</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58530-2019</t>
        </is>
      </c>
      <c r="B301" s="1" t="n">
        <v>43767</v>
      </c>
      <c r="C301" s="1" t="n">
        <v>45627</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57223-2019</t>
        </is>
      </c>
      <c r="B302" s="1" t="n">
        <v>43767</v>
      </c>
      <c r="C302" s="1" t="n">
        <v>45627</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57566-2019</t>
        </is>
      </c>
      <c r="B303" s="1" t="n">
        <v>43768</v>
      </c>
      <c r="C303" s="1" t="n">
        <v>45627</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57704-2019</t>
        </is>
      </c>
      <c r="B304" s="1" t="n">
        <v>43768</v>
      </c>
      <c r="C304" s="1" t="n">
        <v>45627</v>
      </c>
      <c r="D304" t="inlineStr">
        <is>
          <t>VÄRMLANDS LÄN</t>
        </is>
      </c>
      <c r="E304" t="inlineStr">
        <is>
          <t>TORSBY</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57565-2019</t>
        </is>
      </c>
      <c r="B305" s="1" t="n">
        <v>43768</v>
      </c>
      <c r="C305" s="1" t="n">
        <v>45627</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58004-2019</t>
        </is>
      </c>
      <c r="B306" s="1" t="n">
        <v>43769</v>
      </c>
      <c r="C306" s="1" t="n">
        <v>45627</v>
      </c>
      <c r="D306" t="inlineStr">
        <is>
          <t>VÄRMLANDS LÄN</t>
        </is>
      </c>
      <c r="E306" t="inlineStr">
        <is>
          <t>TORSBY</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58678-2019</t>
        </is>
      </c>
      <c r="B307" s="1" t="n">
        <v>43773</v>
      </c>
      <c r="C307" s="1" t="n">
        <v>45627</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59127-2019</t>
        </is>
      </c>
      <c r="B308" s="1" t="n">
        <v>43775</v>
      </c>
      <c r="C308" s="1" t="n">
        <v>45627</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59593-2019</t>
        </is>
      </c>
      <c r="B309" s="1" t="n">
        <v>43776</v>
      </c>
      <c r="C309" s="1" t="n">
        <v>45627</v>
      </c>
      <c r="D309" t="inlineStr">
        <is>
          <t>VÄRMLANDS LÄN</t>
        </is>
      </c>
      <c r="E309" t="inlineStr">
        <is>
          <t>TORSBY</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60545-2019</t>
        </is>
      </c>
      <c r="B310" s="1" t="n">
        <v>43781</v>
      </c>
      <c r="C310" s="1" t="n">
        <v>45627</v>
      </c>
      <c r="D310" t="inlineStr">
        <is>
          <t>VÄRMLANDS LÄN</t>
        </is>
      </c>
      <c r="E310" t="inlineStr">
        <is>
          <t>TORSBY</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61074-2019</t>
        </is>
      </c>
      <c r="B311" s="1" t="n">
        <v>43782</v>
      </c>
      <c r="C311" s="1" t="n">
        <v>45627</v>
      </c>
      <c r="D311" t="inlineStr">
        <is>
          <t>VÄRMLANDS LÄN</t>
        </is>
      </c>
      <c r="E311" t="inlineStr">
        <is>
          <t>TORSBY</t>
        </is>
      </c>
      <c r="G311" t="n">
        <v>6.4</v>
      </c>
      <c r="H311" t="n">
        <v>0</v>
      </c>
      <c r="I311" t="n">
        <v>0</v>
      </c>
      <c r="J311" t="n">
        <v>0</v>
      </c>
      <c r="K311" t="n">
        <v>0</v>
      </c>
      <c r="L311" t="n">
        <v>0</v>
      </c>
      <c r="M311" t="n">
        <v>0</v>
      </c>
      <c r="N311" t="n">
        <v>0</v>
      </c>
      <c r="O311" t="n">
        <v>0</v>
      </c>
      <c r="P311" t="n">
        <v>0</v>
      </c>
      <c r="Q311" t="n">
        <v>0</v>
      </c>
      <c r="R311" s="2" t="inlineStr"/>
    </row>
    <row r="312" ht="15" customHeight="1">
      <c r="A312" t="inlineStr">
        <is>
          <t>A 62050-2019</t>
        </is>
      </c>
      <c r="B312" s="1" t="n">
        <v>43787</v>
      </c>
      <c r="C312" s="1" t="n">
        <v>45627</v>
      </c>
      <c r="D312" t="inlineStr">
        <is>
          <t>VÄRMLANDS LÄN</t>
        </is>
      </c>
      <c r="E312" t="inlineStr">
        <is>
          <t>TORSBY</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61958-2019</t>
        </is>
      </c>
      <c r="B313" s="1" t="n">
        <v>43787</v>
      </c>
      <c r="C313" s="1" t="n">
        <v>45627</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62255-2019</t>
        </is>
      </c>
      <c r="B314" s="1" t="n">
        <v>43788</v>
      </c>
      <c r="C314" s="1" t="n">
        <v>45627</v>
      </c>
      <c r="D314" t="inlineStr">
        <is>
          <t>VÄRMLANDS LÄN</t>
        </is>
      </c>
      <c r="E314" t="inlineStr">
        <is>
          <t>TORSBY</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62286-2019</t>
        </is>
      </c>
      <c r="B315" s="1" t="n">
        <v>43788</v>
      </c>
      <c r="C315" s="1" t="n">
        <v>45627</v>
      </c>
      <c r="D315" t="inlineStr">
        <is>
          <t>VÄRMLANDS LÄN</t>
        </is>
      </c>
      <c r="E315" t="inlineStr">
        <is>
          <t>TORSBY</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63743-2019</t>
        </is>
      </c>
      <c r="B316" s="1" t="n">
        <v>43795</v>
      </c>
      <c r="C316" s="1" t="n">
        <v>45627</v>
      </c>
      <c r="D316" t="inlineStr">
        <is>
          <t>VÄRMLANDS LÄN</t>
        </is>
      </c>
      <c r="E316" t="inlineStr">
        <is>
          <t>TORSBY</t>
        </is>
      </c>
      <c r="F316" t="inlineStr">
        <is>
          <t>Bergvik skog väst AB</t>
        </is>
      </c>
      <c r="G316" t="n">
        <v>6.3</v>
      </c>
      <c r="H316" t="n">
        <v>0</v>
      </c>
      <c r="I316" t="n">
        <v>0</v>
      </c>
      <c r="J316" t="n">
        <v>0</v>
      </c>
      <c r="K316" t="n">
        <v>0</v>
      </c>
      <c r="L316" t="n">
        <v>0</v>
      </c>
      <c r="M316" t="n">
        <v>0</v>
      </c>
      <c r="N316" t="n">
        <v>0</v>
      </c>
      <c r="O316" t="n">
        <v>0</v>
      </c>
      <c r="P316" t="n">
        <v>0</v>
      </c>
      <c r="Q316" t="n">
        <v>0</v>
      </c>
      <c r="R316" s="2" t="inlineStr"/>
    </row>
    <row r="317" ht="15" customHeight="1">
      <c r="A317" t="inlineStr">
        <is>
          <t>A 64114-2019</t>
        </is>
      </c>
      <c r="B317" s="1" t="n">
        <v>43796</v>
      </c>
      <c r="C317" s="1" t="n">
        <v>45627</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64444-2019</t>
        </is>
      </c>
      <c r="B318" s="1" t="n">
        <v>43797</v>
      </c>
      <c r="C318" s="1" t="n">
        <v>45627</v>
      </c>
      <c r="D318" t="inlineStr">
        <is>
          <t>VÄRMLANDS LÄN</t>
        </is>
      </c>
      <c r="E318" t="inlineStr">
        <is>
          <t>TORSBY</t>
        </is>
      </c>
      <c r="G318" t="n">
        <v>3.5</v>
      </c>
      <c r="H318" t="n">
        <v>0</v>
      </c>
      <c r="I318" t="n">
        <v>0</v>
      </c>
      <c r="J318" t="n">
        <v>0</v>
      </c>
      <c r="K318" t="n">
        <v>0</v>
      </c>
      <c r="L318" t="n">
        <v>0</v>
      </c>
      <c r="M318" t="n">
        <v>0</v>
      </c>
      <c r="N318" t="n">
        <v>0</v>
      </c>
      <c r="O318" t="n">
        <v>0</v>
      </c>
      <c r="P318" t="n">
        <v>0</v>
      </c>
      <c r="Q318" t="n">
        <v>0</v>
      </c>
      <c r="R318" s="2" t="inlineStr"/>
    </row>
    <row r="319" ht="15" customHeight="1">
      <c r="A319" t="inlineStr">
        <is>
          <t>A 65187-2019</t>
        </is>
      </c>
      <c r="B319" s="1" t="n">
        <v>43797</v>
      </c>
      <c r="C319" s="1" t="n">
        <v>45627</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65243-2019</t>
        </is>
      </c>
      <c r="B320" s="1" t="n">
        <v>43797</v>
      </c>
      <c r="C320" s="1" t="n">
        <v>45627</v>
      </c>
      <c r="D320" t="inlineStr">
        <is>
          <t>VÄRMLANDS LÄN</t>
        </is>
      </c>
      <c r="E320" t="inlineStr">
        <is>
          <t>TORSBY</t>
        </is>
      </c>
      <c r="F320" t="inlineStr">
        <is>
          <t>Övriga statliga verk och myndigheter</t>
        </is>
      </c>
      <c r="G320" t="n">
        <v>20.3</v>
      </c>
      <c r="H320" t="n">
        <v>0</v>
      </c>
      <c r="I320" t="n">
        <v>0</v>
      </c>
      <c r="J320" t="n">
        <v>0</v>
      </c>
      <c r="K320" t="n">
        <v>0</v>
      </c>
      <c r="L320" t="n">
        <v>0</v>
      </c>
      <c r="M320" t="n">
        <v>0</v>
      </c>
      <c r="N320" t="n">
        <v>0</v>
      </c>
      <c r="O320" t="n">
        <v>0</v>
      </c>
      <c r="P320" t="n">
        <v>0</v>
      </c>
      <c r="Q320" t="n">
        <v>0</v>
      </c>
      <c r="R320" s="2" t="inlineStr"/>
    </row>
    <row r="321" ht="15" customHeight="1">
      <c r="A321" t="inlineStr">
        <is>
          <t>A 64803-2019</t>
        </is>
      </c>
      <c r="B321" s="1" t="n">
        <v>43801</v>
      </c>
      <c r="C321" s="1" t="n">
        <v>45627</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65132-2019</t>
        </is>
      </c>
      <c r="B322" s="1" t="n">
        <v>43802</v>
      </c>
      <c r="C322" s="1" t="n">
        <v>45627</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65076-2019</t>
        </is>
      </c>
      <c r="B323" s="1" t="n">
        <v>43802</v>
      </c>
      <c r="C323" s="1" t="n">
        <v>45627</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65465-2019</t>
        </is>
      </c>
      <c r="B324" s="1" t="n">
        <v>43803</v>
      </c>
      <c r="C324" s="1" t="n">
        <v>45627</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65914-2019</t>
        </is>
      </c>
      <c r="B325" s="1" t="n">
        <v>43805</v>
      </c>
      <c r="C325" s="1" t="n">
        <v>45627</v>
      </c>
      <c r="D325" t="inlineStr">
        <is>
          <t>VÄRMLANDS LÄN</t>
        </is>
      </c>
      <c r="E325" t="inlineStr">
        <is>
          <t>TORSBY</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67527-2019</t>
        </is>
      </c>
      <c r="B326" s="1" t="n">
        <v>43808</v>
      </c>
      <c r="C326" s="1" t="n">
        <v>45627</v>
      </c>
      <c r="D326" t="inlineStr">
        <is>
          <t>VÄRMLANDS LÄN</t>
        </is>
      </c>
      <c r="E326" t="inlineStr">
        <is>
          <t>TORSBY</t>
        </is>
      </c>
      <c r="G326" t="n">
        <v>1.2</v>
      </c>
      <c r="H326" t="n">
        <v>0</v>
      </c>
      <c r="I326" t="n">
        <v>0</v>
      </c>
      <c r="J326" t="n">
        <v>0</v>
      </c>
      <c r="K326" t="n">
        <v>0</v>
      </c>
      <c r="L326" t="n">
        <v>0</v>
      </c>
      <c r="M326" t="n">
        <v>0</v>
      </c>
      <c r="N326" t="n">
        <v>0</v>
      </c>
      <c r="O326" t="n">
        <v>0</v>
      </c>
      <c r="P326" t="n">
        <v>0</v>
      </c>
      <c r="Q326" t="n">
        <v>0</v>
      </c>
      <c r="R326" s="2" t="inlineStr"/>
    </row>
    <row r="327" ht="15" customHeight="1">
      <c r="A327" t="inlineStr">
        <is>
          <t>A 66690-2019</t>
        </is>
      </c>
      <c r="B327" s="1" t="n">
        <v>43809</v>
      </c>
      <c r="C327" s="1" t="n">
        <v>45627</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66689-2019</t>
        </is>
      </c>
      <c r="B328" s="1" t="n">
        <v>43809</v>
      </c>
      <c r="C328" s="1" t="n">
        <v>45627</v>
      </c>
      <c r="D328" t="inlineStr">
        <is>
          <t>VÄRMLANDS LÄN</t>
        </is>
      </c>
      <c r="E328" t="inlineStr">
        <is>
          <t>TORSBY</t>
        </is>
      </c>
      <c r="G328" t="n">
        <v>1.7</v>
      </c>
      <c r="H328" t="n">
        <v>0</v>
      </c>
      <c r="I328" t="n">
        <v>0</v>
      </c>
      <c r="J328" t="n">
        <v>0</v>
      </c>
      <c r="K328" t="n">
        <v>0</v>
      </c>
      <c r="L328" t="n">
        <v>0</v>
      </c>
      <c r="M328" t="n">
        <v>0</v>
      </c>
      <c r="N328" t="n">
        <v>0</v>
      </c>
      <c r="O328" t="n">
        <v>0</v>
      </c>
      <c r="P328" t="n">
        <v>0</v>
      </c>
      <c r="Q328" t="n">
        <v>0</v>
      </c>
      <c r="R328" s="2" t="inlineStr"/>
    </row>
    <row r="329" ht="15" customHeight="1">
      <c r="A329" t="inlineStr">
        <is>
          <t>A 67686-2019</t>
        </is>
      </c>
      <c r="B329" s="1" t="n">
        <v>43809</v>
      </c>
      <c r="C329" s="1" t="n">
        <v>45627</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66688-2019</t>
        </is>
      </c>
      <c r="B330" s="1" t="n">
        <v>43809</v>
      </c>
      <c r="C330" s="1" t="n">
        <v>45627</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67690-2019</t>
        </is>
      </c>
      <c r="B331" s="1" t="n">
        <v>43809</v>
      </c>
      <c r="C331" s="1" t="n">
        <v>45627</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67671-2019</t>
        </is>
      </c>
      <c r="B332" s="1" t="n">
        <v>43810</v>
      </c>
      <c r="C332" s="1" t="n">
        <v>45627</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67728-2019</t>
        </is>
      </c>
      <c r="B333" s="1" t="n">
        <v>43815</v>
      </c>
      <c r="C333" s="1" t="n">
        <v>45627</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68354-2019</t>
        </is>
      </c>
      <c r="B334" s="1" t="n">
        <v>43818</v>
      </c>
      <c r="C334" s="1" t="n">
        <v>45627</v>
      </c>
      <c r="D334" t="inlineStr">
        <is>
          <t>VÄRMLANDS LÄN</t>
        </is>
      </c>
      <c r="E334" t="inlineStr">
        <is>
          <t>TORSBY</t>
        </is>
      </c>
      <c r="G334" t="n">
        <v>61.1</v>
      </c>
      <c r="H334" t="n">
        <v>0</v>
      </c>
      <c r="I334" t="n">
        <v>0</v>
      </c>
      <c r="J334" t="n">
        <v>0</v>
      </c>
      <c r="K334" t="n">
        <v>0</v>
      </c>
      <c r="L334" t="n">
        <v>0</v>
      </c>
      <c r="M334" t="n">
        <v>0</v>
      </c>
      <c r="N334" t="n">
        <v>0</v>
      </c>
      <c r="O334" t="n">
        <v>0</v>
      </c>
      <c r="P334" t="n">
        <v>0</v>
      </c>
      <c r="Q334" t="n">
        <v>0</v>
      </c>
      <c r="R334" s="2" t="inlineStr"/>
    </row>
    <row r="335" ht="15" customHeight="1">
      <c r="A335" t="inlineStr">
        <is>
          <t>A 68360-2019</t>
        </is>
      </c>
      <c r="B335" s="1" t="n">
        <v>43818</v>
      </c>
      <c r="C335" s="1" t="n">
        <v>45627</v>
      </c>
      <c r="D335" t="inlineStr">
        <is>
          <t>VÄRMLANDS LÄN</t>
        </is>
      </c>
      <c r="E335" t="inlineStr">
        <is>
          <t>TORSBY</t>
        </is>
      </c>
      <c r="G335" t="n">
        <v>9</v>
      </c>
      <c r="H335" t="n">
        <v>0</v>
      </c>
      <c r="I335" t="n">
        <v>0</v>
      </c>
      <c r="J335" t="n">
        <v>0</v>
      </c>
      <c r="K335" t="n">
        <v>0</v>
      </c>
      <c r="L335" t="n">
        <v>0</v>
      </c>
      <c r="M335" t="n">
        <v>0</v>
      </c>
      <c r="N335" t="n">
        <v>0</v>
      </c>
      <c r="O335" t="n">
        <v>0</v>
      </c>
      <c r="P335" t="n">
        <v>0</v>
      </c>
      <c r="Q335" t="n">
        <v>0</v>
      </c>
      <c r="R335" s="2" t="inlineStr"/>
    </row>
    <row r="336" ht="15" customHeight="1">
      <c r="A336" t="inlineStr">
        <is>
          <t>A 68553-2019</t>
        </is>
      </c>
      <c r="B336" s="1" t="n">
        <v>43818</v>
      </c>
      <c r="C336" s="1" t="n">
        <v>45627</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140-2020</t>
        </is>
      </c>
      <c r="B337" s="1" t="n">
        <v>43833</v>
      </c>
      <c r="C337" s="1" t="n">
        <v>45627</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338-2020</t>
        </is>
      </c>
      <c r="B338" s="1" t="n">
        <v>43837</v>
      </c>
      <c r="C338" s="1" t="n">
        <v>45627</v>
      </c>
      <c r="D338" t="inlineStr">
        <is>
          <t>VÄRMLANDS LÄN</t>
        </is>
      </c>
      <c r="E338" t="inlineStr">
        <is>
          <t>TORSBY</t>
        </is>
      </c>
      <c r="G338" t="n">
        <v>3.2</v>
      </c>
      <c r="H338" t="n">
        <v>0</v>
      </c>
      <c r="I338" t="n">
        <v>0</v>
      </c>
      <c r="J338" t="n">
        <v>0</v>
      </c>
      <c r="K338" t="n">
        <v>0</v>
      </c>
      <c r="L338" t="n">
        <v>0</v>
      </c>
      <c r="M338" t="n">
        <v>0</v>
      </c>
      <c r="N338" t="n">
        <v>0</v>
      </c>
      <c r="O338" t="n">
        <v>0</v>
      </c>
      <c r="P338" t="n">
        <v>0</v>
      </c>
      <c r="Q338" t="n">
        <v>0</v>
      </c>
      <c r="R338" s="2" t="inlineStr"/>
    </row>
    <row r="339" ht="15" customHeight="1">
      <c r="A339" t="inlineStr">
        <is>
          <t>A 388-2020</t>
        </is>
      </c>
      <c r="B339" s="1" t="n">
        <v>43837</v>
      </c>
      <c r="C339" s="1" t="n">
        <v>45627</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3263-2020</t>
        </is>
      </c>
      <c r="B340" s="1" t="n">
        <v>43844</v>
      </c>
      <c r="C340" s="1" t="n">
        <v>45627</v>
      </c>
      <c r="D340" t="inlineStr">
        <is>
          <t>VÄRMLANDS LÄN</t>
        </is>
      </c>
      <c r="E340" t="inlineStr">
        <is>
          <t>TORSBY</t>
        </is>
      </c>
      <c r="G340" t="n">
        <v>14.7</v>
      </c>
      <c r="H340" t="n">
        <v>0</v>
      </c>
      <c r="I340" t="n">
        <v>0</v>
      </c>
      <c r="J340" t="n">
        <v>0</v>
      </c>
      <c r="K340" t="n">
        <v>0</v>
      </c>
      <c r="L340" t="n">
        <v>0</v>
      </c>
      <c r="M340" t="n">
        <v>0</v>
      </c>
      <c r="N340" t="n">
        <v>0</v>
      </c>
      <c r="O340" t="n">
        <v>0</v>
      </c>
      <c r="P340" t="n">
        <v>0</v>
      </c>
      <c r="Q340" t="n">
        <v>0</v>
      </c>
      <c r="R340" s="2" t="inlineStr"/>
    </row>
    <row r="341" ht="15" customHeight="1">
      <c r="A341" t="inlineStr">
        <is>
          <t>A 3172-2020</t>
        </is>
      </c>
      <c r="B341" s="1" t="n">
        <v>43844</v>
      </c>
      <c r="C341" s="1" t="n">
        <v>45627</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2082-2020</t>
        </is>
      </c>
      <c r="B342" s="1" t="n">
        <v>43845</v>
      </c>
      <c r="C342" s="1" t="n">
        <v>45627</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1875-2020</t>
        </is>
      </c>
      <c r="B343" s="1" t="n">
        <v>43845</v>
      </c>
      <c r="C343" s="1" t="n">
        <v>45627</v>
      </c>
      <c r="D343" t="inlineStr">
        <is>
          <t>VÄRMLANDS LÄN</t>
        </is>
      </c>
      <c r="E343" t="inlineStr">
        <is>
          <t>TORSBY</t>
        </is>
      </c>
      <c r="G343" t="n">
        <v>3</v>
      </c>
      <c r="H343" t="n">
        <v>0</v>
      </c>
      <c r="I343" t="n">
        <v>0</v>
      </c>
      <c r="J343" t="n">
        <v>0</v>
      </c>
      <c r="K343" t="n">
        <v>0</v>
      </c>
      <c r="L343" t="n">
        <v>0</v>
      </c>
      <c r="M343" t="n">
        <v>0</v>
      </c>
      <c r="N343" t="n">
        <v>0</v>
      </c>
      <c r="O343" t="n">
        <v>0</v>
      </c>
      <c r="P343" t="n">
        <v>0</v>
      </c>
      <c r="Q343" t="n">
        <v>0</v>
      </c>
      <c r="R343" s="2" t="inlineStr"/>
    </row>
    <row r="344" ht="15" customHeight="1">
      <c r="A344" t="inlineStr">
        <is>
          <t>A 2068-2020</t>
        </is>
      </c>
      <c r="B344" s="1" t="n">
        <v>43845</v>
      </c>
      <c r="C344" s="1" t="n">
        <v>45627</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4017-2020</t>
        </is>
      </c>
      <c r="B345" s="1" t="n">
        <v>43846</v>
      </c>
      <c r="C345" s="1" t="n">
        <v>45627</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4753-2020</t>
        </is>
      </c>
      <c r="B346" s="1" t="n">
        <v>43859</v>
      </c>
      <c r="C346" s="1" t="n">
        <v>45627</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5180-2020</t>
        </is>
      </c>
      <c r="B347" s="1" t="n">
        <v>43860</v>
      </c>
      <c r="C347" s="1" t="n">
        <v>45627</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5426-2020</t>
        </is>
      </c>
      <c r="B348" s="1" t="n">
        <v>43861</v>
      </c>
      <c r="C348" s="1" t="n">
        <v>45627</v>
      </c>
      <c r="D348" t="inlineStr">
        <is>
          <t>VÄRMLANDS LÄN</t>
        </is>
      </c>
      <c r="E348" t="inlineStr">
        <is>
          <t>TORSBY</t>
        </is>
      </c>
      <c r="G348" t="n">
        <v>7.2</v>
      </c>
      <c r="H348" t="n">
        <v>0</v>
      </c>
      <c r="I348" t="n">
        <v>0</v>
      </c>
      <c r="J348" t="n">
        <v>0</v>
      </c>
      <c r="K348" t="n">
        <v>0</v>
      </c>
      <c r="L348" t="n">
        <v>0</v>
      </c>
      <c r="M348" t="n">
        <v>0</v>
      </c>
      <c r="N348" t="n">
        <v>0</v>
      </c>
      <c r="O348" t="n">
        <v>0</v>
      </c>
      <c r="P348" t="n">
        <v>0</v>
      </c>
      <c r="Q348" t="n">
        <v>0</v>
      </c>
      <c r="R348" s="2" t="inlineStr"/>
    </row>
    <row r="349" ht="15" customHeight="1">
      <c r="A349" t="inlineStr">
        <is>
          <t>A 5425-2020</t>
        </is>
      </c>
      <c r="B349" s="1" t="n">
        <v>43861</v>
      </c>
      <c r="C349" s="1" t="n">
        <v>45627</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5427-2020</t>
        </is>
      </c>
      <c r="B350" s="1" t="n">
        <v>43861</v>
      </c>
      <c r="C350" s="1" t="n">
        <v>45627</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7000-2020</t>
        </is>
      </c>
      <c r="B351" s="1" t="n">
        <v>43868</v>
      </c>
      <c r="C351" s="1" t="n">
        <v>45627</v>
      </c>
      <c r="D351" t="inlineStr">
        <is>
          <t>VÄRMLANDS LÄN</t>
        </is>
      </c>
      <c r="E351" t="inlineStr">
        <is>
          <t>TORSBY</t>
        </is>
      </c>
      <c r="G351" t="n">
        <v>2.8</v>
      </c>
      <c r="H351" t="n">
        <v>0</v>
      </c>
      <c r="I351" t="n">
        <v>0</v>
      </c>
      <c r="J351" t="n">
        <v>0</v>
      </c>
      <c r="K351" t="n">
        <v>0</v>
      </c>
      <c r="L351" t="n">
        <v>0</v>
      </c>
      <c r="M351" t="n">
        <v>0</v>
      </c>
      <c r="N351" t="n">
        <v>0</v>
      </c>
      <c r="O351" t="n">
        <v>0</v>
      </c>
      <c r="P351" t="n">
        <v>0</v>
      </c>
      <c r="Q351" t="n">
        <v>0</v>
      </c>
      <c r="R351" s="2" t="inlineStr"/>
    </row>
    <row r="352" ht="15" customHeight="1">
      <c r="A352" t="inlineStr">
        <is>
          <t>A 6862-2020</t>
        </is>
      </c>
      <c r="B352" s="1" t="n">
        <v>43868</v>
      </c>
      <c r="C352" s="1" t="n">
        <v>45627</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7153-2020</t>
        </is>
      </c>
      <c r="B353" s="1" t="n">
        <v>43870</v>
      </c>
      <c r="C353" s="1" t="n">
        <v>45627</v>
      </c>
      <c r="D353" t="inlineStr">
        <is>
          <t>VÄRMLANDS LÄN</t>
        </is>
      </c>
      <c r="E353" t="inlineStr">
        <is>
          <t>TORSBY</t>
        </is>
      </c>
      <c r="G353" t="n">
        <v>2.5</v>
      </c>
      <c r="H353" t="n">
        <v>0</v>
      </c>
      <c r="I353" t="n">
        <v>0</v>
      </c>
      <c r="J353" t="n">
        <v>0</v>
      </c>
      <c r="K353" t="n">
        <v>0</v>
      </c>
      <c r="L353" t="n">
        <v>0</v>
      </c>
      <c r="M353" t="n">
        <v>0</v>
      </c>
      <c r="N353" t="n">
        <v>0</v>
      </c>
      <c r="O353" t="n">
        <v>0</v>
      </c>
      <c r="P353" t="n">
        <v>0</v>
      </c>
      <c r="Q353" t="n">
        <v>0</v>
      </c>
      <c r="R353" s="2" t="inlineStr"/>
    </row>
    <row r="354" ht="15" customHeight="1">
      <c r="A354" t="inlineStr">
        <is>
          <t>A 7279-2020</t>
        </is>
      </c>
      <c r="B354" s="1" t="n">
        <v>43871</v>
      </c>
      <c r="C354" s="1" t="n">
        <v>45627</v>
      </c>
      <c r="D354" t="inlineStr">
        <is>
          <t>VÄRMLANDS LÄN</t>
        </is>
      </c>
      <c r="E354" t="inlineStr">
        <is>
          <t>TORSBY</t>
        </is>
      </c>
      <c r="G354" t="n">
        <v>6.7</v>
      </c>
      <c r="H354" t="n">
        <v>0</v>
      </c>
      <c r="I354" t="n">
        <v>0</v>
      </c>
      <c r="J354" t="n">
        <v>0</v>
      </c>
      <c r="K354" t="n">
        <v>0</v>
      </c>
      <c r="L354" t="n">
        <v>0</v>
      </c>
      <c r="M354" t="n">
        <v>0</v>
      </c>
      <c r="N354" t="n">
        <v>0</v>
      </c>
      <c r="O354" t="n">
        <v>0</v>
      </c>
      <c r="P354" t="n">
        <v>0</v>
      </c>
      <c r="Q354" t="n">
        <v>0</v>
      </c>
      <c r="R354" s="2" t="inlineStr"/>
    </row>
    <row r="355" ht="15" customHeight="1">
      <c r="A355" t="inlineStr">
        <is>
          <t>A 7526-2020</t>
        </is>
      </c>
      <c r="B355" s="1" t="n">
        <v>43871</v>
      </c>
      <c r="C355" s="1" t="n">
        <v>45627</v>
      </c>
      <c r="D355" t="inlineStr">
        <is>
          <t>VÄRMLANDS LÄN</t>
        </is>
      </c>
      <c r="E355" t="inlineStr">
        <is>
          <t>TORSBY</t>
        </is>
      </c>
      <c r="G355" t="n">
        <v>11.8</v>
      </c>
      <c r="H355" t="n">
        <v>0</v>
      </c>
      <c r="I355" t="n">
        <v>0</v>
      </c>
      <c r="J355" t="n">
        <v>0</v>
      </c>
      <c r="K355" t="n">
        <v>0</v>
      </c>
      <c r="L355" t="n">
        <v>0</v>
      </c>
      <c r="M355" t="n">
        <v>0</v>
      </c>
      <c r="N355" t="n">
        <v>0</v>
      </c>
      <c r="O355" t="n">
        <v>0</v>
      </c>
      <c r="P355" t="n">
        <v>0</v>
      </c>
      <c r="Q355" t="n">
        <v>0</v>
      </c>
      <c r="R355" s="2" t="inlineStr"/>
    </row>
    <row r="356" ht="15" customHeight="1">
      <c r="A356" t="inlineStr">
        <is>
          <t>A 7582-2020</t>
        </is>
      </c>
      <c r="B356" s="1" t="n">
        <v>43871</v>
      </c>
      <c r="C356" s="1" t="n">
        <v>45627</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7749-2020</t>
        </is>
      </c>
      <c r="B357" s="1" t="n">
        <v>43872</v>
      </c>
      <c r="C357" s="1" t="n">
        <v>45627</v>
      </c>
      <c r="D357" t="inlineStr">
        <is>
          <t>VÄRMLANDS LÄN</t>
        </is>
      </c>
      <c r="E357" t="inlineStr">
        <is>
          <t>TORSBY</t>
        </is>
      </c>
      <c r="G357" t="n">
        <v>0.8</v>
      </c>
      <c r="H357" t="n">
        <v>0</v>
      </c>
      <c r="I357" t="n">
        <v>0</v>
      </c>
      <c r="J357" t="n">
        <v>0</v>
      </c>
      <c r="K357" t="n">
        <v>0</v>
      </c>
      <c r="L357" t="n">
        <v>0</v>
      </c>
      <c r="M357" t="n">
        <v>0</v>
      </c>
      <c r="N357" t="n">
        <v>0</v>
      </c>
      <c r="O357" t="n">
        <v>0</v>
      </c>
      <c r="P357" t="n">
        <v>0</v>
      </c>
      <c r="Q357" t="n">
        <v>0</v>
      </c>
      <c r="R357" s="2" t="inlineStr"/>
    </row>
    <row r="358" ht="15" customHeight="1">
      <c r="A358" t="inlineStr">
        <is>
          <t>A 7856-2020</t>
        </is>
      </c>
      <c r="B358" s="1" t="n">
        <v>43873</v>
      </c>
      <c r="C358" s="1" t="n">
        <v>45627</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8631-2020</t>
        </is>
      </c>
      <c r="B359" s="1" t="n">
        <v>43874</v>
      </c>
      <c r="C359" s="1" t="n">
        <v>45627</v>
      </c>
      <c r="D359" t="inlineStr">
        <is>
          <t>VÄRMLANDS LÄN</t>
        </is>
      </c>
      <c r="E359" t="inlineStr">
        <is>
          <t>TORSBY</t>
        </is>
      </c>
      <c r="G359" t="n">
        <v>3.3</v>
      </c>
      <c r="H359" t="n">
        <v>0</v>
      </c>
      <c r="I359" t="n">
        <v>0</v>
      </c>
      <c r="J359" t="n">
        <v>0</v>
      </c>
      <c r="K359" t="n">
        <v>0</v>
      </c>
      <c r="L359" t="n">
        <v>0</v>
      </c>
      <c r="M359" t="n">
        <v>0</v>
      </c>
      <c r="N359" t="n">
        <v>0</v>
      </c>
      <c r="O359" t="n">
        <v>0</v>
      </c>
      <c r="P359" t="n">
        <v>0</v>
      </c>
      <c r="Q359" t="n">
        <v>0</v>
      </c>
      <c r="R359" s="2" t="inlineStr"/>
    </row>
    <row r="360" ht="15" customHeight="1">
      <c r="A360" t="inlineStr">
        <is>
          <t>A 8899-2020</t>
        </is>
      </c>
      <c r="B360" s="1" t="n">
        <v>43878</v>
      </c>
      <c r="C360" s="1" t="n">
        <v>45627</v>
      </c>
      <c r="D360" t="inlineStr">
        <is>
          <t>VÄRMLANDS LÄN</t>
        </is>
      </c>
      <c r="E360" t="inlineStr">
        <is>
          <t>TORSBY</t>
        </is>
      </c>
      <c r="G360" t="n">
        <v>1.3</v>
      </c>
      <c r="H360" t="n">
        <v>0</v>
      </c>
      <c r="I360" t="n">
        <v>0</v>
      </c>
      <c r="J360" t="n">
        <v>0</v>
      </c>
      <c r="K360" t="n">
        <v>0</v>
      </c>
      <c r="L360" t="n">
        <v>0</v>
      </c>
      <c r="M360" t="n">
        <v>0</v>
      </c>
      <c r="N360" t="n">
        <v>0</v>
      </c>
      <c r="O360" t="n">
        <v>0</v>
      </c>
      <c r="P360" t="n">
        <v>0</v>
      </c>
      <c r="Q360" t="n">
        <v>0</v>
      </c>
      <c r="R360" s="2" t="inlineStr"/>
    </row>
    <row r="361" ht="15" customHeight="1">
      <c r="A361" t="inlineStr">
        <is>
          <t>A 9192-2020</t>
        </is>
      </c>
      <c r="B361" s="1" t="n">
        <v>43879</v>
      </c>
      <c r="C361" s="1" t="n">
        <v>45627</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9766-2020</t>
        </is>
      </c>
      <c r="B362" s="1" t="n">
        <v>43879</v>
      </c>
      <c r="C362" s="1" t="n">
        <v>45627</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9760-2020</t>
        </is>
      </c>
      <c r="B363" s="1" t="n">
        <v>43879</v>
      </c>
      <c r="C363" s="1" t="n">
        <v>45627</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9600-2020</t>
        </is>
      </c>
      <c r="B364" s="1" t="n">
        <v>43881</v>
      </c>
      <c r="C364" s="1" t="n">
        <v>45627</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10899-2020</t>
        </is>
      </c>
      <c r="B365" s="1" t="n">
        <v>43885</v>
      </c>
      <c r="C365" s="1" t="n">
        <v>45627</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10422-2020</t>
        </is>
      </c>
      <c r="B366" s="1" t="n">
        <v>43886</v>
      </c>
      <c r="C366" s="1" t="n">
        <v>45627</v>
      </c>
      <c r="D366" t="inlineStr">
        <is>
          <t>VÄRMLANDS LÄN</t>
        </is>
      </c>
      <c r="E366" t="inlineStr">
        <is>
          <t>TORSBY</t>
        </is>
      </c>
      <c r="G366" t="n">
        <v>3.4</v>
      </c>
      <c r="H366" t="n">
        <v>0</v>
      </c>
      <c r="I366" t="n">
        <v>0</v>
      </c>
      <c r="J366" t="n">
        <v>0</v>
      </c>
      <c r="K366" t="n">
        <v>0</v>
      </c>
      <c r="L366" t="n">
        <v>0</v>
      </c>
      <c r="M366" t="n">
        <v>0</v>
      </c>
      <c r="N366" t="n">
        <v>0</v>
      </c>
      <c r="O366" t="n">
        <v>0</v>
      </c>
      <c r="P366" t="n">
        <v>0</v>
      </c>
      <c r="Q366" t="n">
        <v>0</v>
      </c>
      <c r="R366" s="2" t="inlineStr"/>
    </row>
    <row r="367" ht="15" customHeight="1">
      <c r="A367" t="inlineStr">
        <is>
          <t>A 10449-2020</t>
        </is>
      </c>
      <c r="B367" s="1" t="n">
        <v>43886</v>
      </c>
      <c r="C367" s="1" t="n">
        <v>45627</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11213-2020</t>
        </is>
      </c>
      <c r="B368" s="1" t="n">
        <v>43892</v>
      </c>
      <c r="C368" s="1" t="n">
        <v>45627</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12428-2020</t>
        </is>
      </c>
      <c r="B369" s="1" t="n">
        <v>43896</v>
      </c>
      <c r="C369" s="1" t="n">
        <v>45627</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12855-2020</t>
        </is>
      </c>
      <c r="B370" s="1" t="n">
        <v>43899</v>
      </c>
      <c r="C370" s="1" t="n">
        <v>45627</v>
      </c>
      <c r="D370" t="inlineStr">
        <is>
          <t>VÄRMLANDS LÄN</t>
        </is>
      </c>
      <c r="E370" t="inlineStr">
        <is>
          <t>TORSBY</t>
        </is>
      </c>
      <c r="G370" t="n">
        <v>5.9</v>
      </c>
      <c r="H370" t="n">
        <v>0</v>
      </c>
      <c r="I370" t="n">
        <v>0</v>
      </c>
      <c r="J370" t="n">
        <v>0</v>
      </c>
      <c r="K370" t="n">
        <v>0</v>
      </c>
      <c r="L370" t="n">
        <v>0</v>
      </c>
      <c r="M370" t="n">
        <v>0</v>
      </c>
      <c r="N370" t="n">
        <v>0</v>
      </c>
      <c r="O370" t="n">
        <v>0</v>
      </c>
      <c r="P370" t="n">
        <v>0</v>
      </c>
      <c r="Q370" t="n">
        <v>0</v>
      </c>
      <c r="R370" s="2" t="inlineStr"/>
    </row>
    <row r="371" ht="15" customHeight="1">
      <c r="A371" t="inlineStr">
        <is>
          <t>A 12881-2020</t>
        </is>
      </c>
      <c r="B371" s="1" t="n">
        <v>43900</v>
      </c>
      <c r="C371" s="1" t="n">
        <v>45627</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14246-2020</t>
        </is>
      </c>
      <c r="B372" s="1" t="n">
        <v>43900</v>
      </c>
      <c r="C372" s="1" t="n">
        <v>45627</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13153-2020</t>
        </is>
      </c>
      <c r="B373" s="1" t="n">
        <v>43901</v>
      </c>
      <c r="C373" s="1" t="n">
        <v>45627</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13250-2020</t>
        </is>
      </c>
      <c r="B374" s="1" t="n">
        <v>43901</v>
      </c>
      <c r="C374" s="1" t="n">
        <v>45627</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14695-2020</t>
        </is>
      </c>
      <c r="B375" s="1" t="n">
        <v>43903</v>
      </c>
      <c r="C375" s="1" t="n">
        <v>45627</v>
      </c>
      <c r="D375" t="inlineStr">
        <is>
          <t>VÄRMLANDS LÄN</t>
        </is>
      </c>
      <c r="E375" t="inlineStr">
        <is>
          <t>TORSBY</t>
        </is>
      </c>
      <c r="G375" t="n">
        <v>8</v>
      </c>
      <c r="H375" t="n">
        <v>0</v>
      </c>
      <c r="I375" t="n">
        <v>0</v>
      </c>
      <c r="J375" t="n">
        <v>0</v>
      </c>
      <c r="K375" t="n">
        <v>0</v>
      </c>
      <c r="L375" t="n">
        <v>0</v>
      </c>
      <c r="M375" t="n">
        <v>0</v>
      </c>
      <c r="N375" t="n">
        <v>0</v>
      </c>
      <c r="O375" t="n">
        <v>0</v>
      </c>
      <c r="P375" t="n">
        <v>0</v>
      </c>
      <c r="Q375" t="n">
        <v>0</v>
      </c>
      <c r="R375" s="2" t="inlineStr"/>
    </row>
    <row r="376" ht="15" customHeight="1">
      <c r="A376" t="inlineStr">
        <is>
          <t>A 14693-2020</t>
        </is>
      </c>
      <c r="B376" s="1" t="n">
        <v>43903</v>
      </c>
      <c r="C376" s="1" t="n">
        <v>45627</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14962-2020</t>
        </is>
      </c>
      <c r="B377" s="1" t="n">
        <v>43907</v>
      </c>
      <c r="C377" s="1" t="n">
        <v>45627</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14968-2020</t>
        </is>
      </c>
      <c r="B378" s="1" t="n">
        <v>43907</v>
      </c>
      <c r="C378" s="1" t="n">
        <v>45627</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14702-2020</t>
        </is>
      </c>
      <c r="B379" s="1" t="n">
        <v>43909</v>
      </c>
      <c r="C379" s="1" t="n">
        <v>45627</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14694-2020</t>
        </is>
      </c>
      <c r="B380" s="1" t="n">
        <v>43909</v>
      </c>
      <c r="C380" s="1" t="n">
        <v>45627</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14851-2020</t>
        </is>
      </c>
      <c r="B381" s="1" t="n">
        <v>43909</v>
      </c>
      <c r="C381" s="1" t="n">
        <v>45627</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15161-2020</t>
        </is>
      </c>
      <c r="B382" s="1" t="n">
        <v>43912</v>
      </c>
      <c r="C382" s="1" t="n">
        <v>45627</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15280-2020</t>
        </is>
      </c>
      <c r="B383" s="1" t="n">
        <v>43913</v>
      </c>
      <c r="C383" s="1" t="n">
        <v>45627</v>
      </c>
      <c r="D383" t="inlineStr">
        <is>
          <t>VÄRMLANDS LÄN</t>
        </is>
      </c>
      <c r="E383" t="inlineStr">
        <is>
          <t>TORSBY</t>
        </is>
      </c>
      <c r="G383" t="n">
        <v>0.5</v>
      </c>
      <c r="H383" t="n">
        <v>0</v>
      </c>
      <c r="I383" t="n">
        <v>0</v>
      </c>
      <c r="J383" t="n">
        <v>0</v>
      </c>
      <c r="K383" t="n">
        <v>0</v>
      </c>
      <c r="L383" t="n">
        <v>0</v>
      </c>
      <c r="M383" t="n">
        <v>0</v>
      </c>
      <c r="N383" t="n">
        <v>0</v>
      </c>
      <c r="O383" t="n">
        <v>0</v>
      </c>
      <c r="P383" t="n">
        <v>0</v>
      </c>
      <c r="Q383" t="n">
        <v>0</v>
      </c>
      <c r="R383" s="2" t="inlineStr"/>
    </row>
    <row r="384" ht="15" customHeight="1">
      <c r="A384" t="inlineStr">
        <is>
          <t>A 15589-2020</t>
        </is>
      </c>
      <c r="B384" s="1" t="n">
        <v>43914</v>
      </c>
      <c r="C384" s="1" t="n">
        <v>45627</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15701-2020</t>
        </is>
      </c>
      <c r="B385" s="1" t="n">
        <v>43915</v>
      </c>
      <c r="C385" s="1" t="n">
        <v>45627</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15768-2020</t>
        </is>
      </c>
      <c r="B386" s="1" t="n">
        <v>43915</v>
      </c>
      <c r="C386" s="1" t="n">
        <v>45627</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16101-2020</t>
        </is>
      </c>
      <c r="B387" s="1" t="n">
        <v>43916</v>
      </c>
      <c r="C387" s="1" t="n">
        <v>45627</v>
      </c>
      <c r="D387" t="inlineStr">
        <is>
          <t>VÄRMLANDS LÄN</t>
        </is>
      </c>
      <c r="E387" t="inlineStr">
        <is>
          <t>TORSBY</t>
        </is>
      </c>
      <c r="G387" t="n">
        <v>14.6</v>
      </c>
      <c r="H387" t="n">
        <v>0</v>
      </c>
      <c r="I387" t="n">
        <v>0</v>
      </c>
      <c r="J387" t="n">
        <v>0</v>
      </c>
      <c r="K387" t="n">
        <v>0</v>
      </c>
      <c r="L387" t="n">
        <v>0</v>
      </c>
      <c r="M387" t="n">
        <v>0</v>
      </c>
      <c r="N387" t="n">
        <v>0</v>
      </c>
      <c r="O387" t="n">
        <v>0</v>
      </c>
      <c r="P387" t="n">
        <v>0</v>
      </c>
      <c r="Q387" t="n">
        <v>0</v>
      </c>
      <c r="R387" s="2" t="inlineStr"/>
    </row>
    <row r="388" ht="15" customHeight="1">
      <c r="A388" t="inlineStr">
        <is>
          <t>A 16364-2020</t>
        </is>
      </c>
      <c r="B388" s="1" t="n">
        <v>43917</v>
      </c>
      <c r="C388" s="1" t="n">
        <v>45627</v>
      </c>
      <c r="D388" t="inlineStr">
        <is>
          <t>VÄRMLANDS LÄN</t>
        </is>
      </c>
      <c r="E388" t="inlineStr">
        <is>
          <t>TORSBY</t>
        </is>
      </c>
      <c r="G388" t="n">
        <v>1.6</v>
      </c>
      <c r="H388" t="n">
        <v>0</v>
      </c>
      <c r="I388" t="n">
        <v>0</v>
      </c>
      <c r="J388" t="n">
        <v>0</v>
      </c>
      <c r="K388" t="n">
        <v>0</v>
      </c>
      <c r="L388" t="n">
        <v>0</v>
      </c>
      <c r="M388" t="n">
        <v>0</v>
      </c>
      <c r="N388" t="n">
        <v>0</v>
      </c>
      <c r="O388" t="n">
        <v>0</v>
      </c>
      <c r="P388" t="n">
        <v>0</v>
      </c>
      <c r="Q388" t="n">
        <v>0</v>
      </c>
      <c r="R388" s="2" t="inlineStr"/>
    </row>
    <row r="389" ht="15" customHeight="1">
      <c r="A389" t="inlineStr">
        <is>
          <t>A 16437-2020</t>
        </is>
      </c>
      <c r="B389" s="1" t="n">
        <v>43919</v>
      </c>
      <c r="C389" s="1" t="n">
        <v>45627</v>
      </c>
      <c r="D389" t="inlineStr">
        <is>
          <t>VÄRMLANDS LÄN</t>
        </is>
      </c>
      <c r="E389" t="inlineStr">
        <is>
          <t>TORSBY</t>
        </is>
      </c>
      <c r="G389" t="n">
        <v>1.2</v>
      </c>
      <c r="H389" t="n">
        <v>0</v>
      </c>
      <c r="I389" t="n">
        <v>0</v>
      </c>
      <c r="J389" t="n">
        <v>0</v>
      </c>
      <c r="K389" t="n">
        <v>0</v>
      </c>
      <c r="L389" t="n">
        <v>0</v>
      </c>
      <c r="M389" t="n">
        <v>0</v>
      </c>
      <c r="N389" t="n">
        <v>0</v>
      </c>
      <c r="O389" t="n">
        <v>0</v>
      </c>
      <c r="P389" t="n">
        <v>0</v>
      </c>
      <c r="Q389" t="n">
        <v>0</v>
      </c>
      <c r="R389" s="2" t="inlineStr"/>
    </row>
    <row r="390" ht="15" customHeight="1">
      <c r="A390" t="inlineStr">
        <is>
          <t>A 17021-2020</t>
        </is>
      </c>
      <c r="B390" s="1" t="n">
        <v>43921</v>
      </c>
      <c r="C390" s="1" t="n">
        <v>45627</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16999-2020</t>
        </is>
      </c>
      <c r="B391" s="1" t="n">
        <v>43921</v>
      </c>
      <c r="C391" s="1" t="n">
        <v>45627</v>
      </c>
      <c r="D391" t="inlineStr">
        <is>
          <t>VÄRMLANDS LÄN</t>
        </is>
      </c>
      <c r="E391" t="inlineStr">
        <is>
          <t>TORSBY</t>
        </is>
      </c>
      <c r="G391" t="n">
        <v>6.6</v>
      </c>
      <c r="H391" t="n">
        <v>0</v>
      </c>
      <c r="I391" t="n">
        <v>0</v>
      </c>
      <c r="J391" t="n">
        <v>0</v>
      </c>
      <c r="K391" t="n">
        <v>0</v>
      </c>
      <c r="L391" t="n">
        <v>0</v>
      </c>
      <c r="M391" t="n">
        <v>0</v>
      </c>
      <c r="N391" t="n">
        <v>0</v>
      </c>
      <c r="O391" t="n">
        <v>0</v>
      </c>
      <c r="P391" t="n">
        <v>0</v>
      </c>
      <c r="Q391" t="n">
        <v>0</v>
      </c>
      <c r="R391" s="2" t="inlineStr"/>
    </row>
    <row r="392" ht="15" customHeight="1">
      <c r="A392" t="inlineStr">
        <is>
          <t>A 17009-2020</t>
        </is>
      </c>
      <c r="B392" s="1" t="n">
        <v>43921</v>
      </c>
      <c r="C392" s="1" t="n">
        <v>45627</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18155-2020</t>
        </is>
      </c>
      <c r="B393" s="1" t="n">
        <v>43927</v>
      </c>
      <c r="C393" s="1" t="n">
        <v>45627</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18641-2020</t>
        </is>
      </c>
      <c r="B394" s="1" t="n">
        <v>43928</v>
      </c>
      <c r="C394" s="1" t="n">
        <v>45627</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18769-2020</t>
        </is>
      </c>
      <c r="B395" s="1" t="n">
        <v>43930</v>
      </c>
      <c r="C395" s="1" t="n">
        <v>45627</v>
      </c>
      <c r="D395" t="inlineStr">
        <is>
          <t>VÄRMLANDS LÄN</t>
        </is>
      </c>
      <c r="E395" t="inlineStr">
        <is>
          <t>TORSBY</t>
        </is>
      </c>
      <c r="G395" t="n">
        <v>5.2</v>
      </c>
      <c r="H395" t="n">
        <v>0</v>
      </c>
      <c r="I395" t="n">
        <v>0</v>
      </c>
      <c r="J395" t="n">
        <v>0</v>
      </c>
      <c r="K395" t="n">
        <v>0</v>
      </c>
      <c r="L395" t="n">
        <v>0</v>
      </c>
      <c r="M395" t="n">
        <v>0</v>
      </c>
      <c r="N395" t="n">
        <v>0</v>
      </c>
      <c r="O395" t="n">
        <v>0</v>
      </c>
      <c r="P395" t="n">
        <v>0</v>
      </c>
      <c r="Q395" t="n">
        <v>0</v>
      </c>
      <c r="R395" s="2" t="inlineStr"/>
    </row>
    <row r="396" ht="15" customHeight="1">
      <c r="A396" t="inlineStr">
        <is>
          <t>A 18770-2020</t>
        </is>
      </c>
      <c r="B396" s="1" t="n">
        <v>43930</v>
      </c>
      <c r="C396" s="1" t="n">
        <v>45627</v>
      </c>
      <c r="D396" t="inlineStr">
        <is>
          <t>VÄRMLANDS LÄN</t>
        </is>
      </c>
      <c r="E396" t="inlineStr">
        <is>
          <t>TORSBY</t>
        </is>
      </c>
      <c r="G396" t="n">
        <v>4.2</v>
      </c>
      <c r="H396" t="n">
        <v>0</v>
      </c>
      <c r="I396" t="n">
        <v>0</v>
      </c>
      <c r="J396" t="n">
        <v>0</v>
      </c>
      <c r="K396" t="n">
        <v>0</v>
      </c>
      <c r="L396" t="n">
        <v>0</v>
      </c>
      <c r="M396" t="n">
        <v>0</v>
      </c>
      <c r="N396" t="n">
        <v>0</v>
      </c>
      <c r="O396" t="n">
        <v>0</v>
      </c>
      <c r="P396" t="n">
        <v>0</v>
      </c>
      <c r="Q396" t="n">
        <v>0</v>
      </c>
      <c r="R396" s="2" t="inlineStr"/>
    </row>
    <row r="397" ht="15" customHeight="1">
      <c r="A397" t="inlineStr">
        <is>
          <t>A 18972-2020</t>
        </is>
      </c>
      <c r="B397" s="1" t="n">
        <v>43935</v>
      </c>
      <c r="C397" s="1" t="n">
        <v>45627</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19032-2020</t>
        </is>
      </c>
      <c r="B398" s="1" t="n">
        <v>43936</v>
      </c>
      <c r="C398" s="1" t="n">
        <v>45627</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19181-2020</t>
        </is>
      </c>
      <c r="B399" s="1" t="n">
        <v>43937</v>
      </c>
      <c r="C399" s="1" t="n">
        <v>45627</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19384-2020</t>
        </is>
      </c>
      <c r="B400" s="1" t="n">
        <v>43938</v>
      </c>
      <c r="C400" s="1" t="n">
        <v>45627</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19963-2020</t>
        </is>
      </c>
      <c r="B401" s="1" t="n">
        <v>43941</v>
      </c>
      <c r="C401" s="1" t="n">
        <v>45627</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20025-2020</t>
        </is>
      </c>
      <c r="B402" s="1" t="n">
        <v>43943</v>
      </c>
      <c r="C402" s="1" t="n">
        <v>45627</v>
      </c>
      <c r="D402" t="inlineStr">
        <is>
          <t>VÄRMLANDS LÄN</t>
        </is>
      </c>
      <c r="E402" t="inlineStr">
        <is>
          <t>TORSBY</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20280-2020</t>
        </is>
      </c>
      <c r="B403" s="1" t="n">
        <v>43945</v>
      </c>
      <c r="C403" s="1" t="n">
        <v>45627</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20464-2020</t>
        </is>
      </c>
      <c r="B404" s="1" t="n">
        <v>43948</v>
      </c>
      <c r="C404" s="1" t="n">
        <v>45627</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21099-2020</t>
        </is>
      </c>
      <c r="B405" s="1" t="n">
        <v>43951</v>
      </c>
      <c r="C405" s="1" t="n">
        <v>45627</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21335-2020</t>
        </is>
      </c>
      <c r="B406" s="1" t="n">
        <v>43951</v>
      </c>
      <c r="C406" s="1" t="n">
        <v>45627</v>
      </c>
      <c r="D406" t="inlineStr">
        <is>
          <t>VÄRMLANDS LÄN</t>
        </is>
      </c>
      <c r="E406" t="inlineStr">
        <is>
          <t>TORSBY</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21369-2020</t>
        </is>
      </c>
      <c r="B407" s="1" t="n">
        <v>43951</v>
      </c>
      <c r="C407" s="1" t="n">
        <v>45627</v>
      </c>
      <c r="D407" t="inlineStr">
        <is>
          <t>VÄRMLANDS LÄN</t>
        </is>
      </c>
      <c r="E407" t="inlineStr">
        <is>
          <t>TORSBY</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21045-2020</t>
        </is>
      </c>
      <c r="B408" s="1" t="n">
        <v>43951</v>
      </c>
      <c r="C408" s="1" t="n">
        <v>45627</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21347-2020</t>
        </is>
      </c>
      <c r="B409" s="1" t="n">
        <v>43951</v>
      </c>
      <c r="C409" s="1" t="n">
        <v>45627</v>
      </c>
      <c r="D409" t="inlineStr">
        <is>
          <t>VÄRMLANDS LÄN</t>
        </is>
      </c>
      <c r="E409" t="inlineStr">
        <is>
          <t>TORSBY</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21900-2020</t>
        </is>
      </c>
      <c r="B410" s="1" t="n">
        <v>43955</v>
      </c>
      <c r="C410" s="1" t="n">
        <v>45627</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21672-2020</t>
        </is>
      </c>
      <c r="B411" s="1" t="n">
        <v>43957</v>
      </c>
      <c r="C411" s="1" t="n">
        <v>45627</v>
      </c>
      <c r="D411" t="inlineStr">
        <is>
          <t>VÄRMLANDS LÄN</t>
        </is>
      </c>
      <c r="E411" t="inlineStr">
        <is>
          <t>TORSBY</t>
        </is>
      </c>
      <c r="F411" t="inlineStr">
        <is>
          <t>Bergvik skog väst AB</t>
        </is>
      </c>
      <c r="G411" t="n">
        <v>44.1</v>
      </c>
      <c r="H411" t="n">
        <v>0</v>
      </c>
      <c r="I411" t="n">
        <v>0</v>
      </c>
      <c r="J411" t="n">
        <v>0</v>
      </c>
      <c r="K411" t="n">
        <v>0</v>
      </c>
      <c r="L411" t="n">
        <v>0</v>
      </c>
      <c r="M411" t="n">
        <v>0</v>
      </c>
      <c r="N411" t="n">
        <v>0</v>
      </c>
      <c r="O411" t="n">
        <v>0</v>
      </c>
      <c r="P411" t="n">
        <v>0</v>
      </c>
      <c r="Q411" t="n">
        <v>0</v>
      </c>
      <c r="R411" s="2" t="inlineStr"/>
    </row>
    <row r="412" ht="15" customHeight="1">
      <c r="A412" t="inlineStr">
        <is>
          <t>A 22194-2020</t>
        </is>
      </c>
      <c r="B412" s="1" t="n">
        <v>43962</v>
      </c>
      <c r="C412" s="1" t="n">
        <v>45627</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22209-2020</t>
        </is>
      </c>
      <c r="B413" s="1" t="n">
        <v>43962</v>
      </c>
      <c r="C413" s="1" t="n">
        <v>45627</v>
      </c>
      <c r="D413" t="inlineStr">
        <is>
          <t>VÄRMLANDS LÄN</t>
        </is>
      </c>
      <c r="E413" t="inlineStr">
        <is>
          <t>TORSBY</t>
        </is>
      </c>
      <c r="G413" t="n">
        <v>0.4</v>
      </c>
      <c r="H413" t="n">
        <v>0</v>
      </c>
      <c r="I413" t="n">
        <v>0</v>
      </c>
      <c r="J413" t="n">
        <v>0</v>
      </c>
      <c r="K413" t="n">
        <v>0</v>
      </c>
      <c r="L413" t="n">
        <v>0</v>
      </c>
      <c r="M413" t="n">
        <v>0</v>
      </c>
      <c r="N413" t="n">
        <v>0</v>
      </c>
      <c r="O413" t="n">
        <v>0</v>
      </c>
      <c r="P413" t="n">
        <v>0</v>
      </c>
      <c r="Q413" t="n">
        <v>0</v>
      </c>
      <c r="R413" s="2" t="inlineStr"/>
    </row>
    <row r="414" ht="15" customHeight="1">
      <c r="A414" t="inlineStr">
        <is>
          <t>A 25518-2020</t>
        </is>
      </c>
      <c r="B414" s="1" t="n">
        <v>43983</v>
      </c>
      <c r="C414" s="1" t="n">
        <v>45627</v>
      </c>
      <c r="D414" t="inlineStr">
        <is>
          <t>VÄRMLANDS LÄN</t>
        </is>
      </c>
      <c r="E414" t="inlineStr">
        <is>
          <t>TORSBY</t>
        </is>
      </c>
      <c r="G414" t="n">
        <v>0.2</v>
      </c>
      <c r="H414" t="n">
        <v>0</v>
      </c>
      <c r="I414" t="n">
        <v>0</v>
      </c>
      <c r="J414" t="n">
        <v>0</v>
      </c>
      <c r="K414" t="n">
        <v>0</v>
      </c>
      <c r="L414" t="n">
        <v>0</v>
      </c>
      <c r="M414" t="n">
        <v>0</v>
      </c>
      <c r="N414" t="n">
        <v>0</v>
      </c>
      <c r="O414" t="n">
        <v>0</v>
      </c>
      <c r="P414" t="n">
        <v>0</v>
      </c>
      <c r="Q414" t="n">
        <v>0</v>
      </c>
      <c r="R414" s="2" t="inlineStr"/>
    </row>
    <row r="415" ht="15" customHeight="1">
      <c r="A415" t="inlineStr">
        <is>
          <t>A 26915-2020</t>
        </is>
      </c>
      <c r="B415" s="1" t="n">
        <v>43986</v>
      </c>
      <c r="C415" s="1" t="n">
        <v>45627</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26926-2020</t>
        </is>
      </c>
      <c r="B416" s="1" t="n">
        <v>43986</v>
      </c>
      <c r="C416" s="1" t="n">
        <v>45627</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26919-2020</t>
        </is>
      </c>
      <c r="B417" s="1" t="n">
        <v>43986</v>
      </c>
      <c r="C417" s="1" t="n">
        <v>45627</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26666-2020</t>
        </is>
      </c>
      <c r="B418" s="1" t="n">
        <v>43989</v>
      </c>
      <c r="C418" s="1" t="n">
        <v>45627</v>
      </c>
      <c r="D418" t="inlineStr">
        <is>
          <t>VÄRMLANDS LÄN</t>
        </is>
      </c>
      <c r="E418" t="inlineStr">
        <is>
          <t>TORSBY</t>
        </is>
      </c>
      <c r="G418" t="n">
        <v>8.4</v>
      </c>
      <c r="H418" t="n">
        <v>0</v>
      </c>
      <c r="I418" t="n">
        <v>0</v>
      </c>
      <c r="J418" t="n">
        <v>0</v>
      </c>
      <c r="K418" t="n">
        <v>0</v>
      </c>
      <c r="L418" t="n">
        <v>0</v>
      </c>
      <c r="M418" t="n">
        <v>0</v>
      </c>
      <c r="N418" t="n">
        <v>0</v>
      </c>
      <c r="O418" t="n">
        <v>0</v>
      </c>
      <c r="P418" t="n">
        <v>0</v>
      </c>
      <c r="Q418" t="n">
        <v>0</v>
      </c>
      <c r="R418" s="2" t="inlineStr"/>
    </row>
    <row r="419" ht="15" customHeight="1">
      <c r="A419" t="inlineStr">
        <is>
          <t>A 27339-2020</t>
        </is>
      </c>
      <c r="B419" s="1" t="n">
        <v>43990</v>
      </c>
      <c r="C419" s="1" t="n">
        <v>45627</v>
      </c>
      <c r="D419" t="inlineStr">
        <is>
          <t>VÄRMLANDS LÄN</t>
        </is>
      </c>
      <c r="E419" t="inlineStr">
        <is>
          <t>TORSBY</t>
        </is>
      </c>
      <c r="G419" t="n">
        <v>4.2</v>
      </c>
      <c r="H419" t="n">
        <v>0</v>
      </c>
      <c r="I419" t="n">
        <v>0</v>
      </c>
      <c r="J419" t="n">
        <v>0</v>
      </c>
      <c r="K419" t="n">
        <v>0</v>
      </c>
      <c r="L419" t="n">
        <v>0</v>
      </c>
      <c r="M419" t="n">
        <v>0</v>
      </c>
      <c r="N419" t="n">
        <v>0</v>
      </c>
      <c r="O419" t="n">
        <v>0</v>
      </c>
      <c r="P419" t="n">
        <v>0</v>
      </c>
      <c r="Q419" t="n">
        <v>0</v>
      </c>
      <c r="R419" s="2" t="inlineStr"/>
    </row>
    <row r="420" ht="15" customHeight="1">
      <c r="A420" t="inlineStr">
        <is>
          <t>A 27009-2020</t>
        </is>
      </c>
      <c r="B420" s="1" t="n">
        <v>43991</v>
      </c>
      <c r="C420" s="1" t="n">
        <v>45627</v>
      </c>
      <c r="D420" t="inlineStr">
        <is>
          <t>VÄRMLANDS LÄN</t>
        </is>
      </c>
      <c r="E420" t="inlineStr">
        <is>
          <t>TORSBY</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28397-2020</t>
        </is>
      </c>
      <c r="B421" s="1" t="n">
        <v>43998</v>
      </c>
      <c r="C421" s="1" t="n">
        <v>45627</v>
      </c>
      <c r="D421" t="inlineStr">
        <is>
          <t>VÄRMLANDS LÄN</t>
        </is>
      </c>
      <c r="E421" t="inlineStr">
        <is>
          <t>TORSBY</t>
        </is>
      </c>
      <c r="G421" t="n">
        <v>7.3</v>
      </c>
      <c r="H421" t="n">
        <v>0</v>
      </c>
      <c r="I421" t="n">
        <v>0</v>
      </c>
      <c r="J421" t="n">
        <v>0</v>
      </c>
      <c r="K421" t="n">
        <v>0</v>
      </c>
      <c r="L421" t="n">
        <v>0</v>
      </c>
      <c r="M421" t="n">
        <v>0</v>
      </c>
      <c r="N421" t="n">
        <v>0</v>
      </c>
      <c r="O421" t="n">
        <v>0</v>
      </c>
      <c r="P421" t="n">
        <v>0</v>
      </c>
      <c r="Q421" t="n">
        <v>0</v>
      </c>
      <c r="R421" s="2" t="inlineStr"/>
    </row>
    <row r="422" ht="15" customHeight="1">
      <c r="A422" t="inlineStr">
        <is>
          <t>A 28416-2020</t>
        </is>
      </c>
      <c r="B422" s="1" t="n">
        <v>43998</v>
      </c>
      <c r="C422" s="1" t="n">
        <v>45627</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28703-2020</t>
        </is>
      </c>
      <c r="B423" s="1" t="n">
        <v>43999</v>
      </c>
      <c r="C423" s="1" t="n">
        <v>45627</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28849-2020</t>
        </is>
      </c>
      <c r="B424" s="1" t="n">
        <v>44000</v>
      </c>
      <c r="C424" s="1" t="n">
        <v>45627</v>
      </c>
      <c r="D424" t="inlineStr">
        <is>
          <t>VÄRMLANDS LÄN</t>
        </is>
      </c>
      <c r="E424" t="inlineStr">
        <is>
          <t>TORSBY</t>
        </is>
      </c>
      <c r="G424" t="n">
        <v>10.9</v>
      </c>
      <c r="H424" t="n">
        <v>0</v>
      </c>
      <c r="I424" t="n">
        <v>0</v>
      </c>
      <c r="J424" t="n">
        <v>0</v>
      </c>
      <c r="K424" t="n">
        <v>0</v>
      </c>
      <c r="L424" t="n">
        <v>0</v>
      </c>
      <c r="M424" t="n">
        <v>0</v>
      </c>
      <c r="N424" t="n">
        <v>0</v>
      </c>
      <c r="O424" t="n">
        <v>0</v>
      </c>
      <c r="P424" t="n">
        <v>0</v>
      </c>
      <c r="Q424" t="n">
        <v>0</v>
      </c>
      <c r="R424" s="2" t="inlineStr"/>
    </row>
    <row r="425" ht="15" customHeight="1">
      <c r="A425" t="inlineStr">
        <is>
          <t>A 28897-2020</t>
        </is>
      </c>
      <c r="B425" s="1" t="n">
        <v>44000</v>
      </c>
      <c r="C425" s="1" t="n">
        <v>45627</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28911-2020</t>
        </is>
      </c>
      <c r="B426" s="1" t="n">
        <v>44000</v>
      </c>
      <c r="C426" s="1" t="n">
        <v>45627</v>
      </c>
      <c r="D426" t="inlineStr">
        <is>
          <t>VÄRMLANDS LÄN</t>
        </is>
      </c>
      <c r="E426" t="inlineStr">
        <is>
          <t>TORSBY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28976-2020</t>
        </is>
      </c>
      <c r="B427" s="1" t="n">
        <v>44000</v>
      </c>
      <c r="C427" s="1" t="n">
        <v>45627</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28987-2020</t>
        </is>
      </c>
      <c r="B428" s="1" t="n">
        <v>44000</v>
      </c>
      <c r="C428" s="1" t="n">
        <v>45627</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29970-2020</t>
        </is>
      </c>
      <c r="B429" s="1" t="n">
        <v>44006</v>
      </c>
      <c r="C429" s="1" t="n">
        <v>45627</v>
      </c>
      <c r="D429" t="inlineStr">
        <is>
          <t>VÄRMLANDS LÄN</t>
        </is>
      </c>
      <c r="E429" t="inlineStr">
        <is>
          <t>TORSBY</t>
        </is>
      </c>
      <c r="F429" t="inlineStr">
        <is>
          <t>Bergvik skog väst AB</t>
        </is>
      </c>
      <c r="G429" t="n">
        <v>7.4</v>
      </c>
      <c r="H429" t="n">
        <v>0</v>
      </c>
      <c r="I429" t="n">
        <v>0</v>
      </c>
      <c r="J429" t="n">
        <v>0</v>
      </c>
      <c r="K429" t="n">
        <v>0</v>
      </c>
      <c r="L429" t="n">
        <v>0</v>
      </c>
      <c r="M429" t="n">
        <v>0</v>
      </c>
      <c r="N429" t="n">
        <v>0</v>
      </c>
      <c r="O429" t="n">
        <v>0</v>
      </c>
      <c r="P429" t="n">
        <v>0</v>
      </c>
      <c r="Q429" t="n">
        <v>0</v>
      </c>
      <c r="R429" s="2" t="inlineStr"/>
    </row>
    <row r="430" ht="15" customHeight="1">
      <c r="A430" t="inlineStr">
        <is>
          <t>A 30572-2020</t>
        </is>
      </c>
      <c r="B430" s="1" t="n">
        <v>44008</v>
      </c>
      <c r="C430" s="1" t="n">
        <v>45627</v>
      </c>
      <c r="D430" t="inlineStr">
        <is>
          <t>VÄRMLANDS LÄN</t>
        </is>
      </c>
      <c r="E430" t="inlineStr">
        <is>
          <t>TORSBY</t>
        </is>
      </c>
      <c r="G430" t="n">
        <v>0.9</v>
      </c>
      <c r="H430" t="n">
        <v>0</v>
      </c>
      <c r="I430" t="n">
        <v>0</v>
      </c>
      <c r="J430" t="n">
        <v>0</v>
      </c>
      <c r="K430" t="n">
        <v>0</v>
      </c>
      <c r="L430" t="n">
        <v>0</v>
      </c>
      <c r="M430" t="n">
        <v>0</v>
      </c>
      <c r="N430" t="n">
        <v>0</v>
      </c>
      <c r="O430" t="n">
        <v>0</v>
      </c>
      <c r="P430" t="n">
        <v>0</v>
      </c>
      <c r="Q430" t="n">
        <v>0</v>
      </c>
      <c r="R430" s="2" t="inlineStr"/>
    </row>
    <row r="431" ht="15" customHeight="1">
      <c r="A431" t="inlineStr">
        <is>
          <t>A 30996-2020</t>
        </is>
      </c>
      <c r="B431" s="1" t="n">
        <v>44011</v>
      </c>
      <c r="C431" s="1" t="n">
        <v>45627</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30930-2020</t>
        </is>
      </c>
      <c r="B432" s="1" t="n">
        <v>44011</v>
      </c>
      <c r="C432" s="1" t="n">
        <v>45627</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31298-2020</t>
        </is>
      </c>
      <c r="B433" s="1" t="n">
        <v>44012</v>
      </c>
      <c r="C433" s="1" t="n">
        <v>45627</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31436-2020</t>
        </is>
      </c>
      <c r="B434" s="1" t="n">
        <v>44013</v>
      </c>
      <c r="C434" s="1" t="n">
        <v>45627</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31577-2020</t>
        </is>
      </c>
      <c r="B435" s="1" t="n">
        <v>44013</v>
      </c>
      <c r="C435" s="1" t="n">
        <v>45627</v>
      </c>
      <c r="D435" t="inlineStr">
        <is>
          <t>VÄRMLANDS LÄN</t>
        </is>
      </c>
      <c r="E435" t="inlineStr">
        <is>
          <t>TORSBY</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31759-2020</t>
        </is>
      </c>
      <c r="B436" s="1" t="n">
        <v>44014</v>
      </c>
      <c r="C436" s="1" t="n">
        <v>45627</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32122-2020</t>
        </is>
      </c>
      <c r="B437" s="1" t="n">
        <v>44015</v>
      </c>
      <c r="C437" s="1" t="n">
        <v>45627</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32623-2020</t>
        </is>
      </c>
      <c r="B438" s="1" t="n">
        <v>44019</v>
      </c>
      <c r="C438" s="1" t="n">
        <v>45627</v>
      </c>
      <c r="D438" t="inlineStr">
        <is>
          <t>VÄRMLANDS LÄN</t>
        </is>
      </c>
      <c r="E438" t="inlineStr">
        <is>
          <t>TORSBY</t>
        </is>
      </c>
      <c r="F438" t="inlineStr">
        <is>
          <t>Kommuner</t>
        </is>
      </c>
      <c r="G438" t="n">
        <v>13.9</v>
      </c>
      <c r="H438" t="n">
        <v>0</v>
      </c>
      <c r="I438" t="n">
        <v>0</v>
      </c>
      <c r="J438" t="n">
        <v>0</v>
      </c>
      <c r="K438" t="n">
        <v>0</v>
      </c>
      <c r="L438" t="n">
        <v>0</v>
      </c>
      <c r="M438" t="n">
        <v>0</v>
      </c>
      <c r="N438" t="n">
        <v>0</v>
      </c>
      <c r="O438" t="n">
        <v>0</v>
      </c>
      <c r="P438" t="n">
        <v>0</v>
      </c>
      <c r="Q438" t="n">
        <v>0</v>
      </c>
      <c r="R438" s="2" t="inlineStr"/>
    </row>
    <row r="439" ht="15" customHeight="1">
      <c r="A439" t="inlineStr">
        <is>
          <t>A 32651-2020</t>
        </is>
      </c>
      <c r="B439" s="1" t="n">
        <v>44019</v>
      </c>
      <c r="C439" s="1" t="n">
        <v>45627</v>
      </c>
      <c r="D439" t="inlineStr">
        <is>
          <t>VÄRMLANDS LÄN</t>
        </is>
      </c>
      <c r="E439" t="inlineStr">
        <is>
          <t>TORSBY</t>
        </is>
      </c>
      <c r="F439" t="inlineStr">
        <is>
          <t>Kommuner</t>
        </is>
      </c>
      <c r="G439" t="n">
        <v>8.6</v>
      </c>
      <c r="H439" t="n">
        <v>0</v>
      </c>
      <c r="I439" t="n">
        <v>0</v>
      </c>
      <c r="J439" t="n">
        <v>0</v>
      </c>
      <c r="K439" t="n">
        <v>0</v>
      </c>
      <c r="L439" t="n">
        <v>0</v>
      </c>
      <c r="M439" t="n">
        <v>0</v>
      </c>
      <c r="N439" t="n">
        <v>0</v>
      </c>
      <c r="O439" t="n">
        <v>0</v>
      </c>
      <c r="P439" t="n">
        <v>0</v>
      </c>
      <c r="Q439" t="n">
        <v>0</v>
      </c>
      <c r="R439" s="2" t="inlineStr"/>
    </row>
    <row r="440" ht="15" customHeight="1">
      <c r="A440" t="inlineStr">
        <is>
          <t>A 33124-2020</t>
        </is>
      </c>
      <c r="B440" s="1" t="n">
        <v>44021</v>
      </c>
      <c r="C440" s="1" t="n">
        <v>45627</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33095-2020</t>
        </is>
      </c>
      <c r="B441" s="1" t="n">
        <v>44021</v>
      </c>
      <c r="C441" s="1" t="n">
        <v>45627</v>
      </c>
      <c r="D441" t="inlineStr">
        <is>
          <t>VÄRMLANDS LÄN</t>
        </is>
      </c>
      <c r="E441" t="inlineStr">
        <is>
          <t>TORSBY</t>
        </is>
      </c>
      <c r="G441" t="n">
        <v>3.1</v>
      </c>
      <c r="H441" t="n">
        <v>0</v>
      </c>
      <c r="I441" t="n">
        <v>0</v>
      </c>
      <c r="J441" t="n">
        <v>0</v>
      </c>
      <c r="K441" t="n">
        <v>0</v>
      </c>
      <c r="L441" t="n">
        <v>0</v>
      </c>
      <c r="M441" t="n">
        <v>0</v>
      </c>
      <c r="N441" t="n">
        <v>0</v>
      </c>
      <c r="O441" t="n">
        <v>0</v>
      </c>
      <c r="P441" t="n">
        <v>0</v>
      </c>
      <c r="Q441" t="n">
        <v>0</v>
      </c>
      <c r="R441" s="2" t="inlineStr"/>
    </row>
    <row r="442" ht="15" customHeight="1">
      <c r="A442" t="inlineStr">
        <is>
          <t>A 33126-2020</t>
        </is>
      </c>
      <c r="B442" s="1" t="n">
        <v>44021</v>
      </c>
      <c r="C442" s="1" t="n">
        <v>45627</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33691-2020</t>
        </is>
      </c>
      <c r="B443" s="1" t="n">
        <v>44022</v>
      </c>
      <c r="C443" s="1" t="n">
        <v>45627</v>
      </c>
      <c r="D443" t="inlineStr">
        <is>
          <t>VÄRMLANDS LÄN</t>
        </is>
      </c>
      <c r="E443" t="inlineStr">
        <is>
          <t>TORSBY</t>
        </is>
      </c>
      <c r="F443" t="inlineStr">
        <is>
          <t>Övriga Aktiebolag</t>
        </is>
      </c>
      <c r="G443" t="n">
        <v>3.8</v>
      </c>
      <c r="H443" t="n">
        <v>0</v>
      </c>
      <c r="I443" t="n">
        <v>0</v>
      </c>
      <c r="J443" t="n">
        <v>0</v>
      </c>
      <c r="K443" t="n">
        <v>0</v>
      </c>
      <c r="L443" t="n">
        <v>0</v>
      </c>
      <c r="M443" t="n">
        <v>0</v>
      </c>
      <c r="N443" t="n">
        <v>0</v>
      </c>
      <c r="O443" t="n">
        <v>0</v>
      </c>
      <c r="P443" t="n">
        <v>0</v>
      </c>
      <c r="Q443" t="n">
        <v>0</v>
      </c>
      <c r="R443" s="2" t="inlineStr"/>
    </row>
    <row r="444" ht="15" customHeight="1">
      <c r="A444" t="inlineStr">
        <is>
          <t>A 34901-2020</t>
        </is>
      </c>
      <c r="B444" s="1" t="n">
        <v>44022</v>
      </c>
      <c r="C444" s="1" t="n">
        <v>45627</v>
      </c>
      <c r="D444" t="inlineStr">
        <is>
          <t>VÄRMLANDS LÄN</t>
        </is>
      </c>
      <c r="E444" t="inlineStr">
        <is>
          <t>TORSBY</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33908-2020</t>
        </is>
      </c>
      <c r="B445" s="1" t="n">
        <v>44027</v>
      </c>
      <c r="C445" s="1" t="n">
        <v>45627</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33864-2020</t>
        </is>
      </c>
      <c r="B446" s="1" t="n">
        <v>44027</v>
      </c>
      <c r="C446" s="1" t="n">
        <v>45627</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34118-2020</t>
        </is>
      </c>
      <c r="B447" s="1" t="n">
        <v>44028</v>
      </c>
      <c r="C447" s="1" t="n">
        <v>45627</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34247-2020</t>
        </is>
      </c>
      <c r="B448" s="1" t="n">
        <v>44029</v>
      </c>
      <c r="C448" s="1" t="n">
        <v>45627</v>
      </c>
      <c r="D448" t="inlineStr">
        <is>
          <t>VÄRMLANDS LÄN</t>
        </is>
      </c>
      <c r="E448" t="inlineStr">
        <is>
          <t>TORSBY</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35132-2020</t>
        </is>
      </c>
      <c r="B449" s="1" t="n">
        <v>44040</v>
      </c>
      <c r="C449" s="1" t="n">
        <v>45627</v>
      </c>
      <c r="D449" t="inlineStr">
        <is>
          <t>VÄRMLANDS LÄN</t>
        </is>
      </c>
      <c r="E449" t="inlineStr">
        <is>
          <t>TORSBY</t>
        </is>
      </c>
      <c r="F449" t="inlineStr">
        <is>
          <t>Kommuner</t>
        </is>
      </c>
      <c r="G449" t="n">
        <v>5.3</v>
      </c>
      <c r="H449" t="n">
        <v>0</v>
      </c>
      <c r="I449" t="n">
        <v>0</v>
      </c>
      <c r="J449" t="n">
        <v>0</v>
      </c>
      <c r="K449" t="n">
        <v>0</v>
      </c>
      <c r="L449" t="n">
        <v>0</v>
      </c>
      <c r="M449" t="n">
        <v>0</v>
      </c>
      <c r="N449" t="n">
        <v>0</v>
      </c>
      <c r="O449" t="n">
        <v>0</v>
      </c>
      <c r="P449" t="n">
        <v>0</v>
      </c>
      <c r="Q449" t="n">
        <v>0</v>
      </c>
      <c r="R449" s="2" t="inlineStr"/>
    </row>
    <row r="450" ht="15" customHeight="1">
      <c r="A450" t="inlineStr">
        <is>
          <t>A 35174-2020</t>
        </is>
      </c>
      <c r="B450" s="1" t="n">
        <v>44040</v>
      </c>
      <c r="C450" s="1" t="n">
        <v>45627</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35500-2020</t>
        </is>
      </c>
      <c r="B451" s="1" t="n">
        <v>44043</v>
      </c>
      <c r="C451" s="1" t="n">
        <v>45627</v>
      </c>
      <c r="D451" t="inlineStr">
        <is>
          <t>VÄRMLANDS LÄN</t>
        </is>
      </c>
      <c r="E451" t="inlineStr">
        <is>
          <t>TORSBY</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35778-2020</t>
        </is>
      </c>
      <c r="B452" s="1" t="n">
        <v>44046</v>
      </c>
      <c r="C452" s="1" t="n">
        <v>45627</v>
      </c>
      <c r="D452" t="inlineStr">
        <is>
          <t>VÄRMLANDS LÄN</t>
        </is>
      </c>
      <c r="E452" t="inlineStr">
        <is>
          <t>TORSBY</t>
        </is>
      </c>
      <c r="G452" t="n">
        <v>10.2</v>
      </c>
      <c r="H452" t="n">
        <v>0</v>
      </c>
      <c r="I452" t="n">
        <v>0</v>
      </c>
      <c r="J452" t="n">
        <v>0</v>
      </c>
      <c r="K452" t="n">
        <v>0</v>
      </c>
      <c r="L452" t="n">
        <v>0</v>
      </c>
      <c r="M452" t="n">
        <v>0</v>
      </c>
      <c r="N452" t="n">
        <v>0</v>
      </c>
      <c r="O452" t="n">
        <v>0</v>
      </c>
      <c r="P452" t="n">
        <v>0</v>
      </c>
      <c r="Q452" t="n">
        <v>0</v>
      </c>
      <c r="R452" s="2" t="inlineStr"/>
    </row>
    <row r="453" ht="15" customHeight="1">
      <c r="A453" t="inlineStr">
        <is>
          <t>A 35900-2020</t>
        </is>
      </c>
      <c r="B453" s="1" t="n">
        <v>44047</v>
      </c>
      <c r="C453" s="1" t="n">
        <v>45627</v>
      </c>
      <c r="D453" t="inlineStr">
        <is>
          <t>VÄRMLANDS LÄN</t>
        </is>
      </c>
      <c r="E453" t="inlineStr">
        <is>
          <t>TORSBY</t>
        </is>
      </c>
      <c r="G453" t="n">
        <v>7.2</v>
      </c>
      <c r="H453" t="n">
        <v>0</v>
      </c>
      <c r="I453" t="n">
        <v>0</v>
      </c>
      <c r="J453" t="n">
        <v>0</v>
      </c>
      <c r="K453" t="n">
        <v>0</v>
      </c>
      <c r="L453" t="n">
        <v>0</v>
      </c>
      <c r="M453" t="n">
        <v>0</v>
      </c>
      <c r="N453" t="n">
        <v>0</v>
      </c>
      <c r="O453" t="n">
        <v>0</v>
      </c>
      <c r="P453" t="n">
        <v>0</v>
      </c>
      <c r="Q453" t="n">
        <v>0</v>
      </c>
      <c r="R453" s="2" t="inlineStr"/>
    </row>
    <row r="454" ht="15" customHeight="1">
      <c r="A454" t="inlineStr">
        <is>
          <t>A 35955-2020</t>
        </is>
      </c>
      <c r="B454" s="1" t="n">
        <v>44047</v>
      </c>
      <c r="C454" s="1" t="n">
        <v>45627</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35826-2020</t>
        </is>
      </c>
      <c r="B455" s="1" t="n">
        <v>44047</v>
      </c>
      <c r="C455" s="1" t="n">
        <v>45627</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35905-2020</t>
        </is>
      </c>
      <c r="B456" s="1" t="n">
        <v>44047</v>
      </c>
      <c r="C456" s="1" t="n">
        <v>45627</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36482-2020</t>
        </is>
      </c>
      <c r="B457" s="1" t="n">
        <v>44048</v>
      </c>
      <c r="C457" s="1" t="n">
        <v>45627</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36104-2020</t>
        </is>
      </c>
      <c r="B458" s="1" t="n">
        <v>44048</v>
      </c>
      <c r="C458" s="1" t="n">
        <v>45627</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36265-2020</t>
        </is>
      </c>
      <c r="B459" s="1" t="n">
        <v>44049</v>
      </c>
      <c r="C459" s="1" t="n">
        <v>45627</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36396-2020</t>
        </is>
      </c>
      <c r="B460" s="1" t="n">
        <v>44049</v>
      </c>
      <c r="C460" s="1" t="n">
        <v>45627</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36394-2020</t>
        </is>
      </c>
      <c r="B461" s="1" t="n">
        <v>44049</v>
      </c>
      <c r="C461" s="1" t="n">
        <v>45627</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36847-2020</t>
        </is>
      </c>
      <c r="B462" s="1" t="n">
        <v>44053</v>
      </c>
      <c r="C462" s="1" t="n">
        <v>45627</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36901-2020</t>
        </is>
      </c>
      <c r="B463" s="1" t="n">
        <v>44053</v>
      </c>
      <c r="C463" s="1" t="n">
        <v>45627</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37305-2020</t>
        </is>
      </c>
      <c r="B464" s="1" t="n">
        <v>44055</v>
      </c>
      <c r="C464" s="1" t="n">
        <v>45627</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37302-2020</t>
        </is>
      </c>
      <c r="B465" s="1" t="n">
        <v>44055</v>
      </c>
      <c r="C465" s="1" t="n">
        <v>45627</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37307-2020</t>
        </is>
      </c>
      <c r="B466" s="1" t="n">
        <v>44055</v>
      </c>
      <c r="C466" s="1" t="n">
        <v>45627</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37303-2020</t>
        </is>
      </c>
      <c r="B467" s="1" t="n">
        <v>44055</v>
      </c>
      <c r="C467" s="1" t="n">
        <v>45627</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38506-2020</t>
        </is>
      </c>
      <c r="B468" s="1" t="n">
        <v>44061</v>
      </c>
      <c r="C468" s="1" t="n">
        <v>45627</v>
      </c>
      <c r="D468" t="inlineStr">
        <is>
          <t>VÄRMLANDS LÄN</t>
        </is>
      </c>
      <c r="E468" t="inlineStr">
        <is>
          <t>TORSBY</t>
        </is>
      </c>
      <c r="G468" t="n">
        <v>5</v>
      </c>
      <c r="H468" t="n">
        <v>0</v>
      </c>
      <c r="I468" t="n">
        <v>0</v>
      </c>
      <c r="J468" t="n">
        <v>0</v>
      </c>
      <c r="K468" t="n">
        <v>0</v>
      </c>
      <c r="L468" t="n">
        <v>0</v>
      </c>
      <c r="M468" t="n">
        <v>0</v>
      </c>
      <c r="N468" t="n">
        <v>0</v>
      </c>
      <c r="O468" t="n">
        <v>0</v>
      </c>
      <c r="P468" t="n">
        <v>0</v>
      </c>
      <c r="Q468" t="n">
        <v>0</v>
      </c>
      <c r="R468" s="2" t="inlineStr"/>
    </row>
    <row r="469" ht="15" customHeight="1">
      <c r="A469" t="inlineStr">
        <is>
          <t>A 38978-2020</t>
        </is>
      </c>
      <c r="B469" s="1" t="n">
        <v>44062</v>
      </c>
      <c r="C469" s="1" t="n">
        <v>45627</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40218-2020</t>
        </is>
      </c>
      <c r="B470" s="1" t="n">
        <v>44064</v>
      </c>
      <c r="C470" s="1" t="n">
        <v>45627</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40015-2020</t>
        </is>
      </c>
      <c r="B471" s="1" t="n">
        <v>44067</v>
      </c>
      <c r="C471" s="1" t="n">
        <v>45627</v>
      </c>
      <c r="D471" t="inlineStr">
        <is>
          <t>VÄRMLANDS LÄN</t>
        </is>
      </c>
      <c r="E471" t="inlineStr">
        <is>
          <t>TORSBY</t>
        </is>
      </c>
      <c r="G471" t="n">
        <v>5.7</v>
      </c>
      <c r="H471" t="n">
        <v>0</v>
      </c>
      <c r="I471" t="n">
        <v>0</v>
      </c>
      <c r="J471" t="n">
        <v>0</v>
      </c>
      <c r="K471" t="n">
        <v>0</v>
      </c>
      <c r="L471" t="n">
        <v>0</v>
      </c>
      <c r="M471" t="n">
        <v>0</v>
      </c>
      <c r="N471" t="n">
        <v>0</v>
      </c>
      <c r="O471" t="n">
        <v>0</v>
      </c>
      <c r="P471" t="n">
        <v>0</v>
      </c>
      <c r="Q471" t="n">
        <v>0</v>
      </c>
      <c r="R471" s="2" t="inlineStr"/>
    </row>
    <row r="472" ht="15" customHeight="1">
      <c r="A472" t="inlineStr">
        <is>
          <t>A 40550-2020</t>
        </is>
      </c>
      <c r="B472" s="1" t="n">
        <v>44069</v>
      </c>
      <c r="C472" s="1" t="n">
        <v>45627</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40594-2020</t>
        </is>
      </c>
      <c r="B473" s="1" t="n">
        <v>44069</v>
      </c>
      <c r="C473" s="1" t="n">
        <v>45627</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40509-2020</t>
        </is>
      </c>
      <c r="B474" s="1" t="n">
        <v>44069</v>
      </c>
      <c r="C474" s="1" t="n">
        <v>45627</v>
      </c>
      <c r="D474" t="inlineStr">
        <is>
          <t>VÄRMLANDS LÄN</t>
        </is>
      </c>
      <c r="E474" t="inlineStr">
        <is>
          <t>TORSBY</t>
        </is>
      </c>
      <c r="F474" t="inlineStr">
        <is>
          <t>Naturvårdsverket</t>
        </is>
      </c>
      <c r="G474" t="n">
        <v>57</v>
      </c>
      <c r="H474" t="n">
        <v>0</v>
      </c>
      <c r="I474" t="n">
        <v>0</v>
      </c>
      <c r="J474" t="n">
        <v>0</v>
      </c>
      <c r="K474" t="n">
        <v>0</v>
      </c>
      <c r="L474" t="n">
        <v>0</v>
      </c>
      <c r="M474" t="n">
        <v>0</v>
      </c>
      <c r="N474" t="n">
        <v>0</v>
      </c>
      <c r="O474" t="n">
        <v>0</v>
      </c>
      <c r="P474" t="n">
        <v>0</v>
      </c>
      <c r="Q474" t="n">
        <v>0</v>
      </c>
      <c r="R474" s="2" t="inlineStr"/>
    </row>
    <row r="475" ht="15" customHeight="1">
      <c r="A475" t="inlineStr">
        <is>
          <t>A 40601-2020</t>
        </is>
      </c>
      <c r="B475" s="1" t="n">
        <v>44069</v>
      </c>
      <c r="C475" s="1" t="n">
        <v>45627</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40994-2020</t>
        </is>
      </c>
      <c r="B476" s="1" t="n">
        <v>44070</v>
      </c>
      <c r="C476" s="1" t="n">
        <v>45627</v>
      </c>
      <c r="D476" t="inlineStr">
        <is>
          <t>VÄRMLANDS LÄN</t>
        </is>
      </c>
      <c r="E476" t="inlineStr">
        <is>
          <t>TORSBY</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40987-2020</t>
        </is>
      </c>
      <c r="B477" s="1" t="n">
        <v>44070</v>
      </c>
      <c r="C477" s="1" t="n">
        <v>45627</v>
      </c>
      <c r="D477" t="inlineStr">
        <is>
          <t>VÄRMLANDS LÄN</t>
        </is>
      </c>
      <c r="E477" t="inlineStr">
        <is>
          <t>TORSBY</t>
        </is>
      </c>
      <c r="F477" t="inlineStr">
        <is>
          <t>Bergvik skog väst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40993-2020</t>
        </is>
      </c>
      <c r="B478" s="1" t="n">
        <v>44070</v>
      </c>
      <c r="C478" s="1" t="n">
        <v>45627</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41469-2020</t>
        </is>
      </c>
      <c r="B479" s="1" t="n">
        <v>44074</v>
      </c>
      <c r="C479" s="1" t="n">
        <v>45627</v>
      </c>
      <c r="D479" t="inlineStr">
        <is>
          <t>VÄRMLANDS LÄN</t>
        </is>
      </c>
      <c r="E479" t="inlineStr">
        <is>
          <t>TORSBY</t>
        </is>
      </c>
      <c r="F479" t="inlineStr">
        <is>
          <t>Bergvik skog väst AB</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42391-2020</t>
        </is>
      </c>
      <c r="B480" s="1" t="n">
        <v>44076</v>
      </c>
      <c r="C480" s="1" t="n">
        <v>45627</v>
      </c>
      <c r="D480" t="inlineStr">
        <is>
          <t>VÄRMLANDS LÄN</t>
        </is>
      </c>
      <c r="E480" t="inlineStr">
        <is>
          <t>TORSBY</t>
        </is>
      </c>
      <c r="G480" t="n">
        <v>3.9</v>
      </c>
      <c r="H480" t="n">
        <v>0</v>
      </c>
      <c r="I480" t="n">
        <v>0</v>
      </c>
      <c r="J480" t="n">
        <v>0</v>
      </c>
      <c r="K480" t="n">
        <v>0</v>
      </c>
      <c r="L480" t="n">
        <v>0</v>
      </c>
      <c r="M480" t="n">
        <v>0</v>
      </c>
      <c r="N480" t="n">
        <v>0</v>
      </c>
      <c r="O480" t="n">
        <v>0</v>
      </c>
      <c r="P480" t="n">
        <v>0</v>
      </c>
      <c r="Q480" t="n">
        <v>0</v>
      </c>
      <c r="R480" s="2" t="inlineStr"/>
    </row>
    <row r="481" ht="15" customHeight="1">
      <c r="A481" t="inlineStr">
        <is>
          <t>A 42566-2020</t>
        </is>
      </c>
      <c r="B481" s="1" t="n">
        <v>44077</v>
      </c>
      <c r="C481" s="1" t="n">
        <v>45627</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42982-2020</t>
        </is>
      </c>
      <c r="B482" s="1" t="n">
        <v>44078</v>
      </c>
      <c r="C482" s="1" t="n">
        <v>45627</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44722-2020</t>
        </is>
      </c>
      <c r="B483" s="1" t="n">
        <v>44078</v>
      </c>
      <c r="C483" s="1" t="n">
        <v>45627</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43547-2020</t>
        </is>
      </c>
      <c r="B484" s="1" t="n">
        <v>44078</v>
      </c>
      <c r="C484" s="1" t="n">
        <v>45627</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44715-2020</t>
        </is>
      </c>
      <c r="B485" s="1" t="n">
        <v>44078</v>
      </c>
      <c r="C485" s="1" t="n">
        <v>45627</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44720-2020</t>
        </is>
      </c>
      <c r="B486" s="1" t="n">
        <v>44078</v>
      </c>
      <c r="C486" s="1" t="n">
        <v>45627</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43725-2020</t>
        </is>
      </c>
      <c r="B487" s="1" t="n">
        <v>44082</v>
      </c>
      <c r="C487" s="1" t="n">
        <v>45627</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44666-2020</t>
        </is>
      </c>
      <c r="B488" s="1" t="n">
        <v>44085</v>
      </c>
      <c r="C488" s="1" t="n">
        <v>45627</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46482-2020</t>
        </is>
      </c>
      <c r="B489" s="1" t="n">
        <v>44089</v>
      </c>
      <c r="C489" s="1" t="n">
        <v>45627</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45404-2020</t>
        </is>
      </c>
      <c r="B490" s="1" t="n">
        <v>44089</v>
      </c>
      <c r="C490" s="1" t="n">
        <v>45627</v>
      </c>
      <c r="D490" t="inlineStr">
        <is>
          <t>VÄRMLANDS LÄN</t>
        </is>
      </c>
      <c r="E490" t="inlineStr">
        <is>
          <t>TORSBY</t>
        </is>
      </c>
      <c r="G490" t="n">
        <v>3.2</v>
      </c>
      <c r="H490" t="n">
        <v>0</v>
      </c>
      <c r="I490" t="n">
        <v>0</v>
      </c>
      <c r="J490" t="n">
        <v>0</v>
      </c>
      <c r="K490" t="n">
        <v>0</v>
      </c>
      <c r="L490" t="n">
        <v>0</v>
      </c>
      <c r="M490" t="n">
        <v>0</v>
      </c>
      <c r="N490" t="n">
        <v>0</v>
      </c>
      <c r="O490" t="n">
        <v>0</v>
      </c>
      <c r="P490" t="n">
        <v>0</v>
      </c>
      <c r="Q490" t="n">
        <v>0</v>
      </c>
      <c r="R490" s="2" t="inlineStr"/>
    </row>
    <row r="491" ht="15" customHeight="1">
      <c r="A491" t="inlineStr">
        <is>
          <t>A 45872-2020</t>
        </is>
      </c>
      <c r="B491" s="1" t="n">
        <v>44091</v>
      </c>
      <c r="C491" s="1" t="n">
        <v>45627</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45898-2020</t>
        </is>
      </c>
      <c r="B492" s="1" t="n">
        <v>44091</v>
      </c>
      <c r="C492" s="1" t="n">
        <v>45627</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46271-2020</t>
        </is>
      </c>
      <c r="B493" s="1" t="n">
        <v>44092</v>
      </c>
      <c r="C493" s="1" t="n">
        <v>45627</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47707-2020</t>
        </is>
      </c>
      <c r="B494" s="1" t="n">
        <v>44096</v>
      </c>
      <c r="C494" s="1" t="n">
        <v>45627</v>
      </c>
      <c r="D494" t="inlineStr">
        <is>
          <t>VÄRMLANDS LÄN</t>
        </is>
      </c>
      <c r="E494" t="inlineStr">
        <is>
          <t>TORSBY</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47709-2020</t>
        </is>
      </c>
      <c r="B495" s="1" t="n">
        <v>44096</v>
      </c>
      <c r="C495" s="1" t="n">
        <v>45627</v>
      </c>
      <c r="D495" t="inlineStr">
        <is>
          <t>VÄRMLANDS LÄN</t>
        </is>
      </c>
      <c r="E495" t="inlineStr">
        <is>
          <t>TORSBY</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47490-2020</t>
        </is>
      </c>
      <c r="B496" s="1" t="n">
        <v>44098</v>
      </c>
      <c r="C496" s="1" t="n">
        <v>45627</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48231-2020</t>
        </is>
      </c>
      <c r="B497" s="1" t="n">
        <v>44102</v>
      </c>
      <c r="C497" s="1" t="n">
        <v>45627</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48383-2020</t>
        </is>
      </c>
      <c r="B498" s="1" t="n">
        <v>44102</v>
      </c>
      <c r="C498" s="1" t="n">
        <v>45627</v>
      </c>
      <c r="D498" t="inlineStr">
        <is>
          <t>VÄRMLANDS LÄN</t>
        </is>
      </c>
      <c r="E498" t="inlineStr">
        <is>
          <t>TORSBY</t>
        </is>
      </c>
      <c r="G498" t="n">
        <v>2.9</v>
      </c>
      <c r="H498" t="n">
        <v>0</v>
      </c>
      <c r="I498" t="n">
        <v>0</v>
      </c>
      <c r="J498" t="n">
        <v>0</v>
      </c>
      <c r="K498" t="n">
        <v>0</v>
      </c>
      <c r="L498" t="n">
        <v>0</v>
      </c>
      <c r="M498" t="n">
        <v>0</v>
      </c>
      <c r="N498" t="n">
        <v>0</v>
      </c>
      <c r="O498" t="n">
        <v>0</v>
      </c>
      <c r="P498" t="n">
        <v>0</v>
      </c>
      <c r="Q498" t="n">
        <v>0</v>
      </c>
      <c r="R498" s="2" t="inlineStr"/>
    </row>
    <row r="499" ht="15" customHeight="1">
      <c r="A499" t="inlineStr">
        <is>
          <t>A 48488-2020</t>
        </is>
      </c>
      <c r="B499" s="1" t="n">
        <v>44103</v>
      </c>
      <c r="C499" s="1" t="n">
        <v>45627</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53557-2020</t>
        </is>
      </c>
      <c r="B500" s="1" t="n">
        <v>44104</v>
      </c>
      <c r="C500" s="1" t="n">
        <v>45627</v>
      </c>
      <c r="D500" t="inlineStr">
        <is>
          <t>VÄRMLANDS LÄN</t>
        </is>
      </c>
      <c r="E500" t="inlineStr">
        <is>
          <t>TORSBY</t>
        </is>
      </c>
      <c r="F500" t="inlineStr">
        <is>
          <t>Övriga statliga verk och myndigheter</t>
        </is>
      </c>
      <c r="G500" t="n">
        <v>1</v>
      </c>
      <c r="H500" t="n">
        <v>0</v>
      </c>
      <c r="I500" t="n">
        <v>0</v>
      </c>
      <c r="J500" t="n">
        <v>0</v>
      </c>
      <c r="K500" t="n">
        <v>0</v>
      </c>
      <c r="L500" t="n">
        <v>0</v>
      </c>
      <c r="M500" t="n">
        <v>0</v>
      </c>
      <c r="N500" t="n">
        <v>0</v>
      </c>
      <c r="O500" t="n">
        <v>0</v>
      </c>
      <c r="P500" t="n">
        <v>0</v>
      </c>
      <c r="Q500" t="n">
        <v>0</v>
      </c>
      <c r="R500" s="2" t="inlineStr"/>
    </row>
    <row r="501" ht="15" customHeight="1">
      <c r="A501" t="inlineStr">
        <is>
          <t>A 50084-2020</t>
        </is>
      </c>
      <c r="B501" s="1" t="n">
        <v>44109</v>
      </c>
      <c r="C501" s="1" t="n">
        <v>45627</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50092-2020</t>
        </is>
      </c>
      <c r="B502" s="1" t="n">
        <v>44109</v>
      </c>
      <c r="C502" s="1" t="n">
        <v>45627</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50103-2020</t>
        </is>
      </c>
      <c r="B503" s="1" t="n">
        <v>44109</v>
      </c>
      <c r="C503" s="1" t="n">
        <v>45627</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50096-2020</t>
        </is>
      </c>
      <c r="B504" s="1" t="n">
        <v>44109</v>
      </c>
      <c r="C504" s="1" t="n">
        <v>45627</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50486-2020</t>
        </is>
      </c>
      <c r="B505" s="1" t="n">
        <v>44110</v>
      </c>
      <c r="C505" s="1" t="n">
        <v>45627</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50943-2020</t>
        </is>
      </c>
      <c r="B506" s="1" t="n">
        <v>44111</v>
      </c>
      <c r="C506" s="1" t="n">
        <v>45627</v>
      </c>
      <c r="D506" t="inlineStr">
        <is>
          <t>VÄRMLANDS LÄN</t>
        </is>
      </c>
      <c r="E506" t="inlineStr">
        <is>
          <t>TORSBY</t>
        </is>
      </c>
      <c r="F506" t="inlineStr">
        <is>
          <t>Bergvik skog väst AB</t>
        </is>
      </c>
      <c r="G506" t="n">
        <v>18.4</v>
      </c>
      <c r="H506" t="n">
        <v>0</v>
      </c>
      <c r="I506" t="n">
        <v>0</v>
      </c>
      <c r="J506" t="n">
        <v>0</v>
      </c>
      <c r="K506" t="n">
        <v>0</v>
      </c>
      <c r="L506" t="n">
        <v>0</v>
      </c>
      <c r="M506" t="n">
        <v>0</v>
      </c>
      <c r="N506" t="n">
        <v>0</v>
      </c>
      <c r="O506" t="n">
        <v>0</v>
      </c>
      <c r="P506" t="n">
        <v>0</v>
      </c>
      <c r="Q506" t="n">
        <v>0</v>
      </c>
      <c r="R506" s="2" t="inlineStr"/>
    </row>
    <row r="507" ht="15" customHeight="1">
      <c r="A507" t="inlineStr">
        <is>
          <t>A 51380-2020</t>
        </is>
      </c>
      <c r="B507" s="1" t="n">
        <v>44113</v>
      </c>
      <c r="C507" s="1" t="n">
        <v>45627</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51385-2020</t>
        </is>
      </c>
      <c r="B508" s="1" t="n">
        <v>44113</v>
      </c>
      <c r="C508" s="1" t="n">
        <v>45627</v>
      </c>
      <c r="D508" t="inlineStr">
        <is>
          <t>VÄRMLANDS LÄN</t>
        </is>
      </c>
      <c r="E508" t="inlineStr">
        <is>
          <t>TORSBY</t>
        </is>
      </c>
      <c r="G508" t="n">
        <v>6.8</v>
      </c>
      <c r="H508" t="n">
        <v>0</v>
      </c>
      <c r="I508" t="n">
        <v>0</v>
      </c>
      <c r="J508" t="n">
        <v>0</v>
      </c>
      <c r="K508" t="n">
        <v>0</v>
      </c>
      <c r="L508" t="n">
        <v>0</v>
      </c>
      <c r="M508" t="n">
        <v>0</v>
      </c>
      <c r="N508" t="n">
        <v>0</v>
      </c>
      <c r="O508" t="n">
        <v>0</v>
      </c>
      <c r="P508" t="n">
        <v>0</v>
      </c>
      <c r="Q508" t="n">
        <v>0</v>
      </c>
      <c r="R508" s="2" t="inlineStr"/>
    </row>
    <row r="509" ht="15" customHeight="1">
      <c r="A509" t="inlineStr">
        <is>
          <t>A 51389-2020</t>
        </is>
      </c>
      <c r="B509" s="1" t="n">
        <v>44113</v>
      </c>
      <c r="C509" s="1" t="n">
        <v>45627</v>
      </c>
      <c r="D509" t="inlineStr">
        <is>
          <t>VÄRMLANDS LÄN</t>
        </is>
      </c>
      <c r="E509" t="inlineStr">
        <is>
          <t>TORSBY</t>
        </is>
      </c>
      <c r="G509" t="n">
        <v>15.4</v>
      </c>
      <c r="H509" t="n">
        <v>0</v>
      </c>
      <c r="I509" t="n">
        <v>0</v>
      </c>
      <c r="J509" t="n">
        <v>0</v>
      </c>
      <c r="K509" t="n">
        <v>0</v>
      </c>
      <c r="L509" t="n">
        <v>0</v>
      </c>
      <c r="M509" t="n">
        <v>0</v>
      </c>
      <c r="N509" t="n">
        <v>0</v>
      </c>
      <c r="O509" t="n">
        <v>0</v>
      </c>
      <c r="P509" t="n">
        <v>0</v>
      </c>
      <c r="Q509" t="n">
        <v>0</v>
      </c>
      <c r="R509" s="2" t="inlineStr"/>
    </row>
    <row r="510" ht="15" customHeight="1">
      <c r="A510" t="inlineStr">
        <is>
          <t>A 51382-2020</t>
        </is>
      </c>
      <c r="B510" s="1" t="n">
        <v>44113</v>
      </c>
      <c r="C510" s="1" t="n">
        <v>45627</v>
      </c>
      <c r="D510" t="inlineStr">
        <is>
          <t>VÄRMLANDS LÄN</t>
        </is>
      </c>
      <c r="E510" t="inlineStr">
        <is>
          <t>TORSBY</t>
        </is>
      </c>
      <c r="G510" t="n">
        <v>0.5</v>
      </c>
      <c r="H510" t="n">
        <v>0</v>
      </c>
      <c r="I510" t="n">
        <v>0</v>
      </c>
      <c r="J510" t="n">
        <v>0</v>
      </c>
      <c r="K510" t="n">
        <v>0</v>
      </c>
      <c r="L510" t="n">
        <v>0</v>
      </c>
      <c r="M510" t="n">
        <v>0</v>
      </c>
      <c r="N510" t="n">
        <v>0</v>
      </c>
      <c r="O510" t="n">
        <v>0</v>
      </c>
      <c r="P510" t="n">
        <v>0</v>
      </c>
      <c r="Q510" t="n">
        <v>0</v>
      </c>
      <c r="R510" s="2" t="inlineStr"/>
    </row>
    <row r="511" ht="15" customHeight="1">
      <c r="A511" t="inlineStr">
        <is>
          <t>A 51381-2020</t>
        </is>
      </c>
      <c r="B511" s="1" t="n">
        <v>44113</v>
      </c>
      <c r="C511" s="1" t="n">
        <v>45627</v>
      </c>
      <c r="D511" t="inlineStr">
        <is>
          <t>VÄRMLANDS LÄN</t>
        </is>
      </c>
      <c r="E511" t="inlineStr">
        <is>
          <t>TORSBY</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51386-2020</t>
        </is>
      </c>
      <c r="B512" s="1" t="n">
        <v>44113</v>
      </c>
      <c r="C512" s="1" t="n">
        <v>45627</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51635-2020</t>
        </is>
      </c>
      <c r="B513" s="1" t="n">
        <v>44113</v>
      </c>
      <c r="C513" s="1" t="n">
        <v>45627</v>
      </c>
      <c r="D513" t="inlineStr">
        <is>
          <t>VÄRMLANDS LÄN</t>
        </is>
      </c>
      <c r="E513" t="inlineStr">
        <is>
          <t>TORSBY</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51383-2020</t>
        </is>
      </c>
      <c r="B514" s="1" t="n">
        <v>44113</v>
      </c>
      <c r="C514" s="1" t="n">
        <v>45627</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51838-2020</t>
        </is>
      </c>
      <c r="B515" s="1" t="n">
        <v>44116</v>
      </c>
      <c r="C515" s="1" t="n">
        <v>45627</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52460-2020</t>
        </is>
      </c>
      <c r="B516" s="1" t="n">
        <v>44116</v>
      </c>
      <c r="C516" s="1" t="n">
        <v>45627</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51837-2020</t>
        </is>
      </c>
      <c r="B517" s="1" t="n">
        <v>44116</v>
      </c>
      <c r="C517" s="1" t="n">
        <v>45627</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52141-2020</t>
        </is>
      </c>
      <c r="B518" s="1" t="n">
        <v>44117</v>
      </c>
      <c r="C518" s="1" t="n">
        <v>45627</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52799-2020</t>
        </is>
      </c>
      <c r="B519" s="1" t="n">
        <v>44119</v>
      </c>
      <c r="C519" s="1" t="n">
        <v>45627</v>
      </c>
      <c r="D519" t="inlineStr">
        <is>
          <t>VÄRMLANDS LÄN</t>
        </is>
      </c>
      <c r="E519" t="inlineStr">
        <is>
          <t>TORSBY</t>
        </is>
      </c>
      <c r="G519" t="n">
        <v>6.2</v>
      </c>
      <c r="H519" t="n">
        <v>0</v>
      </c>
      <c r="I519" t="n">
        <v>0</v>
      </c>
      <c r="J519" t="n">
        <v>0</v>
      </c>
      <c r="K519" t="n">
        <v>0</v>
      </c>
      <c r="L519" t="n">
        <v>0</v>
      </c>
      <c r="M519" t="n">
        <v>0</v>
      </c>
      <c r="N519" t="n">
        <v>0</v>
      </c>
      <c r="O519" t="n">
        <v>0</v>
      </c>
      <c r="P519" t="n">
        <v>0</v>
      </c>
      <c r="Q519" t="n">
        <v>0</v>
      </c>
      <c r="R519" s="2" t="inlineStr"/>
    </row>
    <row r="520" ht="15" customHeight="1">
      <c r="A520" t="inlineStr">
        <is>
          <t>A 52979-2020</t>
        </is>
      </c>
      <c r="B520" s="1" t="n">
        <v>44120</v>
      </c>
      <c r="C520" s="1" t="n">
        <v>45627</v>
      </c>
      <c r="D520" t="inlineStr">
        <is>
          <t>VÄRMLANDS LÄN</t>
        </is>
      </c>
      <c r="E520" t="inlineStr">
        <is>
          <t>TORSBY</t>
        </is>
      </c>
      <c r="G520" t="n">
        <v>3.6</v>
      </c>
      <c r="H520" t="n">
        <v>0</v>
      </c>
      <c r="I520" t="n">
        <v>0</v>
      </c>
      <c r="J520" t="n">
        <v>0</v>
      </c>
      <c r="K520" t="n">
        <v>0</v>
      </c>
      <c r="L520" t="n">
        <v>0</v>
      </c>
      <c r="M520" t="n">
        <v>0</v>
      </c>
      <c r="N520" t="n">
        <v>0</v>
      </c>
      <c r="O520" t="n">
        <v>0</v>
      </c>
      <c r="P520" t="n">
        <v>0</v>
      </c>
      <c r="Q520" t="n">
        <v>0</v>
      </c>
      <c r="R520" s="2" t="inlineStr"/>
    </row>
    <row r="521" ht="15" customHeight="1">
      <c r="A521" t="inlineStr">
        <is>
          <t>A 53111-2020</t>
        </is>
      </c>
      <c r="B521" s="1" t="n">
        <v>44120</v>
      </c>
      <c r="C521" s="1" t="n">
        <v>45627</v>
      </c>
      <c r="D521" t="inlineStr">
        <is>
          <t>VÄRMLANDS LÄN</t>
        </is>
      </c>
      <c r="E521" t="inlineStr">
        <is>
          <t>TORSBY</t>
        </is>
      </c>
      <c r="F521" t="inlineStr">
        <is>
          <t>Bergvik skog väst AB</t>
        </is>
      </c>
      <c r="G521" t="n">
        <v>3.4</v>
      </c>
      <c r="H521" t="n">
        <v>0</v>
      </c>
      <c r="I521" t="n">
        <v>0</v>
      </c>
      <c r="J521" t="n">
        <v>0</v>
      </c>
      <c r="K521" t="n">
        <v>0</v>
      </c>
      <c r="L521" t="n">
        <v>0</v>
      </c>
      <c r="M521" t="n">
        <v>0</v>
      </c>
      <c r="N521" t="n">
        <v>0</v>
      </c>
      <c r="O521" t="n">
        <v>0</v>
      </c>
      <c r="P521" t="n">
        <v>0</v>
      </c>
      <c r="Q521" t="n">
        <v>0</v>
      </c>
      <c r="R521" s="2" t="inlineStr"/>
    </row>
    <row r="522" ht="15" customHeight="1">
      <c r="A522" t="inlineStr">
        <is>
          <t>A 53771-2020</t>
        </is>
      </c>
      <c r="B522" s="1" t="n">
        <v>44124</v>
      </c>
      <c r="C522" s="1" t="n">
        <v>45627</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53733-2020</t>
        </is>
      </c>
      <c r="B523" s="1" t="n">
        <v>44124</v>
      </c>
      <c r="C523" s="1" t="n">
        <v>45627</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54331-2020</t>
        </is>
      </c>
      <c r="B524" s="1" t="n">
        <v>44124</v>
      </c>
      <c r="C524" s="1" t="n">
        <v>45627</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54060-2020</t>
        </is>
      </c>
      <c r="B525" s="1" t="n">
        <v>44125</v>
      </c>
      <c r="C525" s="1" t="n">
        <v>45627</v>
      </c>
      <c r="D525" t="inlineStr">
        <is>
          <t>VÄRMLANDS LÄN</t>
        </is>
      </c>
      <c r="E525" t="inlineStr">
        <is>
          <t>TORSBY</t>
        </is>
      </c>
      <c r="G525" t="n">
        <v>3.2</v>
      </c>
      <c r="H525" t="n">
        <v>0</v>
      </c>
      <c r="I525" t="n">
        <v>0</v>
      </c>
      <c r="J525" t="n">
        <v>0</v>
      </c>
      <c r="K525" t="n">
        <v>0</v>
      </c>
      <c r="L525" t="n">
        <v>0</v>
      </c>
      <c r="M525" t="n">
        <v>0</v>
      </c>
      <c r="N525" t="n">
        <v>0</v>
      </c>
      <c r="O525" t="n">
        <v>0</v>
      </c>
      <c r="P525" t="n">
        <v>0</v>
      </c>
      <c r="Q525" t="n">
        <v>0</v>
      </c>
      <c r="R525" s="2" t="inlineStr"/>
    </row>
    <row r="526" ht="15" customHeight="1">
      <c r="A526" t="inlineStr">
        <is>
          <t>A 54072-2020</t>
        </is>
      </c>
      <c r="B526" s="1" t="n">
        <v>44125</v>
      </c>
      <c r="C526" s="1" t="n">
        <v>45627</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54916-2020</t>
        </is>
      </c>
      <c r="B527" s="1" t="n">
        <v>44127</v>
      </c>
      <c r="C527" s="1" t="n">
        <v>45627</v>
      </c>
      <c r="D527" t="inlineStr">
        <is>
          <t>VÄRMLANDS LÄN</t>
        </is>
      </c>
      <c r="E527" t="inlineStr">
        <is>
          <t>TORSBY</t>
        </is>
      </c>
      <c r="F527" t="inlineStr">
        <is>
          <t>Kyrkan</t>
        </is>
      </c>
      <c r="G527" t="n">
        <v>0.7</v>
      </c>
      <c r="H527" t="n">
        <v>0</v>
      </c>
      <c r="I527" t="n">
        <v>0</v>
      </c>
      <c r="J527" t="n">
        <v>0</v>
      </c>
      <c r="K527" t="n">
        <v>0</v>
      </c>
      <c r="L527" t="n">
        <v>0</v>
      </c>
      <c r="M527" t="n">
        <v>0</v>
      </c>
      <c r="N527" t="n">
        <v>0</v>
      </c>
      <c r="O527" t="n">
        <v>0</v>
      </c>
      <c r="P527" t="n">
        <v>0</v>
      </c>
      <c r="Q527" t="n">
        <v>0</v>
      </c>
      <c r="R527" s="2" t="inlineStr"/>
    </row>
    <row r="528" ht="15" customHeight="1">
      <c r="A528" t="inlineStr">
        <is>
          <t>A 54924-2020</t>
        </is>
      </c>
      <c r="B528" s="1" t="n">
        <v>44127</v>
      </c>
      <c r="C528" s="1" t="n">
        <v>45627</v>
      </c>
      <c r="D528" t="inlineStr">
        <is>
          <t>VÄRMLANDS LÄN</t>
        </is>
      </c>
      <c r="E528" t="inlineStr">
        <is>
          <t>TORSBY</t>
        </is>
      </c>
      <c r="G528" t="n">
        <v>2.1</v>
      </c>
      <c r="H528" t="n">
        <v>0</v>
      </c>
      <c r="I528" t="n">
        <v>0</v>
      </c>
      <c r="J528" t="n">
        <v>0</v>
      </c>
      <c r="K528" t="n">
        <v>0</v>
      </c>
      <c r="L528" t="n">
        <v>0</v>
      </c>
      <c r="M528" t="n">
        <v>0</v>
      </c>
      <c r="N528" t="n">
        <v>0</v>
      </c>
      <c r="O528" t="n">
        <v>0</v>
      </c>
      <c r="P528" t="n">
        <v>0</v>
      </c>
      <c r="Q528" t="n">
        <v>0</v>
      </c>
      <c r="R528" s="2" t="inlineStr"/>
    </row>
    <row r="529" ht="15" customHeight="1">
      <c r="A529" t="inlineStr">
        <is>
          <t>A 55058-2020</t>
        </is>
      </c>
      <c r="B529" s="1" t="n">
        <v>44130</v>
      </c>
      <c r="C529" s="1" t="n">
        <v>45627</v>
      </c>
      <c r="D529" t="inlineStr">
        <is>
          <t>VÄRMLANDS LÄN</t>
        </is>
      </c>
      <c r="E529" t="inlineStr">
        <is>
          <t>TORSBY</t>
        </is>
      </c>
      <c r="F529" t="inlineStr">
        <is>
          <t>Bergvik skog väst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55217-2020</t>
        </is>
      </c>
      <c r="B530" s="1" t="n">
        <v>44130</v>
      </c>
      <c r="C530" s="1" t="n">
        <v>45627</v>
      </c>
      <c r="D530" t="inlineStr">
        <is>
          <t>VÄRMLANDS LÄN</t>
        </is>
      </c>
      <c r="E530" t="inlineStr">
        <is>
          <t>TORSBY</t>
        </is>
      </c>
      <c r="G530" t="n">
        <v>4.2</v>
      </c>
      <c r="H530" t="n">
        <v>0</v>
      </c>
      <c r="I530" t="n">
        <v>0</v>
      </c>
      <c r="J530" t="n">
        <v>0</v>
      </c>
      <c r="K530" t="n">
        <v>0</v>
      </c>
      <c r="L530" t="n">
        <v>0</v>
      </c>
      <c r="M530" t="n">
        <v>0</v>
      </c>
      <c r="N530" t="n">
        <v>0</v>
      </c>
      <c r="O530" t="n">
        <v>0</v>
      </c>
      <c r="P530" t="n">
        <v>0</v>
      </c>
      <c r="Q530" t="n">
        <v>0</v>
      </c>
      <c r="R530" s="2" t="inlineStr"/>
    </row>
    <row r="531" ht="15" customHeight="1">
      <c r="A531" t="inlineStr">
        <is>
          <t>A 55401-2020</t>
        </is>
      </c>
      <c r="B531" s="1" t="n">
        <v>44131</v>
      </c>
      <c r="C531" s="1" t="n">
        <v>45627</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56979-2020</t>
        </is>
      </c>
      <c r="B532" s="1" t="n">
        <v>44138</v>
      </c>
      <c r="C532" s="1" t="n">
        <v>45627</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57119-2020</t>
        </is>
      </c>
      <c r="B533" s="1" t="n">
        <v>44139</v>
      </c>
      <c r="C533" s="1" t="n">
        <v>45627</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57896-2020</t>
        </is>
      </c>
      <c r="B534" s="1" t="n">
        <v>44141</v>
      </c>
      <c r="C534" s="1" t="n">
        <v>45627</v>
      </c>
      <c r="D534" t="inlineStr">
        <is>
          <t>VÄRMLANDS LÄN</t>
        </is>
      </c>
      <c r="E534" t="inlineStr">
        <is>
          <t>TORSBY</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57980-2020</t>
        </is>
      </c>
      <c r="B535" s="1" t="n">
        <v>44143</v>
      </c>
      <c r="C535" s="1" t="n">
        <v>45627</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58078-2020</t>
        </is>
      </c>
      <c r="B536" s="1" t="n">
        <v>44144</v>
      </c>
      <c r="C536" s="1" t="n">
        <v>45627</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58599-2020</t>
        </is>
      </c>
      <c r="B537" s="1" t="n">
        <v>44145</v>
      </c>
      <c r="C537" s="1" t="n">
        <v>45627</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58574-2020</t>
        </is>
      </c>
      <c r="B538" s="1" t="n">
        <v>44145</v>
      </c>
      <c r="C538" s="1" t="n">
        <v>45627</v>
      </c>
      <c r="D538" t="inlineStr">
        <is>
          <t>VÄRMLANDS LÄN</t>
        </is>
      </c>
      <c r="E538" t="inlineStr">
        <is>
          <t>TORSBY</t>
        </is>
      </c>
      <c r="G538" t="n">
        <v>1.6</v>
      </c>
      <c r="H538" t="n">
        <v>0</v>
      </c>
      <c r="I538" t="n">
        <v>0</v>
      </c>
      <c r="J538" t="n">
        <v>0</v>
      </c>
      <c r="K538" t="n">
        <v>0</v>
      </c>
      <c r="L538" t="n">
        <v>0</v>
      </c>
      <c r="M538" t="n">
        <v>0</v>
      </c>
      <c r="N538" t="n">
        <v>0</v>
      </c>
      <c r="O538" t="n">
        <v>0</v>
      </c>
      <c r="P538" t="n">
        <v>0</v>
      </c>
      <c r="Q538" t="n">
        <v>0</v>
      </c>
      <c r="R538" s="2" t="inlineStr"/>
    </row>
    <row r="539" ht="15" customHeight="1">
      <c r="A539" t="inlineStr">
        <is>
          <t>A 58643-2020</t>
        </is>
      </c>
      <c r="B539" s="1" t="n">
        <v>44145</v>
      </c>
      <c r="C539" s="1" t="n">
        <v>45627</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58680-2020</t>
        </is>
      </c>
      <c r="B540" s="1" t="n">
        <v>44146</v>
      </c>
      <c r="C540" s="1" t="n">
        <v>45627</v>
      </c>
      <c r="D540" t="inlineStr">
        <is>
          <t>VÄRMLANDS LÄN</t>
        </is>
      </c>
      <c r="E540" t="inlineStr">
        <is>
          <t>TORSBY</t>
        </is>
      </c>
      <c r="G540" t="n">
        <v>4.7</v>
      </c>
      <c r="H540" t="n">
        <v>0</v>
      </c>
      <c r="I540" t="n">
        <v>0</v>
      </c>
      <c r="J540" t="n">
        <v>0</v>
      </c>
      <c r="K540" t="n">
        <v>0</v>
      </c>
      <c r="L540" t="n">
        <v>0</v>
      </c>
      <c r="M540" t="n">
        <v>0</v>
      </c>
      <c r="N540" t="n">
        <v>0</v>
      </c>
      <c r="O540" t="n">
        <v>0</v>
      </c>
      <c r="P540" t="n">
        <v>0</v>
      </c>
      <c r="Q540" t="n">
        <v>0</v>
      </c>
      <c r="R540" s="2" t="inlineStr"/>
    </row>
    <row r="541" ht="15" customHeight="1">
      <c r="A541" t="inlineStr">
        <is>
          <t>A 58877-2020</t>
        </is>
      </c>
      <c r="B541" s="1" t="n">
        <v>44146</v>
      </c>
      <c r="C541" s="1" t="n">
        <v>45627</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58930-2020</t>
        </is>
      </c>
      <c r="B542" s="1" t="n">
        <v>44146</v>
      </c>
      <c r="C542" s="1" t="n">
        <v>45627</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59800-2020</t>
        </is>
      </c>
      <c r="B543" s="1" t="n">
        <v>44151</v>
      </c>
      <c r="C543" s="1" t="n">
        <v>45627</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60167-2020</t>
        </is>
      </c>
      <c r="B544" s="1" t="n">
        <v>44152</v>
      </c>
      <c r="C544" s="1" t="n">
        <v>45627</v>
      </c>
      <c r="D544" t="inlineStr">
        <is>
          <t>VÄRMLANDS LÄN</t>
        </is>
      </c>
      <c r="E544" t="inlineStr">
        <is>
          <t>TORSBY</t>
        </is>
      </c>
      <c r="G544" t="n">
        <v>0.6</v>
      </c>
      <c r="H544" t="n">
        <v>0</v>
      </c>
      <c r="I544" t="n">
        <v>0</v>
      </c>
      <c r="J544" t="n">
        <v>0</v>
      </c>
      <c r="K544" t="n">
        <v>0</v>
      </c>
      <c r="L544" t="n">
        <v>0</v>
      </c>
      <c r="M544" t="n">
        <v>0</v>
      </c>
      <c r="N544" t="n">
        <v>0</v>
      </c>
      <c r="O544" t="n">
        <v>0</v>
      </c>
      <c r="P544" t="n">
        <v>0</v>
      </c>
      <c r="Q544" t="n">
        <v>0</v>
      </c>
      <c r="R544" s="2" t="inlineStr"/>
    </row>
    <row r="545" ht="15" customHeight="1">
      <c r="A545" t="inlineStr">
        <is>
          <t>A 60533-2020</t>
        </is>
      </c>
      <c r="B545" s="1" t="n">
        <v>44153</v>
      </c>
      <c r="C545" s="1" t="n">
        <v>45627</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60719-2020</t>
        </is>
      </c>
      <c r="B546" s="1" t="n">
        <v>44153</v>
      </c>
      <c r="C546" s="1" t="n">
        <v>45627</v>
      </c>
      <c r="D546" t="inlineStr">
        <is>
          <t>VÄRMLANDS LÄN</t>
        </is>
      </c>
      <c r="E546" t="inlineStr">
        <is>
          <t>TORSBY</t>
        </is>
      </c>
      <c r="G546" t="n">
        <v>2.6</v>
      </c>
      <c r="H546" t="n">
        <v>0</v>
      </c>
      <c r="I546" t="n">
        <v>0</v>
      </c>
      <c r="J546" t="n">
        <v>0</v>
      </c>
      <c r="K546" t="n">
        <v>0</v>
      </c>
      <c r="L546" t="n">
        <v>0</v>
      </c>
      <c r="M546" t="n">
        <v>0</v>
      </c>
      <c r="N546" t="n">
        <v>0</v>
      </c>
      <c r="O546" t="n">
        <v>0</v>
      </c>
      <c r="P546" t="n">
        <v>0</v>
      </c>
      <c r="Q546" t="n">
        <v>0</v>
      </c>
      <c r="R546" s="2" t="inlineStr"/>
    </row>
    <row r="547" ht="15" customHeight="1">
      <c r="A547" t="inlineStr">
        <is>
          <t>A 60823-2020</t>
        </is>
      </c>
      <c r="B547" s="1" t="n">
        <v>44153</v>
      </c>
      <c r="C547" s="1" t="n">
        <v>45627</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60941-2020</t>
        </is>
      </c>
      <c r="B548" s="1" t="n">
        <v>44154</v>
      </c>
      <c r="C548" s="1" t="n">
        <v>45627</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61009-2020</t>
        </is>
      </c>
      <c r="B549" s="1" t="n">
        <v>44154</v>
      </c>
      <c r="C549" s="1" t="n">
        <v>45627</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61594-2020</t>
        </is>
      </c>
      <c r="B550" s="1" t="n">
        <v>44154</v>
      </c>
      <c r="C550" s="1" t="n">
        <v>45627</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61970-2020</t>
        </is>
      </c>
      <c r="B551" s="1" t="n">
        <v>44155</v>
      </c>
      <c r="C551" s="1" t="n">
        <v>45627</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45627</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61753-2020</t>
        </is>
      </c>
      <c r="B553" s="1" t="n">
        <v>44158</v>
      </c>
      <c r="C553" s="1" t="n">
        <v>45627</v>
      </c>
      <c r="D553" t="inlineStr">
        <is>
          <t>VÄRMLANDS LÄN</t>
        </is>
      </c>
      <c r="E553" t="inlineStr">
        <is>
          <t>TORSBY</t>
        </is>
      </c>
      <c r="G553" t="n">
        <v>2.2</v>
      </c>
      <c r="H553" t="n">
        <v>0</v>
      </c>
      <c r="I553" t="n">
        <v>0</v>
      </c>
      <c r="J553" t="n">
        <v>0</v>
      </c>
      <c r="K553" t="n">
        <v>0</v>
      </c>
      <c r="L553" t="n">
        <v>0</v>
      </c>
      <c r="M553" t="n">
        <v>0</v>
      </c>
      <c r="N553" t="n">
        <v>0</v>
      </c>
      <c r="O553" t="n">
        <v>0</v>
      </c>
      <c r="P553" t="n">
        <v>0</v>
      </c>
      <c r="Q553" t="n">
        <v>0</v>
      </c>
      <c r="R553" s="2" t="inlineStr"/>
    </row>
    <row r="554" ht="15" customHeight="1">
      <c r="A554" t="inlineStr">
        <is>
          <t>A 61998-2020</t>
        </is>
      </c>
      <c r="B554" s="1" t="n">
        <v>44158</v>
      </c>
      <c r="C554" s="1" t="n">
        <v>45627</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61910-2020</t>
        </is>
      </c>
      <c r="B555" s="1" t="n">
        <v>44159</v>
      </c>
      <c r="C555" s="1" t="n">
        <v>45627</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61956-2020</t>
        </is>
      </c>
      <c r="B556" s="1" t="n">
        <v>44159</v>
      </c>
      <c r="C556" s="1" t="n">
        <v>45627</v>
      </c>
      <c r="D556" t="inlineStr">
        <is>
          <t>VÄRMLANDS LÄN</t>
        </is>
      </c>
      <c r="E556" t="inlineStr">
        <is>
          <t>TORSBY</t>
        </is>
      </c>
      <c r="F556" t="inlineStr">
        <is>
          <t>Kommuner</t>
        </is>
      </c>
      <c r="G556" t="n">
        <v>7.5</v>
      </c>
      <c r="H556" t="n">
        <v>0</v>
      </c>
      <c r="I556" t="n">
        <v>0</v>
      </c>
      <c r="J556" t="n">
        <v>0</v>
      </c>
      <c r="K556" t="n">
        <v>0</v>
      </c>
      <c r="L556" t="n">
        <v>0</v>
      </c>
      <c r="M556" t="n">
        <v>0</v>
      </c>
      <c r="N556" t="n">
        <v>0</v>
      </c>
      <c r="O556" t="n">
        <v>0</v>
      </c>
      <c r="P556" t="n">
        <v>0</v>
      </c>
      <c r="Q556" t="n">
        <v>0</v>
      </c>
      <c r="R556" s="2" t="inlineStr"/>
    </row>
    <row r="557" ht="15" customHeight="1">
      <c r="A557" t="inlineStr">
        <is>
          <t>A 62209-2020</t>
        </is>
      </c>
      <c r="B557" s="1" t="n">
        <v>44159</v>
      </c>
      <c r="C557" s="1" t="n">
        <v>45627</v>
      </c>
      <c r="D557" t="inlineStr">
        <is>
          <t>VÄRMLANDS LÄN</t>
        </is>
      </c>
      <c r="E557" t="inlineStr">
        <is>
          <t>TORSBY</t>
        </is>
      </c>
      <c r="F557" t="inlineStr">
        <is>
          <t>Kommuner</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62211-2020</t>
        </is>
      </c>
      <c r="B558" s="1" t="n">
        <v>44159</v>
      </c>
      <c r="C558" s="1" t="n">
        <v>45627</v>
      </c>
      <c r="D558" t="inlineStr">
        <is>
          <t>VÄRMLANDS LÄN</t>
        </is>
      </c>
      <c r="E558" t="inlineStr">
        <is>
          <t>TORSBY</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62915-2020</t>
        </is>
      </c>
      <c r="B559" s="1" t="n">
        <v>44162</v>
      </c>
      <c r="C559" s="1" t="n">
        <v>45627</v>
      </c>
      <c r="D559" t="inlineStr">
        <is>
          <t>VÄRMLANDS LÄN</t>
        </is>
      </c>
      <c r="E559" t="inlineStr">
        <is>
          <t>TORSBY</t>
        </is>
      </c>
      <c r="G559" t="n">
        <v>4.6</v>
      </c>
      <c r="H559" t="n">
        <v>0</v>
      </c>
      <c r="I559" t="n">
        <v>0</v>
      </c>
      <c r="J559" t="n">
        <v>0</v>
      </c>
      <c r="K559" t="n">
        <v>0</v>
      </c>
      <c r="L559" t="n">
        <v>0</v>
      </c>
      <c r="M559" t="n">
        <v>0</v>
      </c>
      <c r="N559" t="n">
        <v>0</v>
      </c>
      <c r="O559" t="n">
        <v>0</v>
      </c>
      <c r="P559" t="n">
        <v>0</v>
      </c>
      <c r="Q559" t="n">
        <v>0</v>
      </c>
      <c r="R559" s="2" t="inlineStr"/>
    </row>
    <row r="560" ht="15" customHeight="1">
      <c r="A560" t="inlineStr">
        <is>
          <t>A 63565-2020</t>
        </is>
      </c>
      <c r="B560" s="1" t="n">
        <v>44165</v>
      </c>
      <c r="C560" s="1" t="n">
        <v>45627</v>
      </c>
      <c r="D560" t="inlineStr">
        <is>
          <t>VÄRMLANDS LÄN</t>
        </is>
      </c>
      <c r="E560" t="inlineStr">
        <is>
          <t>TORSBY</t>
        </is>
      </c>
      <c r="G560" t="n">
        <v>10.3</v>
      </c>
      <c r="H560" t="n">
        <v>0</v>
      </c>
      <c r="I560" t="n">
        <v>0</v>
      </c>
      <c r="J560" t="n">
        <v>0</v>
      </c>
      <c r="K560" t="n">
        <v>0</v>
      </c>
      <c r="L560" t="n">
        <v>0</v>
      </c>
      <c r="M560" t="n">
        <v>0</v>
      </c>
      <c r="N560" t="n">
        <v>0</v>
      </c>
      <c r="O560" t="n">
        <v>0</v>
      </c>
      <c r="P560" t="n">
        <v>0</v>
      </c>
      <c r="Q560" t="n">
        <v>0</v>
      </c>
      <c r="R560" s="2" t="inlineStr"/>
    </row>
    <row r="561" ht="15" customHeight="1">
      <c r="A561" t="inlineStr">
        <is>
          <t>A 64396-2020</t>
        </is>
      </c>
      <c r="B561" s="1" t="n">
        <v>44168</v>
      </c>
      <c r="C561" s="1" t="n">
        <v>45627</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64434-2020</t>
        </is>
      </c>
      <c r="B562" s="1" t="n">
        <v>44168</v>
      </c>
      <c r="C562" s="1" t="n">
        <v>45627</v>
      </c>
      <c r="D562" t="inlineStr">
        <is>
          <t>VÄRMLANDS LÄN</t>
        </is>
      </c>
      <c r="E562" t="inlineStr">
        <is>
          <t>TORSBY</t>
        </is>
      </c>
      <c r="G562" t="n">
        <v>7.7</v>
      </c>
      <c r="H562" t="n">
        <v>0</v>
      </c>
      <c r="I562" t="n">
        <v>0</v>
      </c>
      <c r="J562" t="n">
        <v>0</v>
      </c>
      <c r="K562" t="n">
        <v>0</v>
      </c>
      <c r="L562" t="n">
        <v>0</v>
      </c>
      <c r="M562" t="n">
        <v>0</v>
      </c>
      <c r="N562" t="n">
        <v>0</v>
      </c>
      <c r="O562" t="n">
        <v>0</v>
      </c>
      <c r="P562" t="n">
        <v>0</v>
      </c>
      <c r="Q562" t="n">
        <v>0</v>
      </c>
      <c r="R562" s="2" t="inlineStr"/>
    </row>
    <row r="563" ht="15" customHeight="1">
      <c r="A563" t="inlineStr">
        <is>
          <t>A 65369-2020</t>
        </is>
      </c>
      <c r="B563" s="1" t="n">
        <v>44169</v>
      </c>
      <c r="C563" s="1" t="n">
        <v>45627</v>
      </c>
      <c r="D563" t="inlineStr">
        <is>
          <t>VÄRMLANDS LÄN</t>
        </is>
      </c>
      <c r="E563" t="inlineStr">
        <is>
          <t>TORSBY</t>
        </is>
      </c>
      <c r="G563" t="n">
        <v>32.5</v>
      </c>
      <c r="H563" t="n">
        <v>0</v>
      </c>
      <c r="I563" t="n">
        <v>0</v>
      </c>
      <c r="J563" t="n">
        <v>0</v>
      </c>
      <c r="K563" t="n">
        <v>0</v>
      </c>
      <c r="L563" t="n">
        <v>0</v>
      </c>
      <c r="M563" t="n">
        <v>0</v>
      </c>
      <c r="N563" t="n">
        <v>0</v>
      </c>
      <c r="O563" t="n">
        <v>0</v>
      </c>
      <c r="P563" t="n">
        <v>0</v>
      </c>
      <c r="Q563" t="n">
        <v>0</v>
      </c>
      <c r="R563" s="2" t="inlineStr"/>
    </row>
    <row r="564" ht="15" customHeight="1">
      <c r="A564" t="inlineStr">
        <is>
          <t>A 65482-2020</t>
        </is>
      </c>
      <c r="B564" s="1" t="n">
        <v>44169</v>
      </c>
      <c r="C564" s="1" t="n">
        <v>45627</v>
      </c>
      <c r="D564" t="inlineStr">
        <is>
          <t>VÄRMLANDS LÄN</t>
        </is>
      </c>
      <c r="E564" t="inlineStr">
        <is>
          <t>TORSBY</t>
        </is>
      </c>
      <c r="F564" t="inlineStr">
        <is>
          <t>Kyrkan</t>
        </is>
      </c>
      <c r="G564" t="n">
        <v>21.6</v>
      </c>
      <c r="H564" t="n">
        <v>0</v>
      </c>
      <c r="I564" t="n">
        <v>0</v>
      </c>
      <c r="J564" t="n">
        <v>0</v>
      </c>
      <c r="K564" t="n">
        <v>0</v>
      </c>
      <c r="L564" t="n">
        <v>0</v>
      </c>
      <c r="M564" t="n">
        <v>0</v>
      </c>
      <c r="N564" t="n">
        <v>0</v>
      </c>
      <c r="O564" t="n">
        <v>0</v>
      </c>
      <c r="P564" t="n">
        <v>0</v>
      </c>
      <c r="Q564" t="n">
        <v>0</v>
      </c>
      <c r="R564" s="2" t="inlineStr"/>
    </row>
    <row r="565" ht="15" customHeight="1">
      <c r="A565" t="inlineStr">
        <is>
          <t>A 65398-2020</t>
        </is>
      </c>
      <c r="B565" s="1" t="n">
        <v>44169</v>
      </c>
      <c r="C565" s="1" t="n">
        <v>45627</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65678-2020</t>
        </is>
      </c>
      <c r="B566" s="1" t="n">
        <v>44172</v>
      </c>
      <c r="C566" s="1" t="n">
        <v>45627</v>
      </c>
      <c r="D566" t="inlineStr">
        <is>
          <t>VÄRMLANDS LÄN</t>
        </is>
      </c>
      <c r="E566" t="inlineStr">
        <is>
          <t>TORSBY</t>
        </is>
      </c>
      <c r="G566" t="n">
        <v>3.5</v>
      </c>
      <c r="H566" t="n">
        <v>0</v>
      </c>
      <c r="I566" t="n">
        <v>0</v>
      </c>
      <c r="J566" t="n">
        <v>0</v>
      </c>
      <c r="K566" t="n">
        <v>0</v>
      </c>
      <c r="L566" t="n">
        <v>0</v>
      </c>
      <c r="M566" t="n">
        <v>0</v>
      </c>
      <c r="N566" t="n">
        <v>0</v>
      </c>
      <c r="O566" t="n">
        <v>0</v>
      </c>
      <c r="P566" t="n">
        <v>0</v>
      </c>
      <c r="Q566" t="n">
        <v>0</v>
      </c>
      <c r="R566" s="2" t="inlineStr"/>
    </row>
    <row r="567" ht="15" customHeight="1">
      <c r="A567" t="inlineStr">
        <is>
          <t>A 65827-2020</t>
        </is>
      </c>
      <c r="B567" s="1" t="n">
        <v>44173</v>
      </c>
      <c r="C567" s="1" t="n">
        <v>45627</v>
      </c>
      <c r="D567" t="inlineStr">
        <is>
          <t>VÄRMLANDS LÄN</t>
        </is>
      </c>
      <c r="E567" t="inlineStr">
        <is>
          <t>TORSBY</t>
        </is>
      </c>
      <c r="G567" t="n">
        <v>6.7</v>
      </c>
      <c r="H567" t="n">
        <v>0</v>
      </c>
      <c r="I567" t="n">
        <v>0</v>
      </c>
      <c r="J567" t="n">
        <v>0</v>
      </c>
      <c r="K567" t="n">
        <v>0</v>
      </c>
      <c r="L567" t="n">
        <v>0</v>
      </c>
      <c r="M567" t="n">
        <v>0</v>
      </c>
      <c r="N567" t="n">
        <v>0</v>
      </c>
      <c r="O567" t="n">
        <v>0</v>
      </c>
      <c r="P567" t="n">
        <v>0</v>
      </c>
      <c r="Q567" t="n">
        <v>0</v>
      </c>
      <c r="R567" s="2" t="inlineStr"/>
    </row>
    <row r="568" ht="15" customHeight="1">
      <c r="A568" t="inlineStr">
        <is>
          <t>A 66703-2020</t>
        </is>
      </c>
      <c r="B568" s="1" t="n">
        <v>44174</v>
      </c>
      <c r="C568" s="1" t="n">
        <v>45627</v>
      </c>
      <c r="D568" t="inlineStr">
        <is>
          <t>VÄRMLANDS LÄN</t>
        </is>
      </c>
      <c r="E568" t="inlineStr">
        <is>
          <t>TORSBY</t>
        </is>
      </c>
      <c r="G568" t="n">
        <v>6.3</v>
      </c>
      <c r="H568" t="n">
        <v>0</v>
      </c>
      <c r="I568" t="n">
        <v>0</v>
      </c>
      <c r="J568" t="n">
        <v>0</v>
      </c>
      <c r="K568" t="n">
        <v>0</v>
      </c>
      <c r="L568" t="n">
        <v>0</v>
      </c>
      <c r="M568" t="n">
        <v>0</v>
      </c>
      <c r="N568" t="n">
        <v>0</v>
      </c>
      <c r="O568" t="n">
        <v>0</v>
      </c>
      <c r="P568" t="n">
        <v>0</v>
      </c>
      <c r="Q568" t="n">
        <v>0</v>
      </c>
      <c r="R568" s="2" t="inlineStr"/>
    </row>
    <row r="569" ht="15" customHeight="1">
      <c r="A569" t="inlineStr">
        <is>
          <t>A 66194-2020</t>
        </is>
      </c>
      <c r="B569" s="1" t="n">
        <v>44175</v>
      </c>
      <c r="C569" s="1" t="n">
        <v>45627</v>
      </c>
      <c r="D569" t="inlineStr">
        <is>
          <t>VÄRMLANDS LÄN</t>
        </is>
      </c>
      <c r="E569" t="inlineStr">
        <is>
          <t>TORSBY</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66326-2020</t>
        </is>
      </c>
      <c r="B570" s="1" t="n">
        <v>44176</v>
      </c>
      <c r="C570" s="1" t="n">
        <v>45627</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67084-2020</t>
        </is>
      </c>
      <c r="B571" s="1" t="n">
        <v>44179</v>
      </c>
      <c r="C571" s="1" t="n">
        <v>45627</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67547-2020</t>
        </is>
      </c>
      <c r="B572" s="1" t="n">
        <v>44181</v>
      </c>
      <c r="C572" s="1" t="n">
        <v>45627</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67464-2020</t>
        </is>
      </c>
      <c r="B573" s="1" t="n">
        <v>44181</v>
      </c>
      <c r="C573" s="1" t="n">
        <v>45627</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67734-2020</t>
        </is>
      </c>
      <c r="B574" s="1" t="n">
        <v>44182</v>
      </c>
      <c r="C574" s="1" t="n">
        <v>45627</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68220-2020</t>
        </is>
      </c>
      <c r="B575" s="1" t="n">
        <v>44183</v>
      </c>
      <c r="C575" s="1" t="n">
        <v>45627</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68238-2020</t>
        </is>
      </c>
      <c r="B576" s="1" t="n">
        <v>44183</v>
      </c>
      <c r="C576" s="1" t="n">
        <v>45627</v>
      </c>
      <c r="D576" t="inlineStr">
        <is>
          <t>VÄRMLANDS LÄN</t>
        </is>
      </c>
      <c r="E576" t="inlineStr">
        <is>
          <t>TORSBY</t>
        </is>
      </c>
      <c r="F576" t="inlineStr">
        <is>
          <t>Bergvik skog väst AB</t>
        </is>
      </c>
      <c r="G576" t="n">
        <v>6.7</v>
      </c>
      <c r="H576" t="n">
        <v>0</v>
      </c>
      <c r="I576" t="n">
        <v>0</v>
      </c>
      <c r="J576" t="n">
        <v>0</v>
      </c>
      <c r="K576" t="n">
        <v>0</v>
      </c>
      <c r="L576" t="n">
        <v>0</v>
      </c>
      <c r="M576" t="n">
        <v>0</v>
      </c>
      <c r="N576" t="n">
        <v>0</v>
      </c>
      <c r="O576" t="n">
        <v>0</v>
      </c>
      <c r="P576" t="n">
        <v>0</v>
      </c>
      <c r="Q576" t="n">
        <v>0</v>
      </c>
      <c r="R576" s="2" t="inlineStr"/>
    </row>
    <row r="577" ht="15" customHeight="1">
      <c r="A577" t="inlineStr">
        <is>
          <t>A 68246-2020</t>
        </is>
      </c>
      <c r="B577" s="1" t="n">
        <v>44183</v>
      </c>
      <c r="C577" s="1" t="n">
        <v>45627</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68603-2020</t>
        </is>
      </c>
      <c r="B578" s="1" t="n">
        <v>44186</v>
      </c>
      <c r="C578" s="1" t="n">
        <v>45627</v>
      </c>
      <c r="D578" t="inlineStr">
        <is>
          <t>VÄRMLANDS LÄN</t>
        </is>
      </c>
      <c r="E578" t="inlineStr">
        <is>
          <t>TORSBY</t>
        </is>
      </c>
      <c r="G578" t="n">
        <v>11.2</v>
      </c>
      <c r="H578" t="n">
        <v>0</v>
      </c>
      <c r="I578" t="n">
        <v>0</v>
      </c>
      <c r="J578" t="n">
        <v>0</v>
      </c>
      <c r="K578" t="n">
        <v>0</v>
      </c>
      <c r="L578" t="n">
        <v>0</v>
      </c>
      <c r="M578" t="n">
        <v>0</v>
      </c>
      <c r="N578" t="n">
        <v>0</v>
      </c>
      <c r="O578" t="n">
        <v>0</v>
      </c>
      <c r="P578" t="n">
        <v>0</v>
      </c>
      <c r="Q578" t="n">
        <v>0</v>
      </c>
      <c r="R578" s="2" t="inlineStr"/>
    </row>
    <row r="579" ht="15" customHeight="1">
      <c r="A579" t="inlineStr">
        <is>
          <t>A 69245-2020</t>
        </is>
      </c>
      <c r="B579" s="1" t="n">
        <v>44192</v>
      </c>
      <c r="C579" s="1" t="n">
        <v>45627</v>
      </c>
      <c r="D579" t="inlineStr">
        <is>
          <t>VÄRMLANDS LÄN</t>
        </is>
      </c>
      <c r="E579" t="inlineStr">
        <is>
          <t>TORSBY</t>
        </is>
      </c>
      <c r="G579" t="n">
        <v>0.2</v>
      </c>
      <c r="H579" t="n">
        <v>0</v>
      </c>
      <c r="I579" t="n">
        <v>0</v>
      </c>
      <c r="J579" t="n">
        <v>0</v>
      </c>
      <c r="K579" t="n">
        <v>0</v>
      </c>
      <c r="L579" t="n">
        <v>0</v>
      </c>
      <c r="M579" t="n">
        <v>0</v>
      </c>
      <c r="N579" t="n">
        <v>0</v>
      </c>
      <c r="O579" t="n">
        <v>0</v>
      </c>
      <c r="P579" t="n">
        <v>0</v>
      </c>
      <c r="Q579" t="n">
        <v>0</v>
      </c>
      <c r="R579" s="2" t="inlineStr"/>
    </row>
    <row r="580" ht="15" customHeight="1">
      <c r="A580" t="inlineStr">
        <is>
          <t>A 69250-2020</t>
        </is>
      </c>
      <c r="B580" s="1" t="n">
        <v>44192</v>
      </c>
      <c r="C580" s="1" t="n">
        <v>45627</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69242-2020</t>
        </is>
      </c>
      <c r="B581" s="1" t="n">
        <v>44192</v>
      </c>
      <c r="C581" s="1" t="n">
        <v>45627</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69247-2020</t>
        </is>
      </c>
      <c r="B582" s="1" t="n">
        <v>44192</v>
      </c>
      <c r="C582" s="1" t="n">
        <v>45627</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69244-2020</t>
        </is>
      </c>
      <c r="B583" s="1" t="n">
        <v>44192</v>
      </c>
      <c r="C583" s="1" t="n">
        <v>45627</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69248-2020</t>
        </is>
      </c>
      <c r="B584" s="1" t="n">
        <v>44192</v>
      </c>
      <c r="C584" s="1" t="n">
        <v>45627</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69241-2020</t>
        </is>
      </c>
      <c r="B585" s="1" t="n">
        <v>44192</v>
      </c>
      <c r="C585" s="1" t="n">
        <v>45627</v>
      </c>
      <c r="D585" t="inlineStr">
        <is>
          <t>VÄRMLANDS LÄN</t>
        </is>
      </c>
      <c r="E585" t="inlineStr">
        <is>
          <t>TORSBY</t>
        </is>
      </c>
      <c r="G585" t="n">
        <v>2.3</v>
      </c>
      <c r="H585" t="n">
        <v>0</v>
      </c>
      <c r="I585" t="n">
        <v>0</v>
      </c>
      <c r="J585" t="n">
        <v>0</v>
      </c>
      <c r="K585" t="n">
        <v>0</v>
      </c>
      <c r="L585" t="n">
        <v>0</v>
      </c>
      <c r="M585" t="n">
        <v>0</v>
      </c>
      <c r="N585" t="n">
        <v>0</v>
      </c>
      <c r="O585" t="n">
        <v>0</v>
      </c>
      <c r="P585" t="n">
        <v>0</v>
      </c>
      <c r="Q585" t="n">
        <v>0</v>
      </c>
      <c r="R585" s="2" t="inlineStr"/>
    </row>
    <row r="586" ht="15" customHeight="1">
      <c r="A586" t="inlineStr">
        <is>
          <t>A 69246-2020</t>
        </is>
      </c>
      <c r="B586" s="1" t="n">
        <v>44192</v>
      </c>
      <c r="C586" s="1" t="n">
        <v>45627</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69434-2020</t>
        </is>
      </c>
      <c r="B587" s="1" t="n">
        <v>44194</v>
      </c>
      <c r="C587" s="1" t="n">
        <v>45627</v>
      </c>
      <c r="D587" t="inlineStr">
        <is>
          <t>VÄRMLANDS LÄN</t>
        </is>
      </c>
      <c r="E587" t="inlineStr">
        <is>
          <t>TORSBY</t>
        </is>
      </c>
      <c r="G587" t="n">
        <v>6.3</v>
      </c>
      <c r="H587" t="n">
        <v>0</v>
      </c>
      <c r="I587" t="n">
        <v>0</v>
      </c>
      <c r="J587" t="n">
        <v>0</v>
      </c>
      <c r="K587" t="n">
        <v>0</v>
      </c>
      <c r="L587" t="n">
        <v>0</v>
      </c>
      <c r="M587" t="n">
        <v>0</v>
      </c>
      <c r="N587" t="n">
        <v>0</v>
      </c>
      <c r="O587" t="n">
        <v>0</v>
      </c>
      <c r="P587" t="n">
        <v>0</v>
      </c>
      <c r="Q587" t="n">
        <v>0</v>
      </c>
      <c r="R587" s="2" t="inlineStr"/>
    </row>
    <row r="588" ht="15" customHeight="1">
      <c r="A588" t="inlineStr">
        <is>
          <t>A 69448-2020</t>
        </is>
      </c>
      <c r="B588" s="1" t="n">
        <v>44194</v>
      </c>
      <c r="C588" s="1" t="n">
        <v>45627</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69628-2020</t>
        </is>
      </c>
      <c r="B589" s="1" t="n">
        <v>44195</v>
      </c>
      <c r="C589" s="1" t="n">
        <v>45627</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339-2021</t>
        </is>
      </c>
      <c r="B590" s="1" t="n">
        <v>44201</v>
      </c>
      <c r="C590" s="1" t="n">
        <v>45627</v>
      </c>
      <c r="D590" t="inlineStr">
        <is>
          <t>VÄRMLANDS LÄN</t>
        </is>
      </c>
      <c r="E590" t="inlineStr">
        <is>
          <t>TORSBY</t>
        </is>
      </c>
      <c r="G590" t="n">
        <v>1.9</v>
      </c>
      <c r="H590" t="n">
        <v>0</v>
      </c>
      <c r="I590" t="n">
        <v>0</v>
      </c>
      <c r="J590" t="n">
        <v>0</v>
      </c>
      <c r="K590" t="n">
        <v>0</v>
      </c>
      <c r="L590" t="n">
        <v>0</v>
      </c>
      <c r="M590" t="n">
        <v>0</v>
      </c>
      <c r="N590" t="n">
        <v>0</v>
      </c>
      <c r="O590" t="n">
        <v>0</v>
      </c>
      <c r="P590" t="n">
        <v>0</v>
      </c>
      <c r="Q590" t="n">
        <v>0</v>
      </c>
      <c r="R590" s="2" t="inlineStr"/>
    </row>
    <row r="591" ht="15" customHeight="1">
      <c r="A591" t="inlineStr">
        <is>
          <t>A 1516-2021</t>
        </is>
      </c>
      <c r="B591" s="1" t="n">
        <v>44209</v>
      </c>
      <c r="C591" s="1" t="n">
        <v>45627</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1526-2021</t>
        </is>
      </c>
      <c r="B592" s="1" t="n">
        <v>44209</v>
      </c>
      <c r="C592" s="1" t="n">
        <v>45627</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1535-2021</t>
        </is>
      </c>
      <c r="B593" s="1" t="n">
        <v>44209</v>
      </c>
      <c r="C593" s="1" t="n">
        <v>45627</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1544-2021</t>
        </is>
      </c>
      <c r="B594" s="1" t="n">
        <v>44209</v>
      </c>
      <c r="C594" s="1" t="n">
        <v>45627</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2321-2021</t>
        </is>
      </c>
      <c r="B595" s="1" t="n">
        <v>44214</v>
      </c>
      <c r="C595" s="1" t="n">
        <v>45627</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2576-2021</t>
        </is>
      </c>
      <c r="B596" s="1" t="n">
        <v>44214</v>
      </c>
      <c r="C596" s="1" t="n">
        <v>45627</v>
      </c>
      <c r="D596" t="inlineStr">
        <is>
          <t>VÄRMLANDS LÄN</t>
        </is>
      </c>
      <c r="E596" t="inlineStr">
        <is>
          <t>TORSBY</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2758-2021</t>
        </is>
      </c>
      <c r="B597" s="1" t="n">
        <v>44215</v>
      </c>
      <c r="C597" s="1" t="n">
        <v>45627</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3160-2021</t>
        </is>
      </c>
      <c r="B598" s="1" t="n">
        <v>44217</v>
      </c>
      <c r="C598" s="1" t="n">
        <v>45627</v>
      </c>
      <c r="D598" t="inlineStr">
        <is>
          <t>VÄRMLANDS LÄN</t>
        </is>
      </c>
      <c r="E598" t="inlineStr">
        <is>
          <t>TORSBY</t>
        </is>
      </c>
      <c r="G598" t="n">
        <v>4.4</v>
      </c>
      <c r="H598" t="n">
        <v>0</v>
      </c>
      <c r="I598" t="n">
        <v>0</v>
      </c>
      <c r="J598" t="n">
        <v>0</v>
      </c>
      <c r="K598" t="n">
        <v>0</v>
      </c>
      <c r="L598" t="n">
        <v>0</v>
      </c>
      <c r="M598" t="n">
        <v>0</v>
      </c>
      <c r="N598" t="n">
        <v>0</v>
      </c>
      <c r="O598" t="n">
        <v>0</v>
      </c>
      <c r="P598" t="n">
        <v>0</v>
      </c>
      <c r="Q598" t="n">
        <v>0</v>
      </c>
      <c r="R598" s="2" t="inlineStr"/>
    </row>
    <row r="599" ht="15" customHeight="1">
      <c r="A599" t="inlineStr">
        <is>
          <t>A 3336-2021</t>
        </is>
      </c>
      <c r="B599" s="1" t="n">
        <v>44217</v>
      </c>
      <c r="C599" s="1" t="n">
        <v>45627</v>
      </c>
      <c r="D599" t="inlineStr">
        <is>
          <t>VÄRMLANDS LÄN</t>
        </is>
      </c>
      <c r="E599" t="inlineStr">
        <is>
          <t>TORSBY</t>
        </is>
      </c>
      <c r="G599" t="n">
        <v>3.7</v>
      </c>
      <c r="H599" t="n">
        <v>0</v>
      </c>
      <c r="I599" t="n">
        <v>0</v>
      </c>
      <c r="J599" t="n">
        <v>0</v>
      </c>
      <c r="K599" t="n">
        <v>0</v>
      </c>
      <c r="L599" t="n">
        <v>0</v>
      </c>
      <c r="M599" t="n">
        <v>0</v>
      </c>
      <c r="N599" t="n">
        <v>0</v>
      </c>
      <c r="O599" t="n">
        <v>0</v>
      </c>
      <c r="P599" t="n">
        <v>0</v>
      </c>
      <c r="Q599" t="n">
        <v>0</v>
      </c>
      <c r="R599" s="2" t="inlineStr"/>
    </row>
    <row r="600" ht="15" customHeight="1">
      <c r="A600" t="inlineStr">
        <is>
          <t>A 4392-2021</t>
        </is>
      </c>
      <c r="B600" s="1" t="n">
        <v>44223</v>
      </c>
      <c r="C600" s="1" t="n">
        <v>45627</v>
      </c>
      <c r="D600" t="inlineStr">
        <is>
          <t>VÄRMLANDS LÄN</t>
        </is>
      </c>
      <c r="E600" t="inlineStr">
        <is>
          <t>TORSBY</t>
        </is>
      </c>
      <c r="G600" t="n">
        <v>3.8</v>
      </c>
      <c r="H600" t="n">
        <v>0</v>
      </c>
      <c r="I600" t="n">
        <v>0</v>
      </c>
      <c r="J600" t="n">
        <v>0</v>
      </c>
      <c r="K600" t="n">
        <v>0</v>
      </c>
      <c r="L600" t="n">
        <v>0</v>
      </c>
      <c r="M600" t="n">
        <v>0</v>
      </c>
      <c r="N600" t="n">
        <v>0</v>
      </c>
      <c r="O600" t="n">
        <v>0</v>
      </c>
      <c r="P600" t="n">
        <v>0</v>
      </c>
      <c r="Q600" t="n">
        <v>0</v>
      </c>
      <c r="R600" s="2" t="inlineStr"/>
    </row>
    <row r="601" ht="15" customHeight="1">
      <c r="A601" t="inlineStr">
        <is>
          <t>A 4558-2021</t>
        </is>
      </c>
      <c r="B601" s="1" t="n">
        <v>44223</v>
      </c>
      <c r="C601" s="1" t="n">
        <v>45627</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4393-2021</t>
        </is>
      </c>
      <c r="B602" s="1" t="n">
        <v>44223</v>
      </c>
      <c r="C602" s="1" t="n">
        <v>45627</v>
      </c>
      <c r="D602" t="inlineStr">
        <is>
          <t>VÄRMLANDS LÄN</t>
        </is>
      </c>
      <c r="E602" t="inlineStr">
        <is>
          <t>TORSBY</t>
        </is>
      </c>
      <c r="G602" t="n">
        <v>2.8</v>
      </c>
      <c r="H602" t="n">
        <v>0</v>
      </c>
      <c r="I602" t="n">
        <v>0</v>
      </c>
      <c r="J602" t="n">
        <v>0</v>
      </c>
      <c r="K602" t="n">
        <v>0</v>
      </c>
      <c r="L602" t="n">
        <v>0</v>
      </c>
      <c r="M602" t="n">
        <v>0</v>
      </c>
      <c r="N602" t="n">
        <v>0</v>
      </c>
      <c r="O602" t="n">
        <v>0</v>
      </c>
      <c r="P602" t="n">
        <v>0</v>
      </c>
      <c r="Q602" t="n">
        <v>0</v>
      </c>
      <c r="R602" s="2" t="inlineStr"/>
    </row>
    <row r="603" ht="15" customHeight="1">
      <c r="A603" t="inlineStr">
        <is>
          <t>A 4564-2021</t>
        </is>
      </c>
      <c r="B603" s="1" t="n">
        <v>44223</v>
      </c>
      <c r="C603" s="1" t="n">
        <v>45627</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4479-2021</t>
        </is>
      </c>
      <c r="B604" s="1" t="n">
        <v>44224</v>
      </c>
      <c r="C604" s="1" t="n">
        <v>45627</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4711-2021</t>
        </is>
      </c>
      <c r="B605" s="1" t="n">
        <v>44225</v>
      </c>
      <c r="C605" s="1" t="n">
        <v>45627</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5050-2021</t>
        </is>
      </c>
      <c r="B606" s="1" t="n">
        <v>44228</v>
      </c>
      <c r="C606" s="1" t="n">
        <v>45627</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5105-2021</t>
        </is>
      </c>
      <c r="B607" s="1" t="n">
        <v>44228</v>
      </c>
      <c r="C607" s="1" t="n">
        <v>45627</v>
      </c>
      <c r="D607" t="inlineStr">
        <is>
          <t>VÄRMLANDS LÄN</t>
        </is>
      </c>
      <c r="E607" t="inlineStr">
        <is>
          <t>TORSBY</t>
        </is>
      </c>
      <c r="G607" t="n">
        <v>5.6</v>
      </c>
      <c r="H607" t="n">
        <v>0</v>
      </c>
      <c r="I607" t="n">
        <v>0</v>
      </c>
      <c r="J607" t="n">
        <v>0</v>
      </c>
      <c r="K607" t="n">
        <v>0</v>
      </c>
      <c r="L607" t="n">
        <v>0</v>
      </c>
      <c r="M607" t="n">
        <v>0</v>
      </c>
      <c r="N607" t="n">
        <v>0</v>
      </c>
      <c r="O607" t="n">
        <v>0</v>
      </c>
      <c r="P607" t="n">
        <v>0</v>
      </c>
      <c r="Q607" t="n">
        <v>0</v>
      </c>
      <c r="R607" s="2" t="inlineStr"/>
    </row>
    <row r="608" ht="15" customHeight="1">
      <c r="A608" t="inlineStr">
        <is>
          <t>A 5365-2021</t>
        </is>
      </c>
      <c r="B608" s="1" t="n">
        <v>44229</v>
      </c>
      <c r="C608" s="1" t="n">
        <v>45627</v>
      </c>
      <c r="D608" t="inlineStr">
        <is>
          <t>VÄRMLANDS LÄN</t>
        </is>
      </c>
      <c r="E608" t="inlineStr">
        <is>
          <t>TORSBY</t>
        </is>
      </c>
      <c r="G608" t="n">
        <v>8.1</v>
      </c>
      <c r="H608" t="n">
        <v>0</v>
      </c>
      <c r="I608" t="n">
        <v>0</v>
      </c>
      <c r="J608" t="n">
        <v>0</v>
      </c>
      <c r="K608" t="n">
        <v>0</v>
      </c>
      <c r="L608" t="n">
        <v>0</v>
      </c>
      <c r="M608" t="n">
        <v>0</v>
      </c>
      <c r="N608" t="n">
        <v>0</v>
      </c>
      <c r="O608" t="n">
        <v>0</v>
      </c>
      <c r="P608" t="n">
        <v>0</v>
      </c>
      <c r="Q608" t="n">
        <v>0</v>
      </c>
      <c r="R608" s="2" t="inlineStr"/>
    </row>
    <row r="609" ht="15" customHeight="1">
      <c r="A609" t="inlineStr">
        <is>
          <t>A 5572-2021</t>
        </is>
      </c>
      <c r="B609" s="1" t="n">
        <v>44230</v>
      </c>
      <c r="C609" s="1" t="n">
        <v>45627</v>
      </c>
      <c r="D609" t="inlineStr">
        <is>
          <t>VÄRMLANDS LÄN</t>
        </is>
      </c>
      <c r="E609" t="inlineStr">
        <is>
          <t>TORSBY</t>
        </is>
      </c>
      <c r="G609" t="n">
        <v>2</v>
      </c>
      <c r="H609" t="n">
        <v>0</v>
      </c>
      <c r="I609" t="n">
        <v>0</v>
      </c>
      <c r="J609" t="n">
        <v>0</v>
      </c>
      <c r="K609" t="n">
        <v>0</v>
      </c>
      <c r="L609" t="n">
        <v>0</v>
      </c>
      <c r="M609" t="n">
        <v>0</v>
      </c>
      <c r="N609" t="n">
        <v>0</v>
      </c>
      <c r="O609" t="n">
        <v>0</v>
      </c>
      <c r="P609" t="n">
        <v>0</v>
      </c>
      <c r="Q609" t="n">
        <v>0</v>
      </c>
      <c r="R609" s="2" t="inlineStr"/>
    </row>
    <row r="610" ht="15" customHeight="1">
      <c r="A610" t="inlineStr">
        <is>
          <t>A 5839-2021</t>
        </is>
      </c>
      <c r="B610" s="1" t="n">
        <v>44231</v>
      </c>
      <c r="C610" s="1" t="n">
        <v>45627</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6063-2021</t>
        </is>
      </c>
      <c r="B611" s="1" t="n">
        <v>44232</v>
      </c>
      <c r="C611" s="1" t="n">
        <v>45627</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6111-2021</t>
        </is>
      </c>
      <c r="B612" s="1" t="n">
        <v>44232</v>
      </c>
      <c r="C612" s="1" t="n">
        <v>45627</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6121-2021</t>
        </is>
      </c>
      <c r="B613" s="1" t="n">
        <v>44232</v>
      </c>
      <c r="C613" s="1" t="n">
        <v>45627</v>
      </c>
      <c r="D613" t="inlineStr">
        <is>
          <t>VÄRMLANDS LÄN</t>
        </is>
      </c>
      <c r="E613" t="inlineStr">
        <is>
          <t>TORSBY</t>
        </is>
      </c>
      <c r="G613" t="n">
        <v>2.9</v>
      </c>
      <c r="H613" t="n">
        <v>0</v>
      </c>
      <c r="I613" t="n">
        <v>0</v>
      </c>
      <c r="J613" t="n">
        <v>0</v>
      </c>
      <c r="K613" t="n">
        <v>0</v>
      </c>
      <c r="L613" t="n">
        <v>0</v>
      </c>
      <c r="M613" t="n">
        <v>0</v>
      </c>
      <c r="N613" t="n">
        <v>0</v>
      </c>
      <c r="O613" t="n">
        <v>0</v>
      </c>
      <c r="P613" t="n">
        <v>0</v>
      </c>
      <c r="Q613" t="n">
        <v>0</v>
      </c>
      <c r="R613" s="2" t="inlineStr"/>
    </row>
    <row r="614" ht="15" customHeight="1">
      <c r="A614" t="inlineStr">
        <is>
          <t>A 6068-2021</t>
        </is>
      </c>
      <c r="B614" s="1" t="n">
        <v>44232</v>
      </c>
      <c r="C614" s="1" t="n">
        <v>45627</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6102-2021</t>
        </is>
      </c>
      <c r="B615" s="1" t="n">
        <v>44232</v>
      </c>
      <c r="C615" s="1" t="n">
        <v>45627</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6656-2021</t>
        </is>
      </c>
      <c r="B616" s="1" t="n">
        <v>44236</v>
      </c>
      <c r="C616" s="1" t="n">
        <v>45627</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7661-2021</t>
        </is>
      </c>
      <c r="B617" s="1" t="n">
        <v>44242</v>
      </c>
      <c r="C617" s="1" t="n">
        <v>45627</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8034-2021</t>
        </is>
      </c>
      <c r="B618" s="1" t="n">
        <v>44243</v>
      </c>
      <c r="C618" s="1" t="n">
        <v>45627</v>
      </c>
      <c r="D618" t="inlineStr">
        <is>
          <t>VÄRMLANDS LÄN</t>
        </is>
      </c>
      <c r="E618" t="inlineStr">
        <is>
          <t>TORSBY</t>
        </is>
      </c>
      <c r="G618" t="n">
        <v>15.4</v>
      </c>
      <c r="H618" t="n">
        <v>0</v>
      </c>
      <c r="I618" t="n">
        <v>0</v>
      </c>
      <c r="J618" t="n">
        <v>0</v>
      </c>
      <c r="K618" t="n">
        <v>0</v>
      </c>
      <c r="L618" t="n">
        <v>0</v>
      </c>
      <c r="M618" t="n">
        <v>0</v>
      </c>
      <c r="N618" t="n">
        <v>0</v>
      </c>
      <c r="O618" t="n">
        <v>0</v>
      </c>
      <c r="P618" t="n">
        <v>0</v>
      </c>
      <c r="Q618" t="n">
        <v>0</v>
      </c>
      <c r="R618" s="2" t="inlineStr"/>
    </row>
    <row r="619" ht="15" customHeight="1">
      <c r="A619" t="inlineStr">
        <is>
          <t>A 7898-2021</t>
        </is>
      </c>
      <c r="B619" s="1" t="n">
        <v>44243</v>
      </c>
      <c r="C619" s="1" t="n">
        <v>45627</v>
      </c>
      <c r="D619" t="inlineStr">
        <is>
          <t>VÄRMLANDS LÄN</t>
        </is>
      </c>
      <c r="E619" t="inlineStr">
        <is>
          <t>TORSBY</t>
        </is>
      </c>
      <c r="G619" t="n">
        <v>1.7</v>
      </c>
      <c r="H619" t="n">
        <v>0</v>
      </c>
      <c r="I619" t="n">
        <v>0</v>
      </c>
      <c r="J619" t="n">
        <v>0</v>
      </c>
      <c r="K619" t="n">
        <v>0</v>
      </c>
      <c r="L619" t="n">
        <v>0</v>
      </c>
      <c r="M619" t="n">
        <v>0</v>
      </c>
      <c r="N619" t="n">
        <v>0</v>
      </c>
      <c r="O619" t="n">
        <v>0</v>
      </c>
      <c r="P619" t="n">
        <v>0</v>
      </c>
      <c r="Q619" t="n">
        <v>0</v>
      </c>
      <c r="R619" s="2" t="inlineStr"/>
    </row>
    <row r="620" ht="15" customHeight="1">
      <c r="A620" t="inlineStr">
        <is>
          <t>A 8910-2021</t>
        </is>
      </c>
      <c r="B620" s="1" t="n">
        <v>44246</v>
      </c>
      <c r="C620" s="1" t="n">
        <v>45627</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9775-2021</t>
        </is>
      </c>
      <c r="B621" s="1" t="n">
        <v>44252</v>
      </c>
      <c r="C621" s="1" t="n">
        <v>45627</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10133-2021</t>
        </is>
      </c>
      <c r="B622" s="1" t="n">
        <v>44256</v>
      </c>
      <c r="C622" s="1" t="n">
        <v>45627</v>
      </c>
      <c r="D622" t="inlineStr">
        <is>
          <t>VÄRMLANDS LÄN</t>
        </is>
      </c>
      <c r="E622" t="inlineStr">
        <is>
          <t>TORSBY</t>
        </is>
      </c>
      <c r="G622" t="n">
        <v>5</v>
      </c>
      <c r="H622" t="n">
        <v>0</v>
      </c>
      <c r="I622" t="n">
        <v>0</v>
      </c>
      <c r="J622" t="n">
        <v>0</v>
      </c>
      <c r="K622" t="n">
        <v>0</v>
      </c>
      <c r="L622" t="n">
        <v>0</v>
      </c>
      <c r="M622" t="n">
        <v>0</v>
      </c>
      <c r="N622" t="n">
        <v>0</v>
      </c>
      <c r="O622" t="n">
        <v>0</v>
      </c>
      <c r="P622" t="n">
        <v>0</v>
      </c>
      <c r="Q622" t="n">
        <v>0</v>
      </c>
      <c r="R622" s="2" t="inlineStr"/>
    </row>
    <row r="623" ht="15" customHeight="1">
      <c r="A623" t="inlineStr">
        <is>
          <t>A 10118-2021</t>
        </is>
      </c>
      <c r="B623" s="1" t="n">
        <v>44256</v>
      </c>
      <c r="C623" s="1" t="n">
        <v>45627</v>
      </c>
      <c r="D623" t="inlineStr">
        <is>
          <t>VÄRMLANDS LÄN</t>
        </is>
      </c>
      <c r="E623" t="inlineStr">
        <is>
          <t>TORSBY</t>
        </is>
      </c>
      <c r="G623" t="n">
        <v>12.5</v>
      </c>
      <c r="H623" t="n">
        <v>0</v>
      </c>
      <c r="I623" t="n">
        <v>0</v>
      </c>
      <c r="J623" t="n">
        <v>0</v>
      </c>
      <c r="K623" t="n">
        <v>0</v>
      </c>
      <c r="L623" t="n">
        <v>0</v>
      </c>
      <c r="M623" t="n">
        <v>0</v>
      </c>
      <c r="N623" t="n">
        <v>0</v>
      </c>
      <c r="O623" t="n">
        <v>0</v>
      </c>
      <c r="P623" t="n">
        <v>0</v>
      </c>
      <c r="Q623" t="n">
        <v>0</v>
      </c>
      <c r="R623" s="2" t="inlineStr"/>
    </row>
    <row r="624" ht="15" customHeight="1">
      <c r="A624" t="inlineStr">
        <is>
          <t>A 10579-2021</t>
        </is>
      </c>
      <c r="B624" s="1" t="n">
        <v>44257</v>
      </c>
      <c r="C624" s="1" t="n">
        <v>45627</v>
      </c>
      <c r="D624" t="inlineStr">
        <is>
          <t>VÄRMLANDS LÄN</t>
        </is>
      </c>
      <c r="E624" t="inlineStr">
        <is>
          <t>TORSBY</t>
        </is>
      </c>
      <c r="G624" t="n">
        <v>1.2</v>
      </c>
      <c r="H624" t="n">
        <v>0</v>
      </c>
      <c r="I624" t="n">
        <v>0</v>
      </c>
      <c r="J624" t="n">
        <v>0</v>
      </c>
      <c r="K624" t="n">
        <v>0</v>
      </c>
      <c r="L624" t="n">
        <v>0</v>
      </c>
      <c r="M624" t="n">
        <v>0</v>
      </c>
      <c r="N624" t="n">
        <v>0</v>
      </c>
      <c r="O624" t="n">
        <v>0</v>
      </c>
      <c r="P624" t="n">
        <v>0</v>
      </c>
      <c r="Q624" t="n">
        <v>0</v>
      </c>
      <c r="R624" s="2" t="inlineStr"/>
    </row>
    <row r="625" ht="15" customHeight="1">
      <c r="A625" t="inlineStr">
        <is>
          <t>A 10778-2021</t>
        </is>
      </c>
      <c r="B625" s="1" t="n">
        <v>44259</v>
      </c>
      <c r="C625" s="1" t="n">
        <v>45627</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11695-2021</t>
        </is>
      </c>
      <c r="B626" s="1" t="n">
        <v>44264</v>
      </c>
      <c r="C626" s="1" t="n">
        <v>45627</v>
      </c>
      <c r="D626" t="inlineStr">
        <is>
          <t>VÄRMLANDS LÄN</t>
        </is>
      </c>
      <c r="E626" t="inlineStr">
        <is>
          <t>TORSBY</t>
        </is>
      </c>
      <c r="G626" t="n">
        <v>3</v>
      </c>
      <c r="H626" t="n">
        <v>0</v>
      </c>
      <c r="I626" t="n">
        <v>0</v>
      </c>
      <c r="J626" t="n">
        <v>0</v>
      </c>
      <c r="K626" t="n">
        <v>0</v>
      </c>
      <c r="L626" t="n">
        <v>0</v>
      </c>
      <c r="M626" t="n">
        <v>0</v>
      </c>
      <c r="N626" t="n">
        <v>0</v>
      </c>
      <c r="O626" t="n">
        <v>0</v>
      </c>
      <c r="P626" t="n">
        <v>0</v>
      </c>
      <c r="Q626" t="n">
        <v>0</v>
      </c>
      <c r="R626" s="2" t="inlineStr"/>
    </row>
    <row r="627" ht="15" customHeight="1">
      <c r="A627" t="inlineStr">
        <is>
          <t>A 11947-2021</t>
        </is>
      </c>
      <c r="B627" s="1" t="n">
        <v>44265</v>
      </c>
      <c r="C627" s="1" t="n">
        <v>45627</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13013-2021</t>
        </is>
      </c>
      <c r="B628" s="1" t="n">
        <v>44271</v>
      </c>
      <c r="C628" s="1" t="n">
        <v>45627</v>
      </c>
      <c r="D628" t="inlineStr">
        <is>
          <t>VÄRMLANDS LÄN</t>
        </is>
      </c>
      <c r="E628" t="inlineStr">
        <is>
          <t>TORSBY</t>
        </is>
      </c>
      <c r="G628" t="n">
        <v>7.7</v>
      </c>
      <c r="H628" t="n">
        <v>0</v>
      </c>
      <c r="I628" t="n">
        <v>0</v>
      </c>
      <c r="J628" t="n">
        <v>0</v>
      </c>
      <c r="K628" t="n">
        <v>0</v>
      </c>
      <c r="L628" t="n">
        <v>0</v>
      </c>
      <c r="M628" t="n">
        <v>0</v>
      </c>
      <c r="N628" t="n">
        <v>0</v>
      </c>
      <c r="O628" t="n">
        <v>0</v>
      </c>
      <c r="P628" t="n">
        <v>0</v>
      </c>
      <c r="Q628" t="n">
        <v>0</v>
      </c>
      <c r="R628" s="2" t="inlineStr"/>
    </row>
    <row r="629" ht="15" customHeight="1">
      <c r="A629" t="inlineStr">
        <is>
          <t>A 14942-2021</t>
        </is>
      </c>
      <c r="B629" s="1" t="n">
        <v>44281</v>
      </c>
      <c r="C629" s="1" t="n">
        <v>45627</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15279-2021</t>
        </is>
      </c>
      <c r="B630" s="1" t="n">
        <v>44284</v>
      </c>
      <c r="C630" s="1" t="n">
        <v>45627</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16191-2021</t>
        </is>
      </c>
      <c r="B631" s="1" t="n">
        <v>44285</v>
      </c>
      <c r="C631" s="1" t="n">
        <v>45627</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15854-2021</t>
        </is>
      </c>
      <c r="B632" s="1" t="n">
        <v>44286</v>
      </c>
      <c r="C632" s="1" t="n">
        <v>45627</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15853-2021</t>
        </is>
      </c>
      <c r="B633" s="1" t="n">
        <v>44286</v>
      </c>
      <c r="C633" s="1" t="n">
        <v>45627</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15945-2021</t>
        </is>
      </c>
      <c r="B634" s="1" t="n">
        <v>44287</v>
      </c>
      <c r="C634" s="1" t="n">
        <v>45627</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15939-2021</t>
        </is>
      </c>
      <c r="B635" s="1" t="n">
        <v>44287</v>
      </c>
      <c r="C635" s="1" t="n">
        <v>45627</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16303-2021</t>
        </is>
      </c>
      <c r="B636" s="1" t="n">
        <v>44292</v>
      </c>
      <c r="C636" s="1" t="n">
        <v>45627</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16299-2021</t>
        </is>
      </c>
      <c r="B637" s="1" t="n">
        <v>44292</v>
      </c>
      <c r="C637" s="1" t="n">
        <v>45627</v>
      </c>
      <c r="D637" t="inlineStr">
        <is>
          <t>VÄRMLANDS LÄN</t>
        </is>
      </c>
      <c r="E637" t="inlineStr">
        <is>
          <t>TORSBY</t>
        </is>
      </c>
      <c r="G637" t="n">
        <v>3.4</v>
      </c>
      <c r="H637" t="n">
        <v>0</v>
      </c>
      <c r="I637" t="n">
        <v>0</v>
      </c>
      <c r="J637" t="n">
        <v>0</v>
      </c>
      <c r="K637" t="n">
        <v>0</v>
      </c>
      <c r="L637" t="n">
        <v>0</v>
      </c>
      <c r="M637" t="n">
        <v>0</v>
      </c>
      <c r="N637" t="n">
        <v>0</v>
      </c>
      <c r="O637" t="n">
        <v>0</v>
      </c>
      <c r="P637" t="n">
        <v>0</v>
      </c>
      <c r="Q637" t="n">
        <v>0</v>
      </c>
      <c r="R637" s="2" t="inlineStr"/>
    </row>
    <row r="638" ht="15" customHeight="1">
      <c r="A638" t="inlineStr">
        <is>
          <t>A 16375-2021</t>
        </is>
      </c>
      <c r="B638" s="1" t="n">
        <v>44292</v>
      </c>
      <c r="C638" s="1" t="n">
        <v>45627</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17249-2021</t>
        </is>
      </c>
      <c r="B639" s="1" t="n">
        <v>44298</v>
      </c>
      <c r="C639" s="1" t="n">
        <v>45627</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17941-2021</t>
        </is>
      </c>
      <c r="B640" s="1" t="n">
        <v>44301</v>
      </c>
      <c r="C640" s="1" t="n">
        <v>45627</v>
      </c>
      <c r="D640" t="inlineStr">
        <is>
          <t>VÄRMLANDS LÄN</t>
        </is>
      </c>
      <c r="E640" t="inlineStr">
        <is>
          <t>TORSBY</t>
        </is>
      </c>
      <c r="F640" t="inlineStr">
        <is>
          <t>Kommuner</t>
        </is>
      </c>
      <c r="G640" t="n">
        <v>8</v>
      </c>
      <c r="H640" t="n">
        <v>0</v>
      </c>
      <c r="I640" t="n">
        <v>0</v>
      </c>
      <c r="J640" t="n">
        <v>0</v>
      </c>
      <c r="K640" t="n">
        <v>0</v>
      </c>
      <c r="L640" t="n">
        <v>0</v>
      </c>
      <c r="M640" t="n">
        <v>0</v>
      </c>
      <c r="N640" t="n">
        <v>0</v>
      </c>
      <c r="O640" t="n">
        <v>0</v>
      </c>
      <c r="P640" t="n">
        <v>0</v>
      </c>
      <c r="Q640" t="n">
        <v>0</v>
      </c>
      <c r="R640" s="2" t="inlineStr"/>
    </row>
    <row r="641" ht="15" customHeight="1">
      <c r="A641" t="inlineStr">
        <is>
          <t>A 17962-2021</t>
        </is>
      </c>
      <c r="B641" s="1" t="n">
        <v>44301</v>
      </c>
      <c r="C641" s="1" t="n">
        <v>45627</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17944-2021</t>
        </is>
      </c>
      <c r="B642" s="1" t="n">
        <v>44301</v>
      </c>
      <c r="C642" s="1" t="n">
        <v>45627</v>
      </c>
      <c r="D642" t="inlineStr">
        <is>
          <t>VÄRMLANDS LÄN</t>
        </is>
      </c>
      <c r="E642" t="inlineStr">
        <is>
          <t>TORSBY</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23524-2021</t>
        </is>
      </c>
      <c r="B643" s="1" t="n">
        <v>44301</v>
      </c>
      <c r="C643" s="1" t="n">
        <v>45627</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18174-2021</t>
        </is>
      </c>
      <c r="B644" s="1" t="n">
        <v>44302</v>
      </c>
      <c r="C644" s="1" t="n">
        <v>45627</v>
      </c>
      <c r="D644" t="inlineStr">
        <is>
          <t>VÄRMLANDS LÄN</t>
        </is>
      </c>
      <c r="E644" t="inlineStr">
        <is>
          <t>TORSBY</t>
        </is>
      </c>
      <c r="G644" t="n">
        <v>4.5</v>
      </c>
      <c r="H644" t="n">
        <v>0</v>
      </c>
      <c r="I644" t="n">
        <v>0</v>
      </c>
      <c r="J644" t="n">
        <v>0</v>
      </c>
      <c r="K644" t="n">
        <v>0</v>
      </c>
      <c r="L644" t="n">
        <v>0</v>
      </c>
      <c r="M644" t="n">
        <v>0</v>
      </c>
      <c r="N644" t="n">
        <v>0</v>
      </c>
      <c r="O644" t="n">
        <v>0</v>
      </c>
      <c r="P644" t="n">
        <v>0</v>
      </c>
      <c r="Q644" t="n">
        <v>0</v>
      </c>
      <c r="R644" s="2" t="inlineStr"/>
    </row>
    <row r="645" ht="15" customHeight="1">
      <c r="A645" t="inlineStr">
        <is>
          <t>A 18033-2021</t>
        </is>
      </c>
      <c r="B645" s="1" t="n">
        <v>44302</v>
      </c>
      <c r="C645" s="1" t="n">
        <v>45627</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18354-2021</t>
        </is>
      </c>
      <c r="B646" s="1" t="n">
        <v>44305</v>
      </c>
      <c r="C646" s="1" t="n">
        <v>45627</v>
      </c>
      <c r="D646" t="inlineStr">
        <is>
          <t>VÄRMLANDS LÄN</t>
        </is>
      </c>
      <c r="E646" t="inlineStr">
        <is>
          <t>TORSBY</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18344-2021</t>
        </is>
      </c>
      <c r="B647" s="1" t="n">
        <v>44305</v>
      </c>
      <c r="C647" s="1" t="n">
        <v>45627</v>
      </c>
      <c r="D647" t="inlineStr">
        <is>
          <t>VÄRMLANDS LÄN</t>
        </is>
      </c>
      <c r="E647" t="inlineStr">
        <is>
          <t>TORSBY</t>
        </is>
      </c>
      <c r="F647" t="inlineStr">
        <is>
          <t>Kommuner</t>
        </is>
      </c>
      <c r="G647" t="n">
        <v>4.3</v>
      </c>
      <c r="H647" t="n">
        <v>0</v>
      </c>
      <c r="I647" t="n">
        <v>0</v>
      </c>
      <c r="J647" t="n">
        <v>0</v>
      </c>
      <c r="K647" t="n">
        <v>0</v>
      </c>
      <c r="L647" t="n">
        <v>0</v>
      </c>
      <c r="M647" t="n">
        <v>0</v>
      </c>
      <c r="N647" t="n">
        <v>0</v>
      </c>
      <c r="O647" t="n">
        <v>0</v>
      </c>
      <c r="P647" t="n">
        <v>0</v>
      </c>
      <c r="Q647" t="n">
        <v>0</v>
      </c>
      <c r="R647" s="2" t="inlineStr"/>
    </row>
    <row r="648" ht="15" customHeight="1">
      <c r="A648" t="inlineStr">
        <is>
          <t>A 18349-2021</t>
        </is>
      </c>
      <c r="B648" s="1" t="n">
        <v>44305</v>
      </c>
      <c r="C648" s="1" t="n">
        <v>45627</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18560-2021</t>
        </is>
      </c>
      <c r="B649" s="1" t="n">
        <v>44306</v>
      </c>
      <c r="C649" s="1" t="n">
        <v>45627</v>
      </c>
      <c r="D649" t="inlineStr">
        <is>
          <t>VÄRMLANDS LÄN</t>
        </is>
      </c>
      <c r="E649" t="inlineStr">
        <is>
          <t>TORSBY</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19031-2021</t>
        </is>
      </c>
      <c r="B650" s="1" t="n">
        <v>44308</v>
      </c>
      <c r="C650" s="1" t="n">
        <v>45627</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19338-2021</t>
        </is>
      </c>
      <c r="B651" s="1" t="n">
        <v>44309</v>
      </c>
      <c r="C651" s="1" t="n">
        <v>45627</v>
      </c>
      <c r="D651" t="inlineStr">
        <is>
          <t>VÄRMLANDS LÄN</t>
        </is>
      </c>
      <c r="E651" t="inlineStr">
        <is>
          <t>TORSBY</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19375-2021</t>
        </is>
      </c>
      <c r="B652" s="1" t="n">
        <v>44309</v>
      </c>
      <c r="C652" s="1" t="n">
        <v>45627</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20182-2021</t>
        </is>
      </c>
      <c r="B653" s="1" t="n">
        <v>44312</v>
      </c>
      <c r="C653" s="1" t="n">
        <v>45627</v>
      </c>
      <c r="D653" t="inlineStr">
        <is>
          <t>VÄRMLANDS LÄN</t>
        </is>
      </c>
      <c r="E653" t="inlineStr">
        <is>
          <t>TORSBY</t>
        </is>
      </c>
      <c r="G653" t="n">
        <v>14.4</v>
      </c>
      <c r="H653" t="n">
        <v>0</v>
      </c>
      <c r="I653" t="n">
        <v>0</v>
      </c>
      <c r="J653" t="n">
        <v>0</v>
      </c>
      <c r="K653" t="n">
        <v>0</v>
      </c>
      <c r="L653" t="n">
        <v>0</v>
      </c>
      <c r="M653" t="n">
        <v>0</v>
      </c>
      <c r="N653" t="n">
        <v>0</v>
      </c>
      <c r="O653" t="n">
        <v>0</v>
      </c>
      <c r="P653" t="n">
        <v>0</v>
      </c>
      <c r="Q653" t="n">
        <v>0</v>
      </c>
      <c r="R653" s="2" t="inlineStr"/>
    </row>
    <row r="654" ht="15" customHeight="1">
      <c r="A654" t="inlineStr">
        <is>
          <t>A 20199-2021</t>
        </is>
      </c>
      <c r="B654" s="1" t="n">
        <v>44312</v>
      </c>
      <c r="C654" s="1" t="n">
        <v>45627</v>
      </c>
      <c r="D654" t="inlineStr">
        <is>
          <t>VÄRMLANDS LÄN</t>
        </is>
      </c>
      <c r="E654" t="inlineStr">
        <is>
          <t>TORSBY</t>
        </is>
      </c>
      <c r="G654" t="n">
        <v>11.4</v>
      </c>
      <c r="H654" t="n">
        <v>0</v>
      </c>
      <c r="I654" t="n">
        <v>0</v>
      </c>
      <c r="J654" t="n">
        <v>0</v>
      </c>
      <c r="K654" t="n">
        <v>0</v>
      </c>
      <c r="L654" t="n">
        <v>0</v>
      </c>
      <c r="M654" t="n">
        <v>0</v>
      </c>
      <c r="N654" t="n">
        <v>0</v>
      </c>
      <c r="O654" t="n">
        <v>0</v>
      </c>
      <c r="P654" t="n">
        <v>0</v>
      </c>
      <c r="Q654" t="n">
        <v>0</v>
      </c>
      <c r="R654" s="2" t="inlineStr"/>
    </row>
    <row r="655" ht="15" customHeight="1">
      <c r="A655" t="inlineStr">
        <is>
          <t>A 20170-2021</t>
        </is>
      </c>
      <c r="B655" s="1" t="n">
        <v>44312</v>
      </c>
      <c r="C655" s="1" t="n">
        <v>45627</v>
      </c>
      <c r="D655" t="inlineStr">
        <is>
          <t>VÄRMLANDS LÄN</t>
        </is>
      </c>
      <c r="E655" t="inlineStr">
        <is>
          <t>TORSBY</t>
        </is>
      </c>
      <c r="G655" t="n">
        <v>1.6</v>
      </c>
      <c r="H655" t="n">
        <v>0</v>
      </c>
      <c r="I655" t="n">
        <v>0</v>
      </c>
      <c r="J655" t="n">
        <v>0</v>
      </c>
      <c r="K655" t="n">
        <v>0</v>
      </c>
      <c r="L655" t="n">
        <v>0</v>
      </c>
      <c r="M655" t="n">
        <v>0</v>
      </c>
      <c r="N655" t="n">
        <v>0</v>
      </c>
      <c r="O655" t="n">
        <v>0</v>
      </c>
      <c r="P655" t="n">
        <v>0</v>
      </c>
      <c r="Q655" t="n">
        <v>0</v>
      </c>
      <c r="R655" s="2" t="inlineStr"/>
    </row>
    <row r="656" ht="15" customHeight="1">
      <c r="A656" t="inlineStr">
        <is>
          <t>A 19877-2021</t>
        </is>
      </c>
      <c r="B656" s="1" t="n">
        <v>44313</v>
      </c>
      <c r="C656" s="1" t="n">
        <v>45627</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19974-2021</t>
        </is>
      </c>
      <c r="B657" s="1" t="n">
        <v>44313</v>
      </c>
      <c r="C657" s="1" t="n">
        <v>45627</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20122-2021</t>
        </is>
      </c>
      <c r="B658" s="1" t="n">
        <v>44314</v>
      </c>
      <c r="C658" s="1" t="n">
        <v>45627</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21031-2021</t>
        </is>
      </c>
      <c r="B659" s="1" t="n">
        <v>44319</v>
      </c>
      <c r="C659" s="1" t="n">
        <v>45627</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21206-2021</t>
        </is>
      </c>
      <c r="B660" s="1" t="n">
        <v>44320</v>
      </c>
      <c r="C660" s="1" t="n">
        <v>45627</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22038-2021</t>
        </is>
      </c>
      <c r="B661" s="1" t="n">
        <v>44323</v>
      </c>
      <c r="C661" s="1" t="n">
        <v>45627</v>
      </c>
      <c r="D661" t="inlineStr">
        <is>
          <t>VÄRMLANDS LÄN</t>
        </is>
      </c>
      <c r="E661" t="inlineStr">
        <is>
          <t>TORSBY</t>
        </is>
      </c>
      <c r="G661" t="n">
        <v>4</v>
      </c>
      <c r="H661" t="n">
        <v>0</v>
      </c>
      <c r="I661" t="n">
        <v>0</v>
      </c>
      <c r="J661" t="n">
        <v>0</v>
      </c>
      <c r="K661" t="n">
        <v>0</v>
      </c>
      <c r="L661" t="n">
        <v>0</v>
      </c>
      <c r="M661" t="n">
        <v>0</v>
      </c>
      <c r="N661" t="n">
        <v>0</v>
      </c>
      <c r="O661" t="n">
        <v>0</v>
      </c>
      <c r="P661" t="n">
        <v>0</v>
      </c>
      <c r="Q661" t="n">
        <v>0</v>
      </c>
      <c r="R661" s="2" t="inlineStr"/>
    </row>
    <row r="662" ht="15" customHeight="1">
      <c r="A662" t="inlineStr">
        <is>
          <t>A 22113-2021</t>
        </is>
      </c>
      <c r="B662" s="1" t="n">
        <v>44323</v>
      </c>
      <c r="C662" s="1" t="n">
        <v>45627</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22464-2021</t>
        </is>
      </c>
      <c r="B663" s="1" t="n">
        <v>44326</v>
      </c>
      <c r="C663" s="1" t="n">
        <v>45627</v>
      </c>
      <c r="D663" t="inlineStr">
        <is>
          <t>VÄRMLANDS LÄN</t>
        </is>
      </c>
      <c r="E663" t="inlineStr">
        <is>
          <t>TORSBY</t>
        </is>
      </c>
      <c r="G663" t="n">
        <v>6</v>
      </c>
      <c r="H663" t="n">
        <v>0</v>
      </c>
      <c r="I663" t="n">
        <v>0</v>
      </c>
      <c r="J663" t="n">
        <v>0</v>
      </c>
      <c r="K663" t="n">
        <v>0</v>
      </c>
      <c r="L663" t="n">
        <v>0</v>
      </c>
      <c r="M663" t="n">
        <v>0</v>
      </c>
      <c r="N663" t="n">
        <v>0</v>
      </c>
      <c r="O663" t="n">
        <v>0</v>
      </c>
      <c r="P663" t="n">
        <v>0</v>
      </c>
      <c r="Q663" t="n">
        <v>0</v>
      </c>
      <c r="R663" s="2" t="inlineStr"/>
    </row>
    <row r="664" ht="15" customHeight="1">
      <c r="A664" t="inlineStr">
        <is>
          <t>A 22463-2021</t>
        </is>
      </c>
      <c r="B664" s="1" t="n">
        <v>44326</v>
      </c>
      <c r="C664" s="1" t="n">
        <v>45627</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22671-2021</t>
        </is>
      </c>
      <c r="B665" s="1" t="n">
        <v>44327</v>
      </c>
      <c r="C665" s="1" t="n">
        <v>45627</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22638-2021</t>
        </is>
      </c>
      <c r="B666" s="1" t="n">
        <v>44327</v>
      </c>
      <c r="C666" s="1" t="n">
        <v>45627</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23191-2021</t>
        </is>
      </c>
      <c r="B667" s="1" t="n">
        <v>44328</v>
      </c>
      <c r="C667" s="1" t="n">
        <v>45627</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23194-2021</t>
        </is>
      </c>
      <c r="B668" s="1" t="n">
        <v>44328</v>
      </c>
      <c r="C668" s="1" t="n">
        <v>45627</v>
      </c>
      <c r="D668" t="inlineStr">
        <is>
          <t>VÄRMLANDS LÄN</t>
        </is>
      </c>
      <c r="E668" t="inlineStr">
        <is>
          <t>TORSBY</t>
        </is>
      </c>
      <c r="G668" t="n">
        <v>4.3</v>
      </c>
      <c r="H668" t="n">
        <v>0</v>
      </c>
      <c r="I668" t="n">
        <v>0</v>
      </c>
      <c r="J668" t="n">
        <v>0</v>
      </c>
      <c r="K668" t="n">
        <v>0</v>
      </c>
      <c r="L668" t="n">
        <v>0</v>
      </c>
      <c r="M668" t="n">
        <v>0</v>
      </c>
      <c r="N668" t="n">
        <v>0</v>
      </c>
      <c r="O668" t="n">
        <v>0</v>
      </c>
      <c r="P668" t="n">
        <v>0</v>
      </c>
      <c r="Q668" t="n">
        <v>0</v>
      </c>
      <c r="R668" s="2" t="inlineStr"/>
    </row>
    <row r="669" ht="15" customHeight="1">
      <c r="A669" t="inlineStr">
        <is>
          <t>A 23435-2021</t>
        </is>
      </c>
      <c r="B669" s="1" t="n">
        <v>44333</v>
      </c>
      <c r="C669" s="1" t="n">
        <v>45627</v>
      </c>
      <c r="D669" t="inlineStr">
        <is>
          <t>VÄRMLANDS LÄN</t>
        </is>
      </c>
      <c r="E669" t="inlineStr">
        <is>
          <t>TORSBY</t>
        </is>
      </c>
      <c r="G669" t="n">
        <v>4.9</v>
      </c>
      <c r="H669" t="n">
        <v>0</v>
      </c>
      <c r="I669" t="n">
        <v>0</v>
      </c>
      <c r="J669" t="n">
        <v>0</v>
      </c>
      <c r="K669" t="n">
        <v>0</v>
      </c>
      <c r="L669" t="n">
        <v>0</v>
      </c>
      <c r="M669" t="n">
        <v>0</v>
      </c>
      <c r="N669" t="n">
        <v>0</v>
      </c>
      <c r="O669" t="n">
        <v>0</v>
      </c>
      <c r="P669" t="n">
        <v>0</v>
      </c>
      <c r="Q669" t="n">
        <v>0</v>
      </c>
      <c r="R669" s="2" t="inlineStr"/>
    </row>
    <row r="670" ht="15" customHeight="1">
      <c r="A670" t="inlineStr">
        <is>
          <t>A 23548-2021</t>
        </is>
      </c>
      <c r="B670" s="1" t="n">
        <v>44333</v>
      </c>
      <c r="C670" s="1" t="n">
        <v>45627</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23842-2021</t>
        </is>
      </c>
      <c r="B671" s="1" t="n">
        <v>44335</v>
      </c>
      <c r="C671" s="1" t="n">
        <v>45627</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23823-2021</t>
        </is>
      </c>
      <c r="B672" s="1" t="n">
        <v>44335</v>
      </c>
      <c r="C672" s="1" t="n">
        <v>45627</v>
      </c>
      <c r="D672" t="inlineStr">
        <is>
          <t>VÄRMLANDS LÄN</t>
        </is>
      </c>
      <c r="E672" t="inlineStr">
        <is>
          <t>TORSBY</t>
        </is>
      </c>
      <c r="G672" t="n">
        <v>3.1</v>
      </c>
      <c r="H672" t="n">
        <v>0</v>
      </c>
      <c r="I672" t="n">
        <v>0</v>
      </c>
      <c r="J672" t="n">
        <v>0</v>
      </c>
      <c r="K672" t="n">
        <v>0</v>
      </c>
      <c r="L672" t="n">
        <v>0</v>
      </c>
      <c r="M672" t="n">
        <v>0</v>
      </c>
      <c r="N672" t="n">
        <v>0</v>
      </c>
      <c r="O672" t="n">
        <v>0</v>
      </c>
      <c r="P672" t="n">
        <v>0</v>
      </c>
      <c r="Q672" t="n">
        <v>0</v>
      </c>
      <c r="R672" s="2" t="inlineStr"/>
    </row>
    <row r="673" ht="15" customHeight="1">
      <c r="A673" t="inlineStr">
        <is>
          <t>A 24054-2021</t>
        </is>
      </c>
      <c r="B673" s="1" t="n">
        <v>44336</v>
      </c>
      <c r="C673" s="1" t="n">
        <v>45627</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24150-2021</t>
        </is>
      </c>
      <c r="B674" s="1" t="n">
        <v>44336</v>
      </c>
      <c r="C674" s="1" t="n">
        <v>45627</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24165-2021</t>
        </is>
      </c>
      <c r="B675" s="1" t="n">
        <v>44336</v>
      </c>
      <c r="C675" s="1" t="n">
        <v>45627</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25096-2021</t>
        </is>
      </c>
      <c r="B676" s="1" t="n">
        <v>44341</v>
      </c>
      <c r="C676" s="1" t="n">
        <v>45627</v>
      </c>
      <c r="D676" t="inlineStr">
        <is>
          <t>VÄRMLANDS LÄN</t>
        </is>
      </c>
      <c r="E676" t="inlineStr">
        <is>
          <t>TORSBY</t>
        </is>
      </c>
      <c r="F676" t="inlineStr">
        <is>
          <t>Bergvik skog väst AB</t>
        </is>
      </c>
      <c r="G676" t="n">
        <v>14.7</v>
      </c>
      <c r="H676" t="n">
        <v>0</v>
      </c>
      <c r="I676" t="n">
        <v>0</v>
      </c>
      <c r="J676" t="n">
        <v>0</v>
      </c>
      <c r="K676" t="n">
        <v>0</v>
      </c>
      <c r="L676" t="n">
        <v>0</v>
      </c>
      <c r="M676" t="n">
        <v>0</v>
      </c>
      <c r="N676" t="n">
        <v>0</v>
      </c>
      <c r="O676" t="n">
        <v>0</v>
      </c>
      <c r="P676" t="n">
        <v>0</v>
      </c>
      <c r="Q676" t="n">
        <v>0</v>
      </c>
      <c r="R676" s="2" t="inlineStr"/>
    </row>
    <row r="677" ht="15" customHeight="1">
      <c r="A677" t="inlineStr">
        <is>
          <t>A 25247-2021</t>
        </is>
      </c>
      <c r="B677" s="1" t="n">
        <v>44342</v>
      </c>
      <c r="C677" s="1" t="n">
        <v>45627</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25920-2021</t>
        </is>
      </c>
      <c r="B678" s="1" t="n">
        <v>44344</v>
      </c>
      <c r="C678" s="1" t="n">
        <v>45627</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26082-2021</t>
        </is>
      </c>
      <c r="B679" s="1" t="n">
        <v>44344</v>
      </c>
      <c r="C679" s="1" t="n">
        <v>45627</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26223-2021</t>
        </is>
      </c>
      <c r="B680" s="1" t="n">
        <v>44347</v>
      </c>
      <c r="C680" s="1" t="n">
        <v>45627</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26558-2021</t>
        </is>
      </c>
      <c r="B681" s="1" t="n">
        <v>44348</v>
      </c>
      <c r="C681" s="1" t="n">
        <v>45627</v>
      </c>
      <c r="D681" t="inlineStr">
        <is>
          <t>VÄRMLANDS LÄN</t>
        </is>
      </c>
      <c r="E681" t="inlineStr">
        <is>
          <t>TORSBY</t>
        </is>
      </c>
      <c r="G681" t="n">
        <v>19.7</v>
      </c>
      <c r="H681" t="n">
        <v>0</v>
      </c>
      <c r="I681" t="n">
        <v>0</v>
      </c>
      <c r="J681" t="n">
        <v>0</v>
      </c>
      <c r="K681" t="n">
        <v>0</v>
      </c>
      <c r="L681" t="n">
        <v>0</v>
      </c>
      <c r="M681" t="n">
        <v>0</v>
      </c>
      <c r="N681" t="n">
        <v>0</v>
      </c>
      <c r="O681" t="n">
        <v>0</v>
      </c>
      <c r="P681" t="n">
        <v>0</v>
      </c>
      <c r="Q681" t="n">
        <v>0</v>
      </c>
      <c r="R681" s="2" t="inlineStr"/>
    </row>
    <row r="682" ht="15" customHeight="1">
      <c r="A682" t="inlineStr">
        <is>
          <t>A 27446-2021</t>
        </is>
      </c>
      <c r="B682" s="1" t="n">
        <v>44351</v>
      </c>
      <c r="C682" s="1" t="n">
        <v>45627</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27411-2021</t>
        </is>
      </c>
      <c r="B683" s="1" t="n">
        <v>44351</v>
      </c>
      <c r="C683" s="1" t="n">
        <v>45627</v>
      </c>
      <c r="D683" t="inlineStr">
        <is>
          <t>VÄRMLANDS LÄN</t>
        </is>
      </c>
      <c r="E683" t="inlineStr">
        <is>
          <t>TORSBY</t>
        </is>
      </c>
      <c r="G683" t="n">
        <v>2.5</v>
      </c>
      <c r="H683" t="n">
        <v>0</v>
      </c>
      <c r="I683" t="n">
        <v>0</v>
      </c>
      <c r="J683" t="n">
        <v>0</v>
      </c>
      <c r="K683" t="n">
        <v>0</v>
      </c>
      <c r="L683" t="n">
        <v>0</v>
      </c>
      <c r="M683" t="n">
        <v>0</v>
      </c>
      <c r="N683" t="n">
        <v>0</v>
      </c>
      <c r="O683" t="n">
        <v>0</v>
      </c>
      <c r="P683" t="n">
        <v>0</v>
      </c>
      <c r="Q683" t="n">
        <v>0</v>
      </c>
      <c r="R683" s="2" t="inlineStr"/>
    </row>
    <row r="684" ht="15" customHeight="1">
      <c r="A684" t="inlineStr">
        <is>
          <t>A 27362-2021</t>
        </is>
      </c>
      <c r="B684" s="1" t="n">
        <v>44351</v>
      </c>
      <c r="C684" s="1" t="n">
        <v>45627</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27932-2021</t>
        </is>
      </c>
      <c r="B685" s="1" t="n">
        <v>44354</v>
      </c>
      <c r="C685" s="1" t="n">
        <v>45627</v>
      </c>
      <c r="D685" t="inlineStr">
        <is>
          <t>VÄRMLANDS LÄN</t>
        </is>
      </c>
      <c r="E685" t="inlineStr">
        <is>
          <t>TORSBY</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28559-2021</t>
        </is>
      </c>
      <c r="B686" s="1" t="n">
        <v>44356</v>
      </c>
      <c r="C686" s="1" t="n">
        <v>45627</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28562-2021</t>
        </is>
      </c>
      <c r="B687" s="1" t="n">
        <v>44356</v>
      </c>
      <c r="C687" s="1" t="n">
        <v>45627</v>
      </c>
      <c r="D687" t="inlineStr">
        <is>
          <t>VÄRMLANDS LÄN</t>
        </is>
      </c>
      <c r="E687" t="inlineStr">
        <is>
          <t>TORSBY</t>
        </is>
      </c>
      <c r="G687" t="n">
        <v>4.4</v>
      </c>
      <c r="H687" t="n">
        <v>0</v>
      </c>
      <c r="I687" t="n">
        <v>0</v>
      </c>
      <c r="J687" t="n">
        <v>0</v>
      </c>
      <c r="K687" t="n">
        <v>0</v>
      </c>
      <c r="L687" t="n">
        <v>0</v>
      </c>
      <c r="M687" t="n">
        <v>0</v>
      </c>
      <c r="N687" t="n">
        <v>0</v>
      </c>
      <c r="O687" t="n">
        <v>0</v>
      </c>
      <c r="P687" t="n">
        <v>0</v>
      </c>
      <c r="Q687" t="n">
        <v>0</v>
      </c>
      <c r="R687" s="2" t="inlineStr"/>
    </row>
    <row r="688" ht="15" customHeight="1">
      <c r="A688" t="inlineStr">
        <is>
          <t>A 28940-2021</t>
        </is>
      </c>
      <c r="B688" s="1" t="n">
        <v>44358</v>
      </c>
      <c r="C688" s="1" t="n">
        <v>45627</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29495-2021</t>
        </is>
      </c>
      <c r="B689" s="1" t="n">
        <v>44361</v>
      </c>
      <c r="C689" s="1" t="n">
        <v>45627</v>
      </c>
      <c r="D689" t="inlineStr">
        <is>
          <t>VÄRMLANDS LÄN</t>
        </is>
      </c>
      <c r="E689" t="inlineStr">
        <is>
          <t>TORSBY</t>
        </is>
      </c>
      <c r="F689" t="inlineStr">
        <is>
          <t>Övriga Aktiebolag</t>
        </is>
      </c>
      <c r="G689" t="n">
        <v>38.2</v>
      </c>
      <c r="H689" t="n">
        <v>0</v>
      </c>
      <c r="I689" t="n">
        <v>0</v>
      </c>
      <c r="J689" t="n">
        <v>0</v>
      </c>
      <c r="K689" t="n">
        <v>0</v>
      </c>
      <c r="L689" t="n">
        <v>0</v>
      </c>
      <c r="M689" t="n">
        <v>0</v>
      </c>
      <c r="N689" t="n">
        <v>0</v>
      </c>
      <c r="O689" t="n">
        <v>0</v>
      </c>
      <c r="P689" t="n">
        <v>0</v>
      </c>
      <c r="Q689" t="n">
        <v>0</v>
      </c>
      <c r="R689" s="2" t="inlineStr"/>
    </row>
    <row r="690" ht="15" customHeight="1">
      <c r="A690" t="inlineStr">
        <is>
          <t>A 29457-2021</t>
        </is>
      </c>
      <c r="B690" s="1" t="n">
        <v>44361</v>
      </c>
      <c r="C690" s="1" t="n">
        <v>45627</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29518-2021</t>
        </is>
      </c>
      <c r="B691" s="1" t="n">
        <v>44361</v>
      </c>
      <c r="C691" s="1" t="n">
        <v>45627</v>
      </c>
      <c r="D691" t="inlineStr">
        <is>
          <t>VÄRMLANDS LÄN</t>
        </is>
      </c>
      <c r="E691" t="inlineStr">
        <is>
          <t>TORSBY</t>
        </is>
      </c>
      <c r="F691" t="inlineStr">
        <is>
          <t>Bergvik skog väst AB</t>
        </is>
      </c>
      <c r="G691" t="n">
        <v>16.7</v>
      </c>
      <c r="H691" t="n">
        <v>0</v>
      </c>
      <c r="I691" t="n">
        <v>0</v>
      </c>
      <c r="J691" t="n">
        <v>0</v>
      </c>
      <c r="K691" t="n">
        <v>0</v>
      </c>
      <c r="L691" t="n">
        <v>0</v>
      </c>
      <c r="M691" t="n">
        <v>0</v>
      </c>
      <c r="N691" t="n">
        <v>0</v>
      </c>
      <c r="O691" t="n">
        <v>0</v>
      </c>
      <c r="P691" t="n">
        <v>0</v>
      </c>
      <c r="Q691" t="n">
        <v>0</v>
      </c>
      <c r="R691" s="2" t="inlineStr"/>
    </row>
    <row r="692" ht="15" customHeight="1">
      <c r="A692" t="inlineStr">
        <is>
          <t>A 29746-2021</t>
        </is>
      </c>
      <c r="B692" s="1" t="n">
        <v>44362</v>
      </c>
      <c r="C692" s="1" t="n">
        <v>45627</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30162-2021</t>
        </is>
      </c>
      <c r="B693" s="1" t="n">
        <v>44363</v>
      </c>
      <c r="C693" s="1" t="n">
        <v>45627</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30384-2021</t>
        </is>
      </c>
      <c r="B694" s="1" t="n">
        <v>44364</v>
      </c>
      <c r="C694" s="1" t="n">
        <v>45627</v>
      </c>
      <c r="D694" t="inlineStr">
        <is>
          <t>VÄRMLANDS LÄN</t>
        </is>
      </c>
      <c r="E694" t="inlineStr">
        <is>
          <t>TORSBY</t>
        </is>
      </c>
      <c r="G694" t="n">
        <v>2.8</v>
      </c>
      <c r="H694" t="n">
        <v>0</v>
      </c>
      <c r="I694" t="n">
        <v>0</v>
      </c>
      <c r="J694" t="n">
        <v>0</v>
      </c>
      <c r="K694" t="n">
        <v>0</v>
      </c>
      <c r="L694" t="n">
        <v>0</v>
      </c>
      <c r="M694" t="n">
        <v>0</v>
      </c>
      <c r="N694" t="n">
        <v>0</v>
      </c>
      <c r="O694" t="n">
        <v>0</v>
      </c>
      <c r="P694" t="n">
        <v>0</v>
      </c>
      <c r="Q694" t="n">
        <v>0</v>
      </c>
      <c r="R694" s="2" t="inlineStr"/>
    </row>
    <row r="695" ht="15" customHeight="1">
      <c r="A695" t="inlineStr">
        <is>
          <t>A 30802-2021</t>
        </is>
      </c>
      <c r="B695" s="1" t="n">
        <v>44365</v>
      </c>
      <c r="C695" s="1" t="n">
        <v>45627</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31494-2021</t>
        </is>
      </c>
      <c r="B696" s="1" t="n">
        <v>44369</v>
      </c>
      <c r="C696" s="1" t="n">
        <v>45627</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31493-2021</t>
        </is>
      </c>
      <c r="B697" s="1" t="n">
        <v>44369</v>
      </c>
      <c r="C697" s="1" t="n">
        <v>45627</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31511-2021</t>
        </is>
      </c>
      <c r="B698" s="1" t="n">
        <v>44369</v>
      </c>
      <c r="C698" s="1" t="n">
        <v>45627</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31894-2021</t>
        </is>
      </c>
      <c r="B699" s="1" t="n">
        <v>44370</v>
      </c>
      <c r="C699" s="1" t="n">
        <v>45627</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31911-2021</t>
        </is>
      </c>
      <c r="B700" s="1" t="n">
        <v>44370</v>
      </c>
      <c r="C700" s="1" t="n">
        <v>45627</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32696-2021</t>
        </is>
      </c>
      <c r="B701" s="1" t="n">
        <v>44375</v>
      </c>
      <c r="C701" s="1" t="n">
        <v>45627</v>
      </c>
      <c r="D701" t="inlineStr">
        <is>
          <t>VÄRMLANDS LÄN</t>
        </is>
      </c>
      <c r="E701" t="inlineStr">
        <is>
          <t>TORSBY</t>
        </is>
      </c>
      <c r="F701" t="inlineStr">
        <is>
          <t>Bergvik skog väst AB</t>
        </is>
      </c>
      <c r="G701" t="n">
        <v>14.8</v>
      </c>
      <c r="H701" t="n">
        <v>0</v>
      </c>
      <c r="I701" t="n">
        <v>0</v>
      </c>
      <c r="J701" t="n">
        <v>0</v>
      </c>
      <c r="K701" t="n">
        <v>0</v>
      </c>
      <c r="L701" t="n">
        <v>0</v>
      </c>
      <c r="M701" t="n">
        <v>0</v>
      </c>
      <c r="N701" t="n">
        <v>0</v>
      </c>
      <c r="O701" t="n">
        <v>0</v>
      </c>
      <c r="P701" t="n">
        <v>0</v>
      </c>
      <c r="Q701" t="n">
        <v>0</v>
      </c>
      <c r="R701" s="2" t="inlineStr"/>
    </row>
    <row r="702" ht="15" customHeight="1">
      <c r="A702" t="inlineStr">
        <is>
          <t>A 32821-2021</t>
        </is>
      </c>
      <c r="B702" s="1" t="n">
        <v>44375</v>
      </c>
      <c r="C702" s="1" t="n">
        <v>45627</v>
      </c>
      <c r="D702" t="inlineStr">
        <is>
          <t>VÄRMLANDS LÄN</t>
        </is>
      </c>
      <c r="E702" t="inlineStr">
        <is>
          <t>TORSBY</t>
        </is>
      </c>
      <c r="G702" t="n">
        <v>3.9</v>
      </c>
      <c r="H702" t="n">
        <v>0</v>
      </c>
      <c r="I702" t="n">
        <v>0</v>
      </c>
      <c r="J702" t="n">
        <v>0</v>
      </c>
      <c r="K702" t="n">
        <v>0</v>
      </c>
      <c r="L702" t="n">
        <v>0</v>
      </c>
      <c r="M702" t="n">
        <v>0</v>
      </c>
      <c r="N702" t="n">
        <v>0</v>
      </c>
      <c r="O702" t="n">
        <v>0</v>
      </c>
      <c r="P702" t="n">
        <v>0</v>
      </c>
      <c r="Q702" t="n">
        <v>0</v>
      </c>
      <c r="R702" s="2" t="inlineStr"/>
    </row>
    <row r="703" ht="15" customHeight="1">
      <c r="A703" t="inlineStr">
        <is>
          <t>A 32747-2021</t>
        </is>
      </c>
      <c r="B703" s="1" t="n">
        <v>44375</v>
      </c>
      <c r="C703" s="1" t="n">
        <v>45627</v>
      </c>
      <c r="D703" t="inlineStr">
        <is>
          <t>VÄRMLANDS LÄN</t>
        </is>
      </c>
      <c r="E703" t="inlineStr">
        <is>
          <t>TORSBY</t>
        </is>
      </c>
      <c r="G703" t="n">
        <v>6.3</v>
      </c>
      <c r="H703" t="n">
        <v>0</v>
      </c>
      <c r="I703" t="n">
        <v>0</v>
      </c>
      <c r="J703" t="n">
        <v>0</v>
      </c>
      <c r="K703" t="n">
        <v>0</v>
      </c>
      <c r="L703" t="n">
        <v>0</v>
      </c>
      <c r="M703" t="n">
        <v>0</v>
      </c>
      <c r="N703" t="n">
        <v>0</v>
      </c>
      <c r="O703" t="n">
        <v>0</v>
      </c>
      <c r="P703" t="n">
        <v>0</v>
      </c>
      <c r="Q703" t="n">
        <v>0</v>
      </c>
      <c r="R703" s="2" t="inlineStr"/>
    </row>
    <row r="704" ht="15" customHeight="1">
      <c r="A704" t="inlineStr">
        <is>
          <t>A 33146-2021</t>
        </is>
      </c>
      <c r="B704" s="1" t="n">
        <v>44376</v>
      </c>
      <c r="C704" s="1" t="n">
        <v>45627</v>
      </c>
      <c r="D704" t="inlineStr">
        <is>
          <t>VÄRMLANDS LÄN</t>
        </is>
      </c>
      <c r="E704" t="inlineStr">
        <is>
          <t>TORSBY</t>
        </is>
      </c>
      <c r="F704" t="inlineStr">
        <is>
          <t>Bergvik skog väst AB</t>
        </is>
      </c>
      <c r="G704" t="n">
        <v>44.5</v>
      </c>
      <c r="H704" t="n">
        <v>0</v>
      </c>
      <c r="I704" t="n">
        <v>0</v>
      </c>
      <c r="J704" t="n">
        <v>0</v>
      </c>
      <c r="K704" t="n">
        <v>0</v>
      </c>
      <c r="L704" t="n">
        <v>0</v>
      </c>
      <c r="M704" t="n">
        <v>0</v>
      </c>
      <c r="N704" t="n">
        <v>0</v>
      </c>
      <c r="O704" t="n">
        <v>0</v>
      </c>
      <c r="P704" t="n">
        <v>0</v>
      </c>
      <c r="Q704" t="n">
        <v>0</v>
      </c>
      <c r="R704" s="2" t="inlineStr"/>
    </row>
    <row r="705" ht="15" customHeight="1">
      <c r="A705" t="inlineStr">
        <is>
          <t>A 33182-2021</t>
        </is>
      </c>
      <c r="B705" s="1" t="n">
        <v>44376</v>
      </c>
      <c r="C705" s="1" t="n">
        <v>45627</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33145-2021</t>
        </is>
      </c>
      <c r="B706" s="1" t="n">
        <v>44376</v>
      </c>
      <c r="C706" s="1" t="n">
        <v>45627</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33149-2021</t>
        </is>
      </c>
      <c r="B707" s="1" t="n">
        <v>44376</v>
      </c>
      <c r="C707" s="1" t="n">
        <v>45627</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33183-2021</t>
        </is>
      </c>
      <c r="B708" s="1" t="n">
        <v>44376</v>
      </c>
      <c r="C708" s="1" t="n">
        <v>45627</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33517-2021</t>
        </is>
      </c>
      <c r="B709" s="1" t="n">
        <v>44377</v>
      </c>
      <c r="C709" s="1" t="n">
        <v>45627</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33515-2021</t>
        </is>
      </c>
      <c r="B710" s="1" t="n">
        <v>44377</v>
      </c>
      <c r="C710" s="1" t="n">
        <v>45627</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33839-2021</t>
        </is>
      </c>
      <c r="B711" s="1" t="n">
        <v>44378</v>
      </c>
      <c r="C711" s="1" t="n">
        <v>45627</v>
      </c>
      <c r="D711" t="inlineStr">
        <is>
          <t>VÄRMLANDS LÄN</t>
        </is>
      </c>
      <c r="E711" t="inlineStr">
        <is>
          <t>TORSBY</t>
        </is>
      </c>
      <c r="F711" t="inlineStr">
        <is>
          <t>Bergvik skog väst AB</t>
        </is>
      </c>
      <c r="G711" t="n">
        <v>2.5</v>
      </c>
      <c r="H711" t="n">
        <v>0</v>
      </c>
      <c r="I711" t="n">
        <v>0</v>
      </c>
      <c r="J711" t="n">
        <v>0</v>
      </c>
      <c r="K711" t="n">
        <v>0</v>
      </c>
      <c r="L711" t="n">
        <v>0</v>
      </c>
      <c r="M711" t="n">
        <v>0</v>
      </c>
      <c r="N711" t="n">
        <v>0</v>
      </c>
      <c r="O711" t="n">
        <v>0</v>
      </c>
      <c r="P711" t="n">
        <v>0</v>
      </c>
      <c r="Q711" t="n">
        <v>0</v>
      </c>
      <c r="R711" s="2" t="inlineStr"/>
    </row>
    <row r="712" ht="15" customHeight="1">
      <c r="A712" t="inlineStr">
        <is>
          <t>A 33853-2021</t>
        </is>
      </c>
      <c r="B712" s="1" t="n">
        <v>44378</v>
      </c>
      <c r="C712" s="1" t="n">
        <v>45627</v>
      </c>
      <c r="D712" t="inlineStr">
        <is>
          <t>VÄRMLANDS LÄN</t>
        </is>
      </c>
      <c r="E712" t="inlineStr">
        <is>
          <t>TORSBY</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33937-2021</t>
        </is>
      </c>
      <c r="B713" s="1" t="n">
        <v>44378</v>
      </c>
      <c r="C713" s="1" t="n">
        <v>45627</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34626-2021</t>
        </is>
      </c>
      <c r="B714" s="1" t="n">
        <v>44382</v>
      </c>
      <c r="C714" s="1" t="n">
        <v>45627</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34694-2021</t>
        </is>
      </c>
      <c r="B715" s="1" t="n">
        <v>44382</v>
      </c>
      <c r="C715" s="1" t="n">
        <v>45627</v>
      </c>
      <c r="D715" t="inlineStr">
        <is>
          <t>VÄRMLANDS LÄN</t>
        </is>
      </c>
      <c r="E715" t="inlineStr">
        <is>
          <t>TORSBY</t>
        </is>
      </c>
      <c r="G715" t="n">
        <v>0.8</v>
      </c>
      <c r="H715" t="n">
        <v>0</v>
      </c>
      <c r="I715" t="n">
        <v>0</v>
      </c>
      <c r="J715" t="n">
        <v>0</v>
      </c>
      <c r="K715" t="n">
        <v>0</v>
      </c>
      <c r="L715" t="n">
        <v>0</v>
      </c>
      <c r="M715" t="n">
        <v>0</v>
      </c>
      <c r="N715" t="n">
        <v>0</v>
      </c>
      <c r="O715" t="n">
        <v>0</v>
      </c>
      <c r="P715" t="n">
        <v>0</v>
      </c>
      <c r="Q715" t="n">
        <v>0</v>
      </c>
      <c r="R715" s="2" t="inlineStr"/>
    </row>
    <row r="716" ht="15" customHeight="1">
      <c r="A716" t="inlineStr">
        <is>
          <t>A 34885-2021</t>
        </is>
      </c>
      <c r="B716" s="1" t="n">
        <v>44383</v>
      </c>
      <c r="C716" s="1" t="n">
        <v>45627</v>
      </c>
      <c r="D716" t="inlineStr">
        <is>
          <t>VÄRMLANDS LÄN</t>
        </is>
      </c>
      <c r="E716" t="inlineStr">
        <is>
          <t>TORSBY</t>
        </is>
      </c>
      <c r="G716" t="n">
        <v>8.9</v>
      </c>
      <c r="H716" t="n">
        <v>0</v>
      </c>
      <c r="I716" t="n">
        <v>0</v>
      </c>
      <c r="J716" t="n">
        <v>0</v>
      </c>
      <c r="K716" t="n">
        <v>0</v>
      </c>
      <c r="L716" t="n">
        <v>0</v>
      </c>
      <c r="M716" t="n">
        <v>0</v>
      </c>
      <c r="N716" t="n">
        <v>0</v>
      </c>
      <c r="O716" t="n">
        <v>0</v>
      </c>
      <c r="P716" t="n">
        <v>0</v>
      </c>
      <c r="Q716" t="n">
        <v>0</v>
      </c>
      <c r="R716" s="2" t="inlineStr"/>
    </row>
    <row r="717" ht="15" customHeight="1">
      <c r="A717" t="inlineStr">
        <is>
          <t>A 35221-2021</t>
        </is>
      </c>
      <c r="B717" s="1" t="n">
        <v>44384</v>
      </c>
      <c r="C717" s="1" t="n">
        <v>45627</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35586-2021</t>
        </is>
      </c>
      <c r="B718" s="1" t="n">
        <v>44386</v>
      </c>
      <c r="C718" s="1" t="n">
        <v>45627</v>
      </c>
      <c r="D718" t="inlineStr">
        <is>
          <t>VÄRMLANDS LÄN</t>
        </is>
      </c>
      <c r="E718" t="inlineStr">
        <is>
          <t>TORSBY</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35907-2021</t>
        </is>
      </c>
      <c r="B719" s="1" t="n">
        <v>44387</v>
      </c>
      <c r="C719" s="1" t="n">
        <v>45627</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35909-2021</t>
        </is>
      </c>
      <c r="B720" s="1" t="n">
        <v>44387</v>
      </c>
      <c r="C720" s="1" t="n">
        <v>45627</v>
      </c>
      <c r="D720" t="inlineStr">
        <is>
          <t>VÄRMLANDS LÄN</t>
        </is>
      </c>
      <c r="E720" t="inlineStr">
        <is>
          <t>TORSBY</t>
        </is>
      </c>
      <c r="G720" t="n">
        <v>3.3</v>
      </c>
      <c r="H720" t="n">
        <v>0</v>
      </c>
      <c r="I720" t="n">
        <v>0</v>
      </c>
      <c r="J720" t="n">
        <v>0</v>
      </c>
      <c r="K720" t="n">
        <v>0</v>
      </c>
      <c r="L720" t="n">
        <v>0</v>
      </c>
      <c r="M720" t="n">
        <v>0</v>
      </c>
      <c r="N720" t="n">
        <v>0</v>
      </c>
      <c r="O720" t="n">
        <v>0</v>
      </c>
      <c r="P720" t="n">
        <v>0</v>
      </c>
      <c r="Q720" t="n">
        <v>0</v>
      </c>
      <c r="R720" s="2" t="inlineStr"/>
    </row>
    <row r="721" ht="15" customHeight="1">
      <c r="A721" t="inlineStr">
        <is>
          <t>A 36189-2021</t>
        </is>
      </c>
      <c r="B721" s="1" t="n">
        <v>44389</v>
      </c>
      <c r="C721" s="1" t="n">
        <v>45627</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36186-2021</t>
        </is>
      </c>
      <c r="B722" s="1" t="n">
        <v>44389</v>
      </c>
      <c r="C722" s="1" t="n">
        <v>45627</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36327-2021</t>
        </is>
      </c>
      <c r="B723" s="1" t="n">
        <v>44390</v>
      </c>
      <c r="C723" s="1" t="n">
        <v>45627</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36589-2021</t>
        </is>
      </c>
      <c r="B724" s="1" t="n">
        <v>44391</v>
      </c>
      <c r="C724" s="1" t="n">
        <v>45627</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36700-2021</t>
        </is>
      </c>
      <c r="B725" s="1" t="n">
        <v>44392</v>
      </c>
      <c r="C725" s="1" t="n">
        <v>45627</v>
      </c>
      <c r="D725" t="inlineStr">
        <is>
          <t>VÄRMLANDS LÄN</t>
        </is>
      </c>
      <c r="E725" t="inlineStr">
        <is>
          <t>TORSBY</t>
        </is>
      </c>
      <c r="F725" t="inlineStr">
        <is>
          <t>Bergvik skog väst AB</t>
        </is>
      </c>
      <c r="G725" t="n">
        <v>9.9</v>
      </c>
      <c r="H725" t="n">
        <v>0</v>
      </c>
      <c r="I725" t="n">
        <v>0</v>
      </c>
      <c r="J725" t="n">
        <v>0</v>
      </c>
      <c r="K725" t="n">
        <v>0</v>
      </c>
      <c r="L725" t="n">
        <v>0</v>
      </c>
      <c r="M725" t="n">
        <v>0</v>
      </c>
      <c r="N725" t="n">
        <v>0</v>
      </c>
      <c r="O725" t="n">
        <v>0</v>
      </c>
      <c r="P725" t="n">
        <v>0</v>
      </c>
      <c r="Q725" t="n">
        <v>0</v>
      </c>
      <c r="R725" s="2" t="inlineStr"/>
    </row>
    <row r="726" ht="15" customHeight="1">
      <c r="A726" t="inlineStr">
        <is>
          <t>A 37074-2021</t>
        </is>
      </c>
      <c r="B726" s="1" t="n">
        <v>44394</v>
      </c>
      <c r="C726" s="1" t="n">
        <v>45627</v>
      </c>
      <c r="D726" t="inlineStr">
        <is>
          <t>VÄRMLANDS LÄN</t>
        </is>
      </c>
      <c r="E726" t="inlineStr">
        <is>
          <t>TORSBY</t>
        </is>
      </c>
      <c r="G726" t="n">
        <v>1.8</v>
      </c>
      <c r="H726" t="n">
        <v>0</v>
      </c>
      <c r="I726" t="n">
        <v>0</v>
      </c>
      <c r="J726" t="n">
        <v>0</v>
      </c>
      <c r="K726" t="n">
        <v>0</v>
      </c>
      <c r="L726" t="n">
        <v>0</v>
      </c>
      <c r="M726" t="n">
        <v>0</v>
      </c>
      <c r="N726" t="n">
        <v>0</v>
      </c>
      <c r="O726" t="n">
        <v>0</v>
      </c>
      <c r="P726" t="n">
        <v>0</v>
      </c>
      <c r="Q726" t="n">
        <v>0</v>
      </c>
      <c r="R726" s="2" t="inlineStr"/>
    </row>
    <row r="727" ht="15" customHeight="1">
      <c r="A727" t="inlineStr">
        <is>
          <t>A 37075-2021</t>
        </is>
      </c>
      <c r="B727" s="1" t="n">
        <v>44394</v>
      </c>
      <c r="C727" s="1" t="n">
        <v>45627</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37225-2021</t>
        </is>
      </c>
      <c r="B728" s="1" t="n">
        <v>44396</v>
      </c>
      <c r="C728" s="1" t="n">
        <v>45627</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37609-2021</t>
        </is>
      </c>
      <c r="B729" s="1" t="n">
        <v>44399</v>
      </c>
      <c r="C729" s="1" t="n">
        <v>45627</v>
      </c>
      <c r="D729" t="inlineStr">
        <is>
          <t>VÄRMLANDS LÄN</t>
        </is>
      </c>
      <c r="E729" t="inlineStr">
        <is>
          <t>TORSBY</t>
        </is>
      </c>
      <c r="G729" t="n">
        <v>0.2</v>
      </c>
      <c r="H729" t="n">
        <v>0</v>
      </c>
      <c r="I729" t="n">
        <v>0</v>
      </c>
      <c r="J729" t="n">
        <v>0</v>
      </c>
      <c r="K729" t="n">
        <v>0</v>
      </c>
      <c r="L729" t="n">
        <v>0</v>
      </c>
      <c r="M729" t="n">
        <v>0</v>
      </c>
      <c r="N729" t="n">
        <v>0</v>
      </c>
      <c r="O729" t="n">
        <v>0</v>
      </c>
      <c r="P729" t="n">
        <v>0</v>
      </c>
      <c r="Q729" t="n">
        <v>0</v>
      </c>
      <c r="R729" s="2" t="inlineStr"/>
    </row>
    <row r="730" ht="15" customHeight="1">
      <c r="A730" t="inlineStr">
        <is>
          <t>A 37608-2021</t>
        </is>
      </c>
      <c r="B730" s="1" t="n">
        <v>44399</v>
      </c>
      <c r="C730" s="1" t="n">
        <v>45627</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38467-2021</t>
        </is>
      </c>
      <c r="B731" s="1" t="n">
        <v>44405</v>
      </c>
      <c r="C731" s="1" t="n">
        <v>45627</v>
      </c>
      <c r="D731" t="inlineStr">
        <is>
          <t>VÄRMLANDS LÄN</t>
        </is>
      </c>
      <c r="E731" t="inlineStr">
        <is>
          <t>TORSBY</t>
        </is>
      </c>
      <c r="G731" t="n">
        <v>2.8</v>
      </c>
      <c r="H731" t="n">
        <v>0</v>
      </c>
      <c r="I731" t="n">
        <v>0</v>
      </c>
      <c r="J731" t="n">
        <v>0</v>
      </c>
      <c r="K731" t="n">
        <v>0</v>
      </c>
      <c r="L731" t="n">
        <v>0</v>
      </c>
      <c r="M731" t="n">
        <v>0</v>
      </c>
      <c r="N731" t="n">
        <v>0</v>
      </c>
      <c r="O731" t="n">
        <v>0</v>
      </c>
      <c r="P731" t="n">
        <v>0</v>
      </c>
      <c r="Q731" t="n">
        <v>0</v>
      </c>
      <c r="R731" s="2" t="inlineStr"/>
    </row>
    <row r="732" ht="15" customHeight="1">
      <c r="A732" t="inlineStr">
        <is>
          <t>A 38229-2021</t>
        </is>
      </c>
      <c r="B732" s="1" t="n">
        <v>44405</v>
      </c>
      <c r="C732" s="1" t="n">
        <v>45627</v>
      </c>
      <c r="D732" t="inlineStr">
        <is>
          <t>VÄRMLANDS LÄN</t>
        </is>
      </c>
      <c r="E732" t="inlineStr">
        <is>
          <t>TORSBY</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38298-2021</t>
        </is>
      </c>
      <c r="B733" s="1" t="n">
        <v>44406</v>
      </c>
      <c r="C733" s="1" t="n">
        <v>45627</v>
      </c>
      <c r="D733" t="inlineStr">
        <is>
          <t>VÄRMLANDS LÄN</t>
        </is>
      </c>
      <c r="E733" t="inlineStr">
        <is>
          <t>TORSBY</t>
        </is>
      </c>
      <c r="G733" t="n">
        <v>3.3</v>
      </c>
      <c r="H733" t="n">
        <v>0</v>
      </c>
      <c r="I733" t="n">
        <v>0</v>
      </c>
      <c r="J733" t="n">
        <v>0</v>
      </c>
      <c r="K733" t="n">
        <v>0</v>
      </c>
      <c r="L733" t="n">
        <v>0</v>
      </c>
      <c r="M733" t="n">
        <v>0</v>
      </c>
      <c r="N733" t="n">
        <v>0</v>
      </c>
      <c r="O733" t="n">
        <v>0</v>
      </c>
      <c r="P733" t="n">
        <v>0</v>
      </c>
      <c r="Q733" t="n">
        <v>0</v>
      </c>
      <c r="R733" s="2" t="inlineStr"/>
    </row>
    <row r="734" ht="15" customHeight="1">
      <c r="A734" t="inlineStr">
        <is>
          <t>A 38564-2021</t>
        </is>
      </c>
      <c r="B734" s="1" t="n">
        <v>44407</v>
      </c>
      <c r="C734" s="1" t="n">
        <v>45627</v>
      </c>
      <c r="D734" t="inlineStr">
        <is>
          <t>VÄRMLANDS LÄN</t>
        </is>
      </c>
      <c r="E734" t="inlineStr">
        <is>
          <t>TORSBY</t>
        </is>
      </c>
      <c r="F734" t="inlineStr">
        <is>
          <t>Bergvik skog väst AB</t>
        </is>
      </c>
      <c r="G734" t="n">
        <v>15.7</v>
      </c>
      <c r="H734" t="n">
        <v>0</v>
      </c>
      <c r="I734" t="n">
        <v>0</v>
      </c>
      <c r="J734" t="n">
        <v>0</v>
      </c>
      <c r="K734" t="n">
        <v>0</v>
      </c>
      <c r="L734" t="n">
        <v>0</v>
      </c>
      <c r="M734" t="n">
        <v>0</v>
      </c>
      <c r="N734" t="n">
        <v>0</v>
      </c>
      <c r="O734" t="n">
        <v>0</v>
      </c>
      <c r="P734" t="n">
        <v>0</v>
      </c>
      <c r="Q734" t="n">
        <v>0</v>
      </c>
      <c r="R734" s="2" t="inlineStr"/>
    </row>
    <row r="735" ht="15" customHeight="1">
      <c r="A735" t="inlineStr">
        <is>
          <t>A 38528-2021</t>
        </is>
      </c>
      <c r="B735" s="1" t="n">
        <v>44407</v>
      </c>
      <c r="C735" s="1" t="n">
        <v>45627</v>
      </c>
      <c r="D735" t="inlineStr">
        <is>
          <t>VÄRMLANDS LÄN</t>
        </is>
      </c>
      <c r="E735" t="inlineStr">
        <is>
          <t>TORSBY</t>
        </is>
      </c>
      <c r="F735" t="inlineStr">
        <is>
          <t>Bergvik skog väst AB</t>
        </is>
      </c>
      <c r="G735" t="n">
        <v>12.5</v>
      </c>
      <c r="H735" t="n">
        <v>0</v>
      </c>
      <c r="I735" t="n">
        <v>0</v>
      </c>
      <c r="J735" t="n">
        <v>0</v>
      </c>
      <c r="K735" t="n">
        <v>0</v>
      </c>
      <c r="L735" t="n">
        <v>0</v>
      </c>
      <c r="M735" t="n">
        <v>0</v>
      </c>
      <c r="N735" t="n">
        <v>0</v>
      </c>
      <c r="O735" t="n">
        <v>0</v>
      </c>
      <c r="P735" t="n">
        <v>0</v>
      </c>
      <c r="Q735" t="n">
        <v>0</v>
      </c>
      <c r="R735" s="2" t="inlineStr"/>
    </row>
    <row r="736" ht="15" customHeight="1">
      <c r="A736" t="inlineStr">
        <is>
          <t>A 38767-2021</t>
        </is>
      </c>
      <c r="B736" s="1" t="n">
        <v>44410</v>
      </c>
      <c r="C736" s="1" t="n">
        <v>45627</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38841-2021</t>
        </is>
      </c>
      <c r="B737" s="1" t="n">
        <v>44411</v>
      </c>
      <c r="C737" s="1" t="n">
        <v>45627</v>
      </c>
      <c r="D737" t="inlineStr">
        <is>
          <t>VÄRMLANDS LÄN</t>
        </is>
      </c>
      <c r="E737" t="inlineStr">
        <is>
          <t>TORSBY</t>
        </is>
      </c>
      <c r="F737" t="inlineStr">
        <is>
          <t>Bergvik skog väst AB</t>
        </is>
      </c>
      <c r="G737" t="n">
        <v>13.8</v>
      </c>
      <c r="H737" t="n">
        <v>0</v>
      </c>
      <c r="I737" t="n">
        <v>0</v>
      </c>
      <c r="J737" t="n">
        <v>0</v>
      </c>
      <c r="K737" t="n">
        <v>0</v>
      </c>
      <c r="L737" t="n">
        <v>0</v>
      </c>
      <c r="M737" t="n">
        <v>0</v>
      </c>
      <c r="N737" t="n">
        <v>0</v>
      </c>
      <c r="O737" t="n">
        <v>0</v>
      </c>
      <c r="P737" t="n">
        <v>0</v>
      </c>
      <c r="Q737" t="n">
        <v>0</v>
      </c>
      <c r="R737" s="2" t="inlineStr"/>
    </row>
    <row r="738" ht="15" customHeight="1">
      <c r="A738" t="inlineStr">
        <is>
          <t>A 39003-2021</t>
        </is>
      </c>
      <c r="B738" s="1" t="n">
        <v>44412</v>
      </c>
      <c r="C738" s="1" t="n">
        <v>45627</v>
      </c>
      <c r="D738" t="inlineStr">
        <is>
          <t>VÄRMLANDS LÄN</t>
        </is>
      </c>
      <c r="E738" t="inlineStr">
        <is>
          <t>TORSBY</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39260-2021</t>
        </is>
      </c>
      <c r="B739" s="1" t="n">
        <v>44413</v>
      </c>
      <c r="C739" s="1" t="n">
        <v>45627</v>
      </c>
      <c r="D739" t="inlineStr">
        <is>
          <t>VÄRMLANDS LÄN</t>
        </is>
      </c>
      <c r="E739" t="inlineStr">
        <is>
          <t>TORSBY</t>
        </is>
      </c>
      <c r="G739" t="n">
        <v>4.7</v>
      </c>
      <c r="H739" t="n">
        <v>0</v>
      </c>
      <c r="I739" t="n">
        <v>0</v>
      </c>
      <c r="J739" t="n">
        <v>0</v>
      </c>
      <c r="K739" t="n">
        <v>0</v>
      </c>
      <c r="L739" t="n">
        <v>0</v>
      </c>
      <c r="M739" t="n">
        <v>0</v>
      </c>
      <c r="N739" t="n">
        <v>0</v>
      </c>
      <c r="O739" t="n">
        <v>0</v>
      </c>
      <c r="P739" t="n">
        <v>0</v>
      </c>
      <c r="Q739" t="n">
        <v>0</v>
      </c>
      <c r="R739" s="2" t="inlineStr"/>
    </row>
    <row r="740" ht="15" customHeight="1">
      <c r="A740" t="inlineStr">
        <is>
          <t>A 39642-2021</t>
        </is>
      </c>
      <c r="B740" s="1" t="n">
        <v>44417</v>
      </c>
      <c r="C740" s="1" t="n">
        <v>45627</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39826-2021</t>
        </is>
      </c>
      <c r="B741" s="1" t="n">
        <v>44417</v>
      </c>
      <c r="C741" s="1" t="n">
        <v>45627</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39967-2021</t>
        </is>
      </c>
      <c r="B742" s="1" t="n">
        <v>44418</v>
      </c>
      <c r="C742" s="1" t="n">
        <v>45627</v>
      </c>
      <c r="D742" t="inlineStr">
        <is>
          <t>VÄRMLANDS LÄN</t>
        </is>
      </c>
      <c r="E742" t="inlineStr">
        <is>
          <t>TORSBY</t>
        </is>
      </c>
      <c r="F742" t="inlineStr">
        <is>
          <t>Bergvik skog väst AB</t>
        </is>
      </c>
      <c r="G742" t="n">
        <v>11.8</v>
      </c>
      <c r="H742" t="n">
        <v>0</v>
      </c>
      <c r="I742" t="n">
        <v>0</v>
      </c>
      <c r="J742" t="n">
        <v>0</v>
      </c>
      <c r="K742" t="n">
        <v>0</v>
      </c>
      <c r="L742" t="n">
        <v>0</v>
      </c>
      <c r="M742" t="n">
        <v>0</v>
      </c>
      <c r="N742" t="n">
        <v>0</v>
      </c>
      <c r="O742" t="n">
        <v>0</v>
      </c>
      <c r="P742" t="n">
        <v>0</v>
      </c>
      <c r="Q742" t="n">
        <v>0</v>
      </c>
      <c r="R742" s="2" t="inlineStr"/>
    </row>
    <row r="743" ht="15" customHeight="1">
      <c r="A743" t="inlineStr">
        <is>
          <t>A 40281-2021</t>
        </is>
      </c>
      <c r="B743" s="1" t="n">
        <v>44419</v>
      </c>
      <c r="C743" s="1" t="n">
        <v>45627</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40276-2021</t>
        </is>
      </c>
      <c r="B744" s="1" t="n">
        <v>44419</v>
      </c>
      <c r="C744" s="1" t="n">
        <v>45627</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40278-2021</t>
        </is>
      </c>
      <c r="B745" s="1" t="n">
        <v>44419</v>
      </c>
      <c r="C745" s="1" t="n">
        <v>45627</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40282-2021</t>
        </is>
      </c>
      <c r="B746" s="1" t="n">
        <v>44419</v>
      </c>
      <c r="C746" s="1" t="n">
        <v>45627</v>
      </c>
      <c r="D746" t="inlineStr">
        <is>
          <t>VÄRMLANDS LÄN</t>
        </is>
      </c>
      <c r="E746" t="inlineStr">
        <is>
          <t>TORSBY</t>
        </is>
      </c>
      <c r="G746" t="n">
        <v>3.1</v>
      </c>
      <c r="H746" t="n">
        <v>0</v>
      </c>
      <c r="I746" t="n">
        <v>0</v>
      </c>
      <c r="J746" t="n">
        <v>0</v>
      </c>
      <c r="K746" t="n">
        <v>0</v>
      </c>
      <c r="L746" t="n">
        <v>0</v>
      </c>
      <c r="M746" t="n">
        <v>0</v>
      </c>
      <c r="N746" t="n">
        <v>0</v>
      </c>
      <c r="O746" t="n">
        <v>0</v>
      </c>
      <c r="P746" t="n">
        <v>0</v>
      </c>
      <c r="Q746" t="n">
        <v>0</v>
      </c>
      <c r="R746" s="2" t="inlineStr"/>
    </row>
    <row r="747" ht="15" customHeight="1">
      <c r="A747" t="inlineStr">
        <is>
          <t>A 40590-2021</t>
        </is>
      </c>
      <c r="B747" s="1" t="n">
        <v>44420</v>
      </c>
      <c r="C747" s="1" t="n">
        <v>45627</v>
      </c>
      <c r="D747" t="inlineStr">
        <is>
          <t>VÄRMLANDS LÄN</t>
        </is>
      </c>
      <c r="E747" t="inlineStr">
        <is>
          <t>TORSBY</t>
        </is>
      </c>
      <c r="G747" t="n">
        <v>0.9</v>
      </c>
      <c r="H747" t="n">
        <v>0</v>
      </c>
      <c r="I747" t="n">
        <v>0</v>
      </c>
      <c r="J747" t="n">
        <v>0</v>
      </c>
      <c r="K747" t="n">
        <v>0</v>
      </c>
      <c r="L747" t="n">
        <v>0</v>
      </c>
      <c r="M747" t="n">
        <v>0</v>
      </c>
      <c r="N747" t="n">
        <v>0</v>
      </c>
      <c r="O747" t="n">
        <v>0</v>
      </c>
      <c r="P747" t="n">
        <v>0</v>
      </c>
      <c r="Q747" t="n">
        <v>0</v>
      </c>
      <c r="R747" s="2" t="inlineStr"/>
    </row>
    <row r="748" ht="15" customHeight="1">
      <c r="A748" t="inlineStr">
        <is>
          <t>A 40876-2021</t>
        </is>
      </c>
      <c r="B748" s="1" t="n">
        <v>44421</v>
      </c>
      <c r="C748" s="1" t="n">
        <v>45627</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41253-2021</t>
        </is>
      </c>
      <c r="B749" s="1" t="n">
        <v>44424</v>
      </c>
      <c r="C749" s="1" t="n">
        <v>45627</v>
      </c>
      <c r="D749" t="inlineStr">
        <is>
          <t>VÄRMLANDS LÄN</t>
        </is>
      </c>
      <c r="E749" t="inlineStr">
        <is>
          <t>TORSBY</t>
        </is>
      </c>
      <c r="G749" t="n">
        <v>2</v>
      </c>
      <c r="H749" t="n">
        <v>0</v>
      </c>
      <c r="I749" t="n">
        <v>0</v>
      </c>
      <c r="J749" t="n">
        <v>0</v>
      </c>
      <c r="K749" t="n">
        <v>0</v>
      </c>
      <c r="L749" t="n">
        <v>0</v>
      </c>
      <c r="M749" t="n">
        <v>0</v>
      </c>
      <c r="N749" t="n">
        <v>0</v>
      </c>
      <c r="O749" t="n">
        <v>0</v>
      </c>
      <c r="P749" t="n">
        <v>0</v>
      </c>
      <c r="Q749" t="n">
        <v>0</v>
      </c>
      <c r="R749" s="2" t="inlineStr"/>
    </row>
    <row r="750" ht="15" customHeight="1">
      <c r="A750" t="inlineStr">
        <is>
          <t>A 41377-2021</t>
        </is>
      </c>
      <c r="B750" s="1" t="n">
        <v>44424</v>
      </c>
      <c r="C750" s="1" t="n">
        <v>45627</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41633-2021</t>
        </is>
      </c>
      <c r="B751" s="1" t="n">
        <v>44425</v>
      </c>
      <c r="C751" s="1" t="n">
        <v>45627</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41671-2021</t>
        </is>
      </c>
      <c r="B752" s="1" t="n">
        <v>44425</v>
      </c>
      <c r="C752" s="1" t="n">
        <v>45627</v>
      </c>
      <c r="D752" t="inlineStr">
        <is>
          <t>VÄRMLANDS LÄN</t>
        </is>
      </c>
      <c r="E752" t="inlineStr">
        <is>
          <t>TORSBY</t>
        </is>
      </c>
      <c r="F752" t="inlineStr">
        <is>
          <t>Övriga Aktiebolag</t>
        </is>
      </c>
      <c r="G752" t="n">
        <v>10.1</v>
      </c>
      <c r="H752" t="n">
        <v>0</v>
      </c>
      <c r="I752" t="n">
        <v>0</v>
      </c>
      <c r="J752" t="n">
        <v>0</v>
      </c>
      <c r="K752" t="n">
        <v>0</v>
      </c>
      <c r="L752" t="n">
        <v>0</v>
      </c>
      <c r="M752" t="n">
        <v>0</v>
      </c>
      <c r="N752" t="n">
        <v>0</v>
      </c>
      <c r="O752" t="n">
        <v>0</v>
      </c>
      <c r="P752" t="n">
        <v>0</v>
      </c>
      <c r="Q752" t="n">
        <v>0</v>
      </c>
      <c r="R752" s="2" t="inlineStr"/>
    </row>
    <row r="753" ht="15" customHeight="1">
      <c r="A753" t="inlineStr">
        <is>
          <t>A 41678-2021</t>
        </is>
      </c>
      <c r="B753" s="1" t="n">
        <v>44425</v>
      </c>
      <c r="C753" s="1" t="n">
        <v>45627</v>
      </c>
      <c r="D753" t="inlineStr">
        <is>
          <t>VÄRMLANDS LÄN</t>
        </is>
      </c>
      <c r="E753" t="inlineStr">
        <is>
          <t>TORSBY</t>
        </is>
      </c>
      <c r="G753" t="n">
        <v>4.3</v>
      </c>
      <c r="H753" t="n">
        <v>0</v>
      </c>
      <c r="I753" t="n">
        <v>0</v>
      </c>
      <c r="J753" t="n">
        <v>0</v>
      </c>
      <c r="K753" t="n">
        <v>0</v>
      </c>
      <c r="L753" t="n">
        <v>0</v>
      </c>
      <c r="M753" t="n">
        <v>0</v>
      </c>
      <c r="N753" t="n">
        <v>0</v>
      </c>
      <c r="O753" t="n">
        <v>0</v>
      </c>
      <c r="P753" t="n">
        <v>0</v>
      </c>
      <c r="Q753" t="n">
        <v>0</v>
      </c>
      <c r="R753" s="2" t="inlineStr"/>
    </row>
    <row r="754" ht="15" customHeight="1">
      <c r="A754" t="inlineStr">
        <is>
          <t>A 41808-2021</t>
        </is>
      </c>
      <c r="B754" s="1" t="n">
        <v>44425</v>
      </c>
      <c r="C754" s="1" t="n">
        <v>45627</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42347-2021</t>
        </is>
      </c>
      <c r="B755" s="1" t="n">
        <v>44427</v>
      </c>
      <c r="C755" s="1" t="n">
        <v>45627</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42615-2021</t>
        </is>
      </c>
      <c r="B756" s="1" t="n">
        <v>44428</v>
      </c>
      <c r="C756" s="1" t="n">
        <v>45627</v>
      </c>
      <c r="D756" t="inlineStr">
        <is>
          <t>VÄRMLANDS LÄN</t>
        </is>
      </c>
      <c r="E756" t="inlineStr">
        <is>
          <t>TORSBY</t>
        </is>
      </c>
      <c r="F756" t="inlineStr">
        <is>
          <t>Bergvik skog väst AB</t>
        </is>
      </c>
      <c r="G756" t="n">
        <v>37.2</v>
      </c>
      <c r="H756" t="n">
        <v>0</v>
      </c>
      <c r="I756" t="n">
        <v>0</v>
      </c>
      <c r="J756" t="n">
        <v>0</v>
      </c>
      <c r="K756" t="n">
        <v>0</v>
      </c>
      <c r="L756" t="n">
        <v>0</v>
      </c>
      <c r="M756" t="n">
        <v>0</v>
      </c>
      <c r="N756" t="n">
        <v>0</v>
      </c>
      <c r="O756" t="n">
        <v>0</v>
      </c>
      <c r="P756" t="n">
        <v>0</v>
      </c>
      <c r="Q756" t="n">
        <v>0</v>
      </c>
      <c r="R756" s="2" t="inlineStr"/>
    </row>
    <row r="757" ht="15" customHeight="1">
      <c r="A757" t="inlineStr">
        <is>
          <t>A 42646-2021</t>
        </is>
      </c>
      <c r="B757" s="1" t="n">
        <v>44428</v>
      </c>
      <c r="C757" s="1" t="n">
        <v>45627</v>
      </c>
      <c r="D757" t="inlineStr">
        <is>
          <t>VÄRMLANDS LÄN</t>
        </is>
      </c>
      <c r="E757" t="inlineStr">
        <is>
          <t>TORSBY</t>
        </is>
      </c>
      <c r="F757" t="inlineStr">
        <is>
          <t>Bergvik skog väst AB</t>
        </is>
      </c>
      <c r="G757" t="n">
        <v>21.4</v>
      </c>
      <c r="H757" t="n">
        <v>0</v>
      </c>
      <c r="I757" t="n">
        <v>0</v>
      </c>
      <c r="J757" t="n">
        <v>0</v>
      </c>
      <c r="K757" t="n">
        <v>0</v>
      </c>
      <c r="L757" t="n">
        <v>0</v>
      </c>
      <c r="M757" t="n">
        <v>0</v>
      </c>
      <c r="N757" t="n">
        <v>0</v>
      </c>
      <c r="O757" t="n">
        <v>0</v>
      </c>
      <c r="P757" t="n">
        <v>0</v>
      </c>
      <c r="Q757" t="n">
        <v>0</v>
      </c>
      <c r="R757" s="2" t="inlineStr"/>
    </row>
    <row r="758" ht="15" customHeight="1">
      <c r="A758" t="inlineStr">
        <is>
          <t>A 43052-2021</t>
        </is>
      </c>
      <c r="B758" s="1" t="n">
        <v>44431</v>
      </c>
      <c r="C758" s="1" t="n">
        <v>45627</v>
      </c>
      <c r="D758" t="inlineStr">
        <is>
          <t>VÄRMLANDS LÄN</t>
        </is>
      </c>
      <c r="E758" t="inlineStr">
        <is>
          <t>TORSBY</t>
        </is>
      </c>
      <c r="G758" t="n">
        <v>25.1</v>
      </c>
      <c r="H758" t="n">
        <v>0</v>
      </c>
      <c r="I758" t="n">
        <v>0</v>
      </c>
      <c r="J758" t="n">
        <v>0</v>
      </c>
      <c r="K758" t="n">
        <v>0</v>
      </c>
      <c r="L758" t="n">
        <v>0</v>
      </c>
      <c r="M758" t="n">
        <v>0</v>
      </c>
      <c r="N758" t="n">
        <v>0</v>
      </c>
      <c r="O758" t="n">
        <v>0</v>
      </c>
      <c r="P758" t="n">
        <v>0</v>
      </c>
      <c r="Q758" t="n">
        <v>0</v>
      </c>
      <c r="R758" s="2" t="inlineStr"/>
    </row>
    <row r="759" ht="15" customHeight="1">
      <c r="A759" t="inlineStr">
        <is>
          <t>A 43060-2021</t>
        </is>
      </c>
      <c r="B759" s="1" t="n">
        <v>44431</v>
      </c>
      <c r="C759" s="1" t="n">
        <v>45627</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43128-2021</t>
        </is>
      </c>
      <c r="B760" s="1" t="n">
        <v>44431</v>
      </c>
      <c r="C760" s="1" t="n">
        <v>45627</v>
      </c>
      <c r="D760" t="inlineStr">
        <is>
          <t>VÄRMLANDS LÄN</t>
        </is>
      </c>
      <c r="E760" t="inlineStr">
        <is>
          <t>TORSBY</t>
        </is>
      </c>
      <c r="G760" t="n">
        <v>10.9</v>
      </c>
      <c r="H760" t="n">
        <v>0</v>
      </c>
      <c r="I760" t="n">
        <v>0</v>
      </c>
      <c r="J760" t="n">
        <v>0</v>
      </c>
      <c r="K760" t="n">
        <v>0</v>
      </c>
      <c r="L760" t="n">
        <v>0</v>
      </c>
      <c r="M760" t="n">
        <v>0</v>
      </c>
      <c r="N760" t="n">
        <v>0</v>
      </c>
      <c r="O760" t="n">
        <v>0</v>
      </c>
      <c r="P760" t="n">
        <v>0</v>
      </c>
      <c r="Q760" t="n">
        <v>0</v>
      </c>
      <c r="R760" s="2" t="inlineStr"/>
    </row>
    <row r="761" ht="15" customHeight="1">
      <c r="A761" t="inlineStr">
        <is>
          <t>A 43136-2021</t>
        </is>
      </c>
      <c r="B761" s="1" t="n">
        <v>44431</v>
      </c>
      <c r="C761" s="1" t="n">
        <v>45627</v>
      </c>
      <c r="D761" t="inlineStr">
        <is>
          <t>VÄRMLANDS LÄN</t>
        </is>
      </c>
      <c r="E761" t="inlineStr">
        <is>
          <t>TORSBY</t>
        </is>
      </c>
      <c r="G761" t="n">
        <v>14.4</v>
      </c>
      <c r="H761" t="n">
        <v>0</v>
      </c>
      <c r="I761" t="n">
        <v>0</v>
      </c>
      <c r="J761" t="n">
        <v>0</v>
      </c>
      <c r="K761" t="n">
        <v>0</v>
      </c>
      <c r="L761" t="n">
        <v>0</v>
      </c>
      <c r="M761" t="n">
        <v>0</v>
      </c>
      <c r="N761" t="n">
        <v>0</v>
      </c>
      <c r="O761" t="n">
        <v>0</v>
      </c>
      <c r="P761" t="n">
        <v>0</v>
      </c>
      <c r="Q761" t="n">
        <v>0</v>
      </c>
      <c r="R761" s="2" t="inlineStr"/>
    </row>
    <row r="762" ht="15" customHeight="1">
      <c r="A762" t="inlineStr">
        <is>
          <t>A 43169-2021</t>
        </is>
      </c>
      <c r="B762" s="1" t="n">
        <v>44431</v>
      </c>
      <c r="C762" s="1" t="n">
        <v>45627</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43095-2021</t>
        </is>
      </c>
      <c r="B763" s="1" t="n">
        <v>44431</v>
      </c>
      <c r="C763" s="1" t="n">
        <v>45627</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43157-2021</t>
        </is>
      </c>
      <c r="B764" s="1" t="n">
        <v>44431</v>
      </c>
      <c r="C764" s="1" t="n">
        <v>45627</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43127-2021</t>
        </is>
      </c>
      <c r="B765" s="1" t="n">
        <v>44431</v>
      </c>
      <c r="C765" s="1" t="n">
        <v>45627</v>
      </c>
      <c r="D765" t="inlineStr">
        <is>
          <t>VÄRMLANDS LÄN</t>
        </is>
      </c>
      <c r="E765" t="inlineStr">
        <is>
          <t>TORSBY</t>
        </is>
      </c>
      <c r="G765" t="n">
        <v>23.3</v>
      </c>
      <c r="H765" t="n">
        <v>0</v>
      </c>
      <c r="I765" t="n">
        <v>0</v>
      </c>
      <c r="J765" t="n">
        <v>0</v>
      </c>
      <c r="K765" t="n">
        <v>0</v>
      </c>
      <c r="L765" t="n">
        <v>0</v>
      </c>
      <c r="M765" t="n">
        <v>0</v>
      </c>
      <c r="N765" t="n">
        <v>0</v>
      </c>
      <c r="O765" t="n">
        <v>0</v>
      </c>
      <c r="P765" t="n">
        <v>0</v>
      </c>
      <c r="Q765" t="n">
        <v>0</v>
      </c>
      <c r="R765" s="2" t="inlineStr"/>
    </row>
    <row r="766" ht="15" customHeight="1">
      <c r="A766" t="inlineStr">
        <is>
          <t>A 43161-2021</t>
        </is>
      </c>
      <c r="B766" s="1" t="n">
        <v>44431</v>
      </c>
      <c r="C766" s="1" t="n">
        <v>45627</v>
      </c>
      <c r="D766" t="inlineStr">
        <is>
          <t>VÄRMLANDS LÄN</t>
        </is>
      </c>
      <c r="E766" t="inlineStr">
        <is>
          <t>TORSBY</t>
        </is>
      </c>
      <c r="G766" t="n">
        <v>3.7</v>
      </c>
      <c r="H766" t="n">
        <v>0</v>
      </c>
      <c r="I766" t="n">
        <v>0</v>
      </c>
      <c r="J766" t="n">
        <v>0</v>
      </c>
      <c r="K766" t="n">
        <v>0</v>
      </c>
      <c r="L766" t="n">
        <v>0</v>
      </c>
      <c r="M766" t="n">
        <v>0</v>
      </c>
      <c r="N766" t="n">
        <v>0</v>
      </c>
      <c r="O766" t="n">
        <v>0</v>
      </c>
      <c r="P766" t="n">
        <v>0</v>
      </c>
      <c r="Q766" t="n">
        <v>0</v>
      </c>
      <c r="R766" s="2" t="inlineStr"/>
    </row>
    <row r="767" ht="15" customHeight="1">
      <c r="A767" t="inlineStr">
        <is>
          <t>A 44018-2021</t>
        </is>
      </c>
      <c r="B767" s="1" t="n">
        <v>44434</v>
      </c>
      <c r="C767" s="1" t="n">
        <v>45627</v>
      </c>
      <c r="D767" t="inlineStr">
        <is>
          <t>VÄRMLANDS LÄN</t>
        </is>
      </c>
      <c r="E767" t="inlineStr">
        <is>
          <t>TORSBY</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44418-2021</t>
        </is>
      </c>
      <c r="B768" s="1" t="n">
        <v>44435</v>
      </c>
      <c r="C768" s="1" t="n">
        <v>45627</v>
      </c>
      <c r="D768" t="inlineStr">
        <is>
          <t>VÄRMLANDS LÄN</t>
        </is>
      </c>
      <c r="E768" t="inlineStr">
        <is>
          <t>TORSBY</t>
        </is>
      </c>
      <c r="G768" t="n">
        <v>7.5</v>
      </c>
      <c r="H768" t="n">
        <v>0</v>
      </c>
      <c r="I768" t="n">
        <v>0</v>
      </c>
      <c r="J768" t="n">
        <v>0</v>
      </c>
      <c r="K768" t="n">
        <v>0</v>
      </c>
      <c r="L768" t="n">
        <v>0</v>
      </c>
      <c r="M768" t="n">
        <v>0</v>
      </c>
      <c r="N768" t="n">
        <v>0</v>
      </c>
      <c r="O768" t="n">
        <v>0</v>
      </c>
      <c r="P768" t="n">
        <v>0</v>
      </c>
      <c r="Q768" t="n">
        <v>0</v>
      </c>
      <c r="R768" s="2" t="inlineStr"/>
    </row>
    <row r="769" ht="15" customHeight="1">
      <c r="A769" t="inlineStr">
        <is>
          <t>A 44490-2021</t>
        </is>
      </c>
      <c r="B769" s="1" t="n">
        <v>44435</v>
      </c>
      <c r="C769" s="1" t="n">
        <v>45627</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44761-2021</t>
        </is>
      </c>
      <c r="B770" s="1" t="n">
        <v>44438</v>
      </c>
      <c r="C770" s="1" t="n">
        <v>45627</v>
      </c>
      <c r="D770" t="inlineStr">
        <is>
          <t>VÄRMLANDS LÄN</t>
        </is>
      </c>
      <c r="E770" t="inlineStr">
        <is>
          <t>TORSBY</t>
        </is>
      </c>
      <c r="G770" t="n">
        <v>6.5</v>
      </c>
      <c r="H770" t="n">
        <v>0</v>
      </c>
      <c r="I770" t="n">
        <v>0</v>
      </c>
      <c r="J770" t="n">
        <v>0</v>
      </c>
      <c r="K770" t="n">
        <v>0</v>
      </c>
      <c r="L770" t="n">
        <v>0</v>
      </c>
      <c r="M770" t="n">
        <v>0</v>
      </c>
      <c r="N770" t="n">
        <v>0</v>
      </c>
      <c r="O770" t="n">
        <v>0</v>
      </c>
      <c r="P770" t="n">
        <v>0</v>
      </c>
      <c r="Q770" t="n">
        <v>0</v>
      </c>
      <c r="R770" s="2" t="inlineStr"/>
    </row>
    <row r="771" ht="15" customHeight="1">
      <c r="A771" t="inlineStr">
        <is>
          <t>A 44979-2021</t>
        </is>
      </c>
      <c r="B771" s="1" t="n">
        <v>44438</v>
      </c>
      <c r="C771" s="1" t="n">
        <v>45627</v>
      </c>
      <c r="D771" t="inlineStr">
        <is>
          <t>VÄRMLANDS LÄN</t>
        </is>
      </c>
      <c r="E771" t="inlineStr">
        <is>
          <t>TORSBY</t>
        </is>
      </c>
      <c r="F771" t="inlineStr">
        <is>
          <t>Bergvik skog väst AB</t>
        </is>
      </c>
      <c r="G771" t="n">
        <v>22.2</v>
      </c>
      <c r="H771" t="n">
        <v>0</v>
      </c>
      <c r="I771" t="n">
        <v>0</v>
      </c>
      <c r="J771" t="n">
        <v>0</v>
      </c>
      <c r="K771" t="n">
        <v>0</v>
      </c>
      <c r="L771" t="n">
        <v>0</v>
      </c>
      <c r="M771" t="n">
        <v>0</v>
      </c>
      <c r="N771" t="n">
        <v>0</v>
      </c>
      <c r="O771" t="n">
        <v>0</v>
      </c>
      <c r="P771" t="n">
        <v>0</v>
      </c>
      <c r="Q771" t="n">
        <v>0</v>
      </c>
      <c r="R771" s="2" t="inlineStr"/>
    </row>
    <row r="772" ht="15" customHeight="1">
      <c r="A772" t="inlineStr">
        <is>
          <t>A 44923-2021</t>
        </is>
      </c>
      <c r="B772" s="1" t="n">
        <v>44438</v>
      </c>
      <c r="C772" s="1" t="n">
        <v>45627</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45445-2021</t>
        </is>
      </c>
      <c r="B773" s="1" t="n">
        <v>44440</v>
      </c>
      <c r="C773" s="1" t="n">
        <v>45627</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45447-2021</t>
        </is>
      </c>
      <c r="B774" s="1" t="n">
        <v>44440</v>
      </c>
      <c r="C774" s="1" t="n">
        <v>45627</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46302-2021</t>
        </is>
      </c>
      <c r="B775" s="1" t="n">
        <v>44442</v>
      </c>
      <c r="C775" s="1" t="n">
        <v>45627</v>
      </c>
      <c r="D775" t="inlineStr">
        <is>
          <t>VÄRMLANDS LÄN</t>
        </is>
      </c>
      <c r="E775" t="inlineStr">
        <is>
          <t>TORSBY</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46503-2021</t>
        </is>
      </c>
      <c r="B776" s="1" t="n">
        <v>44445</v>
      </c>
      <c r="C776" s="1" t="n">
        <v>45627</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46610-2021</t>
        </is>
      </c>
      <c r="B777" s="1" t="n">
        <v>44445</v>
      </c>
      <c r="C777" s="1" t="n">
        <v>45627</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46795-2021</t>
        </is>
      </c>
      <c r="B778" s="1" t="n">
        <v>44446</v>
      </c>
      <c r="C778" s="1" t="n">
        <v>45627</v>
      </c>
      <c r="D778" t="inlineStr">
        <is>
          <t>VÄRMLANDS LÄN</t>
        </is>
      </c>
      <c r="E778" t="inlineStr">
        <is>
          <t>TORSBY</t>
        </is>
      </c>
      <c r="G778" t="n">
        <v>6</v>
      </c>
      <c r="H778" t="n">
        <v>0</v>
      </c>
      <c r="I778" t="n">
        <v>0</v>
      </c>
      <c r="J778" t="n">
        <v>0</v>
      </c>
      <c r="K778" t="n">
        <v>0</v>
      </c>
      <c r="L778" t="n">
        <v>0</v>
      </c>
      <c r="M778" t="n">
        <v>0</v>
      </c>
      <c r="N778" t="n">
        <v>0</v>
      </c>
      <c r="O778" t="n">
        <v>0</v>
      </c>
      <c r="P778" t="n">
        <v>0</v>
      </c>
      <c r="Q778" t="n">
        <v>0</v>
      </c>
      <c r="R778" s="2" t="inlineStr"/>
    </row>
    <row r="779" ht="15" customHeight="1">
      <c r="A779" t="inlineStr">
        <is>
          <t>A 46934-2021</t>
        </is>
      </c>
      <c r="B779" s="1" t="n">
        <v>44446</v>
      </c>
      <c r="C779" s="1" t="n">
        <v>45627</v>
      </c>
      <c r="D779" t="inlineStr">
        <is>
          <t>VÄRMLANDS LÄN</t>
        </is>
      </c>
      <c r="E779" t="inlineStr">
        <is>
          <t>TORSBY</t>
        </is>
      </c>
      <c r="G779" t="n">
        <v>1</v>
      </c>
      <c r="H779" t="n">
        <v>0</v>
      </c>
      <c r="I779" t="n">
        <v>0</v>
      </c>
      <c r="J779" t="n">
        <v>0</v>
      </c>
      <c r="K779" t="n">
        <v>0</v>
      </c>
      <c r="L779" t="n">
        <v>0</v>
      </c>
      <c r="M779" t="n">
        <v>0</v>
      </c>
      <c r="N779" t="n">
        <v>0</v>
      </c>
      <c r="O779" t="n">
        <v>0</v>
      </c>
      <c r="P779" t="n">
        <v>0</v>
      </c>
      <c r="Q779" t="n">
        <v>0</v>
      </c>
      <c r="R779" s="2" t="inlineStr"/>
    </row>
    <row r="780" ht="15" customHeight="1">
      <c r="A780" t="inlineStr">
        <is>
          <t>A 46880-2021</t>
        </is>
      </c>
      <c r="B780" s="1" t="n">
        <v>44446</v>
      </c>
      <c r="C780" s="1" t="n">
        <v>45627</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47083-2021</t>
        </is>
      </c>
      <c r="B781" s="1" t="n">
        <v>44446</v>
      </c>
      <c r="C781" s="1" t="n">
        <v>45627</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47098-2021</t>
        </is>
      </c>
      <c r="B782" s="1" t="n">
        <v>44446</v>
      </c>
      <c r="C782" s="1" t="n">
        <v>45627</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47271-2021</t>
        </is>
      </c>
      <c r="B783" s="1" t="n">
        <v>44447</v>
      </c>
      <c r="C783" s="1" t="n">
        <v>45627</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47299-2021</t>
        </is>
      </c>
      <c r="B784" s="1" t="n">
        <v>44447</v>
      </c>
      <c r="C784" s="1" t="n">
        <v>45627</v>
      </c>
      <c r="D784" t="inlineStr">
        <is>
          <t>VÄRMLANDS LÄN</t>
        </is>
      </c>
      <c r="E784" t="inlineStr">
        <is>
          <t>TORSBY</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47602-2021</t>
        </is>
      </c>
      <c r="B785" s="1" t="n">
        <v>44448</v>
      </c>
      <c r="C785" s="1" t="n">
        <v>45627</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48159-2021</t>
        </is>
      </c>
      <c r="B786" s="1" t="n">
        <v>44449</v>
      </c>
      <c r="C786" s="1" t="n">
        <v>45627</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48188-2021</t>
        </is>
      </c>
      <c r="B787" s="1" t="n">
        <v>44449</v>
      </c>
      <c r="C787" s="1" t="n">
        <v>45627</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48324-2021</t>
        </is>
      </c>
      <c r="B788" s="1" t="n">
        <v>44450</v>
      </c>
      <c r="C788" s="1" t="n">
        <v>45627</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48657-2021</t>
        </is>
      </c>
      <c r="B789" s="1" t="n">
        <v>44452</v>
      </c>
      <c r="C789" s="1" t="n">
        <v>45627</v>
      </c>
      <c r="D789" t="inlineStr">
        <is>
          <t>VÄRMLANDS LÄN</t>
        </is>
      </c>
      <c r="E789" t="inlineStr">
        <is>
          <t>TORSBY</t>
        </is>
      </c>
      <c r="F789" t="inlineStr">
        <is>
          <t>Bergvik skog väst AB</t>
        </is>
      </c>
      <c r="G789" t="n">
        <v>7.8</v>
      </c>
      <c r="H789" t="n">
        <v>0</v>
      </c>
      <c r="I789" t="n">
        <v>0</v>
      </c>
      <c r="J789" t="n">
        <v>0</v>
      </c>
      <c r="K789" t="n">
        <v>0</v>
      </c>
      <c r="L789" t="n">
        <v>0</v>
      </c>
      <c r="M789" t="n">
        <v>0</v>
      </c>
      <c r="N789" t="n">
        <v>0</v>
      </c>
      <c r="O789" t="n">
        <v>0</v>
      </c>
      <c r="P789" t="n">
        <v>0</v>
      </c>
      <c r="Q789" t="n">
        <v>0</v>
      </c>
      <c r="R789" s="2" t="inlineStr"/>
    </row>
    <row r="790" ht="15" customHeight="1">
      <c r="A790" t="inlineStr">
        <is>
          <t>A 48771-2021</t>
        </is>
      </c>
      <c r="B790" s="1" t="n">
        <v>44452</v>
      </c>
      <c r="C790" s="1" t="n">
        <v>45627</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49192-2021</t>
        </is>
      </c>
      <c r="B791" s="1" t="n">
        <v>44454</v>
      </c>
      <c r="C791" s="1" t="n">
        <v>45627</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49900-2021</t>
        </is>
      </c>
      <c r="B792" s="1" t="n">
        <v>44455</v>
      </c>
      <c r="C792" s="1" t="n">
        <v>45627</v>
      </c>
      <c r="D792" t="inlineStr">
        <is>
          <t>VÄRMLANDS LÄN</t>
        </is>
      </c>
      <c r="E792" t="inlineStr">
        <is>
          <t>TORSBY</t>
        </is>
      </c>
      <c r="G792" t="n">
        <v>4.1</v>
      </c>
      <c r="H792" t="n">
        <v>0</v>
      </c>
      <c r="I792" t="n">
        <v>0</v>
      </c>
      <c r="J792" t="n">
        <v>0</v>
      </c>
      <c r="K792" t="n">
        <v>0</v>
      </c>
      <c r="L792" t="n">
        <v>0</v>
      </c>
      <c r="M792" t="n">
        <v>0</v>
      </c>
      <c r="N792" t="n">
        <v>0</v>
      </c>
      <c r="O792" t="n">
        <v>0</v>
      </c>
      <c r="P792" t="n">
        <v>0</v>
      </c>
      <c r="Q792" t="n">
        <v>0</v>
      </c>
      <c r="R792" s="2" t="inlineStr"/>
    </row>
    <row r="793" ht="15" customHeight="1">
      <c r="A793" t="inlineStr">
        <is>
          <t>A 50100-2021</t>
        </is>
      </c>
      <c r="B793" s="1" t="n">
        <v>44456</v>
      </c>
      <c r="C793" s="1" t="n">
        <v>45627</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50596-2021</t>
        </is>
      </c>
      <c r="B794" s="1" t="n">
        <v>44459</v>
      </c>
      <c r="C794" s="1" t="n">
        <v>45627</v>
      </c>
      <c r="D794" t="inlineStr">
        <is>
          <t>VÄRMLANDS LÄN</t>
        </is>
      </c>
      <c r="E794" t="inlineStr">
        <is>
          <t>TORSBY</t>
        </is>
      </c>
      <c r="G794" t="n">
        <v>0.5</v>
      </c>
      <c r="H794" t="n">
        <v>0</v>
      </c>
      <c r="I794" t="n">
        <v>0</v>
      </c>
      <c r="J794" t="n">
        <v>0</v>
      </c>
      <c r="K794" t="n">
        <v>0</v>
      </c>
      <c r="L794" t="n">
        <v>0</v>
      </c>
      <c r="M794" t="n">
        <v>0</v>
      </c>
      <c r="N794" t="n">
        <v>0</v>
      </c>
      <c r="O794" t="n">
        <v>0</v>
      </c>
      <c r="P794" t="n">
        <v>0</v>
      </c>
      <c r="Q794" t="n">
        <v>0</v>
      </c>
      <c r="R794" s="2" t="inlineStr"/>
    </row>
    <row r="795" ht="15" customHeight="1">
      <c r="A795" t="inlineStr">
        <is>
          <t>A 50549-2021</t>
        </is>
      </c>
      <c r="B795" s="1" t="n">
        <v>44459</v>
      </c>
      <c r="C795" s="1" t="n">
        <v>45627</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50988-2021</t>
        </is>
      </c>
      <c r="B796" s="1" t="n">
        <v>44460</v>
      </c>
      <c r="C796" s="1" t="n">
        <v>45627</v>
      </c>
      <c r="D796" t="inlineStr">
        <is>
          <t>VÄRMLANDS LÄN</t>
        </is>
      </c>
      <c r="E796" t="inlineStr">
        <is>
          <t>TORSBY</t>
        </is>
      </c>
      <c r="G796" t="n">
        <v>14.3</v>
      </c>
      <c r="H796" t="n">
        <v>0</v>
      </c>
      <c r="I796" t="n">
        <v>0</v>
      </c>
      <c r="J796" t="n">
        <v>0</v>
      </c>
      <c r="K796" t="n">
        <v>0</v>
      </c>
      <c r="L796" t="n">
        <v>0</v>
      </c>
      <c r="M796" t="n">
        <v>0</v>
      </c>
      <c r="N796" t="n">
        <v>0</v>
      </c>
      <c r="O796" t="n">
        <v>0</v>
      </c>
      <c r="P796" t="n">
        <v>0</v>
      </c>
      <c r="Q796" t="n">
        <v>0</v>
      </c>
      <c r="R796" s="2" t="inlineStr"/>
    </row>
    <row r="797" ht="15" customHeight="1">
      <c r="A797" t="inlineStr">
        <is>
          <t>A 51505-2021</t>
        </is>
      </c>
      <c r="B797" s="1" t="n">
        <v>44460</v>
      </c>
      <c r="C797" s="1" t="n">
        <v>45627</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51494-2021</t>
        </is>
      </c>
      <c r="B798" s="1" t="n">
        <v>44460</v>
      </c>
      <c r="C798" s="1" t="n">
        <v>45627</v>
      </c>
      <c r="D798" t="inlineStr">
        <is>
          <t>VÄRMLANDS LÄN</t>
        </is>
      </c>
      <c r="E798" t="inlineStr">
        <is>
          <t>TORSBY</t>
        </is>
      </c>
      <c r="G798" t="n">
        <v>2.2</v>
      </c>
      <c r="H798" t="n">
        <v>0</v>
      </c>
      <c r="I798" t="n">
        <v>0</v>
      </c>
      <c r="J798" t="n">
        <v>0</v>
      </c>
      <c r="K798" t="n">
        <v>0</v>
      </c>
      <c r="L798" t="n">
        <v>0</v>
      </c>
      <c r="M798" t="n">
        <v>0</v>
      </c>
      <c r="N798" t="n">
        <v>0</v>
      </c>
      <c r="O798" t="n">
        <v>0</v>
      </c>
      <c r="P798" t="n">
        <v>0</v>
      </c>
      <c r="Q798" t="n">
        <v>0</v>
      </c>
      <c r="R798" s="2" t="inlineStr"/>
    </row>
    <row r="799" ht="15" customHeight="1">
      <c r="A799" t="inlineStr">
        <is>
          <t>A 51510-2021</t>
        </is>
      </c>
      <c r="B799" s="1" t="n">
        <v>44460</v>
      </c>
      <c r="C799" s="1" t="n">
        <v>45627</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51099-2021</t>
        </is>
      </c>
      <c r="B800" s="1" t="n">
        <v>44461</v>
      </c>
      <c r="C800" s="1" t="n">
        <v>45627</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51247-2021</t>
        </is>
      </c>
      <c r="B801" s="1" t="n">
        <v>44461</v>
      </c>
      <c r="C801" s="1" t="n">
        <v>45627</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51372-2021</t>
        </is>
      </c>
      <c r="B802" s="1" t="n">
        <v>44461</v>
      </c>
      <c r="C802" s="1" t="n">
        <v>45627</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51819-2021</t>
        </is>
      </c>
      <c r="B803" s="1" t="n">
        <v>44462</v>
      </c>
      <c r="C803" s="1" t="n">
        <v>45627</v>
      </c>
      <c r="D803" t="inlineStr">
        <is>
          <t>VÄRMLANDS LÄN</t>
        </is>
      </c>
      <c r="E803" t="inlineStr">
        <is>
          <t>TORSBY</t>
        </is>
      </c>
      <c r="F803" t="inlineStr">
        <is>
          <t>Bergvik skog väst AB</t>
        </is>
      </c>
      <c r="G803" t="n">
        <v>14.7</v>
      </c>
      <c r="H803" t="n">
        <v>0</v>
      </c>
      <c r="I803" t="n">
        <v>0</v>
      </c>
      <c r="J803" t="n">
        <v>0</v>
      </c>
      <c r="K803" t="n">
        <v>0</v>
      </c>
      <c r="L803" t="n">
        <v>0</v>
      </c>
      <c r="M803" t="n">
        <v>0</v>
      </c>
      <c r="N803" t="n">
        <v>0</v>
      </c>
      <c r="O803" t="n">
        <v>0</v>
      </c>
      <c r="P803" t="n">
        <v>0</v>
      </c>
      <c r="Q803" t="n">
        <v>0</v>
      </c>
      <c r="R803" s="2" t="inlineStr"/>
    </row>
    <row r="804" ht="15" customHeight="1">
      <c r="A804" t="inlineStr">
        <is>
          <t>A 51522-2021</t>
        </is>
      </c>
      <c r="B804" s="1" t="n">
        <v>44462</v>
      </c>
      <c r="C804" s="1" t="n">
        <v>45627</v>
      </c>
      <c r="D804" t="inlineStr">
        <is>
          <t>VÄRMLANDS LÄN</t>
        </is>
      </c>
      <c r="E804" t="inlineStr">
        <is>
          <t>TORSBY</t>
        </is>
      </c>
      <c r="G804" t="n">
        <v>0.3</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45627</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52520-2021</t>
        </is>
      </c>
      <c r="B806" s="1" t="n">
        <v>44466</v>
      </c>
      <c r="C806" s="1" t="n">
        <v>45627</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52728-2021</t>
        </is>
      </c>
      <c r="B807" s="1" t="n">
        <v>44467</v>
      </c>
      <c r="C807" s="1" t="n">
        <v>45627</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52900-2021</t>
        </is>
      </c>
      <c r="B808" s="1" t="n">
        <v>44467</v>
      </c>
      <c r="C808" s="1" t="n">
        <v>45627</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53705-2021</t>
        </is>
      </c>
      <c r="B809" s="1" t="n">
        <v>44469</v>
      </c>
      <c r="C809" s="1" t="n">
        <v>45627</v>
      </c>
      <c r="D809" t="inlineStr">
        <is>
          <t>VÄRMLANDS LÄN</t>
        </is>
      </c>
      <c r="E809" t="inlineStr">
        <is>
          <t>TORSBY</t>
        </is>
      </c>
      <c r="F809" t="inlineStr">
        <is>
          <t>Kyrkan</t>
        </is>
      </c>
      <c r="G809" t="n">
        <v>12.4</v>
      </c>
      <c r="H809" t="n">
        <v>0</v>
      </c>
      <c r="I809" t="n">
        <v>0</v>
      </c>
      <c r="J809" t="n">
        <v>0</v>
      </c>
      <c r="K809" t="n">
        <v>0</v>
      </c>
      <c r="L809" t="n">
        <v>0</v>
      </c>
      <c r="M809" t="n">
        <v>0</v>
      </c>
      <c r="N809" t="n">
        <v>0</v>
      </c>
      <c r="O809" t="n">
        <v>0</v>
      </c>
      <c r="P809" t="n">
        <v>0</v>
      </c>
      <c r="Q809" t="n">
        <v>0</v>
      </c>
      <c r="R809" s="2" t="inlineStr"/>
    </row>
    <row r="810" ht="15" customHeight="1">
      <c r="A810" t="inlineStr">
        <is>
          <t>A 54029-2021</t>
        </is>
      </c>
      <c r="B810" s="1" t="n">
        <v>44470</v>
      </c>
      <c r="C810" s="1" t="n">
        <v>45627</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54033-2021</t>
        </is>
      </c>
      <c r="B811" s="1" t="n">
        <v>44470</v>
      </c>
      <c r="C811" s="1" t="n">
        <v>45627</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55794-2021</t>
        </is>
      </c>
      <c r="B812" s="1" t="n">
        <v>44476</v>
      </c>
      <c r="C812" s="1" t="n">
        <v>45627</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55811-2021</t>
        </is>
      </c>
      <c r="B813" s="1" t="n">
        <v>44476</v>
      </c>
      <c r="C813" s="1" t="n">
        <v>45627</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45627</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56037-2021</t>
        </is>
      </c>
      <c r="B815" s="1" t="n">
        <v>44477</v>
      </c>
      <c r="C815" s="1" t="n">
        <v>45627</v>
      </c>
      <c r="D815" t="inlineStr">
        <is>
          <t>VÄRMLANDS LÄN</t>
        </is>
      </c>
      <c r="E815" t="inlineStr">
        <is>
          <t>TORSBY</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56062-2021</t>
        </is>
      </c>
      <c r="B816" s="1" t="n">
        <v>44477</v>
      </c>
      <c r="C816" s="1" t="n">
        <v>45627</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56981-2021</t>
        </is>
      </c>
      <c r="B817" s="1" t="n">
        <v>44482</v>
      </c>
      <c r="C817" s="1" t="n">
        <v>45627</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57287-2021</t>
        </is>
      </c>
      <c r="B818" s="1" t="n">
        <v>44482</v>
      </c>
      <c r="C818" s="1" t="n">
        <v>45627</v>
      </c>
      <c r="D818" t="inlineStr">
        <is>
          <t>VÄRMLANDS LÄN</t>
        </is>
      </c>
      <c r="E818" t="inlineStr">
        <is>
          <t>TORSBY</t>
        </is>
      </c>
      <c r="G818" t="n">
        <v>2.7</v>
      </c>
      <c r="H818" t="n">
        <v>0</v>
      </c>
      <c r="I818" t="n">
        <v>0</v>
      </c>
      <c r="J818" t="n">
        <v>0</v>
      </c>
      <c r="K818" t="n">
        <v>0</v>
      </c>
      <c r="L818" t="n">
        <v>0</v>
      </c>
      <c r="M818" t="n">
        <v>0</v>
      </c>
      <c r="N818" t="n">
        <v>0</v>
      </c>
      <c r="O818" t="n">
        <v>0</v>
      </c>
      <c r="P818" t="n">
        <v>0</v>
      </c>
      <c r="Q818" t="n">
        <v>0</v>
      </c>
      <c r="R818" s="2" t="inlineStr"/>
    </row>
    <row r="819" ht="15" customHeight="1">
      <c r="A819" t="inlineStr">
        <is>
          <t>A 58062-2021</t>
        </is>
      </c>
      <c r="B819" s="1" t="n">
        <v>44487</v>
      </c>
      <c r="C819" s="1" t="n">
        <v>45627</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58479-2021</t>
        </is>
      </c>
      <c r="B820" s="1" t="n">
        <v>44488</v>
      </c>
      <c r="C820" s="1" t="n">
        <v>45627</v>
      </c>
      <c r="D820" t="inlineStr">
        <is>
          <t>VÄRMLANDS LÄN</t>
        </is>
      </c>
      <c r="E820" t="inlineStr">
        <is>
          <t>TORSBY</t>
        </is>
      </c>
      <c r="G820" t="n">
        <v>1.6</v>
      </c>
      <c r="H820" t="n">
        <v>0</v>
      </c>
      <c r="I820" t="n">
        <v>0</v>
      </c>
      <c r="J820" t="n">
        <v>0</v>
      </c>
      <c r="K820" t="n">
        <v>0</v>
      </c>
      <c r="L820" t="n">
        <v>0</v>
      </c>
      <c r="M820" t="n">
        <v>0</v>
      </c>
      <c r="N820" t="n">
        <v>0</v>
      </c>
      <c r="O820" t="n">
        <v>0</v>
      </c>
      <c r="P820" t="n">
        <v>0</v>
      </c>
      <c r="Q820" t="n">
        <v>0</v>
      </c>
      <c r="R820" s="2" t="inlineStr"/>
    </row>
    <row r="821" ht="15" customHeight="1">
      <c r="A821" t="inlineStr">
        <is>
          <t>A 58476-2021</t>
        </is>
      </c>
      <c r="B821" s="1" t="n">
        <v>44488</v>
      </c>
      <c r="C821" s="1" t="n">
        <v>45627</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58543-2021</t>
        </is>
      </c>
      <c r="B822" s="1" t="n">
        <v>44488</v>
      </c>
      <c r="C822" s="1" t="n">
        <v>45627</v>
      </c>
      <c r="D822" t="inlineStr">
        <is>
          <t>VÄRMLANDS LÄN</t>
        </is>
      </c>
      <c r="E822" t="inlineStr">
        <is>
          <t>TORSBY</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58728-2021</t>
        </is>
      </c>
      <c r="B823" s="1" t="n">
        <v>44489</v>
      </c>
      <c r="C823" s="1" t="n">
        <v>45627</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59425-2021</t>
        </is>
      </c>
      <c r="B824" s="1" t="n">
        <v>44491</v>
      </c>
      <c r="C824" s="1" t="n">
        <v>45627</v>
      </c>
      <c r="D824" t="inlineStr">
        <is>
          <t>VÄRMLANDS LÄN</t>
        </is>
      </c>
      <c r="E824" t="inlineStr">
        <is>
          <t>TORSBY</t>
        </is>
      </c>
      <c r="F824" t="inlineStr">
        <is>
          <t>Bergvik skog väst AB</t>
        </is>
      </c>
      <c r="G824" t="n">
        <v>14.9</v>
      </c>
      <c r="H824" t="n">
        <v>0</v>
      </c>
      <c r="I824" t="n">
        <v>0</v>
      </c>
      <c r="J824" t="n">
        <v>0</v>
      </c>
      <c r="K824" t="n">
        <v>0</v>
      </c>
      <c r="L824" t="n">
        <v>0</v>
      </c>
      <c r="M824" t="n">
        <v>0</v>
      </c>
      <c r="N824" t="n">
        <v>0</v>
      </c>
      <c r="O824" t="n">
        <v>0</v>
      </c>
      <c r="P824" t="n">
        <v>0</v>
      </c>
      <c r="Q824" t="n">
        <v>0</v>
      </c>
      <c r="R824" s="2" t="inlineStr"/>
    </row>
    <row r="825" ht="15" customHeight="1">
      <c r="A825" t="inlineStr">
        <is>
          <t>A 60428-2021</t>
        </is>
      </c>
      <c r="B825" s="1" t="n">
        <v>44496</v>
      </c>
      <c r="C825" s="1" t="n">
        <v>45627</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60430-2021</t>
        </is>
      </c>
      <c r="B826" s="1" t="n">
        <v>44496</v>
      </c>
      <c r="C826" s="1" t="n">
        <v>45627</v>
      </c>
      <c r="D826" t="inlineStr">
        <is>
          <t>VÄRMLANDS LÄN</t>
        </is>
      </c>
      <c r="E826" t="inlineStr">
        <is>
          <t>TORSBY</t>
        </is>
      </c>
      <c r="G826" t="n">
        <v>1</v>
      </c>
      <c r="H826" t="n">
        <v>0</v>
      </c>
      <c r="I826" t="n">
        <v>0</v>
      </c>
      <c r="J826" t="n">
        <v>0</v>
      </c>
      <c r="K826" t="n">
        <v>0</v>
      </c>
      <c r="L826" t="n">
        <v>0</v>
      </c>
      <c r="M826" t="n">
        <v>0</v>
      </c>
      <c r="N826" t="n">
        <v>0</v>
      </c>
      <c r="O826" t="n">
        <v>0</v>
      </c>
      <c r="P826" t="n">
        <v>0</v>
      </c>
      <c r="Q826" t="n">
        <v>0</v>
      </c>
      <c r="R826" s="2" t="inlineStr"/>
    </row>
    <row r="827" ht="15" customHeight="1">
      <c r="A827" t="inlineStr">
        <is>
          <t>A 60698-2021</t>
        </is>
      </c>
      <c r="B827" s="1" t="n">
        <v>44496</v>
      </c>
      <c r="C827" s="1" t="n">
        <v>45627</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61231-2021</t>
        </is>
      </c>
      <c r="B828" s="1" t="n">
        <v>44496</v>
      </c>
      <c r="C828" s="1" t="n">
        <v>45627</v>
      </c>
      <c r="D828" t="inlineStr">
        <is>
          <t>VÄRMLANDS LÄN</t>
        </is>
      </c>
      <c r="E828" t="inlineStr">
        <is>
          <t>TORSBY</t>
        </is>
      </c>
      <c r="G828" t="n">
        <v>1.1</v>
      </c>
      <c r="H828" t="n">
        <v>0</v>
      </c>
      <c r="I828" t="n">
        <v>0</v>
      </c>
      <c r="J828" t="n">
        <v>0</v>
      </c>
      <c r="K828" t="n">
        <v>0</v>
      </c>
      <c r="L828" t="n">
        <v>0</v>
      </c>
      <c r="M828" t="n">
        <v>0</v>
      </c>
      <c r="N828" t="n">
        <v>0</v>
      </c>
      <c r="O828" t="n">
        <v>0</v>
      </c>
      <c r="P828" t="n">
        <v>0</v>
      </c>
      <c r="Q828" t="n">
        <v>0</v>
      </c>
      <c r="R828" s="2" t="inlineStr"/>
    </row>
    <row r="829" ht="15" customHeight="1">
      <c r="A829" t="inlineStr">
        <is>
          <t>A 61812-2021</t>
        </is>
      </c>
      <c r="B829" s="1" t="n">
        <v>44501</v>
      </c>
      <c r="C829" s="1" t="n">
        <v>45627</v>
      </c>
      <c r="D829" t="inlineStr">
        <is>
          <t>VÄRMLANDS LÄN</t>
        </is>
      </c>
      <c r="E829" t="inlineStr">
        <is>
          <t>TORSBY</t>
        </is>
      </c>
      <c r="G829" t="n">
        <v>5.3</v>
      </c>
      <c r="H829" t="n">
        <v>0</v>
      </c>
      <c r="I829" t="n">
        <v>0</v>
      </c>
      <c r="J829" t="n">
        <v>0</v>
      </c>
      <c r="K829" t="n">
        <v>0</v>
      </c>
      <c r="L829" t="n">
        <v>0</v>
      </c>
      <c r="M829" t="n">
        <v>0</v>
      </c>
      <c r="N829" t="n">
        <v>0</v>
      </c>
      <c r="O829" t="n">
        <v>0</v>
      </c>
      <c r="P829" t="n">
        <v>0</v>
      </c>
      <c r="Q829" t="n">
        <v>0</v>
      </c>
      <c r="R829" s="2" t="inlineStr"/>
    </row>
    <row r="830" ht="15" customHeight="1">
      <c r="A830" t="inlineStr">
        <is>
          <t>A 61809-2021</t>
        </is>
      </c>
      <c r="B830" s="1" t="n">
        <v>44501</v>
      </c>
      <c r="C830" s="1" t="n">
        <v>45627</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62045-2021</t>
        </is>
      </c>
      <c r="B831" s="1" t="n">
        <v>44502</v>
      </c>
      <c r="C831" s="1" t="n">
        <v>45627</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62039-2021</t>
        </is>
      </c>
      <c r="B832" s="1" t="n">
        <v>44502</v>
      </c>
      <c r="C832" s="1" t="n">
        <v>45627</v>
      </c>
      <c r="D832" t="inlineStr">
        <is>
          <t>VÄRMLANDS LÄN</t>
        </is>
      </c>
      <c r="E832" t="inlineStr">
        <is>
          <t>TORSBY</t>
        </is>
      </c>
      <c r="G832" t="n">
        <v>1.5</v>
      </c>
      <c r="H832" t="n">
        <v>0</v>
      </c>
      <c r="I832" t="n">
        <v>0</v>
      </c>
      <c r="J832" t="n">
        <v>0</v>
      </c>
      <c r="K832" t="n">
        <v>0</v>
      </c>
      <c r="L832" t="n">
        <v>0</v>
      </c>
      <c r="M832" t="n">
        <v>0</v>
      </c>
      <c r="N832" t="n">
        <v>0</v>
      </c>
      <c r="O832" t="n">
        <v>0</v>
      </c>
      <c r="P832" t="n">
        <v>0</v>
      </c>
      <c r="Q832" t="n">
        <v>0</v>
      </c>
      <c r="R832" s="2" t="inlineStr"/>
    </row>
    <row r="833" ht="15" customHeight="1">
      <c r="A833" t="inlineStr">
        <is>
          <t>A 62576-2021</t>
        </is>
      </c>
      <c r="B833" s="1" t="n">
        <v>44502</v>
      </c>
      <c r="C833" s="1" t="n">
        <v>45627</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62845-2021</t>
        </is>
      </c>
      <c r="B834" s="1" t="n">
        <v>44504</v>
      </c>
      <c r="C834" s="1" t="n">
        <v>45627</v>
      </c>
      <c r="D834" t="inlineStr">
        <is>
          <t>VÄRMLANDS LÄN</t>
        </is>
      </c>
      <c r="E834" t="inlineStr">
        <is>
          <t>TORSBY</t>
        </is>
      </c>
      <c r="G834" t="n">
        <v>4.3</v>
      </c>
      <c r="H834" t="n">
        <v>0</v>
      </c>
      <c r="I834" t="n">
        <v>0</v>
      </c>
      <c r="J834" t="n">
        <v>0</v>
      </c>
      <c r="K834" t="n">
        <v>0</v>
      </c>
      <c r="L834" t="n">
        <v>0</v>
      </c>
      <c r="M834" t="n">
        <v>0</v>
      </c>
      <c r="N834" t="n">
        <v>0</v>
      </c>
      <c r="O834" t="n">
        <v>0</v>
      </c>
      <c r="P834" t="n">
        <v>0</v>
      </c>
      <c r="Q834" t="n">
        <v>0</v>
      </c>
      <c r="R834" s="2" t="inlineStr"/>
    </row>
    <row r="835" ht="15" customHeight="1">
      <c r="A835" t="inlineStr">
        <is>
          <t>A 63251-2021</t>
        </is>
      </c>
      <c r="B835" s="1" t="n">
        <v>44508</v>
      </c>
      <c r="C835" s="1" t="n">
        <v>45627</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63527-2021</t>
        </is>
      </c>
      <c r="B836" s="1" t="n">
        <v>44508</v>
      </c>
      <c r="C836" s="1" t="n">
        <v>45627</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64780-2021</t>
        </is>
      </c>
      <c r="B837" s="1" t="n">
        <v>44512</v>
      </c>
      <c r="C837" s="1" t="n">
        <v>45627</v>
      </c>
      <c r="D837" t="inlineStr">
        <is>
          <t>VÄRMLANDS LÄN</t>
        </is>
      </c>
      <c r="E837" t="inlineStr">
        <is>
          <t>TORSBY</t>
        </is>
      </c>
      <c r="G837" t="n">
        <v>2</v>
      </c>
      <c r="H837" t="n">
        <v>0</v>
      </c>
      <c r="I837" t="n">
        <v>0</v>
      </c>
      <c r="J837" t="n">
        <v>0</v>
      </c>
      <c r="K837" t="n">
        <v>0</v>
      </c>
      <c r="L837" t="n">
        <v>0</v>
      </c>
      <c r="M837" t="n">
        <v>0</v>
      </c>
      <c r="N837" t="n">
        <v>0</v>
      </c>
      <c r="O837" t="n">
        <v>0</v>
      </c>
      <c r="P837" t="n">
        <v>0</v>
      </c>
      <c r="Q837" t="n">
        <v>0</v>
      </c>
      <c r="R837" s="2" t="inlineStr"/>
    </row>
    <row r="838" ht="15" customHeight="1">
      <c r="A838" t="inlineStr">
        <is>
          <t>A 64902-2021</t>
        </is>
      </c>
      <c r="B838" s="1" t="n">
        <v>44512</v>
      </c>
      <c r="C838" s="1" t="n">
        <v>45627</v>
      </c>
      <c r="D838" t="inlineStr">
        <is>
          <t>VÄRMLANDS LÄN</t>
        </is>
      </c>
      <c r="E838" t="inlineStr">
        <is>
          <t>TORSBY</t>
        </is>
      </c>
      <c r="G838" t="n">
        <v>6.1</v>
      </c>
      <c r="H838" t="n">
        <v>0</v>
      </c>
      <c r="I838" t="n">
        <v>0</v>
      </c>
      <c r="J838" t="n">
        <v>0</v>
      </c>
      <c r="K838" t="n">
        <v>0</v>
      </c>
      <c r="L838" t="n">
        <v>0</v>
      </c>
      <c r="M838" t="n">
        <v>0</v>
      </c>
      <c r="N838" t="n">
        <v>0</v>
      </c>
      <c r="O838" t="n">
        <v>0</v>
      </c>
      <c r="P838" t="n">
        <v>0</v>
      </c>
      <c r="Q838" t="n">
        <v>0</v>
      </c>
      <c r="R838" s="2" t="inlineStr"/>
    </row>
    <row r="839" ht="15" customHeight="1">
      <c r="A839" t="inlineStr">
        <is>
          <t>A 65182-2021</t>
        </is>
      </c>
      <c r="B839" s="1" t="n">
        <v>44515</v>
      </c>
      <c r="C839" s="1" t="n">
        <v>45627</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65301-2021</t>
        </is>
      </c>
      <c r="B840" s="1" t="n">
        <v>44515</v>
      </c>
      <c r="C840" s="1" t="n">
        <v>45627</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65537-2021</t>
        </is>
      </c>
      <c r="B841" s="1" t="n">
        <v>44516</v>
      </c>
      <c r="C841" s="1" t="n">
        <v>45627</v>
      </c>
      <c r="D841" t="inlineStr">
        <is>
          <t>VÄRMLANDS LÄN</t>
        </is>
      </c>
      <c r="E841" t="inlineStr">
        <is>
          <t>TORSBY</t>
        </is>
      </c>
      <c r="G841" t="n">
        <v>2.8</v>
      </c>
      <c r="H841" t="n">
        <v>0</v>
      </c>
      <c r="I841" t="n">
        <v>0</v>
      </c>
      <c r="J841" t="n">
        <v>0</v>
      </c>
      <c r="K841" t="n">
        <v>0</v>
      </c>
      <c r="L841" t="n">
        <v>0</v>
      </c>
      <c r="M841" t="n">
        <v>0</v>
      </c>
      <c r="N841" t="n">
        <v>0</v>
      </c>
      <c r="O841" t="n">
        <v>0</v>
      </c>
      <c r="P841" t="n">
        <v>0</v>
      </c>
      <c r="Q841" t="n">
        <v>0</v>
      </c>
      <c r="R841" s="2" t="inlineStr"/>
    </row>
    <row r="842" ht="15" customHeight="1">
      <c r="A842" t="inlineStr">
        <is>
          <t>A 65713-2021</t>
        </is>
      </c>
      <c r="B842" s="1" t="n">
        <v>44516</v>
      </c>
      <c r="C842" s="1" t="n">
        <v>45627</v>
      </c>
      <c r="D842" t="inlineStr">
        <is>
          <t>VÄRMLANDS LÄN</t>
        </is>
      </c>
      <c r="E842" t="inlineStr">
        <is>
          <t>TORSBY</t>
        </is>
      </c>
      <c r="G842" t="n">
        <v>7</v>
      </c>
      <c r="H842" t="n">
        <v>0</v>
      </c>
      <c r="I842" t="n">
        <v>0</v>
      </c>
      <c r="J842" t="n">
        <v>0</v>
      </c>
      <c r="K842" t="n">
        <v>0</v>
      </c>
      <c r="L842" t="n">
        <v>0</v>
      </c>
      <c r="M842" t="n">
        <v>0</v>
      </c>
      <c r="N842" t="n">
        <v>0</v>
      </c>
      <c r="O842" t="n">
        <v>0</v>
      </c>
      <c r="P842" t="n">
        <v>0</v>
      </c>
      <c r="Q842" t="n">
        <v>0</v>
      </c>
      <c r="R842" s="2" t="inlineStr"/>
    </row>
    <row r="843" ht="15" customHeight="1">
      <c r="A843" t="inlineStr">
        <is>
          <t>A 65705-2021</t>
        </is>
      </c>
      <c r="B843" s="1" t="n">
        <v>44516</v>
      </c>
      <c r="C843" s="1" t="n">
        <v>45627</v>
      </c>
      <c r="D843" t="inlineStr">
        <is>
          <t>VÄRMLANDS LÄN</t>
        </is>
      </c>
      <c r="E843" t="inlineStr">
        <is>
          <t>TORSBY</t>
        </is>
      </c>
      <c r="G843" t="n">
        <v>4.5</v>
      </c>
      <c r="H843" t="n">
        <v>0</v>
      </c>
      <c r="I843" t="n">
        <v>0</v>
      </c>
      <c r="J843" t="n">
        <v>0</v>
      </c>
      <c r="K843" t="n">
        <v>0</v>
      </c>
      <c r="L843" t="n">
        <v>0</v>
      </c>
      <c r="M843" t="n">
        <v>0</v>
      </c>
      <c r="N843" t="n">
        <v>0</v>
      </c>
      <c r="O843" t="n">
        <v>0</v>
      </c>
      <c r="P843" t="n">
        <v>0</v>
      </c>
      <c r="Q843" t="n">
        <v>0</v>
      </c>
      <c r="R843" s="2" t="inlineStr"/>
    </row>
    <row r="844" ht="15" customHeight="1">
      <c r="A844" t="inlineStr">
        <is>
          <t>A 65959-2021</t>
        </is>
      </c>
      <c r="B844" s="1" t="n">
        <v>44517</v>
      </c>
      <c r="C844" s="1" t="n">
        <v>45627</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65998-2021</t>
        </is>
      </c>
      <c r="B845" s="1" t="n">
        <v>44517</v>
      </c>
      <c r="C845" s="1" t="n">
        <v>45627</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66103-2021</t>
        </is>
      </c>
      <c r="B846" s="1" t="n">
        <v>44517</v>
      </c>
      <c r="C846" s="1" t="n">
        <v>45627</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66133-2021</t>
        </is>
      </c>
      <c r="B847" s="1" t="n">
        <v>44517</v>
      </c>
      <c r="C847" s="1" t="n">
        <v>45627</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66978-2021</t>
        </is>
      </c>
      <c r="B848" s="1" t="n">
        <v>44522</v>
      </c>
      <c r="C848" s="1" t="n">
        <v>45627</v>
      </c>
      <c r="D848" t="inlineStr">
        <is>
          <t>VÄRMLANDS LÄN</t>
        </is>
      </c>
      <c r="E848" t="inlineStr">
        <is>
          <t>TORSBY</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67006-2021</t>
        </is>
      </c>
      <c r="B849" s="1" t="n">
        <v>44522</v>
      </c>
      <c r="C849" s="1" t="n">
        <v>45627</v>
      </c>
      <c r="D849" t="inlineStr">
        <is>
          <t>VÄRMLANDS LÄN</t>
        </is>
      </c>
      <c r="E849" t="inlineStr">
        <is>
          <t>TORSBY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67147-2021</t>
        </is>
      </c>
      <c r="B850" s="1" t="n">
        <v>44523</v>
      </c>
      <c r="C850" s="1" t="n">
        <v>45627</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67172-2021</t>
        </is>
      </c>
      <c r="B851" s="1" t="n">
        <v>44523</v>
      </c>
      <c r="C851" s="1" t="n">
        <v>45627</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67567-2021</t>
        </is>
      </c>
      <c r="B852" s="1" t="n">
        <v>44524</v>
      </c>
      <c r="C852" s="1" t="n">
        <v>45627</v>
      </c>
      <c r="D852" t="inlineStr">
        <is>
          <t>VÄRMLANDS LÄN</t>
        </is>
      </c>
      <c r="E852" t="inlineStr">
        <is>
          <t>TORSBY</t>
        </is>
      </c>
      <c r="G852" t="n">
        <v>0.8</v>
      </c>
      <c r="H852" t="n">
        <v>0</v>
      </c>
      <c r="I852" t="n">
        <v>0</v>
      </c>
      <c r="J852" t="n">
        <v>0</v>
      </c>
      <c r="K852" t="n">
        <v>0</v>
      </c>
      <c r="L852" t="n">
        <v>0</v>
      </c>
      <c r="M852" t="n">
        <v>0</v>
      </c>
      <c r="N852" t="n">
        <v>0</v>
      </c>
      <c r="O852" t="n">
        <v>0</v>
      </c>
      <c r="P852" t="n">
        <v>0</v>
      </c>
      <c r="Q852" t="n">
        <v>0</v>
      </c>
      <c r="R852" s="2" t="inlineStr"/>
    </row>
    <row r="853" ht="15" customHeight="1">
      <c r="A853" t="inlineStr">
        <is>
          <t>A 67457-2021</t>
        </is>
      </c>
      <c r="B853" s="1" t="n">
        <v>44524</v>
      </c>
      <c r="C853" s="1" t="n">
        <v>45627</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67933-2021</t>
        </is>
      </c>
      <c r="B854" s="1" t="n">
        <v>44525</v>
      </c>
      <c r="C854" s="1" t="n">
        <v>45627</v>
      </c>
      <c r="D854" t="inlineStr">
        <is>
          <t>VÄRMLANDS LÄN</t>
        </is>
      </c>
      <c r="E854" t="inlineStr">
        <is>
          <t>TORSBY</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67913-2021</t>
        </is>
      </c>
      <c r="B855" s="1" t="n">
        <v>44525</v>
      </c>
      <c r="C855" s="1" t="n">
        <v>45627</v>
      </c>
      <c r="D855" t="inlineStr">
        <is>
          <t>VÄRMLANDS LÄN</t>
        </is>
      </c>
      <c r="E855" t="inlineStr">
        <is>
          <t>TORSBY</t>
        </is>
      </c>
      <c r="F855" t="inlineStr">
        <is>
          <t>Bergvik skog väst AB</t>
        </is>
      </c>
      <c r="G855" t="n">
        <v>8</v>
      </c>
      <c r="H855" t="n">
        <v>0</v>
      </c>
      <c r="I855" t="n">
        <v>0</v>
      </c>
      <c r="J855" t="n">
        <v>0</v>
      </c>
      <c r="K855" t="n">
        <v>0</v>
      </c>
      <c r="L855" t="n">
        <v>0</v>
      </c>
      <c r="M855" t="n">
        <v>0</v>
      </c>
      <c r="N855" t="n">
        <v>0</v>
      </c>
      <c r="O855" t="n">
        <v>0</v>
      </c>
      <c r="P855" t="n">
        <v>0</v>
      </c>
      <c r="Q855" t="n">
        <v>0</v>
      </c>
      <c r="R855" s="2" t="inlineStr"/>
    </row>
    <row r="856" ht="15" customHeight="1">
      <c r="A856" t="inlineStr">
        <is>
          <t>A 69279-2021</t>
        </is>
      </c>
      <c r="B856" s="1" t="n">
        <v>44526</v>
      </c>
      <c r="C856" s="1" t="n">
        <v>45627</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69265-2021</t>
        </is>
      </c>
      <c r="B857" s="1" t="n">
        <v>44526</v>
      </c>
      <c r="C857" s="1" t="n">
        <v>45627</v>
      </c>
      <c r="D857" t="inlineStr">
        <is>
          <t>VÄRMLANDS LÄN</t>
        </is>
      </c>
      <c r="E857" t="inlineStr">
        <is>
          <t>TORSBY</t>
        </is>
      </c>
      <c r="G857" t="n">
        <v>11.1</v>
      </c>
      <c r="H857" t="n">
        <v>0</v>
      </c>
      <c r="I857" t="n">
        <v>0</v>
      </c>
      <c r="J857" t="n">
        <v>0</v>
      </c>
      <c r="K857" t="n">
        <v>0</v>
      </c>
      <c r="L857" t="n">
        <v>0</v>
      </c>
      <c r="M857" t="n">
        <v>0</v>
      </c>
      <c r="N857" t="n">
        <v>0</v>
      </c>
      <c r="O857" t="n">
        <v>0</v>
      </c>
      <c r="P857" t="n">
        <v>0</v>
      </c>
      <c r="Q857" t="n">
        <v>0</v>
      </c>
      <c r="R857" s="2" t="inlineStr"/>
    </row>
    <row r="858" ht="15" customHeight="1">
      <c r="A858" t="inlineStr">
        <is>
          <t>A 69275-2021</t>
        </is>
      </c>
      <c r="B858" s="1" t="n">
        <v>44526</v>
      </c>
      <c r="C858" s="1" t="n">
        <v>45627</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68153-2021</t>
        </is>
      </c>
      <c r="B859" s="1" t="n">
        <v>44526</v>
      </c>
      <c r="C859" s="1" t="n">
        <v>45627</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69281-2021</t>
        </is>
      </c>
      <c r="B860" s="1" t="n">
        <v>44526</v>
      </c>
      <c r="C860" s="1" t="n">
        <v>45627</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68266-2021</t>
        </is>
      </c>
      <c r="B861" s="1" t="n">
        <v>44526</v>
      </c>
      <c r="C861" s="1" t="n">
        <v>45627</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68136-2021</t>
        </is>
      </c>
      <c r="B862" s="1" t="n">
        <v>44526</v>
      </c>
      <c r="C862" s="1" t="n">
        <v>45627</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68650-2021</t>
        </is>
      </c>
      <c r="B863" s="1" t="n">
        <v>44529</v>
      </c>
      <c r="C863" s="1" t="n">
        <v>45627</v>
      </c>
      <c r="D863" t="inlineStr">
        <is>
          <t>VÄRMLANDS LÄN</t>
        </is>
      </c>
      <c r="E863" t="inlineStr">
        <is>
          <t>TORSBY</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68850-2021</t>
        </is>
      </c>
      <c r="B864" s="1" t="n">
        <v>44530</v>
      </c>
      <c r="C864" s="1" t="n">
        <v>45627</v>
      </c>
      <c r="D864" t="inlineStr">
        <is>
          <t>VÄRMLANDS LÄN</t>
        </is>
      </c>
      <c r="E864" t="inlineStr">
        <is>
          <t>TORSBY</t>
        </is>
      </c>
      <c r="G864" t="n">
        <v>13.1</v>
      </c>
      <c r="H864" t="n">
        <v>0</v>
      </c>
      <c r="I864" t="n">
        <v>0</v>
      </c>
      <c r="J864" t="n">
        <v>0</v>
      </c>
      <c r="K864" t="n">
        <v>0</v>
      </c>
      <c r="L864" t="n">
        <v>0</v>
      </c>
      <c r="M864" t="n">
        <v>0</v>
      </c>
      <c r="N864" t="n">
        <v>0</v>
      </c>
      <c r="O864" t="n">
        <v>0</v>
      </c>
      <c r="P864" t="n">
        <v>0</v>
      </c>
      <c r="Q864" t="n">
        <v>0</v>
      </c>
      <c r="R864" s="2" t="inlineStr"/>
    </row>
    <row r="865" ht="15" customHeight="1">
      <c r="A865" t="inlineStr">
        <is>
          <t>A 68855-2021</t>
        </is>
      </c>
      <c r="B865" s="1" t="n">
        <v>44530</v>
      </c>
      <c r="C865" s="1" t="n">
        <v>45627</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69026-2021</t>
        </is>
      </c>
      <c r="B866" s="1" t="n">
        <v>44530</v>
      </c>
      <c r="C866" s="1" t="n">
        <v>45627</v>
      </c>
      <c r="D866" t="inlineStr">
        <is>
          <t>VÄRMLANDS LÄN</t>
        </is>
      </c>
      <c r="E866" t="inlineStr">
        <is>
          <t>TORSBY</t>
        </is>
      </c>
      <c r="F866" t="inlineStr">
        <is>
          <t>Bergvik skog väst AB</t>
        </is>
      </c>
      <c r="G866" t="n">
        <v>11.3</v>
      </c>
      <c r="H866" t="n">
        <v>0</v>
      </c>
      <c r="I866" t="n">
        <v>0</v>
      </c>
      <c r="J866" t="n">
        <v>0</v>
      </c>
      <c r="K866" t="n">
        <v>0</v>
      </c>
      <c r="L866" t="n">
        <v>0</v>
      </c>
      <c r="M866" t="n">
        <v>0</v>
      </c>
      <c r="N866" t="n">
        <v>0</v>
      </c>
      <c r="O866" t="n">
        <v>0</v>
      </c>
      <c r="P866" t="n">
        <v>0</v>
      </c>
      <c r="Q866" t="n">
        <v>0</v>
      </c>
      <c r="R866" s="2" t="inlineStr"/>
    </row>
    <row r="867" ht="15" customHeight="1">
      <c r="A867" t="inlineStr">
        <is>
          <t>A 69086-2021</t>
        </is>
      </c>
      <c r="B867" s="1" t="n">
        <v>44530</v>
      </c>
      <c r="C867" s="1" t="n">
        <v>45627</v>
      </c>
      <c r="D867" t="inlineStr">
        <is>
          <t>VÄRMLANDS LÄN</t>
        </is>
      </c>
      <c r="E867" t="inlineStr">
        <is>
          <t>TORSBY</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69877-2021</t>
        </is>
      </c>
      <c r="B868" s="1" t="n">
        <v>44532</v>
      </c>
      <c r="C868" s="1" t="n">
        <v>45627</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69878-2021</t>
        </is>
      </c>
      <c r="B869" s="1" t="n">
        <v>44532</v>
      </c>
      <c r="C869" s="1" t="n">
        <v>45627</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70166-2021</t>
        </is>
      </c>
      <c r="B870" s="1" t="n">
        <v>44533</v>
      </c>
      <c r="C870" s="1" t="n">
        <v>45627</v>
      </c>
      <c r="D870" t="inlineStr">
        <is>
          <t>VÄRMLANDS LÄN</t>
        </is>
      </c>
      <c r="E870" t="inlineStr">
        <is>
          <t>TORSBY</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69974-2021</t>
        </is>
      </c>
      <c r="B871" s="1" t="n">
        <v>44533</v>
      </c>
      <c r="C871" s="1" t="n">
        <v>45627</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70241-2021</t>
        </is>
      </c>
      <c r="B872" s="1" t="n">
        <v>44536</v>
      </c>
      <c r="C872" s="1" t="n">
        <v>45627</v>
      </c>
      <c r="D872" t="inlineStr">
        <is>
          <t>VÄRMLANDS LÄN</t>
        </is>
      </c>
      <c r="E872" t="inlineStr">
        <is>
          <t>TORSBY</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70253-2021</t>
        </is>
      </c>
      <c r="B873" s="1" t="n">
        <v>44536</v>
      </c>
      <c r="C873" s="1" t="n">
        <v>45627</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70658-2021</t>
        </is>
      </c>
      <c r="B874" s="1" t="n">
        <v>44537</v>
      </c>
      <c r="C874" s="1" t="n">
        <v>45627</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70787-2021</t>
        </is>
      </c>
      <c r="B875" s="1" t="n">
        <v>44537</v>
      </c>
      <c r="C875" s="1" t="n">
        <v>45627</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70775-2021</t>
        </is>
      </c>
      <c r="B876" s="1" t="n">
        <v>44537</v>
      </c>
      <c r="C876" s="1" t="n">
        <v>45627</v>
      </c>
      <c r="D876" t="inlineStr">
        <is>
          <t>VÄRMLANDS LÄN</t>
        </is>
      </c>
      <c r="E876" t="inlineStr">
        <is>
          <t>TORSBY</t>
        </is>
      </c>
      <c r="G876" t="n">
        <v>0.3</v>
      </c>
      <c r="H876" t="n">
        <v>0</v>
      </c>
      <c r="I876" t="n">
        <v>0</v>
      </c>
      <c r="J876" t="n">
        <v>0</v>
      </c>
      <c r="K876" t="n">
        <v>0</v>
      </c>
      <c r="L876" t="n">
        <v>0</v>
      </c>
      <c r="M876" t="n">
        <v>0</v>
      </c>
      <c r="N876" t="n">
        <v>0</v>
      </c>
      <c r="O876" t="n">
        <v>0</v>
      </c>
      <c r="P876" t="n">
        <v>0</v>
      </c>
      <c r="Q876" t="n">
        <v>0</v>
      </c>
      <c r="R876" s="2" t="inlineStr"/>
    </row>
    <row r="877" ht="15" customHeight="1">
      <c r="A877" t="inlineStr">
        <is>
          <t>A 70785-2021</t>
        </is>
      </c>
      <c r="B877" s="1" t="n">
        <v>44537</v>
      </c>
      <c r="C877" s="1" t="n">
        <v>45627</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70978-2021</t>
        </is>
      </c>
      <c r="B878" s="1" t="n">
        <v>44537</v>
      </c>
      <c r="C878" s="1" t="n">
        <v>45627</v>
      </c>
      <c r="D878" t="inlineStr">
        <is>
          <t>VÄRMLANDS LÄN</t>
        </is>
      </c>
      <c r="E878" t="inlineStr">
        <is>
          <t>TORSBY</t>
        </is>
      </c>
      <c r="G878" t="n">
        <v>12.6</v>
      </c>
      <c r="H878" t="n">
        <v>0</v>
      </c>
      <c r="I878" t="n">
        <v>0</v>
      </c>
      <c r="J878" t="n">
        <v>0</v>
      </c>
      <c r="K878" t="n">
        <v>0</v>
      </c>
      <c r="L878" t="n">
        <v>0</v>
      </c>
      <c r="M878" t="n">
        <v>0</v>
      </c>
      <c r="N878" t="n">
        <v>0</v>
      </c>
      <c r="O878" t="n">
        <v>0</v>
      </c>
      <c r="P878" t="n">
        <v>0</v>
      </c>
      <c r="Q878" t="n">
        <v>0</v>
      </c>
      <c r="R878" s="2" t="inlineStr"/>
    </row>
    <row r="879" ht="15" customHeight="1">
      <c r="A879" t="inlineStr">
        <is>
          <t>A 70926-2021</t>
        </is>
      </c>
      <c r="B879" s="1" t="n">
        <v>44538</v>
      </c>
      <c r="C879" s="1" t="n">
        <v>45627</v>
      </c>
      <c r="D879" t="inlineStr">
        <is>
          <t>VÄRMLANDS LÄN</t>
        </is>
      </c>
      <c r="E879" t="inlineStr">
        <is>
          <t>TORSBY</t>
        </is>
      </c>
      <c r="G879" t="n">
        <v>6.5</v>
      </c>
      <c r="H879" t="n">
        <v>0</v>
      </c>
      <c r="I879" t="n">
        <v>0</v>
      </c>
      <c r="J879" t="n">
        <v>0</v>
      </c>
      <c r="K879" t="n">
        <v>0</v>
      </c>
      <c r="L879" t="n">
        <v>0</v>
      </c>
      <c r="M879" t="n">
        <v>0</v>
      </c>
      <c r="N879" t="n">
        <v>0</v>
      </c>
      <c r="O879" t="n">
        <v>0</v>
      </c>
      <c r="P879" t="n">
        <v>0</v>
      </c>
      <c r="Q879" t="n">
        <v>0</v>
      </c>
      <c r="R879" s="2" t="inlineStr"/>
    </row>
    <row r="880" ht="15" customHeight="1">
      <c r="A880" t="inlineStr">
        <is>
          <t>A 70924-2021</t>
        </is>
      </c>
      <c r="B880" s="1" t="n">
        <v>44538</v>
      </c>
      <c r="C880" s="1" t="n">
        <v>45627</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71255-2021</t>
        </is>
      </c>
      <c r="B881" s="1" t="n">
        <v>44538</v>
      </c>
      <c r="C881" s="1" t="n">
        <v>45627</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71084-2021</t>
        </is>
      </c>
      <c r="B882" s="1" t="n">
        <v>44539</v>
      </c>
      <c r="C882" s="1" t="n">
        <v>45627</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71469-2021</t>
        </is>
      </c>
      <c r="B883" s="1" t="n">
        <v>44540</v>
      </c>
      <c r="C883" s="1" t="n">
        <v>45627</v>
      </c>
      <c r="D883" t="inlineStr">
        <is>
          <t>VÄRMLANDS LÄN</t>
        </is>
      </c>
      <c r="E883" t="inlineStr">
        <is>
          <t>TORSBY</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71679-2021</t>
        </is>
      </c>
      <c r="B884" s="1" t="n">
        <v>44543</v>
      </c>
      <c r="C884" s="1" t="n">
        <v>45627</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71990-2021</t>
        </is>
      </c>
      <c r="B885" s="1" t="n">
        <v>44544</v>
      </c>
      <c r="C885" s="1" t="n">
        <v>45627</v>
      </c>
      <c r="D885" t="inlineStr">
        <is>
          <t>VÄRMLANDS LÄN</t>
        </is>
      </c>
      <c r="E885" t="inlineStr">
        <is>
          <t>TORSBY</t>
        </is>
      </c>
      <c r="G885" t="n">
        <v>4.6</v>
      </c>
      <c r="H885" t="n">
        <v>0</v>
      </c>
      <c r="I885" t="n">
        <v>0</v>
      </c>
      <c r="J885" t="n">
        <v>0</v>
      </c>
      <c r="K885" t="n">
        <v>0</v>
      </c>
      <c r="L885" t="n">
        <v>0</v>
      </c>
      <c r="M885" t="n">
        <v>0</v>
      </c>
      <c r="N885" t="n">
        <v>0</v>
      </c>
      <c r="O885" t="n">
        <v>0</v>
      </c>
      <c r="P885" t="n">
        <v>0</v>
      </c>
      <c r="Q885" t="n">
        <v>0</v>
      </c>
      <c r="R885" s="2" t="inlineStr"/>
    </row>
    <row r="886" ht="15" customHeight="1">
      <c r="A886" t="inlineStr">
        <is>
          <t>A 72200-2021</t>
        </is>
      </c>
      <c r="B886" s="1" t="n">
        <v>44544</v>
      </c>
      <c r="C886" s="1" t="n">
        <v>45627</v>
      </c>
      <c r="D886" t="inlineStr">
        <is>
          <t>VÄRMLANDS LÄN</t>
        </is>
      </c>
      <c r="E886" t="inlineStr">
        <is>
          <t>TORSBY</t>
        </is>
      </c>
      <c r="G886" t="n">
        <v>3.3</v>
      </c>
      <c r="H886" t="n">
        <v>0</v>
      </c>
      <c r="I886" t="n">
        <v>0</v>
      </c>
      <c r="J886" t="n">
        <v>0</v>
      </c>
      <c r="K886" t="n">
        <v>0</v>
      </c>
      <c r="L886" t="n">
        <v>0</v>
      </c>
      <c r="M886" t="n">
        <v>0</v>
      </c>
      <c r="N886" t="n">
        <v>0</v>
      </c>
      <c r="O886" t="n">
        <v>0</v>
      </c>
      <c r="P886" t="n">
        <v>0</v>
      </c>
      <c r="Q886" t="n">
        <v>0</v>
      </c>
      <c r="R886" s="2" t="inlineStr"/>
    </row>
    <row r="887" ht="15" customHeight="1">
      <c r="A887" t="inlineStr">
        <is>
          <t>A 72250-2021</t>
        </is>
      </c>
      <c r="B887" s="1" t="n">
        <v>44544</v>
      </c>
      <c r="C887" s="1" t="n">
        <v>45627</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73055-2021</t>
        </is>
      </c>
      <c r="B888" s="1" t="n">
        <v>44550</v>
      </c>
      <c r="C888" s="1" t="n">
        <v>45627</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73324-2021</t>
        </is>
      </c>
      <c r="B889" s="1" t="n">
        <v>44550</v>
      </c>
      <c r="C889" s="1" t="n">
        <v>45627</v>
      </c>
      <c r="D889" t="inlineStr">
        <is>
          <t>VÄRMLANDS LÄN</t>
        </is>
      </c>
      <c r="E889" t="inlineStr">
        <is>
          <t>TORSBY</t>
        </is>
      </c>
      <c r="G889" t="n">
        <v>9.9</v>
      </c>
      <c r="H889" t="n">
        <v>0</v>
      </c>
      <c r="I889" t="n">
        <v>0</v>
      </c>
      <c r="J889" t="n">
        <v>0</v>
      </c>
      <c r="K889" t="n">
        <v>0</v>
      </c>
      <c r="L889" t="n">
        <v>0</v>
      </c>
      <c r="M889" t="n">
        <v>0</v>
      </c>
      <c r="N889" t="n">
        <v>0</v>
      </c>
      <c r="O889" t="n">
        <v>0</v>
      </c>
      <c r="P889" t="n">
        <v>0</v>
      </c>
      <c r="Q889" t="n">
        <v>0</v>
      </c>
      <c r="R889" s="2" t="inlineStr"/>
    </row>
    <row r="890" ht="15" customHeight="1">
      <c r="A890" t="inlineStr">
        <is>
          <t>A 73165-2021</t>
        </is>
      </c>
      <c r="B890" s="1" t="n">
        <v>44550</v>
      </c>
      <c r="C890" s="1" t="n">
        <v>45627</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73442-2021</t>
        </is>
      </c>
      <c r="B891" s="1" t="n">
        <v>44551</v>
      </c>
      <c r="C891" s="1" t="n">
        <v>45627</v>
      </c>
      <c r="D891" t="inlineStr">
        <is>
          <t>VÄRMLANDS LÄN</t>
        </is>
      </c>
      <c r="E891" t="inlineStr">
        <is>
          <t>TORSBY</t>
        </is>
      </c>
      <c r="F891" t="inlineStr">
        <is>
          <t>Bergvik skog väst AB</t>
        </is>
      </c>
      <c r="G891" t="n">
        <v>4.1</v>
      </c>
      <c r="H891" t="n">
        <v>0</v>
      </c>
      <c r="I891" t="n">
        <v>0</v>
      </c>
      <c r="J891" t="n">
        <v>0</v>
      </c>
      <c r="K891" t="n">
        <v>0</v>
      </c>
      <c r="L891" t="n">
        <v>0</v>
      </c>
      <c r="M891" t="n">
        <v>0</v>
      </c>
      <c r="N891" t="n">
        <v>0</v>
      </c>
      <c r="O891" t="n">
        <v>0</v>
      </c>
      <c r="P891" t="n">
        <v>0</v>
      </c>
      <c r="Q891" t="n">
        <v>0</v>
      </c>
      <c r="R891" s="2" t="inlineStr"/>
    </row>
    <row r="892" ht="15" customHeight="1">
      <c r="A892" t="inlineStr">
        <is>
          <t>A 73553-2021</t>
        </is>
      </c>
      <c r="B892" s="1" t="n">
        <v>44551</v>
      </c>
      <c r="C892" s="1" t="n">
        <v>45627</v>
      </c>
      <c r="D892" t="inlineStr">
        <is>
          <t>VÄRMLANDS LÄN</t>
        </is>
      </c>
      <c r="E892" t="inlineStr">
        <is>
          <t>TORSBY</t>
        </is>
      </c>
      <c r="G892" t="n">
        <v>5.1</v>
      </c>
      <c r="H892" t="n">
        <v>0</v>
      </c>
      <c r="I892" t="n">
        <v>0</v>
      </c>
      <c r="J892" t="n">
        <v>0</v>
      </c>
      <c r="K892" t="n">
        <v>0</v>
      </c>
      <c r="L892" t="n">
        <v>0</v>
      </c>
      <c r="M892" t="n">
        <v>0</v>
      </c>
      <c r="N892" t="n">
        <v>0</v>
      </c>
      <c r="O892" t="n">
        <v>0</v>
      </c>
      <c r="P892" t="n">
        <v>0</v>
      </c>
      <c r="Q892" t="n">
        <v>0</v>
      </c>
      <c r="R892" s="2" t="inlineStr"/>
    </row>
    <row r="893" ht="15" customHeight="1">
      <c r="A893" t="inlineStr">
        <is>
          <t>A 73521-2021</t>
        </is>
      </c>
      <c r="B893" s="1" t="n">
        <v>44551</v>
      </c>
      <c r="C893" s="1" t="n">
        <v>45627</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73882-2021</t>
        </is>
      </c>
      <c r="B894" s="1" t="n">
        <v>44553</v>
      </c>
      <c r="C894" s="1" t="n">
        <v>45627</v>
      </c>
      <c r="D894" t="inlineStr">
        <is>
          <t>VÄRMLANDS LÄN</t>
        </is>
      </c>
      <c r="E894" t="inlineStr">
        <is>
          <t>TORSBY</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73874-2021</t>
        </is>
      </c>
      <c r="B895" s="1" t="n">
        <v>44553</v>
      </c>
      <c r="C895" s="1" t="n">
        <v>45627</v>
      </c>
      <c r="D895" t="inlineStr">
        <is>
          <t>VÄRMLANDS LÄN</t>
        </is>
      </c>
      <c r="E895" t="inlineStr">
        <is>
          <t>TORSBY</t>
        </is>
      </c>
      <c r="G895" t="n">
        <v>6.6</v>
      </c>
      <c r="H895" t="n">
        <v>0</v>
      </c>
      <c r="I895" t="n">
        <v>0</v>
      </c>
      <c r="J895" t="n">
        <v>0</v>
      </c>
      <c r="K895" t="n">
        <v>0</v>
      </c>
      <c r="L895" t="n">
        <v>0</v>
      </c>
      <c r="M895" t="n">
        <v>0</v>
      </c>
      <c r="N895" t="n">
        <v>0</v>
      </c>
      <c r="O895" t="n">
        <v>0</v>
      </c>
      <c r="P895" t="n">
        <v>0</v>
      </c>
      <c r="Q895" t="n">
        <v>0</v>
      </c>
      <c r="R895" s="2" t="inlineStr"/>
    </row>
    <row r="896" ht="15" customHeight="1">
      <c r="A896" t="inlineStr">
        <is>
          <t>A 74012-2021</t>
        </is>
      </c>
      <c r="B896" s="1" t="n">
        <v>44553</v>
      </c>
      <c r="C896" s="1" t="n">
        <v>45627</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74079-2021</t>
        </is>
      </c>
      <c r="B897" s="1" t="n">
        <v>44557</v>
      </c>
      <c r="C897" s="1" t="n">
        <v>45627</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74375-2021</t>
        </is>
      </c>
      <c r="B898" s="1" t="n">
        <v>44559</v>
      </c>
      <c r="C898" s="1" t="n">
        <v>45627</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74374-2021</t>
        </is>
      </c>
      <c r="B899" s="1" t="n">
        <v>44559</v>
      </c>
      <c r="C899" s="1" t="n">
        <v>45627</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74351-2021</t>
        </is>
      </c>
      <c r="B900" s="1" t="n">
        <v>44559</v>
      </c>
      <c r="C900" s="1" t="n">
        <v>45627</v>
      </c>
      <c r="D900" t="inlineStr">
        <is>
          <t>VÄRMLANDS LÄN</t>
        </is>
      </c>
      <c r="E900" t="inlineStr">
        <is>
          <t>TORSBY</t>
        </is>
      </c>
      <c r="F900" t="inlineStr">
        <is>
          <t>Bergvik skog väst AB</t>
        </is>
      </c>
      <c r="G900" t="n">
        <v>9.1</v>
      </c>
      <c r="H900" t="n">
        <v>0</v>
      </c>
      <c r="I900" t="n">
        <v>0</v>
      </c>
      <c r="J900" t="n">
        <v>0</v>
      </c>
      <c r="K900" t="n">
        <v>0</v>
      </c>
      <c r="L900" t="n">
        <v>0</v>
      </c>
      <c r="M900" t="n">
        <v>0</v>
      </c>
      <c r="N900" t="n">
        <v>0</v>
      </c>
      <c r="O900" t="n">
        <v>0</v>
      </c>
      <c r="P900" t="n">
        <v>0</v>
      </c>
      <c r="Q900" t="n">
        <v>0</v>
      </c>
      <c r="R900" s="2" t="inlineStr"/>
    </row>
    <row r="901" ht="15" customHeight="1">
      <c r="A901" t="inlineStr">
        <is>
          <t>A 361-2022</t>
        </is>
      </c>
      <c r="B901" s="1" t="n">
        <v>44565</v>
      </c>
      <c r="C901" s="1" t="n">
        <v>45627</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739-2022</t>
        </is>
      </c>
      <c r="B902" s="1" t="n">
        <v>44568</v>
      </c>
      <c r="C902" s="1" t="n">
        <v>45627</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997-2022</t>
        </is>
      </c>
      <c r="B903" s="1" t="n">
        <v>44571</v>
      </c>
      <c r="C903" s="1" t="n">
        <v>45627</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1839-2022</t>
        </is>
      </c>
      <c r="B904" s="1" t="n">
        <v>44574</v>
      </c>
      <c r="C904" s="1" t="n">
        <v>45627</v>
      </c>
      <c r="D904" t="inlineStr">
        <is>
          <t>VÄRMLANDS LÄN</t>
        </is>
      </c>
      <c r="E904" t="inlineStr">
        <is>
          <t>TORSBY</t>
        </is>
      </c>
      <c r="G904" t="n">
        <v>5.3</v>
      </c>
      <c r="H904" t="n">
        <v>0</v>
      </c>
      <c r="I904" t="n">
        <v>0</v>
      </c>
      <c r="J904" t="n">
        <v>0</v>
      </c>
      <c r="K904" t="n">
        <v>0</v>
      </c>
      <c r="L904" t="n">
        <v>0</v>
      </c>
      <c r="M904" t="n">
        <v>0</v>
      </c>
      <c r="N904" t="n">
        <v>0</v>
      </c>
      <c r="O904" t="n">
        <v>0</v>
      </c>
      <c r="P904" t="n">
        <v>0</v>
      </c>
      <c r="Q904" t="n">
        <v>0</v>
      </c>
      <c r="R904" s="2" t="inlineStr"/>
    </row>
    <row r="905" ht="15" customHeight="1">
      <c r="A905" t="inlineStr">
        <is>
          <t>A 1911-2022</t>
        </is>
      </c>
      <c r="B905" s="1" t="n">
        <v>44575</v>
      </c>
      <c r="C905" s="1" t="n">
        <v>45627</v>
      </c>
      <c r="D905" t="inlineStr">
        <is>
          <t>VÄRMLANDS LÄN</t>
        </is>
      </c>
      <c r="E905" t="inlineStr">
        <is>
          <t>TORSBY</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2414-2022</t>
        </is>
      </c>
      <c r="B906" s="1" t="n">
        <v>44579</v>
      </c>
      <c r="C906" s="1" t="n">
        <v>45627</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2421-2022</t>
        </is>
      </c>
      <c r="B907" s="1" t="n">
        <v>44579</v>
      </c>
      <c r="C907" s="1" t="n">
        <v>45627</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2699-2022</t>
        </is>
      </c>
      <c r="B908" s="1" t="n">
        <v>44580</v>
      </c>
      <c r="C908" s="1" t="n">
        <v>45627</v>
      </c>
      <c r="D908" t="inlineStr">
        <is>
          <t>VÄRMLANDS LÄN</t>
        </is>
      </c>
      <c r="E908" t="inlineStr">
        <is>
          <t>TORSBY</t>
        </is>
      </c>
      <c r="G908" t="n">
        <v>0.4</v>
      </c>
      <c r="H908" t="n">
        <v>0</v>
      </c>
      <c r="I908" t="n">
        <v>0</v>
      </c>
      <c r="J908" t="n">
        <v>0</v>
      </c>
      <c r="K908" t="n">
        <v>0</v>
      </c>
      <c r="L908" t="n">
        <v>0</v>
      </c>
      <c r="M908" t="n">
        <v>0</v>
      </c>
      <c r="N908" t="n">
        <v>0</v>
      </c>
      <c r="O908" t="n">
        <v>0</v>
      </c>
      <c r="P908" t="n">
        <v>0</v>
      </c>
      <c r="Q908" t="n">
        <v>0</v>
      </c>
      <c r="R908" s="2" t="inlineStr"/>
    </row>
    <row r="909" ht="15" customHeight="1">
      <c r="A909" t="inlineStr">
        <is>
          <t>A 3071-2022</t>
        </is>
      </c>
      <c r="B909" s="1" t="n">
        <v>44582</v>
      </c>
      <c r="C909" s="1" t="n">
        <v>45627</v>
      </c>
      <c r="D909" t="inlineStr">
        <is>
          <t>VÄRMLANDS LÄN</t>
        </is>
      </c>
      <c r="E909" t="inlineStr">
        <is>
          <t>TORSBY</t>
        </is>
      </c>
      <c r="G909" t="n">
        <v>7.9</v>
      </c>
      <c r="H909" t="n">
        <v>0</v>
      </c>
      <c r="I909" t="n">
        <v>0</v>
      </c>
      <c r="J909" t="n">
        <v>0</v>
      </c>
      <c r="K909" t="n">
        <v>0</v>
      </c>
      <c r="L909" t="n">
        <v>0</v>
      </c>
      <c r="M909" t="n">
        <v>0</v>
      </c>
      <c r="N909" t="n">
        <v>0</v>
      </c>
      <c r="O909" t="n">
        <v>0</v>
      </c>
      <c r="P909" t="n">
        <v>0</v>
      </c>
      <c r="Q909" t="n">
        <v>0</v>
      </c>
      <c r="R909" s="2" t="inlineStr"/>
    </row>
    <row r="910" ht="15" customHeight="1">
      <c r="A910" t="inlineStr">
        <is>
          <t>A 3369-2022</t>
        </is>
      </c>
      <c r="B910" s="1" t="n">
        <v>44585</v>
      </c>
      <c r="C910" s="1" t="n">
        <v>45627</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3385-2022</t>
        </is>
      </c>
      <c r="B911" s="1" t="n">
        <v>44585</v>
      </c>
      <c r="C911" s="1" t="n">
        <v>45627</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3397-2022</t>
        </is>
      </c>
      <c r="B912" s="1" t="n">
        <v>44585</v>
      </c>
      <c r="C912" s="1" t="n">
        <v>45627</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3387-2022</t>
        </is>
      </c>
      <c r="B913" s="1" t="n">
        <v>44585</v>
      </c>
      <c r="C913" s="1" t="n">
        <v>45627</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3382-2022</t>
        </is>
      </c>
      <c r="B914" s="1" t="n">
        <v>44585</v>
      </c>
      <c r="C914" s="1" t="n">
        <v>45627</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3390-2022</t>
        </is>
      </c>
      <c r="B915" s="1" t="n">
        <v>44585</v>
      </c>
      <c r="C915" s="1" t="n">
        <v>45627</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3393-2022</t>
        </is>
      </c>
      <c r="B916" s="1" t="n">
        <v>44585</v>
      </c>
      <c r="C916" s="1" t="n">
        <v>45627</v>
      </c>
      <c r="D916" t="inlineStr">
        <is>
          <t>VÄRMLANDS LÄN</t>
        </is>
      </c>
      <c r="E916" t="inlineStr">
        <is>
          <t>TORSBY</t>
        </is>
      </c>
      <c r="G916" t="n">
        <v>3.1</v>
      </c>
      <c r="H916" t="n">
        <v>0</v>
      </c>
      <c r="I916" t="n">
        <v>0</v>
      </c>
      <c r="J916" t="n">
        <v>0</v>
      </c>
      <c r="K916" t="n">
        <v>0</v>
      </c>
      <c r="L916" t="n">
        <v>0</v>
      </c>
      <c r="M916" t="n">
        <v>0</v>
      </c>
      <c r="N916" t="n">
        <v>0</v>
      </c>
      <c r="O916" t="n">
        <v>0</v>
      </c>
      <c r="P916" t="n">
        <v>0</v>
      </c>
      <c r="Q916" t="n">
        <v>0</v>
      </c>
      <c r="R916" s="2" t="inlineStr"/>
    </row>
    <row r="917" ht="15" customHeight="1">
      <c r="A917" t="inlineStr">
        <is>
          <t>A 3749-2022</t>
        </is>
      </c>
      <c r="B917" s="1" t="n">
        <v>44586</v>
      </c>
      <c r="C917" s="1" t="n">
        <v>45627</v>
      </c>
      <c r="D917" t="inlineStr">
        <is>
          <t>VÄRMLANDS LÄN</t>
        </is>
      </c>
      <c r="E917" t="inlineStr">
        <is>
          <t>TORSBY</t>
        </is>
      </c>
      <c r="G917" t="n">
        <v>6.3</v>
      </c>
      <c r="H917" t="n">
        <v>0</v>
      </c>
      <c r="I917" t="n">
        <v>0</v>
      </c>
      <c r="J917" t="n">
        <v>0</v>
      </c>
      <c r="K917" t="n">
        <v>0</v>
      </c>
      <c r="L917" t="n">
        <v>0</v>
      </c>
      <c r="M917" t="n">
        <v>0</v>
      </c>
      <c r="N917" t="n">
        <v>0</v>
      </c>
      <c r="O917" t="n">
        <v>0</v>
      </c>
      <c r="P917" t="n">
        <v>0</v>
      </c>
      <c r="Q917" t="n">
        <v>0</v>
      </c>
      <c r="R917" s="2" t="inlineStr"/>
    </row>
    <row r="918" ht="15" customHeight="1">
      <c r="A918" t="inlineStr">
        <is>
          <t>A 3841-2022</t>
        </is>
      </c>
      <c r="B918" s="1" t="n">
        <v>44587</v>
      </c>
      <c r="C918" s="1" t="n">
        <v>45627</v>
      </c>
      <c r="D918" t="inlineStr">
        <is>
          <t>VÄRMLANDS LÄN</t>
        </is>
      </c>
      <c r="E918" t="inlineStr">
        <is>
          <t>TORSBY</t>
        </is>
      </c>
      <c r="G918" t="n">
        <v>6.4</v>
      </c>
      <c r="H918" t="n">
        <v>0</v>
      </c>
      <c r="I918" t="n">
        <v>0</v>
      </c>
      <c r="J918" t="n">
        <v>0</v>
      </c>
      <c r="K918" t="n">
        <v>0</v>
      </c>
      <c r="L918" t="n">
        <v>0</v>
      </c>
      <c r="M918" t="n">
        <v>0</v>
      </c>
      <c r="N918" t="n">
        <v>0</v>
      </c>
      <c r="O918" t="n">
        <v>0</v>
      </c>
      <c r="P918" t="n">
        <v>0</v>
      </c>
      <c r="Q918" t="n">
        <v>0</v>
      </c>
      <c r="R918" s="2" t="inlineStr"/>
    </row>
    <row r="919" ht="15" customHeight="1">
      <c r="A919" t="inlineStr">
        <is>
          <t>A 3887-2022</t>
        </is>
      </c>
      <c r="B919" s="1" t="n">
        <v>44587</v>
      </c>
      <c r="C919" s="1" t="n">
        <v>45627</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4172-2022</t>
        </is>
      </c>
      <c r="B920" s="1" t="n">
        <v>44588</v>
      </c>
      <c r="C920" s="1" t="n">
        <v>45627</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4557-2022</t>
        </is>
      </c>
      <c r="B921" s="1" t="n">
        <v>44591</v>
      </c>
      <c r="C921" s="1" t="n">
        <v>45627</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4640-2022</t>
        </is>
      </c>
      <c r="B922" s="1" t="n">
        <v>44592</v>
      </c>
      <c r="C922" s="1" t="n">
        <v>45627</v>
      </c>
      <c r="D922" t="inlineStr">
        <is>
          <t>VÄRMLANDS LÄN</t>
        </is>
      </c>
      <c r="E922" t="inlineStr">
        <is>
          <t>TORSBY</t>
        </is>
      </c>
      <c r="G922" t="n">
        <v>9</v>
      </c>
      <c r="H922" t="n">
        <v>0</v>
      </c>
      <c r="I922" t="n">
        <v>0</v>
      </c>
      <c r="J922" t="n">
        <v>0</v>
      </c>
      <c r="K922" t="n">
        <v>0</v>
      </c>
      <c r="L922" t="n">
        <v>0</v>
      </c>
      <c r="M922" t="n">
        <v>0</v>
      </c>
      <c r="N922" t="n">
        <v>0</v>
      </c>
      <c r="O922" t="n">
        <v>0</v>
      </c>
      <c r="P922" t="n">
        <v>0</v>
      </c>
      <c r="Q922" t="n">
        <v>0</v>
      </c>
      <c r="R922" s="2" t="inlineStr"/>
    </row>
    <row r="923" ht="15" customHeight="1">
      <c r="A923" t="inlineStr">
        <is>
          <t>A 4967-2022</t>
        </is>
      </c>
      <c r="B923" s="1" t="n">
        <v>44593</v>
      </c>
      <c r="C923" s="1" t="n">
        <v>45627</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4960-2022</t>
        </is>
      </c>
      <c r="B924" s="1" t="n">
        <v>44593</v>
      </c>
      <c r="C924" s="1" t="n">
        <v>45627</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5040-2022</t>
        </is>
      </c>
      <c r="B925" s="1" t="n">
        <v>44593</v>
      </c>
      <c r="C925" s="1" t="n">
        <v>45627</v>
      </c>
      <c r="D925" t="inlineStr">
        <is>
          <t>VÄRMLANDS LÄN</t>
        </is>
      </c>
      <c r="E925" t="inlineStr">
        <is>
          <t>TORSBY</t>
        </is>
      </c>
      <c r="G925" t="n">
        <v>1.7</v>
      </c>
      <c r="H925" t="n">
        <v>0</v>
      </c>
      <c r="I925" t="n">
        <v>0</v>
      </c>
      <c r="J925" t="n">
        <v>0</v>
      </c>
      <c r="K925" t="n">
        <v>0</v>
      </c>
      <c r="L925" t="n">
        <v>0</v>
      </c>
      <c r="M925" t="n">
        <v>0</v>
      </c>
      <c r="N925" t="n">
        <v>0</v>
      </c>
      <c r="O925" t="n">
        <v>0</v>
      </c>
      <c r="P925" t="n">
        <v>0</v>
      </c>
      <c r="Q925" t="n">
        <v>0</v>
      </c>
      <c r="R925" s="2" t="inlineStr"/>
    </row>
    <row r="926" ht="15" customHeight="1">
      <c r="A926" t="inlineStr">
        <is>
          <t>A 5015-2022</t>
        </is>
      </c>
      <c r="B926" s="1" t="n">
        <v>44593</v>
      </c>
      <c r="C926" s="1" t="n">
        <v>45627</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5289-2022</t>
        </is>
      </c>
      <c r="B927" s="1" t="n">
        <v>44594</v>
      </c>
      <c r="C927" s="1" t="n">
        <v>45627</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6438-2022</t>
        </is>
      </c>
      <c r="B928" s="1" t="n">
        <v>44601</v>
      </c>
      <c r="C928" s="1" t="n">
        <v>45627</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7091-2022</t>
        </is>
      </c>
      <c r="B929" s="1" t="n">
        <v>44603</v>
      </c>
      <c r="C929" s="1" t="n">
        <v>45627</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7069-2022</t>
        </is>
      </c>
      <c r="B930" s="1" t="n">
        <v>44603</v>
      </c>
      <c r="C930" s="1" t="n">
        <v>45627</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7544-2022</t>
        </is>
      </c>
      <c r="B931" s="1" t="n">
        <v>44607</v>
      </c>
      <c r="C931" s="1" t="n">
        <v>45627</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7543-2022</t>
        </is>
      </c>
      <c r="B932" s="1" t="n">
        <v>44607</v>
      </c>
      <c r="C932" s="1" t="n">
        <v>45627</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7921-2022</t>
        </is>
      </c>
      <c r="B933" s="1" t="n">
        <v>44608</v>
      </c>
      <c r="C933" s="1" t="n">
        <v>45627</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8048-2022</t>
        </is>
      </c>
      <c r="B934" s="1" t="n">
        <v>44609</v>
      </c>
      <c r="C934" s="1" t="n">
        <v>45627</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8054-2022</t>
        </is>
      </c>
      <c r="B935" s="1" t="n">
        <v>44609</v>
      </c>
      <c r="C935" s="1" t="n">
        <v>45627</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8033-2022</t>
        </is>
      </c>
      <c r="B936" s="1" t="n">
        <v>44609</v>
      </c>
      <c r="C936" s="1" t="n">
        <v>45627</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8739-2022</t>
        </is>
      </c>
      <c r="B937" s="1" t="n">
        <v>44615</v>
      </c>
      <c r="C937" s="1" t="n">
        <v>45627</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9057-2022</t>
        </is>
      </c>
      <c r="B938" s="1" t="n">
        <v>44615</v>
      </c>
      <c r="C938" s="1" t="n">
        <v>45627</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10608-2022</t>
        </is>
      </c>
      <c r="B939" s="1" t="n">
        <v>44624</v>
      </c>
      <c r="C939" s="1" t="n">
        <v>45627</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11050-2022</t>
        </is>
      </c>
      <c r="B940" s="1" t="n">
        <v>44628</v>
      </c>
      <c r="C940" s="1" t="n">
        <v>45627</v>
      </c>
      <c r="D940" t="inlineStr">
        <is>
          <t>VÄRMLANDS LÄN</t>
        </is>
      </c>
      <c r="E940" t="inlineStr">
        <is>
          <t>TORSBY</t>
        </is>
      </c>
      <c r="G940" t="n">
        <v>4.9</v>
      </c>
      <c r="H940" t="n">
        <v>0</v>
      </c>
      <c r="I940" t="n">
        <v>0</v>
      </c>
      <c r="J940" t="n">
        <v>0</v>
      </c>
      <c r="K940" t="n">
        <v>0</v>
      </c>
      <c r="L940" t="n">
        <v>0</v>
      </c>
      <c r="M940" t="n">
        <v>0</v>
      </c>
      <c r="N940" t="n">
        <v>0</v>
      </c>
      <c r="O940" t="n">
        <v>0</v>
      </c>
      <c r="P940" t="n">
        <v>0</v>
      </c>
      <c r="Q940" t="n">
        <v>0</v>
      </c>
      <c r="R940" s="2" t="inlineStr"/>
    </row>
    <row r="941" ht="15" customHeight="1">
      <c r="A941" t="inlineStr">
        <is>
          <t>A 11447-2022</t>
        </is>
      </c>
      <c r="B941" s="1" t="n">
        <v>44630</v>
      </c>
      <c r="C941" s="1" t="n">
        <v>45627</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11665-2022</t>
        </is>
      </c>
      <c r="B942" s="1" t="n">
        <v>44632</v>
      </c>
      <c r="C942" s="1" t="n">
        <v>45627</v>
      </c>
      <c r="D942" t="inlineStr">
        <is>
          <t>VÄRMLANDS LÄN</t>
        </is>
      </c>
      <c r="E942" t="inlineStr">
        <is>
          <t>TORSBY</t>
        </is>
      </c>
      <c r="G942" t="n">
        <v>4.1</v>
      </c>
      <c r="H942" t="n">
        <v>0</v>
      </c>
      <c r="I942" t="n">
        <v>0</v>
      </c>
      <c r="J942" t="n">
        <v>0</v>
      </c>
      <c r="K942" t="n">
        <v>0</v>
      </c>
      <c r="L942" t="n">
        <v>0</v>
      </c>
      <c r="M942" t="n">
        <v>0</v>
      </c>
      <c r="N942" t="n">
        <v>0</v>
      </c>
      <c r="O942" t="n">
        <v>0</v>
      </c>
      <c r="P942" t="n">
        <v>0</v>
      </c>
      <c r="Q942" t="n">
        <v>0</v>
      </c>
      <c r="R942" s="2" t="inlineStr"/>
    </row>
    <row r="943" ht="15" customHeight="1">
      <c r="A943" t="inlineStr">
        <is>
          <t>A 11667-2022</t>
        </is>
      </c>
      <c r="B943" s="1" t="n">
        <v>44632</v>
      </c>
      <c r="C943" s="1" t="n">
        <v>45627</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11664-2022</t>
        </is>
      </c>
      <c r="B944" s="1" t="n">
        <v>44632</v>
      </c>
      <c r="C944" s="1" t="n">
        <v>45627</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11666-2022</t>
        </is>
      </c>
      <c r="B945" s="1" t="n">
        <v>44632</v>
      </c>
      <c r="C945" s="1" t="n">
        <v>45627</v>
      </c>
      <c r="D945" t="inlineStr">
        <is>
          <t>VÄRMLANDS LÄN</t>
        </is>
      </c>
      <c r="E945" t="inlineStr">
        <is>
          <t>TORSBY</t>
        </is>
      </c>
      <c r="G945" t="n">
        <v>3.6</v>
      </c>
      <c r="H945" t="n">
        <v>0</v>
      </c>
      <c r="I945" t="n">
        <v>0</v>
      </c>
      <c r="J945" t="n">
        <v>0</v>
      </c>
      <c r="K945" t="n">
        <v>0</v>
      </c>
      <c r="L945" t="n">
        <v>0</v>
      </c>
      <c r="M945" t="n">
        <v>0</v>
      </c>
      <c r="N945" t="n">
        <v>0</v>
      </c>
      <c r="O945" t="n">
        <v>0</v>
      </c>
      <c r="P945" t="n">
        <v>0</v>
      </c>
      <c r="Q945" t="n">
        <v>0</v>
      </c>
      <c r="R945" s="2" t="inlineStr"/>
    </row>
    <row r="946" ht="15" customHeight="1">
      <c r="A946" t="inlineStr">
        <is>
          <t>A 11922-2022</t>
        </is>
      </c>
      <c r="B946" s="1" t="n">
        <v>44635</v>
      </c>
      <c r="C946" s="1" t="n">
        <v>45627</v>
      </c>
      <c r="D946" t="inlineStr">
        <is>
          <t>VÄRMLANDS LÄN</t>
        </is>
      </c>
      <c r="E946" t="inlineStr">
        <is>
          <t>TORSBY</t>
        </is>
      </c>
      <c r="G946" t="n">
        <v>2.6</v>
      </c>
      <c r="H946" t="n">
        <v>0</v>
      </c>
      <c r="I946" t="n">
        <v>0</v>
      </c>
      <c r="J946" t="n">
        <v>0</v>
      </c>
      <c r="K946" t="n">
        <v>0</v>
      </c>
      <c r="L946" t="n">
        <v>0</v>
      </c>
      <c r="M946" t="n">
        <v>0</v>
      </c>
      <c r="N946" t="n">
        <v>0</v>
      </c>
      <c r="O946" t="n">
        <v>0</v>
      </c>
      <c r="P946" t="n">
        <v>0</v>
      </c>
      <c r="Q946" t="n">
        <v>0</v>
      </c>
      <c r="R946" s="2" t="inlineStr"/>
    </row>
    <row r="947" ht="15" customHeight="1">
      <c r="A947" t="inlineStr">
        <is>
          <t>A 11918-2022</t>
        </is>
      </c>
      <c r="B947" s="1" t="n">
        <v>44635</v>
      </c>
      <c r="C947" s="1" t="n">
        <v>45627</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12310-2022</t>
        </is>
      </c>
      <c r="B948" s="1" t="n">
        <v>44636</v>
      </c>
      <c r="C948" s="1" t="n">
        <v>45627</v>
      </c>
      <c r="D948" t="inlineStr">
        <is>
          <t>VÄRMLANDS LÄN</t>
        </is>
      </c>
      <c r="E948" t="inlineStr">
        <is>
          <t>TORSBY</t>
        </is>
      </c>
      <c r="G948" t="n">
        <v>7.2</v>
      </c>
      <c r="H948" t="n">
        <v>0</v>
      </c>
      <c r="I948" t="n">
        <v>0</v>
      </c>
      <c r="J948" t="n">
        <v>0</v>
      </c>
      <c r="K948" t="n">
        <v>0</v>
      </c>
      <c r="L948" t="n">
        <v>0</v>
      </c>
      <c r="M948" t="n">
        <v>0</v>
      </c>
      <c r="N948" t="n">
        <v>0</v>
      </c>
      <c r="O948" t="n">
        <v>0</v>
      </c>
      <c r="P948" t="n">
        <v>0</v>
      </c>
      <c r="Q948" t="n">
        <v>0</v>
      </c>
      <c r="R948" s="2" t="inlineStr"/>
    </row>
    <row r="949" ht="15" customHeight="1">
      <c r="A949" t="inlineStr">
        <is>
          <t>A 12365-2022</t>
        </is>
      </c>
      <c r="B949" s="1" t="n">
        <v>44637</v>
      </c>
      <c r="C949" s="1" t="n">
        <v>45627</v>
      </c>
      <c r="D949" t="inlineStr">
        <is>
          <t>VÄRMLANDS LÄN</t>
        </is>
      </c>
      <c r="E949" t="inlineStr">
        <is>
          <t>TORSBY</t>
        </is>
      </c>
      <c r="G949" t="n">
        <v>3.5</v>
      </c>
      <c r="H949" t="n">
        <v>0</v>
      </c>
      <c r="I949" t="n">
        <v>0</v>
      </c>
      <c r="J949" t="n">
        <v>0</v>
      </c>
      <c r="K949" t="n">
        <v>0</v>
      </c>
      <c r="L949" t="n">
        <v>0</v>
      </c>
      <c r="M949" t="n">
        <v>0</v>
      </c>
      <c r="N949" t="n">
        <v>0</v>
      </c>
      <c r="O949" t="n">
        <v>0</v>
      </c>
      <c r="P949" t="n">
        <v>0</v>
      </c>
      <c r="Q949" t="n">
        <v>0</v>
      </c>
      <c r="R949" s="2" t="inlineStr"/>
    </row>
    <row r="950" ht="15" customHeight="1">
      <c r="A950" t="inlineStr">
        <is>
          <t>A 13207-2022</t>
        </is>
      </c>
      <c r="B950" s="1" t="n">
        <v>44644</v>
      </c>
      <c r="C950" s="1" t="n">
        <v>45627</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13698-2022</t>
        </is>
      </c>
      <c r="B951" s="1" t="n">
        <v>44648</v>
      </c>
      <c r="C951" s="1" t="n">
        <v>45627</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13896-2022</t>
        </is>
      </c>
      <c r="B952" s="1" t="n">
        <v>44650</v>
      </c>
      <c r="C952" s="1" t="n">
        <v>45627</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14145-2022</t>
        </is>
      </c>
      <c r="B953" s="1" t="n">
        <v>44651</v>
      </c>
      <c r="C953" s="1" t="n">
        <v>45627</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14168-2022</t>
        </is>
      </c>
      <c r="B954" s="1" t="n">
        <v>44651</v>
      </c>
      <c r="C954" s="1" t="n">
        <v>45627</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14320-2022</t>
        </is>
      </c>
      <c r="B955" s="1" t="n">
        <v>44652</v>
      </c>
      <c r="C955" s="1" t="n">
        <v>45627</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15461-2022</t>
        </is>
      </c>
      <c r="B956" s="1" t="n">
        <v>44661</v>
      </c>
      <c r="C956" s="1" t="n">
        <v>45627</v>
      </c>
      <c r="D956" t="inlineStr">
        <is>
          <t>VÄRMLANDS LÄN</t>
        </is>
      </c>
      <c r="E956" t="inlineStr">
        <is>
          <t>TORSBY</t>
        </is>
      </c>
      <c r="G956" t="n">
        <v>13.1</v>
      </c>
      <c r="H956" t="n">
        <v>0</v>
      </c>
      <c r="I956" t="n">
        <v>0</v>
      </c>
      <c r="J956" t="n">
        <v>0</v>
      </c>
      <c r="K956" t="n">
        <v>0</v>
      </c>
      <c r="L956" t="n">
        <v>0</v>
      </c>
      <c r="M956" t="n">
        <v>0</v>
      </c>
      <c r="N956" t="n">
        <v>0</v>
      </c>
      <c r="O956" t="n">
        <v>0</v>
      </c>
      <c r="P956" t="n">
        <v>0</v>
      </c>
      <c r="Q956" t="n">
        <v>0</v>
      </c>
      <c r="R956" s="2" t="inlineStr"/>
    </row>
    <row r="957" ht="15" customHeight="1">
      <c r="A957" t="inlineStr">
        <is>
          <t>A 15460-2022</t>
        </is>
      </c>
      <c r="B957" s="1" t="n">
        <v>44661</v>
      </c>
      <c r="C957" s="1" t="n">
        <v>45627</v>
      </c>
      <c r="D957" t="inlineStr">
        <is>
          <t>VÄRMLANDS LÄN</t>
        </is>
      </c>
      <c r="E957" t="inlineStr">
        <is>
          <t>TORSBY</t>
        </is>
      </c>
      <c r="G957" t="n">
        <v>3</v>
      </c>
      <c r="H957" t="n">
        <v>0</v>
      </c>
      <c r="I957" t="n">
        <v>0</v>
      </c>
      <c r="J957" t="n">
        <v>0</v>
      </c>
      <c r="K957" t="n">
        <v>0</v>
      </c>
      <c r="L957" t="n">
        <v>0</v>
      </c>
      <c r="M957" t="n">
        <v>0</v>
      </c>
      <c r="N957" t="n">
        <v>0</v>
      </c>
      <c r="O957" t="n">
        <v>0</v>
      </c>
      <c r="P957" t="n">
        <v>0</v>
      </c>
      <c r="Q957" t="n">
        <v>0</v>
      </c>
      <c r="R957" s="2" t="inlineStr"/>
    </row>
    <row r="958" ht="15" customHeight="1">
      <c r="A958" t="inlineStr">
        <is>
          <t>A 16080-2022</t>
        </is>
      </c>
      <c r="B958" s="1" t="n">
        <v>44665</v>
      </c>
      <c r="C958" s="1" t="n">
        <v>45627</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16010-2022</t>
        </is>
      </c>
      <c r="B959" s="1" t="n">
        <v>44665</v>
      </c>
      <c r="C959" s="1" t="n">
        <v>45627</v>
      </c>
      <c r="D959" t="inlineStr">
        <is>
          <t>VÄRMLANDS LÄN</t>
        </is>
      </c>
      <c r="E959" t="inlineStr">
        <is>
          <t>TORSBY</t>
        </is>
      </c>
      <c r="F959" t="inlineStr">
        <is>
          <t>Bergvik skog väst AB</t>
        </is>
      </c>
      <c r="G959" t="n">
        <v>18.7</v>
      </c>
      <c r="H959" t="n">
        <v>0</v>
      </c>
      <c r="I959" t="n">
        <v>0</v>
      </c>
      <c r="J959" t="n">
        <v>0</v>
      </c>
      <c r="K959" t="n">
        <v>0</v>
      </c>
      <c r="L959" t="n">
        <v>0</v>
      </c>
      <c r="M959" t="n">
        <v>0</v>
      </c>
      <c r="N959" t="n">
        <v>0</v>
      </c>
      <c r="O959" t="n">
        <v>0</v>
      </c>
      <c r="P959" t="n">
        <v>0</v>
      </c>
      <c r="Q959" t="n">
        <v>0</v>
      </c>
      <c r="R959" s="2" t="inlineStr"/>
    </row>
    <row r="960" ht="15" customHeight="1">
      <c r="A960" t="inlineStr">
        <is>
          <t>A 16425-2022</t>
        </is>
      </c>
      <c r="B960" s="1" t="n">
        <v>44671</v>
      </c>
      <c r="C960" s="1" t="n">
        <v>45627</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16498-2022</t>
        </is>
      </c>
      <c r="B961" s="1" t="n">
        <v>44671</v>
      </c>
      <c r="C961" s="1" t="n">
        <v>45627</v>
      </c>
      <c r="D961" t="inlineStr">
        <is>
          <t>VÄRMLANDS LÄN</t>
        </is>
      </c>
      <c r="E961" t="inlineStr">
        <is>
          <t>TORSBY</t>
        </is>
      </c>
      <c r="F961" t="inlineStr">
        <is>
          <t>Kommuner</t>
        </is>
      </c>
      <c r="G961" t="n">
        <v>1</v>
      </c>
      <c r="H961" t="n">
        <v>0</v>
      </c>
      <c r="I961" t="n">
        <v>0</v>
      </c>
      <c r="J961" t="n">
        <v>0</v>
      </c>
      <c r="K961" t="n">
        <v>0</v>
      </c>
      <c r="L961" t="n">
        <v>0</v>
      </c>
      <c r="M961" t="n">
        <v>0</v>
      </c>
      <c r="N961" t="n">
        <v>0</v>
      </c>
      <c r="O961" t="n">
        <v>0</v>
      </c>
      <c r="P961" t="n">
        <v>0</v>
      </c>
      <c r="Q961" t="n">
        <v>0</v>
      </c>
      <c r="R961" s="2" t="inlineStr"/>
    </row>
    <row r="962" ht="15" customHeight="1">
      <c r="A962" t="inlineStr">
        <is>
          <t>A 17765-2022</t>
        </is>
      </c>
      <c r="B962" s="1" t="n">
        <v>44681</v>
      </c>
      <c r="C962" s="1" t="n">
        <v>45627</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18101-2022</t>
        </is>
      </c>
      <c r="B963" s="1" t="n">
        <v>44684</v>
      </c>
      <c r="C963" s="1" t="n">
        <v>45627</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18105-2022</t>
        </is>
      </c>
      <c r="B964" s="1" t="n">
        <v>44684</v>
      </c>
      <c r="C964" s="1" t="n">
        <v>45627</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18099-2022</t>
        </is>
      </c>
      <c r="B965" s="1" t="n">
        <v>44684</v>
      </c>
      <c r="C965" s="1" t="n">
        <v>45627</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18347-2022</t>
        </is>
      </c>
      <c r="B966" s="1" t="n">
        <v>44685</v>
      </c>
      <c r="C966" s="1" t="n">
        <v>45627</v>
      </c>
      <c r="D966" t="inlineStr">
        <is>
          <t>VÄRMLANDS LÄN</t>
        </is>
      </c>
      <c r="E966" t="inlineStr">
        <is>
          <t>TORSBY</t>
        </is>
      </c>
      <c r="F966" t="inlineStr">
        <is>
          <t>Bergvik skog väst AB</t>
        </is>
      </c>
      <c r="G966" t="n">
        <v>14.6</v>
      </c>
      <c r="H966" t="n">
        <v>0</v>
      </c>
      <c r="I966" t="n">
        <v>0</v>
      </c>
      <c r="J966" t="n">
        <v>0</v>
      </c>
      <c r="K966" t="n">
        <v>0</v>
      </c>
      <c r="L966" t="n">
        <v>0</v>
      </c>
      <c r="M966" t="n">
        <v>0</v>
      </c>
      <c r="N966" t="n">
        <v>0</v>
      </c>
      <c r="O966" t="n">
        <v>0</v>
      </c>
      <c r="P966" t="n">
        <v>0</v>
      </c>
      <c r="Q966" t="n">
        <v>0</v>
      </c>
      <c r="R966" s="2" t="inlineStr"/>
    </row>
    <row r="967" ht="15" customHeight="1">
      <c r="A967" t="inlineStr">
        <is>
          <t>A 18628-2022</t>
        </is>
      </c>
      <c r="B967" s="1" t="n">
        <v>44687</v>
      </c>
      <c r="C967" s="1" t="n">
        <v>45627</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18779-2022</t>
        </is>
      </c>
      <c r="B968" s="1" t="n">
        <v>44689</v>
      </c>
      <c r="C968" s="1" t="n">
        <v>45627</v>
      </c>
      <c r="D968" t="inlineStr">
        <is>
          <t>VÄRMLANDS LÄN</t>
        </is>
      </c>
      <c r="E968" t="inlineStr">
        <is>
          <t>TORSBY</t>
        </is>
      </c>
      <c r="G968" t="n">
        <v>5.1</v>
      </c>
      <c r="H968" t="n">
        <v>0</v>
      </c>
      <c r="I968" t="n">
        <v>0</v>
      </c>
      <c r="J968" t="n">
        <v>0</v>
      </c>
      <c r="K968" t="n">
        <v>0</v>
      </c>
      <c r="L968" t="n">
        <v>0</v>
      </c>
      <c r="M968" t="n">
        <v>0</v>
      </c>
      <c r="N968" t="n">
        <v>0</v>
      </c>
      <c r="O968" t="n">
        <v>0</v>
      </c>
      <c r="P968" t="n">
        <v>0</v>
      </c>
      <c r="Q968" t="n">
        <v>0</v>
      </c>
      <c r="R968" s="2" t="inlineStr"/>
    </row>
    <row r="969" ht="15" customHeight="1">
      <c r="A969" t="inlineStr">
        <is>
          <t>A 18897-2022</t>
        </is>
      </c>
      <c r="B969" s="1" t="n">
        <v>44690</v>
      </c>
      <c r="C969" s="1" t="n">
        <v>45627</v>
      </c>
      <c r="D969" t="inlineStr">
        <is>
          <t>VÄRMLANDS LÄN</t>
        </is>
      </c>
      <c r="E969" t="inlineStr">
        <is>
          <t>TORSBY</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18877-2022</t>
        </is>
      </c>
      <c r="B970" s="1" t="n">
        <v>44690</v>
      </c>
      <c r="C970" s="1" t="n">
        <v>45627</v>
      </c>
      <c r="D970" t="inlineStr">
        <is>
          <t>VÄRMLANDS LÄN</t>
        </is>
      </c>
      <c r="E970" t="inlineStr">
        <is>
          <t>TORSBY</t>
        </is>
      </c>
      <c r="G970" t="n">
        <v>3.1</v>
      </c>
      <c r="H970" t="n">
        <v>0</v>
      </c>
      <c r="I970" t="n">
        <v>0</v>
      </c>
      <c r="J970" t="n">
        <v>0</v>
      </c>
      <c r="K970" t="n">
        <v>0</v>
      </c>
      <c r="L970" t="n">
        <v>0</v>
      </c>
      <c r="M970" t="n">
        <v>0</v>
      </c>
      <c r="N970" t="n">
        <v>0</v>
      </c>
      <c r="O970" t="n">
        <v>0</v>
      </c>
      <c r="P970" t="n">
        <v>0</v>
      </c>
      <c r="Q970" t="n">
        <v>0</v>
      </c>
      <c r="R970" s="2" t="inlineStr"/>
    </row>
    <row r="971" ht="15" customHeight="1">
      <c r="A971" t="inlineStr">
        <is>
          <t>A 18903-2022</t>
        </is>
      </c>
      <c r="B971" s="1" t="n">
        <v>44690</v>
      </c>
      <c r="C971" s="1" t="n">
        <v>45627</v>
      </c>
      <c r="D971" t="inlineStr">
        <is>
          <t>VÄRMLANDS LÄN</t>
        </is>
      </c>
      <c r="E971" t="inlineStr">
        <is>
          <t>TORSBY</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19171-2022</t>
        </is>
      </c>
      <c r="B972" s="1" t="n">
        <v>44691</v>
      </c>
      <c r="C972" s="1" t="n">
        <v>45627</v>
      </c>
      <c r="D972" t="inlineStr">
        <is>
          <t>VÄRMLANDS LÄN</t>
        </is>
      </c>
      <c r="E972" t="inlineStr">
        <is>
          <t>TORSBY</t>
        </is>
      </c>
      <c r="F972" t="inlineStr">
        <is>
          <t>Bergvik skog väst AB</t>
        </is>
      </c>
      <c r="G972" t="n">
        <v>23.3</v>
      </c>
      <c r="H972" t="n">
        <v>0</v>
      </c>
      <c r="I972" t="n">
        <v>0</v>
      </c>
      <c r="J972" t="n">
        <v>0</v>
      </c>
      <c r="K972" t="n">
        <v>0</v>
      </c>
      <c r="L972" t="n">
        <v>0</v>
      </c>
      <c r="M972" t="n">
        <v>0</v>
      </c>
      <c r="N972" t="n">
        <v>0</v>
      </c>
      <c r="O972" t="n">
        <v>0</v>
      </c>
      <c r="P972" t="n">
        <v>0</v>
      </c>
      <c r="Q972" t="n">
        <v>0</v>
      </c>
      <c r="R972" s="2" t="inlineStr"/>
    </row>
    <row r="973" ht="15" customHeight="1">
      <c r="A973" t="inlineStr">
        <is>
          <t>A 19307-2022</t>
        </is>
      </c>
      <c r="B973" s="1" t="n">
        <v>44692</v>
      </c>
      <c r="C973" s="1" t="n">
        <v>45627</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19489-2022</t>
        </is>
      </c>
      <c r="B974" s="1" t="n">
        <v>44693</v>
      </c>
      <c r="C974" s="1" t="n">
        <v>45627</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19632-2022</t>
        </is>
      </c>
      <c r="B975" s="1" t="n">
        <v>44694</v>
      </c>
      <c r="C975" s="1" t="n">
        <v>45627</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19614-2022</t>
        </is>
      </c>
      <c r="B976" s="1" t="n">
        <v>44694</v>
      </c>
      <c r="C976" s="1" t="n">
        <v>45627</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20045-2022</t>
        </is>
      </c>
      <c r="B977" s="1" t="n">
        <v>44697</v>
      </c>
      <c r="C977" s="1" t="n">
        <v>45627</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20046-2022</t>
        </is>
      </c>
      <c r="B978" s="1" t="n">
        <v>44697</v>
      </c>
      <c r="C978" s="1" t="n">
        <v>45627</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20009-2022</t>
        </is>
      </c>
      <c r="B979" s="1" t="n">
        <v>44697</v>
      </c>
      <c r="C979" s="1" t="n">
        <v>45627</v>
      </c>
      <c r="D979" t="inlineStr">
        <is>
          <t>VÄRMLANDS LÄN</t>
        </is>
      </c>
      <c r="E979" t="inlineStr">
        <is>
          <t>TORSBY</t>
        </is>
      </c>
      <c r="G979" t="n">
        <v>14.4</v>
      </c>
      <c r="H979" t="n">
        <v>0</v>
      </c>
      <c r="I979" t="n">
        <v>0</v>
      </c>
      <c r="J979" t="n">
        <v>0</v>
      </c>
      <c r="K979" t="n">
        <v>0</v>
      </c>
      <c r="L979" t="n">
        <v>0</v>
      </c>
      <c r="M979" t="n">
        <v>0</v>
      </c>
      <c r="N979" t="n">
        <v>0</v>
      </c>
      <c r="O979" t="n">
        <v>0</v>
      </c>
      <c r="P979" t="n">
        <v>0</v>
      </c>
      <c r="Q979" t="n">
        <v>0</v>
      </c>
      <c r="R979" s="2" t="inlineStr"/>
    </row>
    <row r="980" ht="15" customHeight="1">
      <c r="A980" t="inlineStr">
        <is>
          <t>A 20168-2022</t>
        </is>
      </c>
      <c r="B980" s="1" t="n">
        <v>44698</v>
      </c>
      <c r="C980" s="1" t="n">
        <v>45627</v>
      </c>
      <c r="D980" t="inlineStr">
        <is>
          <t>VÄRMLANDS LÄN</t>
        </is>
      </c>
      <c r="E980" t="inlineStr">
        <is>
          <t>TORSBY</t>
        </is>
      </c>
      <c r="G980" t="n">
        <v>6.6</v>
      </c>
      <c r="H980" t="n">
        <v>0</v>
      </c>
      <c r="I980" t="n">
        <v>0</v>
      </c>
      <c r="J980" t="n">
        <v>0</v>
      </c>
      <c r="K980" t="n">
        <v>0</v>
      </c>
      <c r="L980" t="n">
        <v>0</v>
      </c>
      <c r="M980" t="n">
        <v>0</v>
      </c>
      <c r="N980" t="n">
        <v>0</v>
      </c>
      <c r="O980" t="n">
        <v>0</v>
      </c>
      <c r="P980" t="n">
        <v>0</v>
      </c>
      <c r="Q980" t="n">
        <v>0</v>
      </c>
      <c r="R980" s="2" t="inlineStr"/>
    </row>
    <row r="981" ht="15" customHeight="1">
      <c r="A981" t="inlineStr">
        <is>
          <t>A 20175-2022</t>
        </is>
      </c>
      <c r="B981" s="1" t="n">
        <v>44698</v>
      </c>
      <c r="C981" s="1" t="n">
        <v>45627</v>
      </c>
      <c r="D981" t="inlineStr">
        <is>
          <t>VÄRMLANDS LÄN</t>
        </is>
      </c>
      <c r="E981" t="inlineStr">
        <is>
          <t>TORSBY</t>
        </is>
      </c>
      <c r="G981" t="n">
        <v>2.8</v>
      </c>
      <c r="H981" t="n">
        <v>0</v>
      </c>
      <c r="I981" t="n">
        <v>0</v>
      </c>
      <c r="J981" t="n">
        <v>0</v>
      </c>
      <c r="K981" t="n">
        <v>0</v>
      </c>
      <c r="L981" t="n">
        <v>0</v>
      </c>
      <c r="M981" t="n">
        <v>0</v>
      </c>
      <c r="N981" t="n">
        <v>0</v>
      </c>
      <c r="O981" t="n">
        <v>0</v>
      </c>
      <c r="P981" t="n">
        <v>0</v>
      </c>
      <c r="Q981" t="n">
        <v>0</v>
      </c>
      <c r="R981" s="2" t="inlineStr"/>
    </row>
    <row r="982" ht="15" customHeight="1">
      <c r="A982" t="inlineStr">
        <is>
          <t>A 20174-2022</t>
        </is>
      </c>
      <c r="B982" s="1" t="n">
        <v>44698</v>
      </c>
      <c r="C982" s="1" t="n">
        <v>45627</v>
      </c>
      <c r="D982" t="inlineStr">
        <is>
          <t>VÄRMLANDS LÄN</t>
        </is>
      </c>
      <c r="E982" t="inlineStr">
        <is>
          <t>TORSBY</t>
        </is>
      </c>
      <c r="G982" t="n">
        <v>4.4</v>
      </c>
      <c r="H982" t="n">
        <v>0</v>
      </c>
      <c r="I982" t="n">
        <v>0</v>
      </c>
      <c r="J982" t="n">
        <v>0</v>
      </c>
      <c r="K982" t="n">
        <v>0</v>
      </c>
      <c r="L982" t="n">
        <v>0</v>
      </c>
      <c r="M982" t="n">
        <v>0</v>
      </c>
      <c r="N982" t="n">
        <v>0</v>
      </c>
      <c r="O982" t="n">
        <v>0</v>
      </c>
      <c r="P982" t="n">
        <v>0</v>
      </c>
      <c r="Q982" t="n">
        <v>0</v>
      </c>
      <c r="R982" s="2" t="inlineStr"/>
    </row>
    <row r="983" ht="15" customHeight="1">
      <c r="A983" t="inlineStr">
        <is>
          <t>A 20382-2022</t>
        </is>
      </c>
      <c r="B983" s="1" t="n">
        <v>44699</v>
      </c>
      <c r="C983" s="1" t="n">
        <v>45627</v>
      </c>
      <c r="D983" t="inlineStr">
        <is>
          <t>VÄRMLANDS LÄN</t>
        </is>
      </c>
      <c r="E983" t="inlineStr">
        <is>
          <t>TORSBY</t>
        </is>
      </c>
      <c r="G983" t="n">
        <v>14.3</v>
      </c>
      <c r="H983" t="n">
        <v>0</v>
      </c>
      <c r="I983" t="n">
        <v>0</v>
      </c>
      <c r="J983" t="n">
        <v>0</v>
      </c>
      <c r="K983" t="n">
        <v>0</v>
      </c>
      <c r="L983" t="n">
        <v>0</v>
      </c>
      <c r="M983" t="n">
        <v>0</v>
      </c>
      <c r="N983" t="n">
        <v>0</v>
      </c>
      <c r="O983" t="n">
        <v>0</v>
      </c>
      <c r="P983" t="n">
        <v>0</v>
      </c>
      <c r="Q983" t="n">
        <v>0</v>
      </c>
      <c r="R983" s="2" t="inlineStr"/>
    </row>
    <row r="984" ht="15" customHeight="1">
      <c r="A984" t="inlineStr">
        <is>
          <t>A 20819-2022</t>
        </is>
      </c>
      <c r="B984" s="1" t="n">
        <v>44699</v>
      </c>
      <c r="C984" s="1" t="n">
        <v>45627</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20881-2022</t>
        </is>
      </c>
      <c r="B985" s="1" t="n">
        <v>44701</v>
      </c>
      <c r="C985" s="1" t="n">
        <v>45627</v>
      </c>
      <c r="D985" t="inlineStr">
        <is>
          <t>VÄRMLANDS LÄN</t>
        </is>
      </c>
      <c r="E985" t="inlineStr">
        <is>
          <t>TORSBY</t>
        </is>
      </c>
      <c r="F985" t="inlineStr">
        <is>
          <t>Bergvik skog väst AB</t>
        </is>
      </c>
      <c r="G985" t="n">
        <v>17.2</v>
      </c>
      <c r="H985" t="n">
        <v>0</v>
      </c>
      <c r="I985" t="n">
        <v>0</v>
      </c>
      <c r="J985" t="n">
        <v>0</v>
      </c>
      <c r="K985" t="n">
        <v>0</v>
      </c>
      <c r="L985" t="n">
        <v>0</v>
      </c>
      <c r="M985" t="n">
        <v>0</v>
      </c>
      <c r="N985" t="n">
        <v>0</v>
      </c>
      <c r="O985" t="n">
        <v>0</v>
      </c>
      <c r="P985" t="n">
        <v>0</v>
      </c>
      <c r="Q985" t="n">
        <v>0</v>
      </c>
      <c r="R985" s="2" t="inlineStr"/>
    </row>
    <row r="986" ht="15" customHeight="1">
      <c r="A986" t="inlineStr">
        <is>
          <t>A 20907-2022</t>
        </is>
      </c>
      <c r="B986" s="1" t="n">
        <v>44701</v>
      </c>
      <c r="C986" s="1" t="n">
        <v>45627</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20899-2022</t>
        </is>
      </c>
      <c r="B987" s="1" t="n">
        <v>44701</v>
      </c>
      <c r="C987" s="1" t="n">
        <v>45627</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21094-2022</t>
        </is>
      </c>
      <c r="B988" s="1" t="n">
        <v>44704</v>
      </c>
      <c r="C988" s="1" t="n">
        <v>45627</v>
      </c>
      <c r="D988" t="inlineStr">
        <is>
          <t>VÄRMLANDS LÄN</t>
        </is>
      </c>
      <c r="E988" t="inlineStr">
        <is>
          <t>TORSBY</t>
        </is>
      </c>
      <c r="G988" t="n">
        <v>2.5</v>
      </c>
      <c r="H988" t="n">
        <v>0</v>
      </c>
      <c r="I988" t="n">
        <v>0</v>
      </c>
      <c r="J988" t="n">
        <v>0</v>
      </c>
      <c r="K988" t="n">
        <v>0</v>
      </c>
      <c r="L988" t="n">
        <v>0</v>
      </c>
      <c r="M988" t="n">
        <v>0</v>
      </c>
      <c r="N988" t="n">
        <v>0</v>
      </c>
      <c r="O988" t="n">
        <v>0</v>
      </c>
      <c r="P988" t="n">
        <v>0</v>
      </c>
      <c r="Q988" t="n">
        <v>0</v>
      </c>
      <c r="R988" s="2" t="inlineStr"/>
    </row>
    <row r="989" ht="15" customHeight="1">
      <c r="A989" t="inlineStr">
        <is>
          <t>A 21070-2022</t>
        </is>
      </c>
      <c r="B989" s="1" t="n">
        <v>44704</v>
      </c>
      <c r="C989" s="1" t="n">
        <v>45627</v>
      </c>
      <c r="D989" t="inlineStr">
        <is>
          <t>VÄRMLANDS LÄN</t>
        </is>
      </c>
      <c r="E989" t="inlineStr">
        <is>
          <t>TORSBY</t>
        </is>
      </c>
      <c r="G989" t="n">
        <v>13.7</v>
      </c>
      <c r="H989" t="n">
        <v>0</v>
      </c>
      <c r="I989" t="n">
        <v>0</v>
      </c>
      <c r="J989" t="n">
        <v>0</v>
      </c>
      <c r="K989" t="n">
        <v>0</v>
      </c>
      <c r="L989" t="n">
        <v>0</v>
      </c>
      <c r="M989" t="n">
        <v>0</v>
      </c>
      <c r="N989" t="n">
        <v>0</v>
      </c>
      <c r="O989" t="n">
        <v>0</v>
      </c>
      <c r="P989" t="n">
        <v>0</v>
      </c>
      <c r="Q989" t="n">
        <v>0</v>
      </c>
      <c r="R989" s="2" t="inlineStr"/>
    </row>
    <row r="990" ht="15" customHeight="1">
      <c r="A990" t="inlineStr">
        <is>
          <t>A 21089-2022</t>
        </is>
      </c>
      <c r="B990" s="1" t="n">
        <v>44704</v>
      </c>
      <c r="C990" s="1" t="n">
        <v>45627</v>
      </c>
      <c r="D990" t="inlineStr">
        <is>
          <t>VÄRMLANDS LÄN</t>
        </is>
      </c>
      <c r="E990" t="inlineStr">
        <is>
          <t>TORSBY</t>
        </is>
      </c>
      <c r="G990" t="n">
        <v>13.4</v>
      </c>
      <c r="H990" t="n">
        <v>0</v>
      </c>
      <c r="I990" t="n">
        <v>0</v>
      </c>
      <c r="J990" t="n">
        <v>0</v>
      </c>
      <c r="K990" t="n">
        <v>0</v>
      </c>
      <c r="L990" t="n">
        <v>0</v>
      </c>
      <c r="M990" t="n">
        <v>0</v>
      </c>
      <c r="N990" t="n">
        <v>0</v>
      </c>
      <c r="O990" t="n">
        <v>0</v>
      </c>
      <c r="P990" t="n">
        <v>0</v>
      </c>
      <c r="Q990" t="n">
        <v>0</v>
      </c>
      <c r="R990" s="2" t="inlineStr"/>
    </row>
    <row r="991" ht="15" customHeight="1">
      <c r="A991" t="inlineStr">
        <is>
          <t>A 21516-2022</t>
        </is>
      </c>
      <c r="B991" s="1" t="n">
        <v>44706</v>
      </c>
      <c r="C991" s="1" t="n">
        <v>45627</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21465-2022</t>
        </is>
      </c>
      <c r="B992" s="1" t="n">
        <v>44706</v>
      </c>
      <c r="C992" s="1" t="n">
        <v>45627</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21521-2022</t>
        </is>
      </c>
      <c r="B993" s="1" t="n">
        <v>44706</v>
      </c>
      <c r="C993" s="1" t="n">
        <v>45627</v>
      </c>
      <c r="D993" t="inlineStr">
        <is>
          <t>VÄRMLANDS LÄN</t>
        </is>
      </c>
      <c r="E993" t="inlineStr">
        <is>
          <t>TORSBY</t>
        </is>
      </c>
      <c r="G993" t="n">
        <v>0.1</v>
      </c>
      <c r="H993" t="n">
        <v>0</v>
      </c>
      <c r="I993" t="n">
        <v>0</v>
      </c>
      <c r="J993" t="n">
        <v>0</v>
      </c>
      <c r="K993" t="n">
        <v>0</v>
      </c>
      <c r="L993" t="n">
        <v>0</v>
      </c>
      <c r="M993" t="n">
        <v>0</v>
      </c>
      <c r="N993" t="n">
        <v>0</v>
      </c>
      <c r="O993" t="n">
        <v>0</v>
      </c>
      <c r="P993" t="n">
        <v>0</v>
      </c>
      <c r="Q993" t="n">
        <v>0</v>
      </c>
      <c r="R993" s="2" t="inlineStr"/>
    </row>
    <row r="994" ht="15" customHeight="1">
      <c r="A994" t="inlineStr">
        <is>
          <t>A 22158-2022</t>
        </is>
      </c>
      <c r="B994" s="1" t="n">
        <v>44708</v>
      </c>
      <c r="C994" s="1" t="n">
        <v>45627</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22124-2022</t>
        </is>
      </c>
      <c r="B995" s="1" t="n">
        <v>44712</v>
      </c>
      <c r="C995" s="1" t="n">
        <v>45627</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22635-2022</t>
        </is>
      </c>
      <c r="B996" s="1" t="n">
        <v>44714</v>
      </c>
      <c r="C996" s="1" t="n">
        <v>45627</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22662-2022</t>
        </is>
      </c>
      <c r="B997" s="1" t="n">
        <v>44714</v>
      </c>
      <c r="C997" s="1" t="n">
        <v>45627</v>
      </c>
      <c r="D997" t="inlineStr">
        <is>
          <t>VÄRMLANDS LÄN</t>
        </is>
      </c>
      <c r="E997" t="inlineStr">
        <is>
          <t>TORSBY</t>
        </is>
      </c>
      <c r="G997" t="n">
        <v>4.8</v>
      </c>
      <c r="H997" t="n">
        <v>0</v>
      </c>
      <c r="I997" t="n">
        <v>0</v>
      </c>
      <c r="J997" t="n">
        <v>0</v>
      </c>
      <c r="K997" t="n">
        <v>0</v>
      </c>
      <c r="L997" t="n">
        <v>0</v>
      </c>
      <c r="M997" t="n">
        <v>0</v>
      </c>
      <c r="N997" t="n">
        <v>0</v>
      </c>
      <c r="O997" t="n">
        <v>0</v>
      </c>
      <c r="P997" t="n">
        <v>0</v>
      </c>
      <c r="Q997" t="n">
        <v>0</v>
      </c>
      <c r="R997" s="2" t="inlineStr"/>
    </row>
    <row r="998" ht="15" customHeight="1">
      <c r="A998" t="inlineStr">
        <is>
          <t>A 22826-2022</t>
        </is>
      </c>
      <c r="B998" s="1" t="n">
        <v>44714</v>
      </c>
      <c r="C998" s="1" t="n">
        <v>45627</v>
      </c>
      <c r="D998" t="inlineStr">
        <is>
          <t>VÄRMLANDS LÄN</t>
        </is>
      </c>
      <c r="E998" t="inlineStr">
        <is>
          <t>TORSBY</t>
        </is>
      </c>
      <c r="G998" t="n">
        <v>6.2</v>
      </c>
      <c r="H998" t="n">
        <v>0</v>
      </c>
      <c r="I998" t="n">
        <v>0</v>
      </c>
      <c r="J998" t="n">
        <v>0</v>
      </c>
      <c r="K998" t="n">
        <v>0</v>
      </c>
      <c r="L998" t="n">
        <v>0</v>
      </c>
      <c r="M998" t="n">
        <v>0</v>
      </c>
      <c r="N998" t="n">
        <v>0</v>
      </c>
      <c r="O998" t="n">
        <v>0</v>
      </c>
      <c r="P998" t="n">
        <v>0</v>
      </c>
      <c r="Q998" t="n">
        <v>0</v>
      </c>
      <c r="R998" s="2" t="inlineStr"/>
    </row>
    <row r="999" ht="15" customHeight="1">
      <c r="A999" t="inlineStr">
        <is>
          <t>A 22823-2022</t>
        </is>
      </c>
      <c r="B999" s="1" t="n">
        <v>44714</v>
      </c>
      <c r="C999" s="1" t="n">
        <v>45627</v>
      </c>
      <c r="D999" t="inlineStr">
        <is>
          <t>VÄRMLANDS LÄN</t>
        </is>
      </c>
      <c r="E999" t="inlineStr">
        <is>
          <t>TORSBY</t>
        </is>
      </c>
      <c r="G999" t="n">
        <v>4</v>
      </c>
      <c r="H999" t="n">
        <v>0</v>
      </c>
      <c r="I999" t="n">
        <v>0</v>
      </c>
      <c r="J999" t="n">
        <v>0</v>
      </c>
      <c r="K999" t="n">
        <v>0</v>
      </c>
      <c r="L999" t="n">
        <v>0</v>
      </c>
      <c r="M999" t="n">
        <v>0</v>
      </c>
      <c r="N999" t="n">
        <v>0</v>
      </c>
      <c r="O999" t="n">
        <v>0</v>
      </c>
      <c r="P999" t="n">
        <v>0</v>
      </c>
      <c r="Q999" t="n">
        <v>0</v>
      </c>
      <c r="R999" s="2" t="inlineStr"/>
    </row>
    <row r="1000" ht="15" customHeight="1">
      <c r="A1000" t="inlineStr">
        <is>
          <t>A 23185-2022</t>
        </is>
      </c>
      <c r="B1000" s="1" t="n">
        <v>44719</v>
      </c>
      <c r="C1000" s="1" t="n">
        <v>45627</v>
      </c>
      <c r="D1000" t="inlineStr">
        <is>
          <t>VÄRMLANDS LÄN</t>
        </is>
      </c>
      <c r="E1000" t="inlineStr">
        <is>
          <t>TORSBY</t>
        </is>
      </c>
      <c r="F1000" t="inlineStr">
        <is>
          <t>Naturvårdsverket</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23011-2022</t>
        </is>
      </c>
      <c r="B1001" s="1" t="n">
        <v>44719</v>
      </c>
      <c r="C1001" s="1" t="n">
        <v>45627</v>
      </c>
      <c r="D1001" t="inlineStr">
        <is>
          <t>VÄRMLANDS LÄN</t>
        </is>
      </c>
      <c r="E1001" t="inlineStr">
        <is>
          <t>TORSBY</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23264-2022</t>
        </is>
      </c>
      <c r="B1002" s="1" t="n">
        <v>44720</v>
      </c>
      <c r="C1002" s="1" t="n">
        <v>45627</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23343-2022</t>
        </is>
      </c>
      <c r="B1003" s="1" t="n">
        <v>44720</v>
      </c>
      <c r="C1003" s="1" t="n">
        <v>45627</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23401-2022</t>
        </is>
      </c>
      <c r="B1004" s="1" t="n">
        <v>44720</v>
      </c>
      <c r="C1004" s="1" t="n">
        <v>45627</v>
      </c>
      <c r="D1004" t="inlineStr">
        <is>
          <t>VÄRMLANDS LÄN</t>
        </is>
      </c>
      <c r="E1004" t="inlineStr">
        <is>
          <t>TORSBY</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23405-2022</t>
        </is>
      </c>
      <c r="B1005" s="1" t="n">
        <v>44720</v>
      </c>
      <c r="C1005" s="1" t="n">
        <v>45627</v>
      </c>
      <c r="D1005" t="inlineStr">
        <is>
          <t>VÄRMLANDS LÄN</t>
        </is>
      </c>
      <c r="E1005" t="inlineStr">
        <is>
          <t>TORSBY</t>
        </is>
      </c>
      <c r="F1005" t="inlineStr">
        <is>
          <t>Bergvik skog väst AB</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23803-2022</t>
        </is>
      </c>
      <c r="B1006" s="1" t="n">
        <v>44720</v>
      </c>
      <c r="C1006" s="1" t="n">
        <v>45627</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23804-2022</t>
        </is>
      </c>
      <c r="B1007" s="1" t="n">
        <v>44722</v>
      </c>
      <c r="C1007" s="1" t="n">
        <v>45627</v>
      </c>
      <c r="D1007" t="inlineStr">
        <is>
          <t>VÄRMLANDS LÄN</t>
        </is>
      </c>
      <c r="E1007" t="inlineStr">
        <is>
          <t>TORSBY</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23823-2022</t>
        </is>
      </c>
      <c r="B1008" s="1" t="n">
        <v>44722</v>
      </c>
      <c r="C1008" s="1" t="n">
        <v>45627</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23735-2022</t>
        </is>
      </c>
      <c r="B1009" s="1" t="n">
        <v>44722</v>
      </c>
      <c r="C1009" s="1" t="n">
        <v>45627</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23818-2022</t>
        </is>
      </c>
      <c r="B1010" s="1" t="n">
        <v>44722</v>
      </c>
      <c r="C1010" s="1" t="n">
        <v>45627</v>
      </c>
      <c r="D1010" t="inlineStr">
        <is>
          <t>VÄRMLANDS LÄN</t>
        </is>
      </c>
      <c r="E1010" t="inlineStr">
        <is>
          <t>TORSBY</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23732-2022</t>
        </is>
      </c>
      <c r="B1011" s="1" t="n">
        <v>44722</v>
      </c>
      <c r="C1011" s="1" t="n">
        <v>45627</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23746-2022</t>
        </is>
      </c>
      <c r="B1012" s="1" t="n">
        <v>44722</v>
      </c>
      <c r="C1012" s="1" t="n">
        <v>45627</v>
      </c>
      <c r="D1012" t="inlineStr">
        <is>
          <t>VÄRMLANDS LÄN</t>
        </is>
      </c>
      <c r="E1012" t="inlineStr">
        <is>
          <t>TORSBY</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45627</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24960-2022</t>
        </is>
      </c>
      <c r="B1014" s="1" t="n">
        <v>44728</v>
      </c>
      <c r="C1014" s="1" t="n">
        <v>45627</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25537-2022</t>
        </is>
      </c>
      <c r="B1015" s="1" t="n">
        <v>44732</v>
      </c>
      <c r="C1015" s="1" t="n">
        <v>45627</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26686-2022</t>
        </is>
      </c>
      <c r="B1016" s="1" t="n">
        <v>44739</v>
      </c>
      <c r="C1016" s="1" t="n">
        <v>45627</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26842-2022</t>
        </is>
      </c>
      <c r="B1017" s="1" t="n">
        <v>44740</v>
      </c>
      <c r="C1017" s="1" t="n">
        <v>45627</v>
      </c>
      <c r="D1017" t="inlineStr">
        <is>
          <t>VÄRMLANDS LÄN</t>
        </is>
      </c>
      <c r="E1017" t="inlineStr">
        <is>
          <t>TORSBY</t>
        </is>
      </c>
      <c r="F1017" t="inlineStr">
        <is>
          <t>Bergvik skog väst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26988-2022</t>
        </is>
      </c>
      <c r="B1018" s="1" t="n">
        <v>44740</v>
      </c>
      <c r="C1018" s="1" t="n">
        <v>45627</v>
      </c>
      <c r="D1018" t="inlineStr">
        <is>
          <t>VÄRMLANDS LÄN</t>
        </is>
      </c>
      <c r="E1018" t="inlineStr">
        <is>
          <t>TORSBY</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27223-2022</t>
        </is>
      </c>
      <c r="B1019" s="1" t="n">
        <v>44741</v>
      </c>
      <c r="C1019" s="1" t="n">
        <v>45627</v>
      </c>
      <c r="D1019" t="inlineStr">
        <is>
          <t>VÄRMLANDS LÄN</t>
        </is>
      </c>
      <c r="E1019" t="inlineStr">
        <is>
          <t>TORSBY</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27686-2022</t>
        </is>
      </c>
      <c r="B1020" s="1" t="n">
        <v>44743</v>
      </c>
      <c r="C1020" s="1" t="n">
        <v>45627</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28008-2022</t>
        </is>
      </c>
      <c r="B1021" s="1" t="n">
        <v>44746</v>
      </c>
      <c r="C1021" s="1" t="n">
        <v>45627</v>
      </c>
      <c r="D1021" t="inlineStr">
        <is>
          <t>VÄRMLANDS LÄN</t>
        </is>
      </c>
      <c r="E1021" t="inlineStr">
        <is>
          <t>TORSBY</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28016-2022</t>
        </is>
      </c>
      <c r="B1022" s="1" t="n">
        <v>44746</v>
      </c>
      <c r="C1022" s="1" t="n">
        <v>45627</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28113-2022</t>
        </is>
      </c>
      <c r="B1023" s="1" t="n">
        <v>44746</v>
      </c>
      <c r="C1023" s="1" t="n">
        <v>45627</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28172-2022</t>
        </is>
      </c>
      <c r="B1024" s="1" t="n">
        <v>44746</v>
      </c>
      <c r="C1024" s="1" t="n">
        <v>45627</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28471-2022</t>
        </is>
      </c>
      <c r="B1025" s="1" t="n">
        <v>44747</v>
      </c>
      <c r="C1025" s="1" t="n">
        <v>45627</v>
      </c>
      <c r="D1025" t="inlineStr">
        <is>
          <t>VÄRMLANDS LÄN</t>
        </is>
      </c>
      <c r="E1025" t="inlineStr">
        <is>
          <t>TORSBY</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28955-2022</t>
        </is>
      </c>
      <c r="B1026" s="1" t="n">
        <v>44749</v>
      </c>
      <c r="C1026" s="1" t="n">
        <v>45627</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29142-2022</t>
        </is>
      </c>
      <c r="B1027" s="1" t="n">
        <v>44750</v>
      </c>
      <c r="C1027" s="1" t="n">
        <v>45627</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29509-2022</t>
        </is>
      </c>
      <c r="B1028" s="1" t="n">
        <v>44753</v>
      </c>
      <c r="C1028" s="1" t="n">
        <v>45627</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29596-2022</t>
        </is>
      </c>
      <c r="B1029" s="1" t="n">
        <v>44754</v>
      </c>
      <c r="C1029" s="1" t="n">
        <v>45627</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29717-2022</t>
        </is>
      </c>
      <c r="B1030" s="1" t="n">
        <v>44755</v>
      </c>
      <c r="C1030" s="1" t="n">
        <v>45627</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29720-2022</t>
        </is>
      </c>
      <c r="B1031" s="1" t="n">
        <v>44755</v>
      </c>
      <c r="C1031" s="1" t="n">
        <v>45627</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29721-2022</t>
        </is>
      </c>
      <c r="B1032" s="1" t="n">
        <v>44755</v>
      </c>
      <c r="C1032" s="1" t="n">
        <v>45627</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29901-2022</t>
        </is>
      </c>
      <c r="B1033" s="1" t="n">
        <v>44756</v>
      </c>
      <c r="C1033" s="1" t="n">
        <v>45627</v>
      </c>
      <c r="D1033" t="inlineStr">
        <is>
          <t>VÄRMLANDS LÄN</t>
        </is>
      </c>
      <c r="E1033" t="inlineStr">
        <is>
          <t>TORSBY</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29908-2022</t>
        </is>
      </c>
      <c r="B1034" s="1" t="n">
        <v>44756</v>
      </c>
      <c r="C1034" s="1" t="n">
        <v>45627</v>
      </c>
      <c r="D1034" t="inlineStr">
        <is>
          <t>VÄRMLANDS LÄN</t>
        </is>
      </c>
      <c r="E1034" t="inlineStr">
        <is>
          <t>TORSBY</t>
        </is>
      </c>
      <c r="F1034" t="inlineStr">
        <is>
          <t>Kommuner</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29921-2022</t>
        </is>
      </c>
      <c r="B1035" s="1" t="n">
        <v>44756</v>
      </c>
      <c r="C1035" s="1" t="n">
        <v>45627</v>
      </c>
      <c r="D1035" t="inlineStr">
        <is>
          <t>VÄRMLANDS LÄN</t>
        </is>
      </c>
      <c r="E1035" t="inlineStr">
        <is>
          <t>TORSBY</t>
        </is>
      </c>
      <c r="F1035" t="inlineStr">
        <is>
          <t>Kommuner</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29990-2022</t>
        </is>
      </c>
      <c r="B1036" s="1" t="n">
        <v>44756</v>
      </c>
      <c r="C1036" s="1" t="n">
        <v>45627</v>
      </c>
      <c r="D1036" t="inlineStr">
        <is>
          <t>VÄRMLANDS LÄN</t>
        </is>
      </c>
      <c r="E1036" t="inlineStr">
        <is>
          <t>TORSBY</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30326-2022</t>
        </is>
      </c>
      <c r="B1037" s="1" t="n">
        <v>44760</v>
      </c>
      <c r="C1037" s="1" t="n">
        <v>45627</v>
      </c>
      <c r="D1037" t="inlineStr">
        <is>
          <t>VÄRMLANDS LÄN</t>
        </is>
      </c>
      <c r="E1037" t="inlineStr">
        <is>
          <t>TORSBY</t>
        </is>
      </c>
      <c r="F1037" t="inlineStr">
        <is>
          <t>Kommuner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30612-2022</t>
        </is>
      </c>
      <c r="B1038" s="1" t="n">
        <v>44763</v>
      </c>
      <c r="C1038" s="1" t="n">
        <v>45627</v>
      </c>
      <c r="D1038" t="inlineStr">
        <is>
          <t>VÄRMLANDS LÄN</t>
        </is>
      </c>
      <c r="E1038" t="inlineStr">
        <is>
          <t>TORSBY</t>
        </is>
      </c>
      <c r="F1038" t="inlineStr">
        <is>
          <t>Kommuner</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32003-2022</t>
        </is>
      </c>
      <c r="B1039" s="1" t="n">
        <v>44778</v>
      </c>
      <c r="C1039" s="1" t="n">
        <v>45627</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32438-2022</t>
        </is>
      </c>
      <c r="B1040" s="1" t="n">
        <v>44782</v>
      </c>
      <c r="C1040" s="1" t="n">
        <v>45627</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32444-2022</t>
        </is>
      </c>
      <c r="B1041" s="1" t="n">
        <v>44782</v>
      </c>
      <c r="C1041" s="1" t="n">
        <v>45627</v>
      </c>
      <c r="D1041" t="inlineStr">
        <is>
          <t>VÄRMLANDS LÄN</t>
        </is>
      </c>
      <c r="E1041" t="inlineStr">
        <is>
          <t>TORSBY</t>
        </is>
      </c>
      <c r="F1041" t="inlineStr">
        <is>
          <t>Bergvik skog väst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32400-2022</t>
        </is>
      </c>
      <c r="B1042" s="1" t="n">
        <v>44782</v>
      </c>
      <c r="C1042" s="1" t="n">
        <v>45627</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32496-2022</t>
        </is>
      </c>
      <c r="B1043" s="1" t="n">
        <v>44782</v>
      </c>
      <c r="C1043" s="1" t="n">
        <v>45627</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33069-2022</t>
        </is>
      </c>
      <c r="B1044" s="1" t="n">
        <v>44785</v>
      </c>
      <c r="C1044" s="1" t="n">
        <v>45627</v>
      </c>
      <c r="D1044" t="inlineStr">
        <is>
          <t>VÄRMLANDS LÄN</t>
        </is>
      </c>
      <c r="E1044" t="inlineStr">
        <is>
          <t>TORSBY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33181-2022</t>
        </is>
      </c>
      <c r="B1045" s="1" t="n">
        <v>44785</v>
      </c>
      <c r="C1045" s="1" t="n">
        <v>45627</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33254-2022</t>
        </is>
      </c>
      <c r="B1046" s="1" t="n">
        <v>44787</v>
      </c>
      <c r="C1046" s="1" t="n">
        <v>45627</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33251-2022</t>
        </is>
      </c>
      <c r="B1047" s="1" t="n">
        <v>44787</v>
      </c>
      <c r="C1047" s="1" t="n">
        <v>45627</v>
      </c>
      <c r="D1047" t="inlineStr">
        <is>
          <t>VÄRMLANDS LÄN</t>
        </is>
      </c>
      <c r="E1047" t="inlineStr">
        <is>
          <t>TORSBY</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33579-2022</t>
        </is>
      </c>
      <c r="B1048" s="1" t="n">
        <v>44789</v>
      </c>
      <c r="C1048" s="1" t="n">
        <v>45627</v>
      </c>
      <c r="D1048" t="inlineStr">
        <is>
          <t>VÄRMLANDS LÄN</t>
        </is>
      </c>
      <c r="E1048" t="inlineStr">
        <is>
          <t>TORSBY</t>
        </is>
      </c>
      <c r="F1048" t="inlineStr">
        <is>
          <t>Bergvik skog väst AB</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33802-2022</t>
        </is>
      </c>
      <c r="B1049" s="1" t="n">
        <v>44790</v>
      </c>
      <c r="C1049" s="1" t="n">
        <v>45627</v>
      </c>
      <c r="D1049" t="inlineStr">
        <is>
          <t>VÄRMLANDS LÄN</t>
        </is>
      </c>
      <c r="E1049" t="inlineStr">
        <is>
          <t>TORSBY</t>
        </is>
      </c>
      <c r="F1049" t="inlineStr">
        <is>
          <t>Bergvik skog väst AB</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33960-2022</t>
        </is>
      </c>
      <c r="B1050" s="1" t="n">
        <v>44790</v>
      </c>
      <c r="C1050" s="1" t="n">
        <v>45627</v>
      </c>
      <c r="D1050" t="inlineStr">
        <is>
          <t>VÄRMLANDS LÄN</t>
        </is>
      </c>
      <c r="E1050" t="inlineStr">
        <is>
          <t>TORSBY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33958-2022</t>
        </is>
      </c>
      <c r="B1051" s="1" t="n">
        <v>44790</v>
      </c>
      <c r="C1051" s="1" t="n">
        <v>45627</v>
      </c>
      <c r="D1051" t="inlineStr">
        <is>
          <t>VÄRMLANDS LÄN</t>
        </is>
      </c>
      <c r="E1051" t="inlineStr">
        <is>
          <t>TORSBY</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33943-2022</t>
        </is>
      </c>
      <c r="B1052" s="1" t="n">
        <v>44790</v>
      </c>
      <c r="C1052" s="1" t="n">
        <v>45627</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33959-2022</t>
        </is>
      </c>
      <c r="B1053" s="1" t="n">
        <v>44790</v>
      </c>
      <c r="C1053" s="1" t="n">
        <v>45627</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34371-2022</t>
        </is>
      </c>
      <c r="B1054" s="1" t="n">
        <v>44792</v>
      </c>
      <c r="C1054" s="1" t="n">
        <v>45627</v>
      </c>
      <c r="D1054" t="inlineStr">
        <is>
          <t>VÄRMLANDS LÄN</t>
        </is>
      </c>
      <c r="E1054" t="inlineStr">
        <is>
          <t>TORSBY</t>
        </is>
      </c>
      <c r="F1054" t="inlineStr">
        <is>
          <t>Bergvik skog väst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34378-2022</t>
        </is>
      </c>
      <c r="B1055" s="1" t="n">
        <v>44792</v>
      </c>
      <c r="C1055" s="1" t="n">
        <v>45627</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34434-2022</t>
        </is>
      </c>
      <c r="B1056" s="1" t="n">
        <v>44792</v>
      </c>
      <c r="C1056" s="1" t="n">
        <v>45627</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34440-2022</t>
        </is>
      </c>
      <c r="B1057" s="1" t="n">
        <v>44792</v>
      </c>
      <c r="C1057" s="1" t="n">
        <v>45627</v>
      </c>
      <c r="D1057" t="inlineStr">
        <is>
          <t>VÄRMLANDS LÄN</t>
        </is>
      </c>
      <c r="E1057" t="inlineStr">
        <is>
          <t>TORSBY</t>
        </is>
      </c>
      <c r="F1057" t="inlineStr">
        <is>
          <t>Bergvik skog väst AB</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34581-2022</t>
        </is>
      </c>
      <c r="B1058" s="1" t="n">
        <v>44792</v>
      </c>
      <c r="C1058" s="1" t="n">
        <v>45627</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34568-2022</t>
        </is>
      </c>
      <c r="B1059" s="1" t="n">
        <v>44795</v>
      </c>
      <c r="C1059" s="1" t="n">
        <v>45627</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34662-2022</t>
        </is>
      </c>
      <c r="B1060" s="1" t="n">
        <v>44795</v>
      </c>
      <c r="C1060" s="1" t="n">
        <v>45627</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34667-2022</t>
        </is>
      </c>
      <c r="B1061" s="1" t="n">
        <v>44795</v>
      </c>
      <c r="C1061" s="1" t="n">
        <v>45627</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34655-2022</t>
        </is>
      </c>
      <c r="B1062" s="1" t="n">
        <v>44795</v>
      </c>
      <c r="C1062" s="1" t="n">
        <v>45627</v>
      </c>
      <c r="D1062" t="inlineStr">
        <is>
          <t>VÄRMLANDS LÄN</t>
        </is>
      </c>
      <c r="E1062" t="inlineStr">
        <is>
          <t>TORSBY</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34908-2022</t>
        </is>
      </c>
      <c r="B1063" s="1" t="n">
        <v>44796</v>
      </c>
      <c r="C1063" s="1" t="n">
        <v>45627</v>
      </c>
      <c r="D1063" t="inlineStr">
        <is>
          <t>VÄRMLANDS LÄN</t>
        </is>
      </c>
      <c r="E1063" t="inlineStr">
        <is>
          <t>TORSBY</t>
        </is>
      </c>
      <c r="F1063" t="inlineStr">
        <is>
          <t>Bergvik skog väst AB</t>
        </is>
      </c>
      <c r="G1063" t="n">
        <v>33.4</v>
      </c>
      <c r="H1063" t="n">
        <v>0</v>
      </c>
      <c r="I1063" t="n">
        <v>0</v>
      </c>
      <c r="J1063" t="n">
        <v>0</v>
      </c>
      <c r="K1063" t="n">
        <v>0</v>
      </c>
      <c r="L1063" t="n">
        <v>0</v>
      </c>
      <c r="M1063" t="n">
        <v>0</v>
      </c>
      <c r="N1063" t="n">
        <v>0</v>
      </c>
      <c r="O1063" t="n">
        <v>0</v>
      </c>
      <c r="P1063" t="n">
        <v>0</v>
      </c>
      <c r="Q1063" t="n">
        <v>0</v>
      </c>
      <c r="R1063" s="2" t="inlineStr"/>
    </row>
    <row r="1064" ht="15" customHeight="1">
      <c r="A1064" t="inlineStr">
        <is>
          <t>A 35134-2022</t>
        </is>
      </c>
      <c r="B1064" s="1" t="n">
        <v>44797</v>
      </c>
      <c r="C1064" s="1" t="n">
        <v>45627</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35132-2022</t>
        </is>
      </c>
      <c r="B1065" s="1" t="n">
        <v>44797</v>
      </c>
      <c r="C1065" s="1" t="n">
        <v>45627</v>
      </c>
      <c r="D1065" t="inlineStr">
        <is>
          <t>VÄRMLANDS LÄN</t>
        </is>
      </c>
      <c r="E1065" t="inlineStr">
        <is>
          <t>TORSBY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35606-2022</t>
        </is>
      </c>
      <c r="B1066" s="1" t="n">
        <v>44799</v>
      </c>
      <c r="C1066" s="1" t="n">
        <v>45627</v>
      </c>
      <c r="D1066" t="inlineStr">
        <is>
          <t>VÄRMLANDS LÄN</t>
        </is>
      </c>
      <c r="E1066" t="inlineStr">
        <is>
          <t>TORSBY</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35595-2022</t>
        </is>
      </c>
      <c r="B1067" s="1" t="n">
        <v>44799</v>
      </c>
      <c r="C1067" s="1" t="n">
        <v>45627</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35724-2022</t>
        </is>
      </c>
      <c r="B1068" s="1" t="n">
        <v>44799</v>
      </c>
      <c r="C1068" s="1" t="n">
        <v>45627</v>
      </c>
      <c r="D1068" t="inlineStr">
        <is>
          <t>VÄRMLANDS LÄN</t>
        </is>
      </c>
      <c r="E1068" t="inlineStr">
        <is>
          <t>TORSBY</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35711-2022</t>
        </is>
      </c>
      <c r="B1069" s="1" t="n">
        <v>44799</v>
      </c>
      <c r="C1069" s="1" t="n">
        <v>45627</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35851-2022</t>
        </is>
      </c>
      <c r="B1070" s="1" t="n">
        <v>44802</v>
      </c>
      <c r="C1070" s="1" t="n">
        <v>45627</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36290-2022</t>
        </is>
      </c>
      <c r="B1071" s="1" t="n">
        <v>44803</v>
      </c>
      <c r="C1071" s="1" t="n">
        <v>45627</v>
      </c>
      <c r="D1071" t="inlineStr">
        <is>
          <t>VÄRMLANDS LÄN</t>
        </is>
      </c>
      <c r="E1071" t="inlineStr">
        <is>
          <t>TORSBY</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36318-2022</t>
        </is>
      </c>
      <c r="B1072" s="1" t="n">
        <v>44803</v>
      </c>
      <c r="C1072" s="1" t="n">
        <v>45627</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36514-2022</t>
        </is>
      </c>
      <c r="B1073" s="1" t="n">
        <v>44804</v>
      </c>
      <c r="C1073" s="1" t="n">
        <v>45627</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36547-2022</t>
        </is>
      </c>
      <c r="B1074" s="1" t="n">
        <v>44804</v>
      </c>
      <c r="C1074" s="1" t="n">
        <v>45627</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36545-2022</t>
        </is>
      </c>
      <c r="B1075" s="1" t="n">
        <v>44804</v>
      </c>
      <c r="C1075" s="1" t="n">
        <v>45627</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36527-2022</t>
        </is>
      </c>
      <c r="B1076" s="1" t="n">
        <v>44804</v>
      </c>
      <c r="C1076" s="1" t="n">
        <v>45627</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36537-2022</t>
        </is>
      </c>
      <c r="B1077" s="1" t="n">
        <v>44804</v>
      </c>
      <c r="C1077" s="1" t="n">
        <v>45627</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36582-2022</t>
        </is>
      </c>
      <c r="B1078" s="1" t="n">
        <v>44804</v>
      </c>
      <c r="C1078" s="1" t="n">
        <v>45627</v>
      </c>
      <c r="D1078" t="inlineStr">
        <is>
          <t>VÄRMLANDS LÄN</t>
        </is>
      </c>
      <c r="E1078" t="inlineStr">
        <is>
          <t>TORSBY</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v>
      </c>
      <c r="C1079" s="1" t="n">
        <v>45627</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36572-2022</t>
        </is>
      </c>
      <c r="B1080" s="1" t="n">
        <v>44804</v>
      </c>
      <c r="C1080" s="1" t="n">
        <v>45627</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36587-2022</t>
        </is>
      </c>
      <c r="B1081" s="1" t="n">
        <v>44804</v>
      </c>
      <c r="C1081" s="1" t="n">
        <v>45627</v>
      </c>
      <c r="D1081" t="inlineStr">
        <is>
          <t>VÄRMLANDS LÄN</t>
        </is>
      </c>
      <c r="E1081" t="inlineStr">
        <is>
          <t>TORSBY</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37148-2022</t>
        </is>
      </c>
      <c r="B1082" s="1" t="n">
        <v>44806</v>
      </c>
      <c r="C1082" s="1" t="n">
        <v>45627</v>
      </c>
      <c r="D1082" t="inlineStr">
        <is>
          <t>VÄRMLANDS LÄN</t>
        </is>
      </c>
      <c r="E1082" t="inlineStr">
        <is>
          <t>TORSBY</t>
        </is>
      </c>
      <c r="F1082" t="inlineStr">
        <is>
          <t>Kommuner</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37279-2022</t>
        </is>
      </c>
      <c r="B1083" s="1" t="n">
        <v>44807</v>
      </c>
      <c r="C1083" s="1" t="n">
        <v>45627</v>
      </c>
      <c r="D1083" t="inlineStr">
        <is>
          <t>VÄRMLANDS LÄN</t>
        </is>
      </c>
      <c r="E1083" t="inlineStr">
        <is>
          <t>TORSBY</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37401-2022</t>
        </is>
      </c>
      <c r="B1084" s="1" t="n">
        <v>44809</v>
      </c>
      <c r="C1084" s="1" t="n">
        <v>45627</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37449-2022</t>
        </is>
      </c>
      <c r="B1085" s="1" t="n">
        <v>44809</v>
      </c>
      <c r="C1085" s="1" t="n">
        <v>45627</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37340-2022</t>
        </is>
      </c>
      <c r="B1086" s="1" t="n">
        <v>44809</v>
      </c>
      <c r="C1086" s="1" t="n">
        <v>45627</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37752-2022</t>
        </is>
      </c>
      <c r="B1087" s="1" t="n">
        <v>44810</v>
      </c>
      <c r="C1087" s="1" t="n">
        <v>45627</v>
      </c>
      <c r="D1087" t="inlineStr">
        <is>
          <t>VÄRMLANDS LÄN</t>
        </is>
      </c>
      <c r="E1087" t="inlineStr">
        <is>
          <t>TORSBY</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37814-2022</t>
        </is>
      </c>
      <c r="B1088" s="1" t="n">
        <v>44810</v>
      </c>
      <c r="C1088" s="1" t="n">
        <v>45627</v>
      </c>
      <c r="D1088" t="inlineStr">
        <is>
          <t>VÄRMLANDS LÄN</t>
        </is>
      </c>
      <c r="E1088" t="inlineStr">
        <is>
          <t>TORSBY</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37754-2022</t>
        </is>
      </c>
      <c r="B1089" s="1" t="n">
        <v>44810</v>
      </c>
      <c r="C1089" s="1" t="n">
        <v>45627</v>
      </c>
      <c r="D1089" t="inlineStr">
        <is>
          <t>VÄRMLANDS LÄN</t>
        </is>
      </c>
      <c r="E1089" t="inlineStr">
        <is>
          <t>TORSBY</t>
        </is>
      </c>
      <c r="F1089" t="inlineStr">
        <is>
          <t>Kyrkan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37913-2022</t>
        </is>
      </c>
      <c r="B1090" s="1" t="n">
        <v>44811</v>
      </c>
      <c r="C1090" s="1" t="n">
        <v>45627</v>
      </c>
      <c r="D1090" t="inlineStr">
        <is>
          <t>VÄRMLANDS LÄN</t>
        </is>
      </c>
      <c r="E1090" t="inlineStr">
        <is>
          <t>TORSBY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37929-2022</t>
        </is>
      </c>
      <c r="B1091" s="1" t="n">
        <v>44811</v>
      </c>
      <c r="C1091" s="1" t="n">
        <v>45627</v>
      </c>
      <c r="D1091" t="inlineStr">
        <is>
          <t>VÄRMLANDS LÄN</t>
        </is>
      </c>
      <c r="E1091" t="inlineStr">
        <is>
          <t>TORSBY</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37917-2022</t>
        </is>
      </c>
      <c r="B1092" s="1" t="n">
        <v>44811</v>
      </c>
      <c r="C1092" s="1" t="n">
        <v>45627</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37937-2022</t>
        </is>
      </c>
      <c r="B1093" s="1" t="n">
        <v>44811</v>
      </c>
      <c r="C1093" s="1" t="n">
        <v>45627</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37985-2022</t>
        </is>
      </c>
      <c r="B1094" s="1" t="n">
        <v>44811</v>
      </c>
      <c r="C1094" s="1" t="n">
        <v>45627</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38033-2022</t>
        </is>
      </c>
      <c r="B1095" s="1" t="n">
        <v>44811</v>
      </c>
      <c r="C1095" s="1" t="n">
        <v>45627</v>
      </c>
      <c r="D1095" t="inlineStr">
        <is>
          <t>VÄRMLANDS LÄN</t>
        </is>
      </c>
      <c r="E1095" t="inlineStr">
        <is>
          <t>TORSBY</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38200-2022</t>
        </is>
      </c>
      <c r="B1096" s="1" t="n">
        <v>44812</v>
      </c>
      <c r="C1096" s="1" t="n">
        <v>45627</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38179-2022</t>
        </is>
      </c>
      <c r="B1097" s="1" t="n">
        <v>44812</v>
      </c>
      <c r="C1097" s="1" t="n">
        <v>45627</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38378-2022</t>
        </is>
      </c>
      <c r="B1098" s="1" t="n">
        <v>44812</v>
      </c>
      <c r="C1098" s="1" t="n">
        <v>45627</v>
      </c>
      <c r="D1098" t="inlineStr">
        <is>
          <t>VÄRMLANDS LÄN</t>
        </is>
      </c>
      <c r="E1098" t="inlineStr">
        <is>
          <t>TORSBY</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38486-2022</t>
        </is>
      </c>
      <c r="B1099" s="1" t="n">
        <v>44813</v>
      </c>
      <c r="C1099" s="1" t="n">
        <v>45627</v>
      </c>
      <c r="D1099" t="inlineStr">
        <is>
          <t>VÄRMLANDS LÄN</t>
        </is>
      </c>
      <c r="E1099" t="inlineStr">
        <is>
          <t>TORSBY</t>
        </is>
      </c>
      <c r="F1099" t="inlineStr">
        <is>
          <t>Bergvik skog väst AB</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38699-2022</t>
        </is>
      </c>
      <c r="B1100" s="1" t="n">
        <v>44814</v>
      </c>
      <c r="C1100" s="1" t="n">
        <v>45627</v>
      </c>
      <c r="D1100" t="inlineStr">
        <is>
          <t>VÄRMLANDS LÄN</t>
        </is>
      </c>
      <c r="E1100" t="inlineStr">
        <is>
          <t>TORSBY</t>
        </is>
      </c>
      <c r="F1100" t="inlineStr">
        <is>
          <t>Bergvik skog väst AB</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38882-2022</t>
        </is>
      </c>
      <c r="B1101" s="1" t="n">
        <v>44816</v>
      </c>
      <c r="C1101" s="1" t="n">
        <v>45627</v>
      </c>
      <c r="D1101" t="inlineStr">
        <is>
          <t>VÄRMLANDS LÄN</t>
        </is>
      </c>
      <c r="E1101" t="inlineStr">
        <is>
          <t>TORSBY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38914-2022</t>
        </is>
      </c>
      <c r="B1102" s="1" t="n">
        <v>44816</v>
      </c>
      <c r="C1102" s="1" t="n">
        <v>45627</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39069-2022</t>
        </is>
      </c>
      <c r="B1103" s="1" t="n">
        <v>44816</v>
      </c>
      <c r="C1103" s="1" t="n">
        <v>45627</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39186-2022</t>
        </is>
      </c>
      <c r="B1104" s="1" t="n">
        <v>44817</v>
      </c>
      <c r="C1104" s="1" t="n">
        <v>45627</v>
      </c>
      <c r="D1104" t="inlineStr">
        <is>
          <t>VÄRMLANDS LÄN</t>
        </is>
      </c>
      <c r="E1104" t="inlineStr">
        <is>
          <t>TORSBY</t>
        </is>
      </c>
      <c r="F1104" t="inlineStr">
        <is>
          <t>Bergvik skog väst AB</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39216-2022</t>
        </is>
      </c>
      <c r="B1105" s="1" t="n">
        <v>44817</v>
      </c>
      <c r="C1105" s="1" t="n">
        <v>45627</v>
      </c>
      <c r="D1105" t="inlineStr">
        <is>
          <t>VÄRMLANDS LÄN</t>
        </is>
      </c>
      <c r="E1105" t="inlineStr">
        <is>
          <t>TORSBY</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39215-2022</t>
        </is>
      </c>
      <c r="B1106" s="1" t="n">
        <v>44817</v>
      </c>
      <c r="C1106" s="1" t="n">
        <v>45627</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39221-2022</t>
        </is>
      </c>
      <c r="B1107" s="1" t="n">
        <v>44817</v>
      </c>
      <c r="C1107" s="1" t="n">
        <v>45627</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39217-2022</t>
        </is>
      </c>
      <c r="B1108" s="1" t="n">
        <v>44817</v>
      </c>
      <c r="C1108" s="1" t="n">
        <v>45627</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39781-2022</t>
        </is>
      </c>
      <c r="B1109" s="1" t="n">
        <v>44819</v>
      </c>
      <c r="C1109" s="1" t="n">
        <v>45627</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39780-2022</t>
        </is>
      </c>
      <c r="B1110" s="1" t="n">
        <v>44819</v>
      </c>
      <c r="C1110" s="1" t="n">
        <v>45627</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40009-2022</t>
        </is>
      </c>
      <c r="B1111" s="1" t="n">
        <v>44820</v>
      </c>
      <c r="C1111" s="1" t="n">
        <v>45627</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40036-2022</t>
        </is>
      </c>
      <c r="B1112" s="1" t="n">
        <v>44820</v>
      </c>
      <c r="C1112" s="1" t="n">
        <v>45627</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40221-2022</t>
        </is>
      </c>
      <c r="B1113" s="1" t="n">
        <v>44820</v>
      </c>
      <c r="C1113" s="1" t="n">
        <v>45627</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40353-2022</t>
        </is>
      </c>
      <c r="B1114" s="1" t="n">
        <v>44823</v>
      </c>
      <c r="C1114" s="1" t="n">
        <v>45627</v>
      </c>
      <c r="D1114" t="inlineStr">
        <is>
          <t>VÄRMLANDS LÄN</t>
        </is>
      </c>
      <c r="E1114" t="inlineStr">
        <is>
          <t>TORSBY</t>
        </is>
      </c>
      <c r="F1114" t="inlineStr">
        <is>
          <t>Bergvik skog väst AB</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41264-2022</t>
        </is>
      </c>
      <c r="B1115" s="1" t="n">
        <v>44823</v>
      </c>
      <c r="C1115" s="1" t="n">
        <v>45627</v>
      </c>
      <c r="D1115" t="inlineStr">
        <is>
          <t>VÄRMLANDS LÄN</t>
        </is>
      </c>
      <c r="E1115" t="inlineStr">
        <is>
          <t>TORSBY</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41295-2022</t>
        </is>
      </c>
      <c r="B1116" s="1" t="n">
        <v>44823</v>
      </c>
      <c r="C1116" s="1" t="n">
        <v>45627</v>
      </c>
      <c r="D1116" t="inlineStr">
        <is>
          <t>VÄRMLANDS LÄN</t>
        </is>
      </c>
      <c r="E1116" t="inlineStr">
        <is>
          <t>TORSBY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40718-2022</t>
        </is>
      </c>
      <c r="B1117" s="1" t="n">
        <v>44824</v>
      </c>
      <c r="C1117" s="1" t="n">
        <v>45627</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40788-2022</t>
        </is>
      </c>
      <c r="B1118" s="1" t="n">
        <v>44824</v>
      </c>
      <c r="C1118" s="1" t="n">
        <v>45627</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40997-2022</t>
        </is>
      </c>
      <c r="B1119" s="1" t="n">
        <v>44825</v>
      </c>
      <c r="C1119" s="1" t="n">
        <v>45627</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41065-2022</t>
        </is>
      </c>
      <c r="B1120" s="1" t="n">
        <v>44825</v>
      </c>
      <c r="C1120" s="1" t="n">
        <v>45627</v>
      </c>
      <c r="D1120" t="inlineStr">
        <is>
          <t>VÄRMLANDS LÄN</t>
        </is>
      </c>
      <c r="E1120" t="inlineStr">
        <is>
          <t>TORSBY</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41130-2022</t>
        </is>
      </c>
      <c r="B1121" s="1" t="n">
        <v>44825</v>
      </c>
      <c r="C1121" s="1" t="n">
        <v>45627</v>
      </c>
      <c r="D1121" t="inlineStr">
        <is>
          <t>VÄRMLANDS LÄN</t>
        </is>
      </c>
      <c r="E1121" t="inlineStr">
        <is>
          <t>TORSBY</t>
        </is>
      </c>
      <c r="F1121" t="inlineStr">
        <is>
          <t>Kyrkan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41315-2022</t>
        </is>
      </c>
      <c r="B1122" s="1" t="n">
        <v>44826</v>
      </c>
      <c r="C1122" s="1" t="n">
        <v>45627</v>
      </c>
      <c r="D1122" t="inlineStr">
        <is>
          <t>VÄRMLANDS LÄN</t>
        </is>
      </c>
      <c r="E1122" t="inlineStr">
        <is>
          <t>TORSBY</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41322-2022</t>
        </is>
      </c>
      <c r="B1123" s="1" t="n">
        <v>44826</v>
      </c>
      <c r="C1123" s="1" t="n">
        <v>45627</v>
      </c>
      <c r="D1123" t="inlineStr">
        <is>
          <t>VÄRMLANDS LÄN</t>
        </is>
      </c>
      <c r="E1123" t="inlineStr">
        <is>
          <t>TORSBY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v>
      </c>
      <c r="C1124" s="1" t="n">
        <v>45627</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41675-2022</t>
        </is>
      </c>
      <c r="B1125" s="1" t="n">
        <v>44827</v>
      </c>
      <c r="C1125" s="1" t="n">
        <v>45627</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41590-2022</t>
        </is>
      </c>
      <c r="B1126" s="1" t="n">
        <v>44827</v>
      </c>
      <c r="C1126" s="1" t="n">
        <v>45627</v>
      </c>
      <c r="D1126" t="inlineStr">
        <is>
          <t>VÄRMLANDS LÄN</t>
        </is>
      </c>
      <c r="E1126" t="inlineStr">
        <is>
          <t>TORSBY</t>
        </is>
      </c>
      <c r="F1126" t="inlineStr">
        <is>
          <t>Bergvik skog väst AB</t>
        </is>
      </c>
      <c r="G1126" t="n">
        <v>42.5</v>
      </c>
      <c r="H1126" t="n">
        <v>0</v>
      </c>
      <c r="I1126" t="n">
        <v>0</v>
      </c>
      <c r="J1126" t="n">
        <v>0</v>
      </c>
      <c r="K1126" t="n">
        <v>0</v>
      </c>
      <c r="L1126" t="n">
        <v>0</v>
      </c>
      <c r="M1126" t="n">
        <v>0</v>
      </c>
      <c r="N1126" t="n">
        <v>0</v>
      </c>
      <c r="O1126" t="n">
        <v>0</v>
      </c>
      <c r="P1126" t="n">
        <v>0</v>
      </c>
      <c r="Q1126" t="n">
        <v>0</v>
      </c>
      <c r="R1126" s="2" t="inlineStr"/>
    </row>
    <row r="1127" ht="15" customHeight="1">
      <c r="A1127" t="inlineStr">
        <is>
          <t>A 41995-2022</t>
        </is>
      </c>
      <c r="B1127" s="1" t="n">
        <v>44830</v>
      </c>
      <c r="C1127" s="1" t="n">
        <v>45627</v>
      </c>
      <c r="D1127" t="inlineStr">
        <is>
          <t>VÄRMLANDS LÄN</t>
        </is>
      </c>
      <c r="E1127" t="inlineStr">
        <is>
          <t>TORSBY</t>
        </is>
      </c>
      <c r="F1127" t="inlineStr">
        <is>
          <t>Bergvik skog väst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42588-2022</t>
        </is>
      </c>
      <c r="B1128" s="1" t="n">
        <v>44831</v>
      </c>
      <c r="C1128" s="1" t="n">
        <v>45627</v>
      </c>
      <c r="D1128" t="inlineStr">
        <is>
          <t>VÄRMLANDS LÄN</t>
        </is>
      </c>
      <c r="E1128" t="inlineStr">
        <is>
          <t>TORSBY</t>
        </is>
      </c>
      <c r="F1128" t="inlineStr">
        <is>
          <t>Bergvik skog väst AB</t>
        </is>
      </c>
      <c r="G1128" t="n">
        <v>41.4</v>
      </c>
      <c r="H1128" t="n">
        <v>0</v>
      </c>
      <c r="I1128" t="n">
        <v>0</v>
      </c>
      <c r="J1128" t="n">
        <v>0</v>
      </c>
      <c r="K1128" t="n">
        <v>0</v>
      </c>
      <c r="L1128" t="n">
        <v>0</v>
      </c>
      <c r="M1128" t="n">
        <v>0</v>
      </c>
      <c r="N1128" t="n">
        <v>0</v>
      </c>
      <c r="O1128" t="n">
        <v>0</v>
      </c>
      <c r="P1128" t="n">
        <v>0</v>
      </c>
      <c r="Q1128" t="n">
        <v>0</v>
      </c>
      <c r="R1128" s="2" t="inlineStr"/>
    </row>
    <row r="1129" ht="15" customHeight="1">
      <c r="A1129" t="inlineStr">
        <is>
          <t>A 42784-2022</t>
        </is>
      </c>
      <c r="B1129" s="1" t="n">
        <v>44832</v>
      </c>
      <c r="C1129" s="1" t="n">
        <v>45627</v>
      </c>
      <c r="D1129" t="inlineStr">
        <is>
          <t>VÄRMLANDS LÄN</t>
        </is>
      </c>
      <c r="E1129" t="inlineStr">
        <is>
          <t>TORSBY</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45627</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43022-2022</t>
        </is>
      </c>
      <c r="B1131" s="1" t="n">
        <v>44833</v>
      </c>
      <c r="C1131" s="1" t="n">
        <v>45627</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43111-2022</t>
        </is>
      </c>
      <c r="B1132" s="1" t="n">
        <v>44833</v>
      </c>
      <c r="C1132" s="1" t="n">
        <v>45627</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43248-2022</t>
        </is>
      </c>
      <c r="B1133" s="1" t="n">
        <v>44834</v>
      </c>
      <c r="C1133" s="1" t="n">
        <v>45627</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43289-2022</t>
        </is>
      </c>
      <c r="B1134" s="1" t="n">
        <v>44834</v>
      </c>
      <c r="C1134" s="1" t="n">
        <v>45627</v>
      </c>
      <c r="D1134" t="inlineStr">
        <is>
          <t>VÄRMLANDS LÄN</t>
        </is>
      </c>
      <c r="E1134" t="inlineStr">
        <is>
          <t>TORSBY</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43465-2022</t>
        </is>
      </c>
      <c r="B1135" s="1" t="n">
        <v>44836</v>
      </c>
      <c r="C1135" s="1" t="n">
        <v>45627</v>
      </c>
      <c r="D1135" t="inlineStr">
        <is>
          <t>VÄRMLANDS LÄN</t>
        </is>
      </c>
      <c r="E1135" t="inlineStr">
        <is>
          <t>TORSBY</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43943-2022</t>
        </is>
      </c>
      <c r="B1136" s="1" t="n">
        <v>44838</v>
      </c>
      <c r="C1136" s="1" t="n">
        <v>45627</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43989-2022</t>
        </is>
      </c>
      <c r="B1137" s="1" t="n">
        <v>44838</v>
      </c>
      <c r="C1137" s="1" t="n">
        <v>45627</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44214-2022</t>
        </is>
      </c>
      <c r="B1138" s="1" t="n">
        <v>44838</v>
      </c>
      <c r="C1138" s="1" t="n">
        <v>45627</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44340-2022</t>
        </is>
      </c>
      <c r="B1139" s="1" t="n">
        <v>44838</v>
      </c>
      <c r="C1139" s="1" t="n">
        <v>45627</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44170-2022</t>
        </is>
      </c>
      <c r="B1140" s="1" t="n">
        <v>44838</v>
      </c>
      <c r="C1140" s="1" t="n">
        <v>45627</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44149-2022</t>
        </is>
      </c>
      <c r="B1141" s="1" t="n">
        <v>44839</v>
      </c>
      <c r="C1141" s="1" t="n">
        <v>45627</v>
      </c>
      <c r="D1141" t="inlineStr">
        <is>
          <t>VÄRMLANDS LÄN</t>
        </is>
      </c>
      <c r="E1141" t="inlineStr">
        <is>
          <t>TORSBY</t>
        </is>
      </c>
      <c r="F1141" t="inlineStr">
        <is>
          <t>Bergvik skog väst AB</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44196-2022</t>
        </is>
      </c>
      <c r="B1142" s="1" t="n">
        <v>44839</v>
      </c>
      <c r="C1142" s="1" t="n">
        <v>45627</v>
      </c>
      <c r="D1142" t="inlineStr">
        <is>
          <t>VÄRMLANDS LÄN</t>
        </is>
      </c>
      <c r="E1142" t="inlineStr">
        <is>
          <t>TORSBY</t>
        </is>
      </c>
      <c r="F1142" t="inlineStr">
        <is>
          <t>Bergvik skog väst AB</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44327-2022</t>
        </is>
      </c>
      <c r="B1143" s="1" t="n">
        <v>44839</v>
      </c>
      <c r="C1143" s="1" t="n">
        <v>45627</v>
      </c>
      <c r="D1143" t="inlineStr">
        <is>
          <t>VÄRMLANDS LÄN</t>
        </is>
      </c>
      <c r="E1143" t="inlineStr">
        <is>
          <t>TORSBY</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44841-2022</t>
        </is>
      </c>
      <c r="B1144" s="1" t="n">
        <v>44839</v>
      </c>
      <c r="C1144" s="1" t="n">
        <v>45627</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44879-2022</t>
        </is>
      </c>
      <c r="B1145" s="1" t="n">
        <v>44839</v>
      </c>
      <c r="C1145" s="1" t="n">
        <v>45627</v>
      </c>
      <c r="D1145" t="inlineStr">
        <is>
          <t>VÄRMLANDS LÄN</t>
        </is>
      </c>
      <c r="E1145" t="inlineStr">
        <is>
          <t>TORSBY</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44498-2022</t>
        </is>
      </c>
      <c r="B1146" s="1" t="n">
        <v>44840</v>
      </c>
      <c r="C1146" s="1" t="n">
        <v>45627</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44516-2022</t>
        </is>
      </c>
      <c r="B1147" s="1" t="n">
        <v>44840</v>
      </c>
      <c r="C1147" s="1" t="n">
        <v>45627</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44517-2022</t>
        </is>
      </c>
      <c r="B1148" s="1" t="n">
        <v>44840</v>
      </c>
      <c r="C1148" s="1" t="n">
        <v>45627</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44532-2022</t>
        </is>
      </c>
      <c r="B1149" s="1" t="n">
        <v>44840</v>
      </c>
      <c r="C1149" s="1" t="n">
        <v>45627</v>
      </c>
      <c r="D1149" t="inlineStr">
        <is>
          <t>VÄRMLANDS LÄN</t>
        </is>
      </c>
      <c r="E1149" t="inlineStr">
        <is>
          <t>TORSBY</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44708-2022</t>
        </is>
      </c>
      <c r="B1150" s="1" t="n">
        <v>44840</v>
      </c>
      <c r="C1150" s="1" t="n">
        <v>45627</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45056-2022</t>
        </is>
      </c>
      <c r="B1151" s="1" t="n">
        <v>44841</v>
      </c>
      <c r="C1151" s="1" t="n">
        <v>45627</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45303-2022</t>
        </is>
      </c>
      <c r="B1152" s="1" t="n">
        <v>44844</v>
      </c>
      <c r="C1152" s="1" t="n">
        <v>45627</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45368-2022</t>
        </is>
      </c>
      <c r="B1153" s="1" t="n">
        <v>44844</v>
      </c>
      <c r="C1153" s="1" t="n">
        <v>45627</v>
      </c>
      <c r="D1153" t="inlineStr">
        <is>
          <t>VÄRMLANDS LÄN</t>
        </is>
      </c>
      <c r="E1153" t="inlineStr">
        <is>
          <t>TORSBY</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45328-2022</t>
        </is>
      </c>
      <c r="B1154" s="1" t="n">
        <v>44844</v>
      </c>
      <c r="C1154" s="1" t="n">
        <v>45627</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45325-2022</t>
        </is>
      </c>
      <c r="B1155" s="1" t="n">
        <v>44844</v>
      </c>
      <c r="C1155" s="1" t="n">
        <v>45627</v>
      </c>
      <c r="D1155" t="inlineStr">
        <is>
          <t>VÄRMLANDS LÄN</t>
        </is>
      </c>
      <c r="E1155" t="inlineStr">
        <is>
          <t>TORSBY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45369-2022</t>
        </is>
      </c>
      <c r="B1156" s="1" t="n">
        <v>44844</v>
      </c>
      <c r="C1156" s="1" t="n">
        <v>45627</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45809-2022</t>
        </is>
      </c>
      <c r="B1157" s="1" t="n">
        <v>44844</v>
      </c>
      <c r="C1157" s="1" t="n">
        <v>45627</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45666-2022</t>
        </is>
      </c>
      <c r="B1158" s="1" t="n">
        <v>44845</v>
      </c>
      <c r="C1158" s="1" t="n">
        <v>45627</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46551-2022</t>
        </is>
      </c>
      <c r="B1159" s="1" t="n">
        <v>44848</v>
      </c>
      <c r="C1159" s="1" t="n">
        <v>45627</v>
      </c>
      <c r="D1159" t="inlineStr">
        <is>
          <t>VÄRMLANDS LÄN</t>
        </is>
      </c>
      <c r="E1159" t="inlineStr">
        <is>
          <t>TORSBY</t>
        </is>
      </c>
      <c r="F1159" t="inlineStr">
        <is>
          <t>Bergvik skog väst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47167-2022</t>
        </is>
      </c>
      <c r="B1160" s="1" t="n">
        <v>44852</v>
      </c>
      <c r="C1160" s="1" t="n">
        <v>45627</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47141-2022</t>
        </is>
      </c>
      <c r="B1161" s="1" t="n">
        <v>44852</v>
      </c>
      <c r="C1161" s="1" t="n">
        <v>45627</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47206-2022</t>
        </is>
      </c>
      <c r="B1162" s="1" t="n">
        <v>44852</v>
      </c>
      <c r="C1162" s="1" t="n">
        <v>45627</v>
      </c>
      <c r="D1162" t="inlineStr">
        <is>
          <t>VÄRMLANDS LÄN</t>
        </is>
      </c>
      <c r="E1162" t="inlineStr">
        <is>
          <t>TORSBY</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47466-2022</t>
        </is>
      </c>
      <c r="B1163" s="1" t="n">
        <v>44852</v>
      </c>
      <c r="C1163" s="1" t="n">
        <v>45627</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48328-2022</t>
        </is>
      </c>
      <c r="B1164" s="1" t="n">
        <v>44853</v>
      </c>
      <c r="C1164" s="1" t="n">
        <v>45627</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48356-2022</t>
        </is>
      </c>
      <c r="B1165" s="1" t="n">
        <v>44853</v>
      </c>
      <c r="C1165" s="1" t="n">
        <v>45627</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48320-2022</t>
        </is>
      </c>
      <c r="B1166" s="1" t="n">
        <v>44853</v>
      </c>
      <c r="C1166" s="1" t="n">
        <v>45627</v>
      </c>
      <c r="D1166" t="inlineStr">
        <is>
          <t>VÄRMLANDS LÄN</t>
        </is>
      </c>
      <c r="E1166" t="inlineStr">
        <is>
          <t>TORSBY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47694-2022</t>
        </is>
      </c>
      <c r="B1167" s="1" t="n">
        <v>44854</v>
      </c>
      <c r="C1167" s="1" t="n">
        <v>45627</v>
      </c>
      <c r="D1167" t="inlineStr">
        <is>
          <t>VÄRMLANDS LÄN</t>
        </is>
      </c>
      <c r="E1167" t="inlineStr">
        <is>
          <t>TORSBY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48239-2022</t>
        </is>
      </c>
      <c r="B1168" s="1" t="n">
        <v>44858</v>
      </c>
      <c r="C1168" s="1" t="n">
        <v>45627</v>
      </c>
      <c r="D1168" t="inlineStr">
        <is>
          <t>VÄRMLANDS LÄN</t>
        </is>
      </c>
      <c r="E1168" t="inlineStr">
        <is>
          <t>TORSBY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48712-2022</t>
        </is>
      </c>
      <c r="B1169" s="1" t="n">
        <v>44859</v>
      </c>
      <c r="C1169" s="1" t="n">
        <v>45627</v>
      </c>
      <c r="D1169" t="inlineStr">
        <is>
          <t>VÄRMLANDS LÄN</t>
        </is>
      </c>
      <c r="E1169" t="inlineStr">
        <is>
          <t>TORSBY</t>
        </is>
      </c>
      <c r="F1169" t="inlineStr">
        <is>
          <t>Bergvik skog väst AB</t>
        </is>
      </c>
      <c r="G1169" t="n">
        <v>22.7</v>
      </c>
      <c r="H1169" t="n">
        <v>0</v>
      </c>
      <c r="I1169" t="n">
        <v>0</v>
      </c>
      <c r="J1169" t="n">
        <v>0</v>
      </c>
      <c r="K1169" t="n">
        <v>0</v>
      </c>
      <c r="L1169" t="n">
        <v>0</v>
      </c>
      <c r="M1169" t="n">
        <v>0</v>
      </c>
      <c r="N1169" t="n">
        <v>0</v>
      </c>
      <c r="O1169" t="n">
        <v>0</v>
      </c>
      <c r="P1169" t="n">
        <v>0</v>
      </c>
      <c r="Q1169" t="n">
        <v>0</v>
      </c>
      <c r="R1169" s="2" t="inlineStr"/>
    </row>
    <row r="1170" ht="15" customHeight="1">
      <c r="A1170" t="inlineStr">
        <is>
          <t>A 49699-2022</t>
        </is>
      </c>
      <c r="B1170" s="1" t="n">
        <v>44859</v>
      </c>
      <c r="C1170" s="1" t="n">
        <v>45627</v>
      </c>
      <c r="D1170" t="inlineStr">
        <is>
          <t>VÄRMLANDS LÄN</t>
        </is>
      </c>
      <c r="E1170" t="inlineStr">
        <is>
          <t>TORSBY</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49814-2022</t>
        </is>
      </c>
      <c r="B1171" s="1" t="n">
        <v>44859</v>
      </c>
      <c r="C1171" s="1" t="n">
        <v>45627</v>
      </c>
      <c r="D1171" t="inlineStr">
        <is>
          <t>VÄRMLANDS LÄN</t>
        </is>
      </c>
      <c r="E1171" t="inlineStr">
        <is>
          <t>TORSBY</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49608-2022</t>
        </is>
      </c>
      <c r="B1172" s="1" t="n">
        <v>44859</v>
      </c>
      <c r="C1172" s="1" t="n">
        <v>45627</v>
      </c>
      <c r="D1172" t="inlineStr">
        <is>
          <t>VÄRMLANDS LÄN</t>
        </is>
      </c>
      <c r="E1172" t="inlineStr">
        <is>
          <t>TORSBY</t>
        </is>
      </c>
      <c r="F1172" t="inlineStr">
        <is>
          <t>Kyrkan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49073-2022</t>
        </is>
      </c>
      <c r="B1173" s="1" t="n">
        <v>44860</v>
      </c>
      <c r="C1173" s="1" t="n">
        <v>45627</v>
      </c>
      <c r="D1173" t="inlineStr">
        <is>
          <t>VÄRMLANDS LÄN</t>
        </is>
      </c>
      <c r="E1173" t="inlineStr">
        <is>
          <t>TORSBY</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49206-2022</t>
        </is>
      </c>
      <c r="B1174" s="1" t="n">
        <v>44861</v>
      </c>
      <c r="C1174" s="1" t="n">
        <v>45627</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49346-2022</t>
        </is>
      </c>
      <c r="B1175" s="1" t="n">
        <v>44861</v>
      </c>
      <c r="C1175" s="1" t="n">
        <v>45627</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50390-2022</t>
        </is>
      </c>
      <c r="B1176" s="1" t="n">
        <v>44861</v>
      </c>
      <c r="C1176" s="1" t="n">
        <v>45627</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49795-2022</t>
        </is>
      </c>
      <c r="B1177" s="1" t="n">
        <v>44862</v>
      </c>
      <c r="C1177" s="1" t="n">
        <v>45627</v>
      </c>
      <c r="D1177" t="inlineStr">
        <is>
          <t>VÄRMLANDS LÄN</t>
        </is>
      </c>
      <c r="E1177" t="inlineStr">
        <is>
          <t>TORSBY</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49810-2022</t>
        </is>
      </c>
      <c r="B1178" s="1" t="n">
        <v>44862</v>
      </c>
      <c r="C1178" s="1" t="n">
        <v>45627</v>
      </c>
      <c r="D1178" t="inlineStr">
        <is>
          <t>VÄRMLANDS LÄN</t>
        </is>
      </c>
      <c r="E1178" t="inlineStr">
        <is>
          <t>TORSBY</t>
        </is>
      </c>
      <c r="F1178" t="inlineStr">
        <is>
          <t>Bergvik skog väst AB</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49957-2022</t>
        </is>
      </c>
      <c r="B1179" s="1" t="n">
        <v>44865</v>
      </c>
      <c r="C1179" s="1" t="n">
        <v>45627</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49983-2022</t>
        </is>
      </c>
      <c r="B1180" s="1" t="n">
        <v>44865</v>
      </c>
      <c r="C1180" s="1" t="n">
        <v>45627</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49970-2022</t>
        </is>
      </c>
      <c r="B1181" s="1" t="n">
        <v>44865</v>
      </c>
      <c r="C1181" s="1" t="n">
        <v>45627</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49959-2022</t>
        </is>
      </c>
      <c r="B1182" s="1" t="n">
        <v>44865</v>
      </c>
      <c r="C1182" s="1" t="n">
        <v>45627</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50280-2022</t>
        </is>
      </c>
      <c r="B1183" s="1" t="n">
        <v>44865</v>
      </c>
      <c r="C1183" s="1" t="n">
        <v>45627</v>
      </c>
      <c r="D1183" t="inlineStr">
        <is>
          <t>VÄRMLANDS LÄN</t>
        </is>
      </c>
      <c r="E1183" t="inlineStr">
        <is>
          <t>TORSBY</t>
        </is>
      </c>
      <c r="F1183" t="inlineStr">
        <is>
          <t>Bergvik skog väst AB</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50417-2022</t>
        </is>
      </c>
      <c r="B1184" s="1" t="n">
        <v>44866</v>
      </c>
      <c r="C1184" s="1" t="n">
        <v>45627</v>
      </c>
      <c r="D1184" t="inlineStr">
        <is>
          <t>VÄRMLANDS LÄN</t>
        </is>
      </c>
      <c r="E1184" t="inlineStr">
        <is>
          <t>TORSBY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50436-2022</t>
        </is>
      </c>
      <c r="B1185" s="1" t="n">
        <v>44866</v>
      </c>
      <c r="C1185" s="1" t="n">
        <v>45627</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50434-2022</t>
        </is>
      </c>
      <c r="B1186" s="1" t="n">
        <v>44866</v>
      </c>
      <c r="C1186" s="1" t="n">
        <v>45627</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50953-2022</t>
        </is>
      </c>
      <c r="B1187" s="1" t="n">
        <v>44866</v>
      </c>
      <c r="C1187" s="1" t="n">
        <v>45627</v>
      </c>
      <c r="D1187" t="inlineStr">
        <is>
          <t>VÄRMLANDS LÄN</t>
        </is>
      </c>
      <c r="E1187" t="inlineStr">
        <is>
          <t>TORSBY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50789-2022</t>
        </is>
      </c>
      <c r="B1188" s="1" t="n">
        <v>44867</v>
      </c>
      <c r="C1188" s="1" t="n">
        <v>45627</v>
      </c>
      <c r="D1188" t="inlineStr">
        <is>
          <t>VÄRMLANDS LÄN</t>
        </is>
      </c>
      <c r="E1188" t="inlineStr">
        <is>
          <t>TORSBY</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51124-2022</t>
        </is>
      </c>
      <c r="B1189" s="1" t="n">
        <v>44868</v>
      </c>
      <c r="C1189" s="1" t="n">
        <v>45627</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51439-2022</t>
        </is>
      </c>
      <c r="B1190" s="1" t="n">
        <v>44869</v>
      </c>
      <c r="C1190" s="1" t="n">
        <v>45627</v>
      </c>
      <c r="D1190" t="inlineStr">
        <is>
          <t>VÄRMLANDS LÄN</t>
        </is>
      </c>
      <c r="E1190" t="inlineStr">
        <is>
          <t>TORSBY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51490-2022</t>
        </is>
      </c>
      <c r="B1191" s="1" t="n">
        <v>44869</v>
      </c>
      <c r="C1191" s="1" t="n">
        <v>45627</v>
      </c>
      <c r="D1191" t="inlineStr">
        <is>
          <t>VÄRMLANDS LÄN</t>
        </is>
      </c>
      <c r="E1191" t="inlineStr">
        <is>
          <t>TORSBY</t>
        </is>
      </c>
      <c r="F1191" t="inlineStr">
        <is>
          <t>Bergvik skog väst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51489-2022</t>
        </is>
      </c>
      <c r="B1192" s="1" t="n">
        <v>44869</v>
      </c>
      <c r="C1192" s="1" t="n">
        <v>45627</v>
      </c>
      <c r="D1192" t="inlineStr">
        <is>
          <t>VÄRMLANDS LÄN</t>
        </is>
      </c>
      <c r="E1192" t="inlineStr">
        <is>
          <t>TORSBY</t>
        </is>
      </c>
      <c r="F1192" t="inlineStr">
        <is>
          <t>Bergvik skog väst AB</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51847-2022</t>
        </is>
      </c>
      <c r="B1193" s="1" t="n">
        <v>44872</v>
      </c>
      <c r="C1193" s="1" t="n">
        <v>45627</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51843-2022</t>
        </is>
      </c>
      <c r="B1194" s="1" t="n">
        <v>44872</v>
      </c>
      <c r="C1194" s="1" t="n">
        <v>45627</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51911-2022</t>
        </is>
      </c>
      <c r="B1195" s="1" t="n">
        <v>44872</v>
      </c>
      <c r="C1195" s="1" t="n">
        <v>45627</v>
      </c>
      <c r="D1195" t="inlineStr">
        <is>
          <t>VÄRMLANDS LÄN</t>
        </is>
      </c>
      <c r="E1195" t="inlineStr">
        <is>
          <t>TORSBY</t>
        </is>
      </c>
      <c r="F1195" t="inlineStr">
        <is>
          <t>Bergvik skog väst AB</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52921-2022</t>
        </is>
      </c>
      <c r="B1196" s="1" t="n">
        <v>44872</v>
      </c>
      <c r="C1196" s="1" t="n">
        <v>45627</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52901-2022</t>
        </is>
      </c>
      <c r="B1197" s="1" t="n">
        <v>44872</v>
      </c>
      <c r="C1197" s="1" t="n">
        <v>45627</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52286-2022</t>
        </is>
      </c>
      <c r="B1198" s="1" t="n">
        <v>44873</v>
      </c>
      <c r="C1198" s="1" t="n">
        <v>45627</v>
      </c>
      <c r="D1198" t="inlineStr">
        <is>
          <t>VÄRMLANDS LÄN</t>
        </is>
      </c>
      <c r="E1198" t="inlineStr">
        <is>
          <t>TORSBY</t>
        </is>
      </c>
      <c r="F1198" t="inlineStr">
        <is>
          <t>Bergvik skog väst AB</t>
        </is>
      </c>
      <c r="G1198" t="n">
        <v>51.4</v>
      </c>
      <c r="H1198" t="n">
        <v>0</v>
      </c>
      <c r="I1198" t="n">
        <v>0</v>
      </c>
      <c r="J1198" t="n">
        <v>0</v>
      </c>
      <c r="K1198" t="n">
        <v>0</v>
      </c>
      <c r="L1198" t="n">
        <v>0</v>
      </c>
      <c r="M1198" t="n">
        <v>0</v>
      </c>
      <c r="N1198" t="n">
        <v>0</v>
      </c>
      <c r="O1198" t="n">
        <v>0</v>
      </c>
      <c r="P1198" t="n">
        <v>0</v>
      </c>
      <c r="Q1198" t="n">
        <v>0</v>
      </c>
      <c r="R1198" s="2" t="inlineStr"/>
    </row>
    <row r="1199" ht="15" customHeight="1">
      <c r="A1199" t="inlineStr">
        <is>
          <t>A 52393-2022</t>
        </is>
      </c>
      <c r="B1199" s="1" t="n">
        <v>44874</v>
      </c>
      <c r="C1199" s="1" t="n">
        <v>45627</v>
      </c>
      <c r="D1199" t="inlineStr">
        <is>
          <t>VÄRMLANDS LÄN</t>
        </is>
      </c>
      <c r="E1199" t="inlineStr">
        <is>
          <t>TORSBY</t>
        </is>
      </c>
      <c r="G1199" t="n">
        <v>9.800000000000001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52546-2022</t>
        </is>
      </c>
      <c r="B1200" s="1" t="n">
        <v>44874</v>
      </c>
      <c r="C1200" s="1" t="n">
        <v>45627</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52386-2022</t>
        </is>
      </c>
      <c r="B1201" s="1" t="n">
        <v>44874</v>
      </c>
      <c r="C1201" s="1" t="n">
        <v>45627</v>
      </c>
      <c r="D1201" t="inlineStr">
        <is>
          <t>VÄRMLANDS LÄN</t>
        </is>
      </c>
      <c r="E1201" t="inlineStr">
        <is>
          <t>TORSBY</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52543-2022</t>
        </is>
      </c>
      <c r="B1202" s="1" t="n">
        <v>44874</v>
      </c>
      <c r="C1202" s="1" t="n">
        <v>45627</v>
      </c>
      <c r="D1202" t="inlineStr">
        <is>
          <t>VÄRMLANDS LÄN</t>
        </is>
      </c>
      <c r="E1202" t="inlineStr">
        <is>
          <t>TORSBY</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52447-2022</t>
        </is>
      </c>
      <c r="B1203" s="1" t="n">
        <v>44874</v>
      </c>
      <c r="C1203" s="1" t="n">
        <v>45627</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52483-2022</t>
        </is>
      </c>
      <c r="B1204" s="1" t="n">
        <v>44874</v>
      </c>
      <c r="C1204" s="1" t="n">
        <v>45627</v>
      </c>
      <c r="D1204" t="inlineStr">
        <is>
          <t>VÄRMLANDS LÄN</t>
        </is>
      </c>
      <c r="E1204" t="inlineStr">
        <is>
          <t>TORSBY</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52913-2022</t>
        </is>
      </c>
      <c r="B1205" s="1" t="n">
        <v>44875</v>
      </c>
      <c r="C1205" s="1" t="n">
        <v>45627</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52919-2022</t>
        </is>
      </c>
      <c r="B1206" s="1" t="n">
        <v>44875</v>
      </c>
      <c r="C1206" s="1" t="n">
        <v>45627</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53044-2022</t>
        </is>
      </c>
      <c r="B1207" s="1" t="n">
        <v>44876</v>
      </c>
      <c r="C1207" s="1" t="n">
        <v>45627</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53076-2022</t>
        </is>
      </c>
      <c r="B1208" s="1" t="n">
        <v>44876</v>
      </c>
      <c r="C1208" s="1" t="n">
        <v>45627</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53988-2022</t>
        </is>
      </c>
      <c r="B1209" s="1" t="n">
        <v>44876</v>
      </c>
      <c r="C1209" s="1" t="n">
        <v>45627</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53381-2022</t>
        </is>
      </c>
      <c r="B1210" s="1" t="n">
        <v>44879</v>
      </c>
      <c r="C1210" s="1" t="n">
        <v>45627</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53492-2022</t>
        </is>
      </c>
      <c r="B1211" s="1" t="n">
        <v>44879</v>
      </c>
      <c r="C1211" s="1" t="n">
        <v>45627</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53781-2022</t>
        </is>
      </c>
      <c r="B1212" s="1" t="n">
        <v>44880</v>
      </c>
      <c r="C1212" s="1" t="n">
        <v>45627</v>
      </c>
      <c r="D1212" t="inlineStr">
        <is>
          <t>VÄRMLANDS LÄN</t>
        </is>
      </c>
      <c r="E1212" t="inlineStr">
        <is>
          <t>TORSBY</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45627</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54452-2022</t>
        </is>
      </c>
      <c r="B1214" s="1" t="n">
        <v>44880</v>
      </c>
      <c r="C1214" s="1" t="n">
        <v>45627</v>
      </c>
      <c r="D1214" t="inlineStr">
        <is>
          <t>VÄRMLANDS LÄN</t>
        </is>
      </c>
      <c r="E1214" t="inlineStr">
        <is>
          <t>TORSBY</t>
        </is>
      </c>
      <c r="F1214" t="inlineStr">
        <is>
          <t>Kyrkan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54028-2022</t>
        </is>
      </c>
      <c r="B1215" s="1" t="n">
        <v>44881</v>
      </c>
      <c r="C1215" s="1" t="n">
        <v>45627</v>
      </c>
      <c r="D1215" t="inlineStr">
        <is>
          <t>VÄRMLANDS LÄN</t>
        </is>
      </c>
      <c r="E1215" t="inlineStr">
        <is>
          <t>TORSBY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54143-2022</t>
        </is>
      </c>
      <c r="B1216" s="1" t="n">
        <v>44881</v>
      </c>
      <c r="C1216" s="1" t="n">
        <v>45627</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54160-2022</t>
        </is>
      </c>
      <c r="B1217" s="1" t="n">
        <v>44881</v>
      </c>
      <c r="C1217" s="1" t="n">
        <v>45627</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v>
      </c>
      <c r="C1218" s="1" t="n">
        <v>45627</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54865-2022</t>
        </is>
      </c>
      <c r="B1219" s="1" t="n">
        <v>44884</v>
      </c>
      <c r="C1219" s="1" t="n">
        <v>45627</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54885-2022</t>
        </is>
      </c>
      <c r="B1220" s="1" t="n">
        <v>44886</v>
      </c>
      <c r="C1220" s="1" t="n">
        <v>45627</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55068-2022</t>
        </is>
      </c>
      <c r="B1221" s="1" t="n">
        <v>44886</v>
      </c>
      <c r="C1221" s="1" t="n">
        <v>45627</v>
      </c>
      <c r="D1221" t="inlineStr">
        <is>
          <t>VÄRMLANDS LÄN</t>
        </is>
      </c>
      <c r="E1221" t="inlineStr">
        <is>
          <t>TORSBY</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55092-2022</t>
        </is>
      </c>
      <c r="B1222" s="1" t="n">
        <v>44886</v>
      </c>
      <c r="C1222" s="1" t="n">
        <v>45627</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55104-2022</t>
        </is>
      </c>
      <c r="B1223" s="1" t="n">
        <v>44886</v>
      </c>
      <c r="C1223" s="1" t="n">
        <v>45627</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55428-2022</t>
        </is>
      </c>
      <c r="B1224" s="1" t="n">
        <v>44887</v>
      </c>
      <c r="C1224" s="1" t="n">
        <v>45627</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55475-2022</t>
        </is>
      </c>
      <c r="B1225" s="1" t="n">
        <v>44887</v>
      </c>
      <c r="C1225" s="1" t="n">
        <v>45627</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55436-2022</t>
        </is>
      </c>
      <c r="B1226" s="1" t="n">
        <v>44887</v>
      </c>
      <c r="C1226" s="1" t="n">
        <v>45627</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55575-2022</t>
        </is>
      </c>
      <c r="B1227" s="1" t="n">
        <v>44888</v>
      </c>
      <c r="C1227" s="1" t="n">
        <v>45627</v>
      </c>
      <c r="D1227" t="inlineStr">
        <is>
          <t>VÄRMLANDS LÄN</t>
        </is>
      </c>
      <c r="E1227" t="inlineStr">
        <is>
          <t>TORSBY</t>
        </is>
      </c>
      <c r="F1227" t="inlineStr">
        <is>
          <t>Bergvik skog väst AB</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55981-2022</t>
        </is>
      </c>
      <c r="B1228" s="1" t="n">
        <v>44889</v>
      </c>
      <c r="C1228" s="1" t="n">
        <v>45627</v>
      </c>
      <c r="D1228" t="inlineStr">
        <is>
          <t>VÄRMLANDS LÄN</t>
        </is>
      </c>
      <c r="E1228" t="inlineStr">
        <is>
          <t>TORSBY</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55939-2022</t>
        </is>
      </c>
      <c r="B1229" s="1" t="n">
        <v>44889</v>
      </c>
      <c r="C1229" s="1" t="n">
        <v>45627</v>
      </c>
      <c r="D1229" t="inlineStr">
        <is>
          <t>VÄRMLANDS LÄN</t>
        </is>
      </c>
      <c r="E1229" t="inlineStr">
        <is>
          <t>TORSBY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55947-2022</t>
        </is>
      </c>
      <c r="B1230" s="1" t="n">
        <v>44889</v>
      </c>
      <c r="C1230" s="1" t="n">
        <v>45627</v>
      </c>
      <c r="D1230" t="inlineStr">
        <is>
          <t>VÄRMLANDS LÄN</t>
        </is>
      </c>
      <c r="E1230" t="inlineStr">
        <is>
          <t>TORSBY</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56281-2022</t>
        </is>
      </c>
      <c r="B1231" s="1" t="n">
        <v>44890</v>
      </c>
      <c r="C1231" s="1" t="n">
        <v>45627</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56361-2022</t>
        </is>
      </c>
      <c r="B1232" s="1" t="n">
        <v>44890</v>
      </c>
      <c r="C1232" s="1" t="n">
        <v>45627</v>
      </c>
      <c r="D1232" t="inlineStr">
        <is>
          <t>VÄRMLANDS LÄN</t>
        </is>
      </c>
      <c r="E1232" t="inlineStr">
        <is>
          <t>TORSBY</t>
        </is>
      </c>
      <c r="F1232" t="inlineStr">
        <is>
          <t>Bergvik skog väst AB</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56432-2022</t>
        </is>
      </c>
      <c r="B1233" s="1" t="n">
        <v>44891</v>
      </c>
      <c r="C1233" s="1" t="n">
        <v>45627</v>
      </c>
      <c r="D1233" t="inlineStr">
        <is>
          <t>VÄRMLANDS LÄN</t>
        </is>
      </c>
      <c r="E1233" t="inlineStr">
        <is>
          <t>TORSBY</t>
        </is>
      </c>
      <c r="F1233" t="inlineStr">
        <is>
          <t>Bergvik skog väst AB</t>
        </is>
      </c>
      <c r="G1233" t="n">
        <v>37.4</v>
      </c>
      <c r="H1233" t="n">
        <v>0</v>
      </c>
      <c r="I1233" t="n">
        <v>0</v>
      </c>
      <c r="J1233" t="n">
        <v>0</v>
      </c>
      <c r="K1233" t="n">
        <v>0</v>
      </c>
      <c r="L1233" t="n">
        <v>0</v>
      </c>
      <c r="M1233" t="n">
        <v>0</v>
      </c>
      <c r="N1233" t="n">
        <v>0</v>
      </c>
      <c r="O1233" t="n">
        <v>0</v>
      </c>
      <c r="P1233" t="n">
        <v>0</v>
      </c>
      <c r="Q1233" t="n">
        <v>0</v>
      </c>
      <c r="R1233" s="2" t="inlineStr"/>
    </row>
    <row r="1234" ht="15" customHeight="1">
      <c r="A1234" t="inlineStr">
        <is>
          <t>A 56434-2022</t>
        </is>
      </c>
      <c r="B1234" s="1" t="n">
        <v>44891</v>
      </c>
      <c r="C1234" s="1" t="n">
        <v>45627</v>
      </c>
      <c r="D1234" t="inlineStr">
        <is>
          <t>VÄRMLANDS LÄN</t>
        </is>
      </c>
      <c r="E1234" t="inlineStr">
        <is>
          <t>TORSBY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56473-2022</t>
        </is>
      </c>
      <c r="B1235" s="1" t="n">
        <v>44893</v>
      </c>
      <c r="C1235" s="1" t="n">
        <v>45627</v>
      </c>
      <c r="D1235" t="inlineStr">
        <is>
          <t>VÄRMLANDS LÄN</t>
        </is>
      </c>
      <c r="E1235" t="inlineStr">
        <is>
          <t>TORSBY</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57072-2022</t>
        </is>
      </c>
      <c r="B1236" s="1" t="n">
        <v>44895</v>
      </c>
      <c r="C1236" s="1" t="n">
        <v>45627</v>
      </c>
      <c r="D1236" t="inlineStr">
        <is>
          <t>VÄRMLANDS LÄN</t>
        </is>
      </c>
      <c r="E1236" t="inlineStr">
        <is>
          <t>TORSBY</t>
        </is>
      </c>
      <c r="F1236" t="inlineStr">
        <is>
          <t>Övriga statliga verk och myndigheter</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57176-2022</t>
        </is>
      </c>
      <c r="B1237" s="1" t="n">
        <v>44895</v>
      </c>
      <c r="C1237" s="1" t="n">
        <v>45627</v>
      </c>
      <c r="D1237" t="inlineStr">
        <is>
          <t>VÄRMLANDS LÄN</t>
        </is>
      </c>
      <c r="E1237" t="inlineStr">
        <is>
          <t>TORSBY</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57071-2022</t>
        </is>
      </c>
      <c r="B1238" s="1" t="n">
        <v>44895</v>
      </c>
      <c r="C1238" s="1" t="n">
        <v>45627</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57172-2022</t>
        </is>
      </c>
      <c r="B1239" s="1" t="n">
        <v>44895</v>
      </c>
      <c r="C1239" s="1" t="n">
        <v>45627</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57408-2022</t>
        </is>
      </c>
      <c r="B1240" s="1" t="n">
        <v>44896</v>
      </c>
      <c r="C1240" s="1" t="n">
        <v>45627</v>
      </c>
      <c r="D1240" t="inlineStr">
        <is>
          <t>VÄRMLANDS LÄN</t>
        </is>
      </c>
      <c r="E1240" t="inlineStr">
        <is>
          <t>TORSBY</t>
        </is>
      </c>
      <c r="F1240" t="inlineStr">
        <is>
          <t>Bergvik skog väst AB</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57418-2022</t>
        </is>
      </c>
      <c r="B1241" s="1" t="n">
        <v>44896</v>
      </c>
      <c r="C1241" s="1" t="n">
        <v>45627</v>
      </c>
      <c r="D1241" t="inlineStr">
        <is>
          <t>VÄRMLANDS LÄN</t>
        </is>
      </c>
      <c r="E1241" t="inlineStr">
        <is>
          <t>TORSBY</t>
        </is>
      </c>
      <c r="F1241" t="inlineStr">
        <is>
          <t>Bergvik skog väst AB</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57393-2022</t>
        </is>
      </c>
      <c r="B1242" s="1" t="n">
        <v>44896</v>
      </c>
      <c r="C1242" s="1" t="n">
        <v>45627</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57452-2022</t>
        </is>
      </c>
      <c r="B1243" s="1" t="n">
        <v>44896</v>
      </c>
      <c r="C1243" s="1" t="n">
        <v>45627</v>
      </c>
      <c r="D1243" t="inlineStr">
        <is>
          <t>VÄRMLANDS LÄN</t>
        </is>
      </c>
      <c r="E1243" t="inlineStr">
        <is>
          <t>TORSBY</t>
        </is>
      </c>
      <c r="F1243" t="inlineStr">
        <is>
          <t>Bergvik skog väst AB</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57708-2022</t>
        </is>
      </c>
      <c r="B1244" s="1" t="n">
        <v>44897</v>
      </c>
      <c r="C1244" s="1" t="n">
        <v>45627</v>
      </c>
      <c r="D1244" t="inlineStr">
        <is>
          <t>VÄRMLANDS LÄN</t>
        </is>
      </c>
      <c r="E1244" t="inlineStr">
        <is>
          <t>TORSBY</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57726-2022</t>
        </is>
      </c>
      <c r="B1245" s="1" t="n">
        <v>44897</v>
      </c>
      <c r="C1245" s="1" t="n">
        <v>45627</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57721-2022</t>
        </is>
      </c>
      <c r="B1246" s="1" t="n">
        <v>44897</v>
      </c>
      <c r="C1246" s="1" t="n">
        <v>45627</v>
      </c>
      <c r="D1246" t="inlineStr">
        <is>
          <t>VÄRMLANDS LÄN</t>
        </is>
      </c>
      <c r="E1246" t="inlineStr">
        <is>
          <t>TORSBY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57867-2022</t>
        </is>
      </c>
      <c r="B1247" s="1" t="n">
        <v>44899</v>
      </c>
      <c r="C1247" s="1" t="n">
        <v>45627</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57937-2022</t>
        </is>
      </c>
      <c r="B1248" s="1" t="n">
        <v>44900</v>
      </c>
      <c r="C1248" s="1" t="n">
        <v>45627</v>
      </c>
      <c r="D1248" t="inlineStr">
        <is>
          <t>VÄRMLANDS LÄN</t>
        </is>
      </c>
      <c r="E1248" t="inlineStr">
        <is>
          <t>TORSBY</t>
        </is>
      </c>
      <c r="F1248" t="inlineStr">
        <is>
          <t>Bergvik skog väst AB</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58225-2022</t>
        </is>
      </c>
      <c r="B1249" s="1" t="n">
        <v>44901</v>
      </c>
      <c r="C1249" s="1" t="n">
        <v>45627</v>
      </c>
      <c r="D1249" t="inlineStr">
        <is>
          <t>VÄRMLANDS LÄN</t>
        </is>
      </c>
      <c r="E1249" t="inlineStr">
        <is>
          <t>TORSBY</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58276-2022</t>
        </is>
      </c>
      <c r="B1250" s="1" t="n">
        <v>44901</v>
      </c>
      <c r="C1250" s="1" t="n">
        <v>45627</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58956-2022</t>
        </is>
      </c>
      <c r="B1251" s="1" t="n">
        <v>44903</v>
      </c>
      <c r="C1251" s="1" t="n">
        <v>45627</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58869-2022</t>
        </is>
      </c>
      <c r="B1252" s="1" t="n">
        <v>44903</v>
      </c>
      <c r="C1252" s="1" t="n">
        <v>45627</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58951-2022</t>
        </is>
      </c>
      <c r="B1253" s="1" t="n">
        <v>44903</v>
      </c>
      <c r="C1253" s="1" t="n">
        <v>45627</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59097-2022</t>
        </is>
      </c>
      <c r="B1254" s="1" t="n">
        <v>44904</v>
      </c>
      <c r="C1254" s="1" t="n">
        <v>45627</v>
      </c>
      <c r="D1254" t="inlineStr">
        <is>
          <t>VÄRMLANDS LÄN</t>
        </is>
      </c>
      <c r="E1254" t="inlineStr">
        <is>
          <t>TORSBY</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59096-2022</t>
        </is>
      </c>
      <c r="B1255" s="1" t="n">
        <v>44904</v>
      </c>
      <c r="C1255" s="1" t="n">
        <v>45627</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59778-2022</t>
        </is>
      </c>
      <c r="B1256" s="1" t="n">
        <v>44908</v>
      </c>
      <c r="C1256" s="1" t="n">
        <v>45627</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60240-2022</t>
        </is>
      </c>
      <c r="B1257" s="1" t="n">
        <v>44910</v>
      </c>
      <c r="C1257" s="1" t="n">
        <v>45627</v>
      </c>
      <c r="D1257" t="inlineStr">
        <is>
          <t>VÄRMLANDS LÄN</t>
        </is>
      </c>
      <c r="E1257" t="inlineStr">
        <is>
          <t>TORSBY</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61432-2022</t>
        </is>
      </c>
      <c r="B1258" s="1" t="n">
        <v>44910</v>
      </c>
      <c r="C1258" s="1" t="n">
        <v>45627</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61428-2022</t>
        </is>
      </c>
      <c r="B1259" s="1" t="n">
        <v>44910</v>
      </c>
      <c r="C1259" s="1" t="n">
        <v>45627</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60737-2022</t>
        </is>
      </c>
      <c r="B1260" s="1" t="n">
        <v>44913</v>
      </c>
      <c r="C1260" s="1" t="n">
        <v>45627</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60823-2022</t>
        </is>
      </c>
      <c r="B1261" s="1" t="n">
        <v>44914</v>
      </c>
      <c r="C1261" s="1" t="n">
        <v>45627</v>
      </c>
      <c r="D1261" t="inlineStr">
        <is>
          <t>VÄRMLANDS LÄN</t>
        </is>
      </c>
      <c r="E1261" t="inlineStr">
        <is>
          <t>TORSBY</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61128-2022</t>
        </is>
      </c>
      <c r="B1262" s="1" t="n">
        <v>44915</v>
      </c>
      <c r="C1262" s="1" t="n">
        <v>45627</v>
      </c>
      <c r="D1262" t="inlineStr">
        <is>
          <t>VÄRMLANDS LÄN</t>
        </is>
      </c>
      <c r="E1262" t="inlineStr">
        <is>
          <t>TORSBY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61151-2022</t>
        </is>
      </c>
      <c r="B1263" s="1" t="n">
        <v>44915</v>
      </c>
      <c r="C1263" s="1" t="n">
        <v>45627</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61286-2022</t>
        </is>
      </c>
      <c r="B1264" s="1" t="n">
        <v>44915</v>
      </c>
      <c r="C1264" s="1" t="n">
        <v>45627</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61321-2022</t>
        </is>
      </c>
      <c r="B1265" s="1" t="n">
        <v>44915</v>
      </c>
      <c r="C1265" s="1" t="n">
        <v>45627</v>
      </c>
      <c r="D1265" t="inlineStr">
        <is>
          <t>VÄRMLANDS LÄN</t>
        </is>
      </c>
      <c r="E1265" t="inlineStr">
        <is>
          <t>TORSBY</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61138-2022</t>
        </is>
      </c>
      <c r="B1266" s="1" t="n">
        <v>44915</v>
      </c>
      <c r="C1266" s="1" t="n">
        <v>45627</v>
      </c>
      <c r="D1266" t="inlineStr">
        <is>
          <t>VÄRMLANDS LÄN</t>
        </is>
      </c>
      <c r="E1266" t="inlineStr">
        <is>
          <t>TORSBY</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61143-2022</t>
        </is>
      </c>
      <c r="B1267" s="1" t="n">
        <v>44915</v>
      </c>
      <c r="C1267" s="1" t="n">
        <v>45627</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61290-2022</t>
        </is>
      </c>
      <c r="B1268" s="1" t="n">
        <v>44915</v>
      </c>
      <c r="C1268" s="1" t="n">
        <v>45627</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61367-2022</t>
        </is>
      </c>
      <c r="B1269" s="1" t="n">
        <v>44915</v>
      </c>
      <c r="C1269" s="1" t="n">
        <v>45627</v>
      </c>
      <c r="D1269" t="inlineStr">
        <is>
          <t>VÄRMLANDS LÄN</t>
        </is>
      </c>
      <c r="E1269" t="inlineStr">
        <is>
          <t>TORSBY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61135-2022</t>
        </is>
      </c>
      <c r="B1270" s="1" t="n">
        <v>44915</v>
      </c>
      <c r="C1270" s="1" t="n">
        <v>45627</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61510-2022</t>
        </is>
      </c>
      <c r="B1271" s="1" t="n">
        <v>44916</v>
      </c>
      <c r="C1271" s="1" t="n">
        <v>45627</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62006-2022</t>
        </is>
      </c>
      <c r="B1272" s="1" t="n">
        <v>44918</v>
      </c>
      <c r="C1272" s="1" t="n">
        <v>45627</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80-2023</t>
        </is>
      </c>
      <c r="B1273" s="1" t="n">
        <v>44918</v>
      </c>
      <c r="C1273" s="1" t="n">
        <v>45627</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345-2023</t>
        </is>
      </c>
      <c r="B1274" s="1" t="n">
        <v>44923</v>
      </c>
      <c r="C1274" s="1" t="n">
        <v>45627</v>
      </c>
      <c r="D1274" t="inlineStr">
        <is>
          <t>VÄRMLANDS LÄN</t>
        </is>
      </c>
      <c r="E1274" t="inlineStr">
        <is>
          <t>TORSBY</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363-2023</t>
        </is>
      </c>
      <c r="B1275" s="1" t="n">
        <v>44923</v>
      </c>
      <c r="C1275" s="1" t="n">
        <v>45627</v>
      </c>
      <c r="D1275" t="inlineStr">
        <is>
          <t>VÄRMLANDS LÄN</t>
        </is>
      </c>
      <c r="E1275" t="inlineStr">
        <is>
          <t>TORSBY</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62574-2022</t>
        </is>
      </c>
      <c r="B1276" s="1" t="n">
        <v>44924</v>
      </c>
      <c r="C1276" s="1" t="n">
        <v>45627</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522-2023</t>
        </is>
      </c>
      <c r="B1277" s="1" t="n">
        <v>44930</v>
      </c>
      <c r="C1277" s="1" t="n">
        <v>45627</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1003-2023</t>
        </is>
      </c>
      <c r="B1278" s="1" t="n">
        <v>44935</v>
      </c>
      <c r="C1278" s="1" t="n">
        <v>45627</v>
      </c>
      <c r="D1278" t="inlineStr">
        <is>
          <t>VÄRMLANDS LÄN</t>
        </is>
      </c>
      <c r="E1278" t="inlineStr">
        <is>
          <t>TORSBY</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1120-2023</t>
        </is>
      </c>
      <c r="B1279" s="1" t="n">
        <v>44935</v>
      </c>
      <c r="C1279" s="1" t="n">
        <v>45627</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1166-2023</t>
        </is>
      </c>
      <c r="B1280" s="1" t="n">
        <v>44935</v>
      </c>
      <c r="C1280" s="1" t="n">
        <v>45627</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1123-2023</t>
        </is>
      </c>
      <c r="B1281" s="1" t="n">
        <v>44935</v>
      </c>
      <c r="C1281" s="1" t="n">
        <v>45627</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1386-2023</t>
        </is>
      </c>
      <c r="B1282" s="1" t="n">
        <v>44936</v>
      </c>
      <c r="C1282" s="1" t="n">
        <v>45627</v>
      </c>
      <c r="D1282" t="inlineStr">
        <is>
          <t>VÄRMLANDS LÄN</t>
        </is>
      </c>
      <c r="E1282" t="inlineStr">
        <is>
          <t>TORSBY</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1947-2023</t>
        </is>
      </c>
      <c r="B1283" s="1" t="n">
        <v>44939</v>
      </c>
      <c r="C1283" s="1" t="n">
        <v>45627</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1979-2023</t>
        </is>
      </c>
      <c r="B1284" s="1" t="n">
        <v>44939</v>
      </c>
      <c r="C1284" s="1" t="n">
        <v>45627</v>
      </c>
      <c r="D1284" t="inlineStr">
        <is>
          <t>VÄRMLANDS LÄN</t>
        </is>
      </c>
      <c r="E1284" t="inlineStr">
        <is>
          <t>TORSBY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2471-2023</t>
        </is>
      </c>
      <c r="B1285" s="1" t="n">
        <v>44943</v>
      </c>
      <c r="C1285" s="1" t="n">
        <v>45627</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2512-2023</t>
        </is>
      </c>
      <c r="B1286" s="1" t="n">
        <v>44943</v>
      </c>
      <c r="C1286" s="1" t="n">
        <v>45627</v>
      </c>
      <c r="D1286" t="inlineStr">
        <is>
          <t>VÄRMLANDS LÄN</t>
        </is>
      </c>
      <c r="E1286" t="inlineStr">
        <is>
          <t>TORSBY</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3098-2023</t>
        </is>
      </c>
      <c r="B1287" s="1" t="n">
        <v>44946</v>
      </c>
      <c r="C1287" s="1" t="n">
        <v>45627</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3103-2023</t>
        </is>
      </c>
      <c r="B1288" s="1" t="n">
        <v>44946</v>
      </c>
      <c r="C1288" s="1" t="n">
        <v>45627</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3256-2023</t>
        </is>
      </c>
      <c r="B1289" s="1" t="n">
        <v>44948</v>
      </c>
      <c r="C1289" s="1" t="n">
        <v>45627</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3421-2023</t>
        </is>
      </c>
      <c r="B1290" s="1" t="n">
        <v>44949</v>
      </c>
      <c r="C1290" s="1" t="n">
        <v>45627</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3489-2023</t>
        </is>
      </c>
      <c r="B1291" s="1" t="n">
        <v>44949</v>
      </c>
      <c r="C1291" s="1" t="n">
        <v>45627</v>
      </c>
      <c r="D1291" t="inlineStr">
        <is>
          <t>VÄRMLANDS LÄN</t>
        </is>
      </c>
      <c r="E1291" t="inlineStr">
        <is>
          <t>TORSBY</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3491-2023</t>
        </is>
      </c>
      <c r="B1292" s="1" t="n">
        <v>44949</v>
      </c>
      <c r="C1292" s="1" t="n">
        <v>45627</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3542-2023</t>
        </is>
      </c>
      <c r="B1293" s="1" t="n">
        <v>44950</v>
      </c>
      <c r="C1293" s="1" t="n">
        <v>45627</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3666-2023</t>
        </is>
      </c>
      <c r="B1294" s="1" t="n">
        <v>44950</v>
      </c>
      <c r="C1294" s="1" t="n">
        <v>45627</v>
      </c>
      <c r="D1294" t="inlineStr">
        <is>
          <t>VÄRMLANDS LÄN</t>
        </is>
      </c>
      <c r="E1294" t="inlineStr">
        <is>
          <t>TORSBY</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3670-2023</t>
        </is>
      </c>
      <c r="B1295" s="1" t="n">
        <v>44950</v>
      </c>
      <c r="C1295" s="1" t="n">
        <v>45627</v>
      </c>
      <c r="D1295" t="inlineStr">
        <is>
          <t>VÄRMLANDS LÄN</t>
        </is>
      </c>
      <c r="E1295" t="inlineStr">
        <is>
          <t>TORSBY</t>
        </is>
      </c>
      <c r="G1295" t="n">
        <v>15.4</v>
      </c>
      <c r="H1295" t="n">
        <v>0</v>
      </c>
      <c r="I1295" t="n">
        <v>0</v>
      </c>
      <c r="J1295" t="n">
        <v>0</v>
      </c>
      <c r="K1295" t="n">
        <v>0</v>
      </c>
      <c r="L1295" t="n">
        <v>0</v>
      </c>
      <c r="M1295" t="n">
        <v>0</v>
      </c>
      <c r="N1295" t="n">
        <v>0</v>
      </c>
      <c r="O1295" t="n">
        <v>0</v>
      </c>
      <c r="P1295" t="n">
        <v>0</v>
      </c>
      <c r="Q1295" t="n">
        <v>0</v>
      </c>
      <c r="R1295" s="2" t="inlineStr"/>
    </row>
    <row r="1296" ht="15" customHeight="1">
      <c r="A1296" t="inlineStr">
        <is>
          <t>A 3667-2023</t>
        </is>
      </c>
      <c r="B1296" s="1" t="n">
        <v>44950</v>
      </c>
      <c r="C1296" s="1" t="n">
        <v>45627</v>
      </c>
      <c r="D1296" t="inlineStr">
        <is>
          <t>VÄRMLANDS LÄN</t>
        </is>
      </c>
      <c r="E1296" t="inlineStr">
        <is>
          <t>TORSBY</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3672-2023</t>
        </is>
      </c>
      <c r="B1297" s="1" t="n">
        <v>44950</v>
      </c>
      <c r="C1297" s="1" t="n">
        <v>45627</v>
      </c>
      <c r="D1297" t="inlineStr">
        <is>
          <t>VÄRMLANDS LÄN</t>
        </is>
      </c>
      <c r="E1297" t="inlineStr">
        <is>
          <t>TORSBY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3881-2023</t>
        </is>
      </c>
      <c r="B1298" s="1" t="n">
        <v>44951</v>
      </c>
      <c r="C1298" s="1" t="n">
        <v>45627</v>
      </c>
      <c r="D1298" t="inlineStr">
        <is>
          <t>VÄRMLANDS LÄN</t>
        </is>
      </c>
      <c r="E1298" t="inlineStr">
        <is>
          <t>TORSBY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4250-2023</t>
        </is>
      </c>
      <c r="B1299" s="1" t="n">
        <v>44953</v>
      </c>
      <c r="C1299" s="1" t="n">
        <v>45627</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4236-2023</t>
        </is>
      </c>
      <c r="B1300" s="1" t="n">
        <v>44953</v>
      </c>
      <c r="C1300" s="1" t="n">
        <v>45627</v>
      </c>
      <c r="D1300" t="inlineStr">
        <is>
          <t>VÄRMLANDS LÄN</t>
        </is>
      </c>
      <c r="E1300" t="inlineStr">
        <is>
          <t>TORSBY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4433-2023</t>
        </is>
      </c>
      <c r="B1301" s="1" t="n">
        <v>44956</v>
      </c>
      <c r="C1301" s="1" t="n">
        <v>45627</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4510-2023</t>
        </is>
      </c>
      <c r="B1302" s="1" t="n">
        <v>44956</v>
      </c>
      <c r="C1302" s="1" t="n">
        <v>45627</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4568-2023</t>
        </is>
      </c>
      <c r="B1303" s="1" t="n">
        <v>44956</v>
      </c>
      <c r="C1303" s="1" t="n">
        <v>45627</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4585-2023</t>
        </is>
      </c>
      <c r="B1304" s="1" t="n">
        <v>44956</v>
      </c>
      <c r="C1304" s="1" t="n">
        <v>45627</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4707-2023</t>
        </is>
      </c>
      <c r="B1305" s="1" t="n">
        <v>44957</v>
      </c>
      <c r="C1305" s="1" t="n">
        <v>45627</v>
      </c>
      <c r="D1305" t="inlineStr">
        <is>
          <t>VÄRMLANDS LÄN</t>
        </is>
      </c>
      <c r="E1305" t="inlineStr">
        <is>
          <t>TORSBY</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5216-2023</t>
        </is>
      </c>
      <c r="B1306" s="1" t="n">
        <v>44959</v>
      </c>
      <c r="C1306" s="1" t="n">
        <v>45627</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5492-2023</t>
        </is>
      </c>
      <c r="B1307" s="1" t="n">
        <v>44959</v>
      </c>
      <c r="C1307" s="1" t="n">
        <v>45627</v>
      </c>
      <c r="D1307" t="inlineStr">
        <is>
          <t>VÄRMLANDS LÄN</t>
        </is>
      </c>
      <c r="E1307" t="inlineStr">
        <is>
          <t>TORSBY</t>
        </is>
      </c>
      <c r="F1307" t="inlineStr">
        <is>
          <t>Övriga Aktiebolag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6708-2023</t>
        </is>
      </c>
      <c r="B1308" s="1" t="n">
        <v>44960</v>
      </c>
      <c r="C1308" s="1" t="n">
        <v>45627</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6702-2023</t>
        </is>
      </c>
      <c r="B1309" s="1" t="n">
        <v>44960</v>
      </c>
      <c r="C1309" s="1" t="n">
        <v>45627</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6715-2023</t>
        </is>
      </c>
      <c r="B1310" s="1" t="n">
        <v>44960</v>
      </c>
      <c r="C1310" s="1" t="n">
        <v>45627</v>
      </c>
      <c r="D1310" t="inlineStr">
        <is>
          <t>VÄRMLANDS LÄN</t>
        </is>
      </c>
      <c r="E1310" t="inlineStr">
        <is>
          <t>TORSBY</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6711-2023</t>
        </is>
      </c>
      <c r="B1311" s="1" t="n">
        <v>44960</v>
      </c>
      <c r="C1311" s="1" t="n">
        <v>45627</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6713-2023</t>
        </is>
      </c>
      <c r="B1312" s="1" t="n">
        <v>44960</v>
      </c>
      <c r="C1312" s="1" t="n">
        <v>45627</v>
      </c>
      <c r="D1312" t="inlineStr">
        <is>
          <t>VÄRMLANDS LÄN</t>
        </is>
      </c>
      <c r="E1312" t="inlineStr">
        <is>
          <t>TORSBY</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5830-2023</t>
        </is>
      </c>
      <c r="B1313" s="1" t="n">
        <v>44963</v>
      </c>
      <c r="C1313" s="1" t="n">
        <v>45627</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5763-2023</t>
        </is>
      </c>
      <c r="B1314" s="1" t="n">
        <v>44963</v>
      </c>
      <c r="C1314" s="1" t="n">
        <v>45627</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6863-2023</t>
        </is>
      </c>
      <c r="B1315" s="1" t="n">
        <v>44964</v>
      </c>
      <c r="C1315" s="1" t="n">
        <v>45627</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7283-2023</t>
        </is>
      </c>
      <c r="B1316" s="1" t="n">
        <v>44970</v>
      </c>
      <c r="C1316" s="1" t="n">
        <v>45627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7127-2023</t>
        </is>
      </c>
      <c r="B1317" s="1" t="n">
        <v>44970</v>
      </c>
      <c r="C1317" s="1" t="n">
        <v>45627</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7133-2023</t>
        </is>
      </c>
      <c r="B1318" s="1" t="n">
        <v>44970</v>
      </c>
      <c r="C1318" s="1" t="n">
        <v>45627</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7405-2023</t>
        </is>
      </c>
      <c r="B1319" s="1" t="n">
        <v>44971</v>
      </c>
      <c r="C1319" s="1" t="n">
        <v>45627</v>
      </c>
      <c r="D1319" t="inlineStr">
        <is>
          <t>VÄRMLANDS LÄN</t>
        </is>
      </c>
      <c r="E1319" t="inlineStr">
        <is>
          <t>TORSBY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8194-2023</t>
        </is>
      </c>
      <c r="B1320" s="1" t="n">
        <v>44971</v>
      </c>
      <c r="C1320" s="1" t="n">
        <v>45627</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8192-2023</t>
        </is>
      </c>
      <c r="B1321" s="1" t="n">
        <v>44971</v>
      </c>
      <c r="C1321" s="1" t="n">
        <v>45627</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7745-2023</t>
        </is>
      </c>
      <c r="B1322" s="1" t="n">
        <v>44973</v>
      </c>
      <c r="C1322" s="1" t="n">
        <v>45627</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7753-2023</t>
        </is>
      </c>
      <c r="B1323" s="1" t="n">
        <v>44973</v>
      </c>
      <c r="C1323" s="1" t="n">
        <v>45627</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8016-2023</t>
        </is>
      </c>
      <c r="B1324" s="1" t="n">
        <v>44973</v>
      </c>
      <c r="C1324" s="1" t="n">
        <v>45627</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8910-2023</t>
        </is>
      </c>
      <c r="B1325" s="1" t="n">
        <v>44973</v>
      </c>
      <c r="C1325" s="1" t="n">
        <v>45627</v>
      </c>
      <c r="D1325" t="inlineStr">
        <is>
          <t>VÄRMLANDS LÄN</t>
        </is>
      </c>
      <c r="E1325" t="inlineStr">
        <is>
          <t>TORSBY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8012-2023</t>
        </is>
      </c>
      <c r="B1326" s="1" t="n">
        <v>44973</v>
      </c>
      <c r="C1326" s="1" t="n">
        <v>45627</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8284-2023</t>
        </is>
      </c>
      <c r="B1327" s="1" t="n">
        <v>44974</v>
      </c>
      <c r="C1327" s="1" t="n">
        <v>45627</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45627</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8287-2023</t>
        </is>
      </c>
      <c r="B1329" s="1" t="n">
        <v>44974</v>
      </c>
      <c r="C1329" s="1" t="n">
        <v>45627</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8931-2023</t>
        </is>
      </c>
      <c r="B1330" s="1" t="n">
        <v>44974</v>
      </c>
      <c r="C1330" s="1" t="n">
        <v>45627</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8928-2023</t>
        </is>
      </c>
      <c r="B1331" s="1" t="n">
        <v>44974</v>
      </c>
      <c r="C1331" s="1" t="n">
        <v>45627</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8447-2023</t>
        </is>
      </c>
      <c r="B1332" s="1" t="n">
        <v>44977</v>
      </c>
      <c r="C1332" s="1" t="n">
        <v>45627</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9453-2023</t>
        </is>
      </c>
      <c r="B1333" s="1" t="n">
        <v>44977</v>
      </c>
      <c r="C1333" s="1" t="n">
        <v>45627</v>
      </c>
      <c r="D1333" t="inlineStr">
        <is>
          <t>VÄRMLANDS LÄN</t>
        </is>
      </c>
      <c r="E1333" t="inlineStr">
        <is>
          <t>TORSBY</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8819-2023</t>
        </is>
      </c>
      <c r="B1334" s="1" t="n">
        <v>44978</v>
      </c>
      <c r="C1334" s="1" t="n">
        <v>45627</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9067-2023</t>
        </is>
      </c>
      <c r="B1335" s="1" t="n">
        <v>44979</v>
      </c>
      <c r="C1335" s="1" t="n">
        <v>45627</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9056-2023</t>
        </is>
      </c>
      <c r="B1336" s="1" t="n">
        <v>44979</v>
      </c>
      <c r="C1336" s="1" t="n">
        <v>45627</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10027-2023</t>
        </is>
      </c>
      <c r="B1337" s="1" t="n">
        <v>44979</v>
      </c>
      <c r="C1337" s="1" t="n">
        <v>45627</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10033-2023</t>
        </is>
      </c>
      <c r="B1338" s="1" t="n">
        <v>44979</v>
      </c>
      <c r="C1338" s="1" t="n">
        <v>45627</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10024-2023</t>
        </is>
      </c>
      <c r="B1339" s="1" t="n">
        <v>44979</v>
      </c>
      <c r="C1339" s="1" t="n">
        <v>45627</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9327-2023</t>
        </is>
      </c>
      <c r="B1340" s="1" t="n">
        <v>44980</v>
      </c>
      <c r="C1340" s="1" t="n">
        <v>45627</v>
      </c>
      <c r="D1340" t="inlineStr">
        <is>
          <t>VÄRMLANDS LÄN</t>
        </is>
      </c>
      <c r="E1340" t="inlineStr">
        <is>
          <t>TORSBY</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10479-2023</t>
        </is>
      </c>
      <c r="B1341" s="1" t="n">
        <v>44981</v>
      </c>
      <c r="C1341" s="1" t="n">
        <v>45627</v>
      </c>
      <c r="D1341" t="inlineStr">
        <is>
          <t>VÄRMLANDS LÄN</t>
        </is>
      </c>
      <c r="E1341" t="inlineStr">
        <is>
          <t>TORSBY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10473-2023</t>
        </is>
      </c>
      <c r="B1342" s="1" t="n">
        <v>44981</v>
      </c>
      <c r="C1342" s="1" t="n">
        <v>45627</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10471-2023</t>
        </is>
      </c>
      <c r="B1343" s="1" t="n">
        <v>44981</v>
      </c>
      <c r="C1343" s="1" t="n">
        <v>45627</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9575-2023</t>
        </is>
      </c>
      <c r="B1344" s="1" t="n">
        <v>44982</v>
      </c>
      <c r="C1344" s="1" t="n">
        <v>45627</v>
      </c>
      <c r="D1344" t="inlineStr">
        <is>
          <t>VÄRMLANDS LÄN</t>
        </is>
      </c>
      <c r="E1344" t="inlineStr">
        <is>
          <t>TORSBY</t>
        </is>
      </c>
      <c r="F1344" t="inlineStr">
        <is>
          <t>Övriga statliga verk och myndigheter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9574-2023</t>
        </is>
      </c>
      <c r="B1345" s="1" t="n">
        <v>44982</v>
      </c>
      <c r="C1345" s="1" t="n">
        <v>45627</v>
      </c>
      <c r="D1345" t="inlineStr">
        <is>
          <t>VÄRMLANDS LÄN</t>
        </is>
      </c>
      <c r="E1345" t="inlineStr">
        <is>
          <t>TORSBY</t>
        </is>
      </c>
      <c r="F1345" t="inlineStr">
        <is>
          <t>Övriga statliga verk och myndigheter</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9578-2023</t>
        </is>
      </c>
      <c r="B1346" s="1" t="n">
        <v>44982</v>
      </c>
      <c r="C1346" s="1" t="n">
        <v>45627</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10888-2023</t>
        </is>
      </c>
      <c r="B1347" s="1" t="n">
        <v>44985</v>
      </c>
      <c r="C1347" s="1" t="n">
        <v>45627</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10155-2023</t>
        </is>
      </c>
      <c r="B1348" s="1" t="n">
        <v>44986</v>
      </c>
      <c r="C1348" s="1" t="n">
        <v>45627</v>
      </c>
      <c r="D1348" t="inlineStr">
        <is>
          <t>VÄRMLANDS LÄN</t>
        </is>
      </c>
      <c r="E1348" t="inlineStr">
        <is>
          <t>TORSBY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10218-2023</t>
        </is>
      </c>
      <c r="B1349" s="1" t="n">
        <v>44986</v>
      </c>
      <c r="C1349" s="1" t="n">
        <v>45627</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10228-2023</t>
        </is>
      </c>
      <c r="B1350" s="1" t="n">
        <v>44986</v>
      </c>
      <c r="C1350" s="1" t="n">
        <v>45627</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10662-2023</t>
        </is>
      </c>
      <c r="B1351" s="1" t="n">
        <v>44988</v>
      </c>
      <c r="C1351" s="1" t="n">
        <v>45627</v>
      </c>
      <c r="D1351" t="inlineStr">
        <is>
          <t>VÄRMLANDS LÄN</t>
        </is>
      </c>
      <c r="E1351" t="inlineStr">
        <is>
          <t>TORSBY</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10583-2023</t>
        </is>
      </c>
      <c r="B1352" s="1" t="n">
        <v>44988</v>
      </c>
      <c r="C1352" s="1" t="n">
        <v>45627</v>
      </c>
      <c r="D1352" t="inlineStr">
        <is>
          <t>VÄRMLANDS LÄN</t>
        </is>
      </c>
      <c r="E1352" t="inlineStr">
        <is>
          <t>TORSBY</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10666-2023</t>
        </is>
      </c>
      <c r="B1353" s="1" t="n">
        <v>44988</v>
      </c>
      <c r="C1353" s="1" t="n">
        <v>45627</v>
      </c>
      <c r="D1353" t="inlineStr">
        <is>
          <t>VÄRMLANDS LÄN</t>
        </is>
      </c>
      <c r="E1353" t="inlineStr">
        <is>
          <t>TORSBY</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10698-2023</t>
        </is>
      </c>
      <c r="B1354" s="1" t="n">
        <v>44988</v>
      </c>
      <c r="C1354" s="1" t="n">
        <v>45627</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11364-2023</t>
        </is>
      </c>
      <c r="B1355" s="1" t="n">
        <v>44993</v>
      </c>
      <c r="C1355" s="1" t="n">
        <v>45627</v>
      </c>
      <c r="D1355" t="inlineStr">
        <is>
          <t>VÄRMLANDS LÄN</t>
        </is>
      </c>
      <c r="E1355" t="inlineStr">
        <is>
          <t>TORSBY</t>
        </is>
      </c>
      <c r="G1355" t="n">
        <v>31.9</v>
      </c>
      <c r="H1355" t="n">
        <v>0</v>
      </c>
      <c r="I1355" t="n">
        <v>0</v>
      </c>
      <c r="J1355" t="n">
        <v>0</v>
      </c>
      <c r="K1355" t="n">
        <v>0</v>
      </c>
      <c r="L1355" t="n">
        <v>0</v>
      </c>
      <c r="M1355" t="n">
        <v>0</v>
      </c>
      <c r="N1355" t="n">
        <v>0</v>
      </c>
      <c r="O1355" t="n">
        <v>0</v>
      </c>
      <c r="P1355" t="n">
        <v>0</v>
      </c>
      <c r="Q1355" t="n">
        <v>0</v>
      </c>
      <c r="R1355" s="2" t="inlineStr"/>
    </row>
    <row r="1356" ht="15" customHeight="1">
      <c r="A1356" t="inlineStr">
        <is>
          <t>A 11366-2023</t>
        </is>
      </c>
      <c r="B1356" s="1" t="n">
        <v>44993</v>
      </c>
      <c r="C1356" s="1" t="n">
        <v>45627</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12441-2023</t>
        </is>
      </c>
      <c r="B1357" s="1" t="n">
        <v>44999</v>
      </c>
      <c r="C1357" s="1" t="n">
        <v>45627</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12453-2023</t>
        </is>
      </c>
      <c r="B1358" s="1" t="n">
        <v>44999</v>
      </c>
      <c r="C1358" s="1" t="n">
        <v>45627</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12458-2023</t>
        </is>
      </c>
      <c r="B1359" s="1" t="n">
        <v>44999</v>
      </c>
      <c r="C1359" s="1" t="n">
        <v>45627</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12467-2023</t>
        </is>
      </c>
      <c r="B1360" s="1" t="n">
        <v>44999</v>
      </c>
      <c r="C1360" s="1" t="n">
        <v>45627</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12689-2023</t>
        </is>
      </c>
      <c r="B1361" s="1" t="n">
        <v>45000</v>
      </c>
      <c r="C1361" s="1" t="n">
        <v>45627</v>
      </c>
      <c r="D1361" t="inlineStr">
        <is>
          <t>VÄRMLANDS LÄN</t>
        </is>
      </c>
      <c r="E1361" t="inlineStr">
        <is>
          <t>TORSBY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12637-2023</t>
        </is>
      </c>
      <c r="B1362" s="1" t="n">
        <v>45000</v>
      </c>
      <c r="C1362" s="1" t="n">
        <v>45627</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v>
      </c>
      <c r="C1363" s="1" t="n">
        <v>45627</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12933-2023</t>
        </is>
      </c>
      <c r="B1364" s="1" t="n">
        <v>45001</v>
      </c>
      <c r="C1364" s="1" t="n">
        <v>45627</v>
      </c>
      <c r="D1364" t="inlineStr">
        <is>
          <t>VÄRMLANDS LÄN</t>
        </is>
      </c>
      <c r="E1364" t="inlineStr">
        <is>
          <t>TORSBY</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13054-2023</t>
        </is>
      </c>
      <c r="B1365" s="1" t="n">
        <v>45001</v>
      </c>
      <c r="C1365" s="1" t="n">
        <v>45627</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13048-2023</t>
        </is>
      </c>
      <c r="B1366" s="1" t="n">
        <v>45001</v>
      </c>
      <c r="C1366" s="1" t="n">
        <v>45627</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12968-2023</t>
        </is>
      </c>
      <c r="B1367" s="1" t="n">
        <v>45001</v>
      </c>
      <c r="C1367" s="1" t="n">
        <v>45627</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13791-2023</t>
        </is>
      </c>
      <c r="B1368" s="1" t="n">
        <v>45005</v>
      </c>
      <c r="C1368" s="1" t="n">
        <v>45627</v>
      </c>
      <c r="D1368" t="inlineStr">
        <is>
          <t>VÄRMLANDS LÄN</t>
        </is>
      </c>
      <c r="E1368" t="inlineStr">
        <is>
          <t>TORSBY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13561-2023</t>
        </is>
      </c>
      <c r="B1369" s="1" t="n">
        <v>45006</v>
      </c>
      <c r="C1369" s="1" t="n">
        <v>45627</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13586-2023</t>
        </is>
      </c>
      <c r="B1370" s="1" t="n">
        <v>45006</v>
      </c>
      <c r="C1370" s="1" t="n">
        <v>45627</v>
      </c>
      <c r="D1370" t="inlineStr">
        <is>
          <t>VÄRMLANDS LÄN</t>
        </is>
      </c>
      <c r="E1370" t="inlineStr">
        <is>
          <t>TORSBY</t>
        </is>
      </c>
      <c r="F1370" t="inlineStr">
        <is>
          <t>Kommuner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13785-2023</t>
        </is>
      </c>
      <c r="B1371" s="1" t="n">
        <v>45007</v>
      </c>
      <c r="C1371" s="1" t="n">
        <v>45627</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13723-2023</t>
        </is>
      </c>
      <c r="B1372" s="1" t="n">
        <v>45007</v>
      </c>
      <c r="C1372" s="1" t="n">
        <v>45627</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14293-2023</t>
        </is>
      </c>
      <c r="B1373" s="1" t="n">
        <v>45011</v>
      </c>
      <c r="C1373" s="1" t="n">
        <v>45627</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14304-2023</t>
        </is>
      </c>
      <c r="B1374" s="1" t="n">
        <v>45011</v>
      </c>
      <c r="C1374" s="1" t="n">
        <v>45627</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14303-2023</t>
        </is>
      </c>
      <c r="B1375" s="1" t="n">
        <v>45011</v>
      </c>
      <c r="C1375" s="1" t="n">
        <v>45627</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14292-2023</t>
        </is>
      </c>
      <c r="B1376" s="1" t="n">
        <v>45011</v>
      </c>
      <c r="C1376" s="1" t="n">
        <v>45627</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14592-2023</t>
        </is>
      </c>
      <c r="B1377" s="1" t="n">
        <v>45013</v>
      </c>
      <c r="C1377" s="1" t="n">
        <v>45627</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14581-2023</t>
        </is>
      </c>
      <c r="B1378" s="1" t="n">
        <v>45013</v>
      </c>
      <c r="C1378" s="1" t="n">
        <v>45627</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14624-2023</t>
        </is>
      </c>
      <c r="B1379" s="1" t="n">
        <v>45013</v>
      </c>
      <c r="C1379" s="1" t="n">
        <v>45627</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14709-2023</t>
        </is>
      </c>
      <c r="B1380" s="1" t="n">
        <v>45014</v>
      </c>
      <c r="C1380" s="1" t="n">
        <v>45627</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14945-2023</t>
        </is>
      </c>
      <c r="B1381" s="1" t="n">
        <v>45014</v>
      </c>
      <c r="C1381" s="1" t="n">
        <v>45627</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14917-2023</t>
        </is>
      </c>
      <c r="B1382" s="1" t="n">
        <v>45015</v>
      </c>
      <c r="C1382" s="1" t="n">
        <v>45627</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15085-2023</t>
        </is>
      </c>
      <c r="B1383" s="1" t="n">
        <v>45016</v>
      </c>
      <c r="C1383" s="1" t="n">
        <v>45627</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15087-2023</t>
        </is>
      </c>
      <c r="B1384" s="1" t="n">
        <v>45016</v>
      </c>
      <c r="C1384" s="1" t="n">
        <v>45627</v>
      </c>
      <c r="D1384" t="inlineStr">
        <is>
          <t>VÄRMLANDS LÄN</t>
        </is>
      </c>
      <c r="E1384" t="inlineStr">
        <is>
          <t>TORSBY</t>
        </is>
      </c>
      <c r="F1384" t="inlineStr">
        <is>
          <t>Bergvik skog väst AB</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15413-2023</t>
        </is>
      </c>
      <c r="B1385" s="1" t="n">
        <v>45019</v>
      </c>
      <c r="C1385" s="1" t="n">
        <v>45627</v>
      </c>
      <c r="D1385" t="inlineStr">
        <is>
          <t>VÄRMLANDS LÄN</t>
        </is>
      </c>
      <c r="E1385" t="inlineStr">
        <is>
          <t>TORSBY</t>
        </is>
      </c>
      <c r="G1385" t="n">
        <v>17.1</v>
      </c>
      <c r="H1385" t="n">
        <v>0</v>
      </c>
      <c r="I1385" t="n">
        <v>0</v>
      </c>
      <c r="J1385" t="n">
        <v>0</v>
      </c>
      <c r="K1385" t="n">
        <v>0</v>
      </c>
      <c r="L1385" t="n">
        <v>0</v>
      </c>
      <c r="M1385" t="n">
        <v>0</v>
      </c>
      <c r="N1385" t="n">
        <v>0</v>
      </c>
      <c r="O1385" t="n">
        <v>0</v>
      </c>
      <c r="P1385" t="n">
        <v>0</v>
      </c>
      <c r="Q1385" t="n">
        <v>0</v>
      </c>
      <c r="R1385" s="2" t="inlineStr"/>
    </row>
    <row r="1386" ht="15" customHeight="1">
      <c r="A1386" t="inlineStr">
        <is>
          <t>A 15450-2023</t>
        </is>
      </c>
      <c r="B1386" s="1" t="n">
        <v>45020</v>
      </c>
      <c r="C1386" s="1" t="n">
        <v>45627</v>
      </c>
      <c r="D1386" t="inlineStr">
        <is>
          <t>VÄRMLANDS LÄN</t>
        </is>
      </c>
      <c r="E1386" t="inlineStr">
        <is>
          <t>TORSBY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15488-2023</t>
        </is>
      </c>
      <c r="B1387" s="1" t="n">
        <v>45020</v>
      </c>
      <c r="C1387" s="1" t="n">
        <v>45627</v>
      </c>
      <c r="D1387" t="inlineStr">
        <is>
          <t>VÄRMLANDS LÄN</t>
        </is>
      </c>
      <c r="E1387" t="inlineStr">
        <is>
          <t>TORSBY</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15773-2023</t>
        </is>
      </c>
      <c r="B1388" s="1" t="n">
        <v>45021</v>
      </c>
      <c r="C1388" s="1" t="n">
        <v>45627</v>
      </c>
      <c r="D1388" t="inlineStr">
        <is>
          <t>VÄRMLANDS LÄN</t>
        </is>
      </c>
      <c r="E1388" t="inlineStr">
        <is>
          <t>TORSBY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16093-2023</t>
        </is>
      </c>
      <c r="B1389" s="1" t="n">
        <v>45021</v>
      </c>
      <c r="C1389" s="1" t="n">
        <v>45627</v>
      </c>
      <c r="D1389" t="inlineStr">
        <is>
          <t>VÄRMLANDS LÄN</t>
        </is>
      </c>
      <c r="E1389" t="inlineStr">
        <is>
          <t>TORSBY</t>
        </is>
      </c>
      <c r="F1389" t="inlineStr">
        <is>
          <t>Övriga statliga verk och myndigheter</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16121-2023</t>
        </is>
      </c>
      <c r="B1390" s="1" t="n">
        <v>45022</v>
      </c>
      <c r="C1390" s="1" t="n">
        <v>45627</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16416-2023</t>
        </is>
      </c>
      <c r="B1391" s="1" t="n">
        <v>45022</v>
      </c>
      <c r="C1391" s="1" t="n">
        <v>45627</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16433-2023</t>
        </is>
      </c>
      <c r="B1392" s="1" t="n">
        <v>45022</v>
      </c>
      <c r="C1392" s="1" t="n">
        <v>45627</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16427-2023</t>
        </is>
      </c>
      <c r="B1393" s="1" t="n">
        <v>45022</v>
      </c>
      <c r="C1393" s="1" t="n">
        <v>45627</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15992-2023</t>
        </is>
      </c>
      <c r="B1394" s="1" t="n">
        <v>45023</v>
      </c>
      <c r="C1394" s="1" t="n">
        <v>45627</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16044-2023</t>
        </is>
      </c>
      <c r="B1395" s="1" t="n">
        <v>45027</v>
      </c>
      <c r="C1395" s="1" t="n">
        <v>45627</v>
      </c>
      <c r="D1395" t="inlineStr">
        <is>
          <t>VÄRMLANDS LÄN</t>
        </is>
      </c>
      <c r="E1395" t="inlineStr">
        <is>
          <t>TORSBY</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16309-2023</t>
        </is>
      </c>
      <c r="B1396" s="1" t="n">
        <v>45028</v>
      </c>
      <c r="C1396" s="1" t="n">
        <v>45627</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16313-2023</t>
        </is>
      </c>
      <c r="B1397" s="1" t="n">
        <v>45028</v>
      </c>
      <c r="C1397" s="1" t="n">
        <v>45627</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16317-2023</t>
        </is>
      </c>
      <c r="B1398" s="1" t="n">
        <v>45028</v>
      </c>
      <c r="C1398" s="1" t="n">
        <v>45627</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16919-2023</t>
        </is>
      </c>
      <c r="B1399" s="1" t="n">
        <v>45033</v>
      </c>
      <c r="C1399" s="1" t="n">
        <v>45627</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16945-2023</t>
        </is>
      </c>
      <c r="B1400" s="1" t="n">
        <v>45033</v>
      </c>
      <c r="C1400" s="1" t="n">
        <v>45627</v>
      </c>
      <c r="D1400" t="inlineStr">
        <is>
          <t>VÄRMLANDS LÄN</t>
        </is>
      </c>
      <c r="E1400" t="inlineStr">
        <is>
          <t>TORSBY</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16943-2023</t>
        </is>
      </c>
      <c r="B1401" s="1" t="n">
        <v>45033</v>
      </c>
      <c r="C1401" s="1" t="n">
        <v>45627</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17184-2023</t>
        </is>
      </c>
      <c r="B1402" s="1" t="n">
        <v>45034</v>
      </c>
      <c r="C1402" s="1" t="n">
        <v>45627</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17188-2023</t>
        </is>
      </c>
      <c r="B1403" s="1" t="n">
        <v>45034</v>
      </c>
      <c r="C1403" s="1" t="n">
        <v>45627</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17554-2023</t>
        </is>
      </c>
      <c r="B1404" s="1" t="n">
        <v>45034</v>
      </c>
      <c r="C1404" s="1" t="n">
        <v>45627</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17300-2023</t>
        </is>
      </c>
      <c r="B1405" s="1" t="n">
        <v>45035</v>
      </c>
      <c r="C1405" s="1" t="n">
        <v>45627</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17322-2023</t>
        </is>
      </c>
      <c r="B1406" s="1" t="n">
        <v>45035</v>
      </c>
      <c r="C1406" s="1" t="n">
        <v>45627</v>
      </c>
      <c r="D1406" t="inlineStr">
        <is>
          <t>VÄRMLANDS LÄN</t>
        </is>
      </c>
      <c r="E1406" t="inlineStr">
        <is>
          <t>TORSBY</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17328-2023</t>
        </is>
      </c>
      <c r="B1407" s="1" t="n">
        <v>45035</v>
      </c>
      <c r="C1407" s="1" t="n">
        <v>45627</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17548-2023</t>
        </is>
      </c>
      <c r="B1408" s="1" t="n">
        <v>45036</v>
      </c>
      <c r="C1408" s="1" t="n">
        <v>45627</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17488-2023</t>
        </is>
      </c>
      <c r="B1409" s="1" t="n">
        <v>45036</v>
      </c>
      <c r="C1409" s="1" t="n">
        <v>45627</v>
      </c>
      <c r="D1409" t="inlineStr">
        <is>
          <t>VÄRMLANDS LÄN</t>
        </is>
      </c>
      <c r="E1409" t="inlineStr">
        <is>
          <t>TORSBY</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17546-2023</t>
        </is>
      </c>
      <c r="B1410" s="1" t="n">
        <v>45036</v>
      </c>
      <c r="C1410" s="1" t="n">
        <v>45627</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17898-2023</t>
        </is>
      </c>
      <c r="B1411" s="1" t="n">
        <v>45039</v>
      </c>
      <c r="C1411" s="1" t="n">
        <v>45627</v>
      </c>
      <c r="D1411" t="inlineStr">
        <is>
          <t>VÄRMLANDS LÄN</t>
        </is>
      </c>
      <c r="E1411" t="inlineStr">
        <is>
          <t>TORSBY</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17897-2023</t>
        </is>
      </c>
      <c r="B1412" s="1" t="n">
        <v>45039</v>
      </c>
      <c r="C1412" s="1" t="n">
        <v>45627</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18244-2023</t>
        </is>
      </c>
      <c r="B1413" s="1" t="n">
        <v>45041</v>
      </c>
      <c r="C1413" s="1" t="n">
        <v>45627</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18338-2023</t>
        </is>
      </c>
      <c r="B1414" s="1" t="n">
        <v>45041</v>
      </c>
      <c r="C1414" s="1" t="n">
        <v>45627</v>
      </c>
      <c r="D1414" t="inlineStr">
        <is>
          <t>VÄRMLANDS LÄN</t>
        </is>
      </c>
      <c r="E1414" t="inlineStr">
        <is>
          <t>TORSBY</t>
        </is>
      </c>
      <c r="F1414" t="inlineStr">
        <is>
          <t>Bergvik skog väst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18544-2023</t>
        </is>
      </c>
      <c r="B1415" s="1" t="n">
        <v>45041</v>
      </c>
      <c r="C1415" s="1" t="n">
        <v>45627</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18411-2023</t>
        </is>
      </c>
      <c r="B1416" s="1" t="n">
        <v>45042</v>
      </c>
      <c r="C1416" s="1" t="n">
        <v>45627</v>
      </c>
      <c r="D1416" t="inlineStr">
        <is>
          <t>VÄRMLANDS LÄN</t>
        </is>
      </c>
      <c r="E1416" t="inlineStr">
        <is>
          <t>TORSBY</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18621-2023</t>
        </is>
      </c>
      <c r="B1417" s="1" t="n">
        <v>45043</v>
      </c>
      <c r="C1417" s="1" t="n">
        <v>45627</v>
      </c>
      <c r="D1417" t="inlineStr">
        <is>
          <t>VÄRMLANDS LÄN</t>
        </is>
      </c>
      <c r="E1417" t="inlineStr">
        <is>
          <t>TORSBY</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18675-2023</t>
        </is>
      </c>
      <c r="B1418" s="1" t="n">
        <v>45043</v>
      </c>
      <c r="C1418" s="1" t="n">
        <v>45627</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18876-2023</t>
        </is>
      </c>
      <c r="B1419" s="1" t="n">
        <v>45044</v>
      </c>
      <c r="C1419" s="1" t="n">
        <v>45627</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19042-2023</t>
        </is>
      </c>
      <c r="B1420" s="1" t="n">
        <v>45047</v>
      </c>
      <c r="C1420" s="1" t="n">
        <v>45627</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19527-2023</t>
        </is>
      </c>
      <c r="B1421" s="1" t="n">
        <v>45050</v>
      </c>
      <c r="C1421" s="1" t="n">
        <v>45627</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19675-2023</t>
        </is>
      </c>
      <c r="B1422" s="1" t="n">
        <v>45051</v>
      </c>
      <c r="C1422" s="1" t="n">
        <v>45627</v>
      </c>
      <c r="D1422" t="inlineStr">
        <is>
          <t>VÄRMLANDS LÄN</t>
        </is>
      </c>
      <c r="E1422" t="inlineStr">
        <is>
          <t>TORSBY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19714-2023</t>
        </is>
      </c>
      <c r="B1423" s="1" t="n">
        <v>45051</v>
      </c>
      <c r="C1423" s="1" t="n">
        <v>45627</v>
      </c>
      <c r="D1423" t="inlineStr">
        <is>
          <t>VÄRMLANDS LÄN</t>
        </is>
      </c>
      <c r="E1423" t="inlineStr">
        <is>
          <t>TORSBY</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19998-2023</t>
        </is>
      </c>
      <c r="B1424" s="1" t="n">
        <v>45054</v>
      </c>
      <c r="C1424" s="1" t="n">
        <v>45627</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20130-2023</t>
        </is>
      </c>
      <c r="B1425" s="1" t="n">
        <v>45055</v>
      </c>
      <c r="C1425" s="1" t="n">
        <v>45627</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20107-2023</t>
        </is>
      </c>
      <c r="B1426" s="1" t="n">
        <v>45055</v>
      </c>
      <c r="C1426" s="1" t="n">
        <v>45627</v>
      </c>
      <c r="D1426" t="inlineStr">
        <is>
          <t>VÄRMLANDS LÄN</t>
        </is>
      </c>
      <c r="E1426" t="inlineStr">
        <is>
          <t>TORSBY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20120-2023</t>
        </is>
      </c>
      <c r="B1427" s="1" t="n">
        <v>45055</v>
      </c>
      <c r="C1427" s="1" t="n">
        <v>45627</v>
      </c>
      <c r="D1427" t="inlineStr">
        <is>
          <t>VÄRMLANDS LÄN</t>
        </is>
      </c>
      <c r="E1427" t="inlineStr">
        <is>
          <t>TORSBY</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20127-2023</t>
        </is>
      </c>
      <c r="B1428" s="1" t="n">
        <v>45055</v>
      </c>
      <c r="C1428" s="1" t="n">
        <v>45627</v>
      </c>
      <c r="D1428" t="inlineStr">
        <is>
          <t>VÄRMLANDS LÄN</t>
        </is>
      </c>
      <c r="E1428" t="inlineStr">
        <is>
          <t>TORSBY</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20805-2023</t>
        </is>
      </c>
      <c r="B1429" s="1" t="n">
        <v>45055</v>
      </c>
      <c r="C1429" s="1" t="n">
        <v>45627</v>
      </c>
      <c r="D1429" t="inlineStr">
        <is>
          <t>VÄRMLANDS LÄN</t>
        </is>
      </c>
      <c r="E1429" t="inlineStr">
        <is>
          <t>TORSBY</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20293-2023</t>
        </is>
      </c>
      <c r="B1430" s="1" t="n">
        <v>45056</v>
      </c>
      <c r="C1430" s="1" t="n">
        <v>45627</v>
      </c>
      <c r="D1430" t="inlineStr">
        <is>
          <t>VÄRMLANDS LÄN</t>
        </is>
      </c>
      <c r="E1430" t="inlineStr">
        <is>
          <t>TORSBY</t>
        </is>
      </c>
      <c r="F1430" t="inlineStr">
        <is>
          <t>Kyrkan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20321-2023</t>
        </is>
      </c>
      <c r="B1431" s="1" t="n">
        <v>45056</v>
      </c>
      <c r="C1431" s="1" t="n">
        <v>45627</v>
      </c>
      <c r="D1431" t="inlineStr">
        <is>
          <t>VÄRMLANDS LÄN</t>
        </is>
      </c>
      <c r="E1431" t="inlineStr">
        <is>
          <t>TORSBY</t>
        </is>
      </c>
      <c r="F1431" t="inlineStr">
        <is>
          <t>Kyrkan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20393-2023</t>
        </is>
      </c>
      <c r="B1432" s="1" t="n">
        <v>45056</v>
      </c>
      <c r="C1432" s="1" t="n">
        <v>45627</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20298-2023</t>
        </is>
      </c>
      <c r="B1433" s="1" t="n">
        <v>45056</v>
      </c>
      <c r="C1433" s="1" t="n">
        <v>45627</v>
      </c>
      <c r="D1433" t="inlineStr">
        <is>
          <t>VÄRMLANDS LÄN</t>
        </is>
      </c>
      <c r="E1433" t="inlineStr">
        <is>
          <t>TORSBY</t>
        </is>
      </c>
      <c r="F1433" t="inlineStr">
        <is>
          <t>Kyrkan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20847-2023</t>
        </is>
      </c>
      <c r="B1434" s="1" t="n">
        <v>45056</v>
      </c>
      <c r="C1434" s="1" t="n">
        <v>45627</v>
      </c>
      <c r="D1434" t="inlineStr">
        <is>
          <t>VÄRMLANDS LÄN</t>
        </is>
      </c>
      <c r="E1434" t="inlineStr">
        <is>
          <t>TORSBY</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20528-2023</t>
        </is>
      </c>
      <c r="B1435" s="1" t="n">
        <v>45057</v>
      </c>
      <c r="C1435" s="1" t="n">
        <v>45627</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20757-2023</t>
        </is>
      </c>
      <c r="B1436" s="1" t="n">
        <v>45058</v>
      </c>
      <c r="C1436" s="1" t="n">
        <v>45627</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20831-2023</t>
        </is>
      </c>
      <c r="B1437" s="1" t="n">
        <v>45058</v>
      </c>
      <c r="C1437" s="1" t="n">
        <v>45627</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20648-2023</t>
        </is>
      </c>
      <c r="B1438" s="1" t="n">
        <v>45058</v>
      </c>
      <c r="C1438" s="1" t="n">
        <v>45627</v>
      </c>
      <c r="D1438" t="inlineStr">
        <is>
          <t>VÄRMLANDS LÄN</t>
        </is>
      </c>
      <c r="E1438" t="inlineStr">
        <is>
          <t>TORSBY</t>
        </is>
      </c>
      <c r="F1438" t="inlineStr">
        <is>
          <t>Kyrkan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20740-2023</t>
        </is>
      </c>
      <c r="B1439" s="1" t="n">
        <v>45058</v>
      </c>
      <c r="C1439" s="1" t="n">
        <v>45627</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20737-2023</t>
        </is>
      </c>
      <c r="B1440" s="1" t="n">
        <v>45058</v>
      </c>
      <c r="C1440" s="1" t="n">
        <v>45627</v>
      </c>
      <c r="D1440" t="inlineStr">
        <is>
          <t>VÄRMLANDS LÄN</t>
        </is>
      </c>
      <c r="E1440" t="inlineStr">
        <is>
          <t>TORSBY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20829-2023</t>
        </is>
      </c>
      <c r="B1441" s="1" t="n">
        <v>45058</v>
      </c>
      <c r="C1441" s="1" t="n">
        <v>45627</v>
      </c>
      <c r="D1441" t="inlineStr">
        <is>
          <t>VÄRMLANDS LÄN</t>
        </is>
      </c>
      <c r="E1441" t="inlineStr">
        <is>
          <t>TORSBY</t>
        </is>
      </c>
      <c r="F1441" t="inlineStr">
        <is>
          <t>Bergvik skog väst AB</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20830-2023</t>
        </is>
      </c>
      <c r="B1442" s="1" t="n">
        <v>45058</v>
      </c>
      <c r="C1442" s="1" t="n">
        <v>45627</v>
      </c>
      <c r="D1442" t="inlineStr">
        <is>
          <t>VÄRMLANDS LÄN</t>
        </is>
      </c>
      <c r="E1442" t="inlineStr">
        <is>
          <t>TORSBY</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20679-2023</t>
        </is>
      </c>
      <c r="B1443" s="1" t="n">
        <v>45058</v>
      </c>
      <c r="C1443" s="1" t="n">
        <v>45627</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20721-2023</t>
        </is>
      </c>
      <c r="B1444" s="1" t="n">
        <v>45058</v>
      </c>
      <c r="C1444" s="1" t="n">
        <v>45627</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20733-2023</t>
        </is>
      </c>
      <c r="B1445" s="1" t="n">
        <v>45058</v>
      </c>
      <c r="C1445" s="1" t="n">
        <v>45627</v>
      </c>
      <c r="D1445" t="inlineStr">
        <is>
          <t>VÄRMLANDS LÄN</t>
        </is>
      </c>
      <c r="E1445" t="inlineStr">
        <is>
          <t>TORSBY</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20745-2023</t>
        </is>
      </c>
      <c r="B1446" s="1" t="n">
        <v>45058</v>
      </c>
      <c r="C1446" s="1" t="n">
        <v>45627</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21258-2023</t>
        </is>
      </c>
      <c r="B1447" s="1" t="n">
        <v>45058</v>
      </c>
      <c r="C1447" s="1" t="n">
        <v>45627</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21255-2023</t>
        </is>
      </c>
      <c r="B1448" s="1" t="n">
        <v>45058</v>
      </c>
      <c r="C1448" s="1" t="n">
        <v>45627</v>
      </c>
      <c r="D1448" t="inlineStr">
        <is>
          <t>VÄRMLANDS LÄN</t>
        </is>
      </c>
      <c r="E1448" t="inlineStr">
        <is>
          <t>TORSBY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20898-2023</t>
        </is>
      </c>
      <c r="B1449" s="1" t="n">
        <v>45059</v>
      </c>
      <c r="C1449" s="1" t="n">
        <v>45627</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21076-2023</t>
        </is>
      </c>
      <c r="B1450" s="1" t="n">
        <v>45061</v>
      </c>
      <c r="C1450" s="1" t="n">
        <v>45627</v>
      </c>
      <c r="D1450" t="inlineStr">
        <is>
          <t>VÄRMLANDS LÄN</t>
        </is>
      </c>
      <c r="E1450" t="inlineStr">
        <is>
          <t>TORSBY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21033-2023</t>
        </is>
      </c>
      <c r="B1451" s="1" t="n">
        <v>45061</v>
      </c>
      <c r="C1451" s="1" t="n">
        <v>45627</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21078-2023</t>
        </is>
      </c>
      <c r="B1452" s="1" t="n">
        <v>45061</v>
      </c>
      <c r="C1452" s="1" t="n">
        <v>45627</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21158-2023</t>
        </is>
      </c>
      <c r="B1453" s="1" t="n">
        <v>45062</v>
      </c>
      <c r="C1453" s="1" t="n">
        <v>45627</v>
      </c>
      <c r="D1453" t="inlineStr">
        <is>
          <t>VÄRMLANDS LÄN</t>
        </is>
      </c>
      <c r="E1453" t="inlineStr">
        <is>
          <t>TORSBY</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21189-2023</t>
        </is>
      </c>
      <c r="B1454" s="1" t="n">
        <v>45062</v>
      </c>
      <c r="C1454" s="1" t="n">
        <v>45627</v>
      </c>
      <c r="D1454" t="inlineStr">
        <is>
          <t>VÄRMLANDS LÄN</t>
        </is>
      </c>
      <c r="E1454" t="inlineStr">
        <is>
          <t>TORSBY</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21154-2023</t>
        </is>
      </c>
      <c r="B1455" s="1" t="n">
        <v>45062</v>
      </c>
      <c r="C1455" s="1" t="n">
        <v>45627</v>
      </c>
      <c r="D1455" t="inlineStr">
        <is>
          <t>VÄRMLANDS LÄN</t>
        </is>
      </c>
      <c r="E1455" t="inlineStr">
        <is>
          <t>TORSBY</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21409-2023</t>
        </is>
      </c>
      <c r="B1456" s="1" t="n">
        <v>45063</v>
      </c>
      <c r="C1456" s="1" t="n">
        <v>45627</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21365-2023</t>
        </is>
      </c>
      <c r="B1457" s="1" t="n">
        <v>45063</v>
      </c>
      <c r="C1457" s="1" t="n">
        <v>45627</v>
      </c>
      <c r="D1457" t="inlineStr">
        <is>
          <t>VÄRMLANDS LÄN</t>
        </is>
      </c>
      <c r="E1457" t="inlineStr">
        <is>
          <t>TORSBY</t>
        </is>
      </c>
      <c r="F1457" t="inlineStr">
        <is>
          <t>Kyrkan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21390-2023</t>
        </is>
      </c>
      <c r="B1458" s="1" t="n">
        <v>45063</v>
      </c>
      <c r="C1458" s="1" t="n">
        <v>45627</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21411-2023</t>
        </is>
      </c>
      <c r="B1459" s="1" t="n">
        <v>45063</v>
      </c>
      <c r="C1459" s="1" t="n">
        <v>45627</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21786-2023</t>
        </is>
      </c>
      <c r="B1460" s="1" t="n">
        <v>45066</v>
      </c>
      <c r="C1460" s="1" t="n">
        <v>45627</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45627</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21839-2023</t>
        </is>
      </c>
      <c r="B1462" s="1" t="n">
        <v>45068</v>
      </c>
      <c r="C1462" s="1" t="n">
        <v>45627</v>
      </c>
      <c r="D1462" t="inlineStr">
        <is>
          <t>VÄRMLANDS LÄN</t>
        </is>
      </c>
      <c r="E1462" t="inlineStr">
        <is>
          <t>TORSBY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21847-2023</t>
        </is>
      </c>
      <c r="B1463" s="1" t="n">
        <v>45068</v>
      </c>
      <c r="C1463" s="1" t="n">
        <v>45627</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21988-2023</t>
        </is>
      </c>
      <c r="B1464" s="1" t="n">
        <v>45068</v>
      </c>
      <c r="C1464" s="1" t="n">
        <v>45627</v>
      </c>
      <c r="D1464" t="inlineStr">
        <is>
          <t>VÄRMLANDS LÄN</t>
        </is>
      </c>
      <c r="E1464" t="inlineStr">
        <is>
          <t>TORSBY</t>
        </is>
      </c>
      <c r="F1464" t="inlineStr">
        <is>
          <t>Bergvik skog väst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21912-2023</t>
        </is>
      </c>
      <c r="B1465" s="1" t="n">
        <v>45068</v>
      </c>
      <c r="C1465" s="1" t="n">
        <v>45627</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22089-2023</t>
        </is>
      </c>
      <c r="B1466" s="1" t="n">
        <v>45069</v>
      </c>
      <c r="C1466" s="1" t="n">
        <v>45627</v>
      </c>
      <c r="D1466" t="inlineStr">
        <is>
          <t>VÄRMLANDS LÄN</t>
        </is>
      </c>
      <c r="E1466" t="inlineStr">
        <is>
          <t>TORSBY</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22030-2023</t>
        </is>
      </c>
      <c r="B1467" s="1" t="n">
        <v>45069</v>
      </c>
      <c r="C1467" s="1" t="n">
        <v>45627</v>
      </c>
      <c r="D1467" t="inlineStr">
        <is>
          <t>VÄRMLANDS LÄN</t>
        </is>
      </c>
      <c r="E1467" t="inlineStr">
        <is>
          <t>TORSBY</t>
        </is>
      </c>
      <c r="F1467" t="inlineStr">
        <is>
          <t>Bergvik skog väst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22038-2023</t>
        </is>
      </c>
      <c r="B1468" s="1" t="n">
        <v>45069</v>
      </c>
      <c r="C1468" s="1" t="n">
        <v>45627</v>
      </c>
      <c r="D1468" t="inlineStr">
        <is>
          <t>VÄRMLANDS LÄN</t>
        </is>
      </c>
      <c r="E1468" t="inlineStr">
        <is>
          <t>TORSBY</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22033-2023</t>
        </is>
      </c>
      <c r="B1469" s="1" t="n">
        <v>45069</v>
      </c>
      <c r="C1469" s="1" t="n">
        <v>45627</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22386-2023</t>
        </is>
      </c>
      <c r="B1470" s="1" t="n">
        <v>45070</v>
      </c>
      <c r="C1470" s="1" t="n">
        <v>45627</v>
      </c>
      <c r="D1470" t="inlineStr">
        <is>
          <t>VÄRMLANDS LÄN</t>
        </is>
      </c>
      <c r="E1470" t="inlineStr">
        <is>
          <t>TORSBY</t>
        </is>
      </c>
      <c r="F1470" t="inlineStr">
        <is>
          <t>Bergvik skog väst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22301-2023</t>
        </is>
      </c>
      <c r="B1471" s="1" t="n">
        <v>45070</v>
      </c>
      <c r="C1471" s="1" t="n">
        <v>45627</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23073-2023</t>
        </is>
      </c>
      <c r="B1472" s="1" t="n">
        <v>45070</v>
      </c>
      <c r="C1472" s="1" t="n">
        <v>45627</v>
      </c>
      <c r="D1472" t="inlineStr">
        <is>
          <t>VÄRMLANDS LÄN</t>
        </is>
      </c>
      <c r="E1472" t="inlineStr">
        <is>
          <t>TORSBY</t>
        </is>
      </c>
      <c r="G1472" t="n">
        <v>15.1</v>
      </c>
      <c r="H1472" t="n">
        <v>0</v>
      </c>
      <c r="I1472" t="n">
        <v>0</v>
      </c>
      <c r="J1472" t="n">
        <v>0</v>
      </c>
      <c r="K1472" t="n">
        <v>0</v>
      </c>
      <c r="L1472" t="n">
        <v>0</v>
      </c>
      <c r="M1472" t="n">
        <v>0</v>
      </c>
      <c r="N1472" t="n">
        <v>0</v>
      </c>
      <c r="O1472" t="n">
        <v>0</v>
      </c>
      <c r="P1472" t="n">
        <v>0</v>
      </c>
      <c r="Q1472" t="n">
        <v>0</v>
      </c>
      <c r="R1472" s="2" t="inlineStr"/>
    </row>
    <row r="1473" ht="15" customHeight="1">
      <c r="A1473" t="inlineStr">
        <is>
          <t>A 22920-2023</t>
        </is>
      </c>
      <c r="B1473" s="1" t="n">
        <v>45070</v>
      </c>
      <c r="C1473" s="1" t="n">
        <v>45627</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22494-2023</t>
        </is>
      </c>
      <c r="B1474" s="1" t="n">
        <v>45071</v>
      </c>
      <c r="C1474" s="1" t="n">
        <v>45627</v>
      </c>
      <c r="D1474" t="inlineStr">
        <is>
          <t>VÄRMLANDS LÄN</t>
        </is>
      </c>
      <c r="E1474" t="inlineStr">
        <is>
          <t>TORSBY</t>
        </is>
      </c>
      <c r="F1474" t="inlineStr">
        <is>
          <t>Bergvik skog väst AB</t>
        </is>
      </c>
      <c r="G1474" t="n">
        <v>25.7</v>
      </c>
      <c r="H1474" t="n">
        <v>0</v>
      </c>
      <c r="I1474" t="n">
        <v>0</v>
      </c>
      <c r="J1474" t="n">
        <v>0</v>
      </c>
      <c r="K1474" t="n">
        <v>0</v>
      </c>
      <c r="L1474" t="n">
        <v>0</v>
      </c>
      <c r="M1474" t="n">
        <v>0</v>
      </c>
      <c r="N1474" t="n">
        <v>0</v>
      </c>
      <c r="O1474" t="n">
        <v>0</v>
      </c>
      <c r="P1474" t="n">
        <v>0</v>
      </c>
      <c r="Q1474" t="n">
        <v>0</v>
      </c>
      <c r="R1474" s="2" t="inlineStr"/>
    </row>
    <row r="1475" ht="15" customHeight="1">
      <c r="A1475" t="inlineStr">
        <is>
          <t>A 22524-2023</t>
        </is>
      </c>
      <c r="B1475" s="1" t="n">
        <v>45071</v>
      </c>
      <c r="C1475" s="1" t="n">
        <v>45627</v>
      </c>
      <c r="D1475" t="inlineStr">
        <is>
          <t>VÄRMLANDS LÄN</t>
        </is>
      </c>
      <c r="E1475" t="inlineStr">
        <is>
          <t>TORSBY</t>
        </is>
      </c>
      <c r="F1475" t="inlineStr">
        <is>
          <t>Bergvik skog väst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22587-2023</t>
        </is>
      </c>
      <c r="B1476" s="1" t="n">
        <v>45071</v>
      </c>
      <c r="C1476" s="1" t="n">
        <v>45627</v>
      </c>
      <c r="D1476" t="inlineStr">
        <is>
          <t>VÄRMLANDS LÄN</t>
        </is>
      </c>
      <c r="E1476" t="inlineStr">
        <is>
          <t>TORSBY</t>
        </is>
      </c>
      <c r="F1476" t="inlineStr">
        <is>
          <t>Bergvik skog väst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22618-2023</t>
        </is>
      </c>
      <c r="B1477" s="1" t="n">
        <v>45071</v>
      </c>
      <c r="C1477" s="1" t="n">
        <v>45627</v>
      </c>
      <c r="D1477" t="inlineStr">
        <is>
          <t>VÄRMLANDS LÄN</t>
        </is>
      </c>
      <c r="E1477" t="inlineStr">
        <is>
          <t>TORSBY</t>
        </is>
      </c>
      <c r="F1477" t="inlineStr">
        <is>
          <t>Bergvik skog väst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22655-2023</t>
        </is>
      </c>
      <c r="B1478" s="1" t="n">
        <v>45071</v>
      </c>
      <c r="C1478" s="1" t="n">
        <v>45627</v>
      </c>
      <c r="D1478" t="inlineStr">
        <is>
          <t>VÄRMLANDS LÄN</t>
        </is>
      </c>
      <c r="E1478" t="inlineStr">
        <is>
          <t>TORSBY</t>
        </is>
      </c>
      <c r="F1478" t="inlineStr">
        <is>
          <t>Bergvik skog väst AB</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22705-2023</t>
        </is>
      </c>
      <c r="B1479" s="1" t="n">
        <v>45071</v>
      </c>
      <c r="C1479" s="1" t="n">
        <v>45627</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22687-2023</t>
        </is>
      </c>
      <c r="B1480" s="1" t="n">
        <v>45071</v>
      </c>
      <c r="C1480" s="1" t="n">
        <v>45627</v>
      </c>
      <c r="D1480" t="inlineStr">
        <is>
          <t>VÄRMLANDS LÄN</t>
        </is>
      </c>
      <c r="E1480" t="inlineStr">
        <is>
          <t>TORSBY</t>
        </is>
      </c>
      <c r="F1480" t="inlineStr">
        <is>
          <t>Bergvik skog väst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22634-2023</t>
        </is>
      </c>
      <c r="B1481" s="1" t="n">
        <v>45071</v>
      </c>
      <c r="C1481" s="1" t="n">
        <v>45627</v>
      </c>
      <c r="D1481" t="inlineStr">
        <is>
          <t>VÄRMLANDS LÄN</t>
        </is>
      </c>
      <c r="E1481" t="inlineStr">
        <is>
          <t>TORSBY</t>
        </is>
      </c>
      <c r="F1481" t="inlineStr">
        <is>
          <t>Bergvik skog väst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22675-2023</t>
        </is>
      </c>
      <c r="B1482" s="1" t="n">
        <v>45071</v>
      </c>
      <c r="C1482" s="1" t="n">
        <v>45627</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22702-2023</t>
        </is>
      </c>
      <c r="B1483" s="1" t="n">
        <v>45071</v>
      </c>
      <c r="C1483" s="1" t="n">
        <v>45627</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22939-2023</t>
        </is>
      </c>
      <c r="B1484" s="1" t="n">
        <v>45072</v>
      </c>
      <c r="C1484" s="1" t="n">
        <v>45627</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22943-2023</t>
        </is>
      </c>
      <c r="B1485" s="1" t="n">
        <v>45072</v>
      </c>
      <c r="C1485" s="1" t="n">
        <v>45627</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23572-2023</t>
        </is>
      </c>
      <c r="B1486" s="1" t="n">
        <v>45077</v>
      </c>
      <c r="C1486" s="1" t="n">
        <v>45627</v>
      </c>
      <c r="D1486" t="inlineStr">
        <is>
          <t>VÄRMLANDS LÄN</t>
        </is>
      </c>
      <c r="E1486" t="inlineStr">
        <is>
          <t>TORSBY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23624-2023</t>
        </is>
      </c>
      <c r="B1487" s="1" t="n">
        <v>45077</v>
      </c>
      <c r="C1487" s="1" t="n">
        <v>45627</v>
      </c>
      <c r="D1487" t="inlineStr">
        <is>
          <t>VÄRMLANDS LÄN</t>
        </is>
      </c>
      <c r="E1487" t="inlineStr">
        <is>
          <t>TORSBY</t>
        </is>
      </c>
      <c r="F1487" t="inlineStr">
        <is>
          <t>Bergvik skog väst AB</t>
        </is>
      </c>
      <c r="G1487" t="n">
        <v>27.9</v>
      </c>
      <c r="H1487" t="n">
        <v>0</v>
      </c>
      <c r="I1487" t="n">
        <v>0</v>
      </c>
      <c r="J1487" t="n">
        <v>0</v>
      </c>
      <c r="K1487" t="n">
        <v>0</v>
      </c>
      <c r="L1487" t="n">
        <v>0</v>
      </c>
      <c r="M1487" t="n">
        <v>0</v>
      </c>
      <c r="N1487" t="n">
        <v>0</v>
      </c>
      <c r="O1487" t="n">
        <v>0</v>
      </c>
      <c r="P1487" t="n">
        <v>0</v>
      </c>
      <c r="Q1487" t="n">
        <v>0</v>
      </c>
      <c r="R1487" s="2" t="inlineStr"/>
    </row>
    <row r="1488" ht="15" customHeight="1">
      <c r="A1488" t="inlineStr">
        <is>
          <t>A 23894-2023</t>
        </is>
      </c>
      <c r="B1488" s="1" t="n">
        <v>45078</v>
      </c>
      <c r="C1488" s="1" t="n">
        <v>45627</v>
      </c>
      <c r="D1488" t="inlineStr">
        <is>
          <t>VÄRMLANDS LÄN</t>
        </is>
      </c>
      <c r="E1488" t="inlineStr">
        <is>
          <t>TORSBY</t>
        </is>
      </c>
      <c r="F1488" t="inlineStr">
        <is>
          <t>Bergvik skog väst AB</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23912-2023</t>
        </is>
      </c>
      <c r="B1489" s="1" t="n">
        <v>45078</v>
      </c>
      <c r="C1489" s="1" t="n">
        <v>45627</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24244-2023</t>
        </is>
      </c>
      <c r="B1490" s="1" t="n">
        <v>45079</v>
      </c>
      <c r="C1490" s="1" t="n">
        <v>45627</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24170-2023</t>
        </is>
      </c>
      <c r="B1491" s="1" t="n">
        <v>45079</v>
      </c>
      <c r="C1491" s="1" t="n">
        <v>45627</v>
      </c>
      <c r="D1491" t="inlineStr">
        <is>
          <t>VÄRMLANDS LÄN</t>
        </is>
      </c>
      <c r="E1491" t="inlineStr">
        <is>
          <t>TORSBY</t>
        </is>
      </c>
      <c r="F1491" t="inlineStr">
        <is>
          <t>Bergvik skog väst AB</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24101-2023</t>
        </is>
      </c>
      <c r="B1492" s="1" t="n">
        <v>45079</v>
      </c>
      <c r="C1492" s="1" t="n">
        <v>45627</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24196-2023</t>
        </is>
      </c>
      <c r="B1493" s="1" t="n">
        <v>45079</v>
      </c>
      <c r="C1493" s="1" t="n">
        <v>45627</v>
      </c>
      <c r="D1493" t="inlineStr">
        <is>
          <t>VÄRMLANDS LÄN</t>
        </is>
      </c>
      <c r="E1493" t="inlineStr">
        <is>
          <t>TORSBY</t>
        </is>
      </c>
      <c r="F1493" t="inlineStr">
        <is>
          <t>Bergvik skog väst AB</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24518-2023</t>
        </is>
      </c>
      <c r="B1494" s="1" t="n">
        <v>45082</v>
      </c>
      <c r="C1494" s="1" t="n">
        <v>45627</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24696-2023</t>
        </is>
      </c>
      <c r="B1495" s="1" t="n">
        <v>45084</v>
      </c>
      <c r="C1495" s="1" t="n">
        <v>45627</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24639-2023</t>
        </is>
      </c>
      <c r="B1496" s="1" t="n">
        <v>45084</v>
      </c>
      <c r="C1496" s="1" t="n">
        <v>45627</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24643-2023</t>
        </is>
      </c>
      <c r="B1497" s="1" t="n">
        <v>45084</v>
      </c>
      <c r="C1497" s="1" t="n">
        <v>45627</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24703-2023</t>
        </is>
      </c>
      <c r="B1498" s="1" t="n">
        <v>45084</v>
      </c>
      <c r="C1498" s="1" t="n">
        <v>45627</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24849-2023</t>
        </is>
      </c>
      <c r="B1499" s="1" t="n">
        <v>45085</v>
      </c>
      <c r="C1499" s="1" t="n">
        <v>45627</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24896-2023</t>
        </is>
      </c>
      <c r="B1500" s="1" t="n">
        <v>45085</v>
      </c>
      <c r="C1500" s="1" t="n">
        <v>45627</v>
      </c>
      <c r="D1500" t="inlineStr">
        <is>
          <t>VÄRMLANDS LÄN</t>
        </is>
      </c>
      <c r="E1500" t="inlineStr">
        <is>
          <t>TORSBY</t>
        </is>
      </c>
      <c r="F1500" t="inlineStr">
        <is>
          <t>Bergvik skog väst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24876-2023</t>
        </is>
      </c>
      <c r="B1501" s="1" t="n">
        <v>45085</v>
      </c>
      <c r="C1501" s="1" t="n">
        <v>45627</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24909-2023</t>
        </is>
      </c>
      <c r="B1502" s="1" t="n">
        <v>45085</v>
      </c>
      <c r="C1502" s="1" t="n">
        <v>45627</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24897-2023</t>
        </is>
      </c>
      <c r="B1503" s="1" t="n">
        <v>45085</v>
      </c>
      <c r="C1503" s="1" t="n">
        <v>45627</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24847-2023</t>
        </is>
      </c>
      <c r="B1504" s="1" t="n">
        <v>45085</v>
      </c>
      <c r="C1504" s="1" t="n">
        <v>45627</v>
      </c>
      <c r="D1504" t="inlineStr">
        <is>
          <t>VÄRMLANDS LÄN</t>
        </is>
      </c>
      <c r="E1504" t="inlineStr">
        <is>
          <t>TORSBY</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24965-2023</t>
        </is>
      </c>
      <c r="B1505" s="1" t="n">
        <v>45085</v>
      </c>
      <c r="C1505" s="1" t="n">
        <v>45627</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24969-2023</t>
        </is>
      </c>
      <c r="B1506" s="1" t="n">
        <v>45085</v>
      </c>
      <c r="C1506" s="1" t="n">
        <v>45627</v>
      </c>
      <c r="D1506" t="inlineStr">
        <is>
          <t>VÄRMLANDS LÄN</t>
        </is>
      </c>
      <c r="E1506" t="inlineStr">
        <is>
          <t>TORSBY</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25001-2023</t>
        </is>
      </c>
      <c r="B1507" s="1" t="n">
        <v>45085</v>
      </c>
      <c r="C1507" s="1" t="n">
        <v>45627</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25068-2023</t>
        </is>
      </c>
      <c r="B1508" s="1" t="n">
        <v>45085</v>
      </c>
      <c r="C1508" s="1" t="n">
        <v>45627</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25163-2023</t>
        </is>
      </c>
      <c r="B1509" s="1" t="n">
        <v>45086</v>
      </c>
      <c r="C1509" s="1" t="n">
        <v>45627</v>
      </c>
      <c r="D1509" t="inlineStr">
        <is>
          <t>VÄRMLANDS LÄN</t>
        </is>
      </c>
      <c r="E1509" t="inlineStr">
        <is>
          <t>TORSBY</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25088-2023</t>
        </is>
      </c>
      <c r="B1510" s="1" t="n">
        <v>45086</v>
      </c>
      <c r="C1510" s="1" t="n">
        <v>45627</v>
      </c>
      <c r="D1510" t="inlineStr">
        <is>
          <t>VÄRMLANDS LÄN</t>
        </is>
      </c>
      <c r="E1510" t="inlineStr">
        <is>
          <t>TORSBY</t>
        </is>
      </c>
      <c r="F1510" t="inlineStr">
        <is>
          <t>Bergvik skog väst AB</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25090-2023</t>
        </is>
      </c>
      <c r="B1511" s="1" t="n">
        <v>45086</v>
      </c>
      <c r="C1511" s="1" t="n">
        <v>45627</v>
      </c>
      <c r="D1511" t="inlineStr">
        <is>
          <t>VÄRMLANDS LÄN</t>
        </is>
      </c>
      <c r="E1511" t="inlineStr">
        <is>
          <t>TORSBY</t>
        </is>
      </c>
      <c r="F1511" t="inlineStr">
        <is>
          <t>Bergvik skog väst AB</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25261-2023</t>
        </is>
      </c>
      <c r="B1512" s="1" t="n">
        <v>45086</v>
      </c>
      <c r="C1512" s="1" t="n">
        <v>45627</v>
      </c>
      <c r="D1512" t="inlineStr">
        <is>
          <t>VÄRMLANDS LÄN</t>
        </is>
      </c>
      <c r="E1512" t="inlineStr">
        <is>
          <t>TORSBY</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25344-2023</t>
        </is>
      </c>
      <c r="B1513" s="1" t="n">
        <v>45087</v>
      </c>
      <c r="C1513" s="1" t="n">
        <v>45627</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25579-2023</t>
        </is>
      </c>
      <c r="B1514" s="1" t="n">
        <v>45089</v>
      </c>
      <c r="C1514" s="1" t="n">
        <v>45627</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26466-2023</t>
        </is>
      </c>
      <c r="B1515" s="1" t="n">
        <v>45089</v>
      </c>
      <c r="C1515" s="1" t="n">
        <v>45627</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26340-2023</t>
        </is>
      </c>
      <c r="B1516" s="1" t="n">
        <v>45091</v>
      </c>
      <c r="C1516" s="1" t="n">
        <v>45627</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26343-2023</t>
        </is>
      </c>
      <c r="B1517" s="1" t="n">
        <v>45091</v>
      </c>
      <c r="C1517" s="1" t="n">
        <v>45627</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26327-2023</t>
        </is>
      </c>
      <c r="B1518" s="1" t="n">
        <v>45091</v>
      </c>
      <c r="C1518" s="1" t="n">
        <v>45627</v>
      </c>
      <c r="D1518" t="inlineStr">
        <is>
          <t>VÄRMLANDS LÄN</t>
        </is>
      </c>
      <c r="E1518" t="inlineStr">
        <is>
          <t>TORSBY</t>
        </is>
      </c>
      <c r="F1518" t="inlineStr">
        <is>
          <t>Bergvik skog väst AB</t>
        </is>
      </c>
      <c r="G1518" t="n">
        <v>33.4</v>
      </c>
      <c r="H1518" t="n">
        <v>0</v>
      </c>
      <c r="I1518" t="n">
        <v>0</v>
      </c>
      <c r="J1518" t="n">
        <v>0</v>
      </c>
      <c r="K1518" t="n">
        <v>0</v>
      </c>
      <c r="L1518" t="n">
        <v>0</v>
      </c>
      <c r="M1518" t="n">
        <v>0</v>
      </c>
      <c r="N1518" t="n">
        <v>0</v>
      </c>
      <c r="O1518" t="n">
        <v>0</v>
      </c>
      <c r="P1518" t="n">
        <v>0</v>
      </c>
      <c r="Q1518" t="n">
        <v>0</v>
      </c>
      <c r="R1518" s="2" t="inlineStr"/>
    </row>
    <row r="1519" ht="15" customHeight="1">
      <c r="A1519" t="inlineStr">
        <is>
          <t>A 26080-2023</t>
        </is>
      </c>
      <c r="B1519" s="1" t="n">
        <v>45091</v>
      </c>
      <c r="C1519" s="1" t="n">
        <v>45627</v>
      </c>
      <c r="D1519" t="inlineStr">
        <is>
          <t>VÄRMLANDS LÄN</t>
        </is>
      </c>
      <c r="E1519" t="inlineStr">
        <is>
          <t>TORSBY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26092-2023</t>
        </is>
      </c>
      <c r="B1520" s="1" t="n">
        <v>45091</v>
      </c>
      <c r="C1520" s="1" t="n">
        <v>45627</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26979-2023</t>
        </is>
      </c>
      <c r="B1521" s="1" t="n">
        <v>45091</v>
      </c>
      <c r="C1521" s="1" t="n">
        <v>45627</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26376-2023</t>
        </is>
      </c>
      <c r="B1522" s="1" t="n">
        <v>45092</v>
      </c>
      <c r="C1522" s="1" t="n">
        <v>45627</v>
      </c>
      <c r="D1522" t="inlineStr">
        <is>
          <t>VÄRMLANDS LÄN</t>
        </is>
      </c>
      <c r="E1522" t="inlineStr">
        <is>
          <t>TORSBY</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26616-2023</t>
        </is>
      </c>
      <c r="B1523" s="1" t="n">
        <v>45092</v>
      </c>
      <c r="C1523" s="1" t="n">
        <v>45627</v>
      </c>
      <c r="D1523" t="inlineStr">
        <is>
          <t>VÄRMLANDS LÄN</t>
        </is>
      </c>
      <c r="E1523" t="inlineStr">
        <is>
          <t>TORSBY</t>
        </is>
      </c>
      <c r="F1523" t="inlineStr">
        <is>
          <t>Bergvik skog väst AB</t>
        </is>
      </c>
      <c r="G1523" t="n">
        <v>30.3</v>
      </c>
      <c r="H1523" t="n">
        <v>0</v>
      </c>
      <c r="I1523" t="n">
        <v>0</v>
      </c>
      <c r="J1523" t="n">
        <v>0</v>
      </c>
      <c r="K1523" t="n">
        <v>0</v>
      </c>
      <c r="L1523" t="n">
        <v>0</v>
      </c>
      <c r="M1523" t="n">
        <v>0</v>
      </c>
      <c r="N1523" t="n">
        <v>0</v>
      </c>
      <c r="O1523" t="n">
        <v>0</v>
      </c>
      <c r="P1523" t="n">
        <v>0</v>
      </c>
      <c r="Q1523" t="n">
        <v>0</v>
      </c>
      <c r="R1523" s="2" t="inlineStr"/>
    </row>
    <row r="1524" ht="15" customHeight="1">
      <c r="A1524" t="inlineStr">
        <is>
          <t>A 26814-2023</t>
        </is>
      </c>
      <c r="B1524" s="1" t="n">
        <v>45093</v>
      </c>
      <c r="C1524" s="1" t="n">
        <v>45627</v>
      </c>
      <c r="D1524" t="inlineStr">
        <is>
          <t>VÄRMLANDS LÄN</t>
        </is>
      </c>
      <c r="E1524" t="inlineStr">
        <is>
          <t>TORSBY</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26753-2023</t>
        </is>
      </c>
      <c r="B1525" s="1" t="n">
        <v>45093</v>
      </c>
      <c r="C1525" s="1" t="n">
        <v>45627</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26855-2023</t>
        </is>
      </c>
      <c r="B1526" s="1" t="n">
        <v>45093</v>
      </c>
      <c r="C1526" s="1" t="n">
        <v>45627</v>
      </c>
      <c r="D1526" t="inlineStr">
        <is>
          <t>VÄRMLANDS LÄN</t>
        </is>
      </c>
      <c r="E1526" t="inlineStr">
        <is>
          <t>TORSBY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27195-2023</t>
        </is>
      </c>
      <c r="B1527" s="1" t="n">
        <v>45096</v>
      </c>
      <c r="C1527" s="1" t="n">
        <v>45627</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27332-2023</t>
        </is>
      </c>
      <c r="B1528" s="1" t="n">
        <v>45096</v>
      </c>
      <c r="C1528" s="1" t="n">
        <v>45627</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27472-2023</t>
        </is>
      </c>
      <c r="B1529" s="1" t="n">
        <v>45097</v>
      </c>
      <c r="C1529" s="1" t="n">
        <v>45627</v>
      </c>
      <c r="D1529" t="inlineStr">
        <is>
          <t>VÄRMLANDS LÄN</t>
        </is>
      </c>
      <c r="E1529" t="inlineStr">
        <is>
          <t>TORSBY</t>
        </is>
      </c>
      <c r="F1529" t="inlineStr">
        <is>
          <t>Övriga Aktiebolag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27594-2023</t>
        </is>
      </c>
      <c r="B1530" s="1" t="n">
        <v>45097</v>
      </c>
      <c r="C1530" s="1" t="n">
        <v>45627</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27458-2023</t>
        </is>
      </c>
      <c r="B1531" s="1" t="n">
        <v>45097</v>
      </c>
      <c r="C1531" s="1" t="n">
        <v>45627</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27787-2023</t>
        </is>
      </c>
      <c r="B1532" s="1" t="n">
        <v>45098</v>
      </c>
      <c r="C1532" s="1" t="n">
        <v>45627</v>
      </c>
      <c r="D1532" t="inlineStr">
        <is>
          <t>VÄRMLANDS LÄN</t>
        </is>
      </c>
      <c r="E1532" t="inlineStr">
        <is>
          <t>TORSBY</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27837-2023</t>
        </is>
      </c>
      <c r="B1533" s="1" t="n">
        <v>45098</v>
      </c>
      <c r="C1533" s="1" t="n">
        <v>45627</v>
      </c>
      <c r="D1533" t="inlineStr">
        <is>
          <t>VÄRMLANDS LÄN</t>
        </is>
      </c>
      <c r="E1533" t="inlineStr">
        <is>
          <t>TORSBY</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27851-2023</t>
        </is>
      </c>
      <c r="B1534" s="1" t="n">
        <v>45098</v>
      </c>
      <c r="C1534" s="1" t="n">
        <v>45627</v>
      </c>
      <c r="D1534" t="inlineStr">
        <is>
          <t>VÄRMLANDS LÄN</t>
        </is>
      </c>
      <c r="E1534" t="inlineStr">
        <is>
          <t>TORSBY</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27920-2023</t>
        </is>
      </c>
      <c r="B1535" s="1" t="n">
        <v>45098</v>
      </c>
      <c r="C1535" s="1" t="n">
        <v>45627</v>
      </c>
      <c r="D1535" t="inlineStr">
        <is>
          <t>VÄRMLANDS LÄN</t>
        </is>
      </c>
      <c r="E1535" t="inlineStr">
        <is>
          <t>TORSBY</t>
        </is>
      </c>
      <c r="F1535" t="inlineStr">
        <is>
          <t>Kyrkan</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28045-2023</t>
        </is>
      </c>
      <c r="B1536" s="1" t="n">
        <v>45099</v>
      </c>
      <c r="C1536" s="1" t="n">
        <v>45627</v>
      </c>
      <c r="D1536" t="inlineStr">
        <is>
          <t>VÄRMLANDS LÄN</t>
        </is>
      </c>
      <c r="E1536" t="inlineStr">
        <is>
          <t>TORSBY</t>
        </is>
      </c>
      <c r="F1536" t="inlineStr">
        <is>
          <t>Bergvik skog väst AB</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28074-2023</t>
        </is>
      </c>
      <c r="B1537" s="1" t="n">
        <v>45099</v>
      </c>
      <c r="C1537" s="1" t="n">
        <v>45627</v>
      </c>
      <c r="D1537" t="inlineStr">
        <is>
          <t>VÄRMLANDS LÄN</t>
        </is>
      </c>
      <c r="E1537" t="inlineStr">
        <is>
          <t>TORSBY</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28092-2023</t>
        </is>
      </c>
      <c r="B1538" s="1" t="n">
        <v>45099</v>
      </c>
      <c r="C1538" s="1" t="n">
        <v>45627</v>
      </c>
      <c r="D1538" t="inlineStr">
        <is>
          <t>VÄRMLANDS LÄN</t>
        </is>
      </c>
      <c r="E1538" t="inlineStr">
        <is>
          <t>TORSBY</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28251-2023</t>
        </is>
      </c>
      <c r="B1539" s="1" t="n">
        <v>45099</v>
      </c>
      <c r="C1539" s="1" t="n">
        <v>45627</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30142-2023</t>
        </is>
      </c>
      <c r="B1540" s="1" t="n">
        <v>45099</v>
      </c>
      <c r="C1540" s="1" t="n">
        <v>45627</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30148-2023</t>
        </is>
      </c>
      <c r="B1541" s="1" t="n">
        <v>45099</v>
      </c>
      <c r="C1541" s="1" t="n">
        <v>45627</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30151-2023</t>
        </is>
      </c>
      <c r="B1542" s="1" t="n">
        <v>45099</v>
      </c>
      <c r="C1542" s="1" t="n">
        <v>45627</v>
      </c>
      <c r="D1542" t="inlineStr">
        <is>
          <t>VÄRMLANDS LÄN</t>
        </is>
      </c>
      <c r="E1542" t="inlineStr">
        <is>
          <t>TORSBY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28598-2023</t>
        </is>
      </c>
      <c r="B1543" s="1" t="n">
        <v>45103</v>
      </c>
      <c r="C1543" s="1" t="n">
        <v>45627</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28652-2023</t>
        </is>
      </c>
      <c r="B1544" s="1" t="n">
        <v>45103</v>
      </c>
      <c r="C1544" s="1" t="n">
        <v>45627</v>
      </c>
      <c r="D1544" t="inlineStr">
        <is>
          <t>VÄRMLANDS LÄN</t>
        </is>
      </c>
      <c r="E1544" t="inlineStr">
        <is>
          <t>TORSBY</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28818-2023</t>
        </is>
      </c>
      <c r="B1545" s="1" t="n">
        <v>45104</v>
      </c>
      <c r="C1545" s="1" t="n">
        <v>45627</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28869-2023</t>
        </is>
      </c>
      <c r="B1546" s="1" t="n">
        <v>45104</v>
      </c>
      <c r="C1546" s="1" t="n">
        <v>45627</v>
      </c>
      <c r="D1546" t="inlineStr">
        <is>
          <t>VÄRMLANDS LÄN</t>
        </is>
      </c>
      <c r="E1546" t="inlineStr">
        <is>
          <t>TORSBY</t>
        </is>
      </c>
      <c r="F1546" t="inlineStr">
        <is>
          <t>Bergvik skog väst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28948-2023</t>
        </is>
      </c>
      <c r="B1547" s="1" t="n">
        <v>45104</v>
      </c>
      <c r="C1547" s="1" t="n">
        <v>45627</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28814-2023</t>
        </is>
      </c>
      <c r="B1548" s="1" t="n">
        <v>45104</v>
      </c>
      <c r="C1548" s="1" t="n">
        <v>45627</v>
      </c>
      <c r="D1548" t="inlineStr">
        <is>
          <t>VÄRMLANDS LÄN</t>
        </is>
      </c>
      <c r="E1548" t="inlineStr">
        <is>
          <t>TORSBY</t>
        </is>
      </c>
      <c r="G1548" t="n">
        <v>14.3</v>
      </c>
      <c r="H1548" t="n">
        <v>0</v>
      </c>
      <c r="I1548" t="n">
        <v>0</v>
      </c>
      <c r="J1548" t="n">
        <v>0</v>
      </c>
      <c r="K1548" t="n">
        <v>0</v>
      </c>
      <c r="L1548" t="n">
        <v>0</v>
      </c>
      <c r="M1548" t="n">
        <v>0</v>
      </c>
      <c r="N1548" t="n">
        <v>0</v>
      </c>
      <c r="O1548" t="n">
        <v>0</v>
      </c>
      <c r="P1548" t="n">
        <v>0</v>
      </c>
      <c r="Q1548" t="n">
        <v>0</v>
      </c>
      <c r="R1548" s="2" t="inlineStr"/>
    </row>
    <row r="1549" ht="15" customHeight="1">
      <c r="A1549" t="inlineStr">
        <is>
          <t>A 29043-2023</t>
        </is>
      </c>
      <c r="B1549" s="1" t="n">
        <v>45104</v>
      </c>
      <c r="C1549" s="1" t="n">
        <v>45627</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29042-2023</t>
        </is>
      </c>
      <c r="B1550" s="1" t="n">
        <v>45104</v>
      </c>
      <c r="C1550" s="1" t="n">
        <v>45627</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29137-2023</t>
        </is>
      </c>
      <c r="B1551" s="1" t="n">
        <v>45105</v>
      </c>
      <c r="C1551" s="1" t="n">
        <v>45627</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29256-2023</t>
        </is>
      </c>
      <c r="B1552" s="1" t="n">
        <v>45105</v>
      </c>
      <c r="C1552" s="1" t="n">
        <v>45627</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29506-2023</t>
        </is>
      </c>
      <c r="B1553" s="1" t="n">
        <v>45106</v>
      </c>
      <c r="C1553" s="1" t="n">
        <v>45627</v>
      </c>
      <c r="D1553" t="inlineStr">
        <is>
          <t>VÄRMLANDS LÄN</t>
        </is>
      </c>
      <c r="E1553" t="inlineStr">
        <is>
          <t>TORSBY</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29581-2023</t>
        </is>
      </c>
      <c r="B1554" s="1" t="n">
        <v>45106</v>
      </c>
      <c r="C1554" s="1" t="n">
        <v>45627</v>
      </c>
      <c r="D1554" t="inlineStr">
        <is>
          <t>VÄRMLANDS LÄN</t>
        </is>
      </c>
      <c r="E1554" t="inlineStr">
        <is>
          <t>TORSBY</t>
        </is>
      </c>
      <c r="F1554" t="inlineStr">
        <is>
          <t>Bergvik skog väst AB</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29594-2023</t>
        </is>
      </c>
      <c r="B1555" s="1" t="n">
        <v>45107</v>
      </c>
      <c r="C1555" s="1" t="n">
        <v>45627</v>
      </c>
      <c r="D1555" t="inlineStr">
        <is>
          <t>VÄRMLANDS LÄN</t>
        </is>
      </c>
      <c r="E1555" t="inlineStr">
        <is>
          <t>TORSBY</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29545-2023</t>
        </is>
      </c>
      <c r="B1556" s="1" t="n">
        <v>45106</v>
      </c>
      <c r="C1556" s="1" t="n">
        <v>45627</v>
      </c>
      <c r="D1556" t="inlineStr">
        <is>
          <t>VÄRMLANDS LÄN</t>
        </is>
      </c>
      <c r="E1556" t="inlineStr">
        <is>
          <t>TORSBY</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31858-2023</t>
        </is>
      </c>
      <c r="B1557" s="1" t="n">
        <v>45106</v>
      </c>
      <c r="C1557" s="1" t="n">
        <v>45627</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29792-2023</t>
        </is>
      </c>
      <c r="B1558" s="1" t="n">
        <v>45107</v>
      </c>
      <c r="C1558" s="1" t="n">
        <v>45627</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29796-2023</t>
        </is>
      </c>
      <c r="B1559" s="1" t="n">
        <v>45107</v>
      </c>
      <c r="C1559" s="1" t="n">
        <v>45627</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29795-2023</t>
        </is>
      </c>
      <c r="B1560" s="1" t="n">
        <v>45107</v>
      </c>
      <c r="C1560" s="1" t="n">
        <v>45627</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31936-2023</t>
        </is>
      </c>
      <c r="B1561" s="1" t="n">
        <v>45107</v>
      </c>
      <c r="C1561" s="1" t="n">
        <v>45627</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30208-2023</t>
        </is>
      </c>
      <c r="B1562" s="1" t="n">
        <v>45110</v>
      </c>
      <c r="C1562" s="1" t="n">
        <v>45627</v>
      </c>
      <c r="D1562" t="inlineStr">
        <is>
          <t>VÄRMLANDS LÄN</t>
        </is>
      </c>
      <c r="E1562" t="inlineStr">
        <is>
          <t>TORSBY</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30213-2023</t>
        </is>
      </c>
      <c r="B1563" s="1" t="n">
        <v>45110</v>
      </c>
      <c r="C1563" s="1" t="n">
        <v>45627</v>
      </c>
      <c r="D1563" t="inlineStr">
        <is>
          <t>VÄRMLANDS LÄN</t>
        </is>
      </c>
      <c r="E1563" t="inlineStr">
        <is>
          <t>TORSBY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30267-2023</t>
        </is>
      </c>
      <c r="B1564" s="1" t="n">
        <v>45110</v>
      </c>
      <c r="C1564" s="1" t="n">
        <v>45627</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30104-2023</t>
        </is>
      </c>
      <c r="B1565" s="1" t="n">
        <v>45110</v>
      </c>
      <c r="C1565" s="1" t="n">
        <v>45627</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32332-2023</t>
        </is>
      </c>
      <c r="B1566" s="1" t="n">
        <v>45110</v>
      </c>
      <c r="C1566" s="1" t="n">
        <v>45627</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30160-2023</t>
        </is>
      </c>
      <c r="B1567" s="1" t="n">
        <v>45110</v>
      </c>
      <c r="C1567" s="1" t="n">
        <v>45627</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30269-2023</t>
        </is>
      </c>
      <c r="B1568" s="1" t="n">
        <v>45110</v>
      </c>
      <c r="C1568" s="1" t="n">
        <v>45627</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30110-2023</t>
        </is>
      </c>
      <c r="B1569" s="1" t="n">
        <v>45110</v>
      </c>
      <c r="C1569" s="1" t="n">
        <v>45627</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30530-2023</t>
        </is>
      </c>
      <c r="B1570" s="1" t="n">
        <v>45111</v>
      </c>
      <c r="C1570" s="1" t="n">
        <v>45627</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30455-2023</t>
        </is>
      </c>
      <c r="B1571" s="1" t="n">
        <v>45111</v>
      </c>
      <c r="C1571" s="1" t="n">
        <v>45627</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30370-2023</t>
        </is>
      </c>
      <c r="B1572" s="1" t="n">
        <v>45111</v>
      </c>
      <c r="C1572" s="1" t="n">
        <v>45627</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30531-2023</t>
        </is>
      </c>
      <c r="B1573" s="1" t="n">
        <v>45111</v>
      </c>
      <c r="C1573" s="1" t="n">
        <v>45627</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30344-2023</t>
        </is>
      </c>
      <c r="B1574" s="1" t="n">
        <v>45111</v>
      </c>
      <c r="C1574" s="1" t="n">
        <v>45627</v>
      </c>
      <c r="D1574" t="inlineStr">
        <is>
          <t>VÄRMLANDS LÄN</t>
        </is>
      </c>
      <c r="E1574" t="inlineStr">
        <is>
          <t>TORSBY</t>
        </is>
      </c>
      <c r="F1574" t="inlineStr">
        <is>
          <t>Bergvik skog väst AB</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30670-2023</t>
        </is>
      </c>
      <c r="B1575" s="1" t="n">
        <v>45112</v>
      </c>
      <c r="C1575" s="1" t="n">
        <v>45627</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30624-2023</t>
        </is>
      </c>
      <c r="B1576" s="1" t="n">
        <v>45112</v>
      </c>
      <c r="C1576" s="1" t="n">
        <v>45627</v>
      </c>
      <c r="D1576" t="inlineStr">
        <is>
          <t>VÄRMLANDS LÄN</t>
        </is>
      </c>
      <c r="E1576" t="inlineStr">
        <is>
          <t>TORSBY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30741-2023</t>
        </is>
      </c>
      <c r="B1577" s="1" t="n">
        <v>45112</v>
      </c>
      <c r="C1577" s="1" t="n">
        <v>45627</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31052-2023</t>
        </is>
      </c>
      <c r="B1578" s="1" t="n">
        <v>45113</v>
      </c>
      <c r="C1578" s="1" t="n">
        <v>45627</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31112-2023</t>
        </is>
      </c>
      <c r="B1579" s="1" t="n">
        <v>45113</v>
      </c>
      <c r="C1579" s="1" t="n">
        <v>45627</v>
      </c>
      <c r="D1579" t="inlineStr">
        <is>
          <t>VÄRMLANDS LÄN</t>
        </is>
      </c>
      <c r="E1579" t="inlineStr">
        <is>
          <t>TORSBY</t>
        </is>
      </c>
      <c r="F1579" t="inlineStr">
        <is>
          <t>Bergvik skog väst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31465-2023</t>
        </is>
      </c>
      <c r="B1580" s="1" t="n">
        <v>45114</v>
      </c>
      <c r="C1580" s="1" t="n">
        <v>45627</v>
      </c>
      <c r="D1580" t="inlineStr">
        <is>
          <t>VÄRMLANDS LÄN</t>
        </is>
      </c>
      <c r="E1580" t="inlineStr">
        <is>
          <t>TORSBY</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31547-2023</t>
        </is>
      </c>
      <c r="B1581" s="1" t="n">
        <v>45117</v>
      </c>
      <c r="C1581" s="1" t="n">
        <v>45627</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31548-2023</t>
        </is>
      </c>
      <c r="B1582" s="1" t="n">
        <v>45117</v>
      </c>
      <c r="C1582" s="1" t="n">
        <v>45627</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33741-2023</t>
        </is>
      </c>
      <c r="B1583" s="1" t="n">
        <v>45119</v>
      </c>
      <c r="C1583" s="1" t="n">
        <v>45627</v>
      </c>
      <c r="D1583" t="inlineStr">
        <is>
          <t>VÄRMLANDS LÄN</t>
        </is>
      </c>
      <c r="E1583" t="inlineStr">
        <is>
          <t>TORSBY</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33738-2023</t>
        </is>
      </c>
      <c r="B1584" s="1" t="n">
        <v>45119</v>
      </c>
      <c r="C1584" s="1" t="n">
        <v>45627</v>
      </c>
      <c r="D1584" t="inlineStr">
        <is>
          <t>VÄRMLANDS LÄN</t>
        </is>
      </c>
      <c r="E1584" t="inlineStr">
        <is>
          <t>TORSBY</t>
        </is>
      </c>
      <c r="F1584" t="inlineStr">
        <is>
          <t>Övriga Aktiebolag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33740-2023</t>
        </is>
      </c>
      <c r="B1585" s="1" t="n">
        <v>45119</v>
      </c>
      <c r="C1585" s="1" t="n">
        <v>45627</v>
      </c>
      <c r="D1585" t="inlineStr">
        <is>
          <t>VÄRMLANDS LÄN</t>
        </is>
      </c>
      <c r="E1585" t="inlineStr">
        <is>
          <t>TORSBY</t>
        </is>
      </c>
      <c r="F1585" t="inlineStr">
        <is>
          <t>Övriga Aktiebolag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33782-2023</t>
        </is>
      </c>
      <c r="B1586" s="1" t="n">
        <v>45120</v>
      </c>
      <c r="C1586" s="1" t="n">
        <v>45627</v>
      </c>
      <c r="D1586" t="inlineStr">
        <is>
          <t>VÄRMLANDS LÄN</t>
        </is>
      </c>
      <c r="E1586" t="inlineStr">
        <is>
          <t>TORSBY</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32576-2023</t>
        </is>
      </c>
      <c r="B1587" s="1" t="n">
        <v>45121</v>
      </c>
      <c r="C1587" s="1" t="n">
        <v>45627</v>
      </c>
      <c r="D1587" t="inlineStr">
        <is>
          <t>VÄRMLANDS LÄN</t>
        </is>
      </c>
      <c r="E1587" t="inlineStr">
        <is>
          <t>TORSBY</t>
        </is>
      </c>
      <c r="F1587" t="inlineStr">
        <is>
          <t>Bergvik skog väst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32584-2023</t>
        </is>
      </c>
      <c r="B1588" s="1" t="n">
        <v>45121</v>
      </c>
      <c r="C1588" s="1" t="n">
        <v>45627</v>
      </c>
      <c r="D1588" t="inlineStr">
        <is>
          <t>VÄRMLANDS LÄN</t>
        </is>
      </c>
      <c r="E1588" t="inlineStr">
        <is>
          <t>TORSBY</t>
        </is>
      </c>
      <c r="F1588" t="inlineStr">
        <is>
          <t>Bergvik skog väst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32805-2023</t>
        </is>
      </c>
      <c r="B1589" s="1" t="n">
        <v>45124</v>
      </c>
      <c r="C1589" s="1" t="n">
        <v>45627</v>
      </c>
      <c r="D1589" t="inlineStr">
        <is>
          <t>VÄRMLANDS LÄN</t>
        </is>
      </c>
      <c r="E1589" t="inlineStr">
        <is>
          <t>TORSBY</t>
        </is>
      </c>
      <c r="F1589" t="inlineStr">
        <is>
          <t>Bergvik skog väst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32819-2023</t>
        </is>
      </c>
      <c r="B1590" s="1" t="n">
        <v>45124</v>
      </c>
      <c r="C1590" s="1" t="n">
        <v>45627</v>
      </c>
      <c r="D1590" t="inlineStr">
        <is>
          <t>VÄRMLANDS LÄN</t>
        </is>
      </c>
      <c r="E1590" t="inlineStr">
        <is>
          <t>TORSBY</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32787-2023</t>
        </is>
      </c>
      <c r="B1591" s="1" t="n">
        <v>45124</v>
      </c>
      <c r="C1591" s="1" t="n">
        <v>45627</v>
      </c>
      <c r="D1591" t="inlineStr">
        <is>
          <t>VÄRMLANDS LÄN</t>
        </is>
      </c>
      <c r="E1591" t="inlineStr">
        <is>
          <t>TORSBY</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32815-2023</t>
        </is>
      </c>
      <c r="B1592" s="1" t="n">
        <v>45124</v>
      </c>
      <c r="C1592" s="1" t="n">
        <v>45627</v>
      </c>
      <c r="D1592" t="inlineStr">
        <is>
          <t>VÄRMLANDS LÄN</t>
        </is>
      </c>
      <c r="E1592" t="inlineStr">
        <is>
          <t>TORSBY</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33758-2023</t>
        </is>
      </c>
      <c r="B1593" s="1" t="n">
        <v>45125</v>
      </c>
      <c r="C1593" s="1" t="n">
        <v>45627</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33072-2023</t>
        </is>
      </c>
      <c r="B1594" s="1" t="n">
        <v>45126</v>
      </c>
      <c r="C1594" s="1" t="n">
        <v>45627</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34097-2023</t>
        </is>
      </c>
      <c r="B1595" s="1" t="n">
        <v>45126</v>
      </c>
      <c r="C1595" s="1" t="n">
        <v>45627</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34104-2023</t>
        </is>
      </c>
      <c r="B1596" s="1" t="n">
        <v>45126</v>
      </c>
      <c r="C1596" s="1" t="n">
        <v>45627</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34105-2023</t>
        </is>
      </c>
      <c r="B1597" s="1" t="n">
        <v>45126</v>
      </c>
      <c r="C1597" s="1" t="n">
        <v>45627</v>
      </c>
      <c r="D1597" t="inlineStr">
        <is>
          <t>VÄRMLANDS LÄN</t>
        </is>
      </c>
      <c r="E1597" t="inlineStr">
        <is>
          <t>TORSBY</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33263-2023</t>
        </is>
      </c>
      <c r="B1598" s="1" t="n">
        <v>45127</v>
      </c>
      <c r="C1598" s="1" t="n">
        <v>45627</v>
      </c>
      <c r="D1598" t="inlineStr">
        <is>
          <t>VÄRMLANDS LÄN</t>
        </is>
      </c>
      <c r="E1598" t="inlineStr">
        <is>
          <t>TORSBY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33249-2023</t>
        </is>
      </c>
      <c r="B1599" s="1" t="n">
        <v>45127</v>
      </c>
      <c r="C1599" s="1" t="n">
        <v>45627</v>
      </c>
      <c r="D1599" t="inlineStr">
        <is>
          <t>VÄRMLANDS LÄN</t>
        </is>
      </c>
      <c r="E1599" t="inlineStr">
        <is>
          <t>TORSBY</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33253-2023</t>
        </is>
      </c>
      <c r="B1600" s="1" t="n">
        <v>45127</v>
      </c>
      <c r="C1600" s="1" t="n">
        <v>45627</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33264-2023</t>
        </is>
      </c>
      <c r="B1601" s="1" t="n">
        <v>45127</v>
      </c>
      <c r="C1601" s="1" t="n">
        <v>45627</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33268-2023</t>
        </is>
      </c>
      <c r="B1602" s="1" t="n">
        <v>45127</v>
      </c>
      <c r="C1602" s="1" t="n">
        <v>45627</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33574-2023</t>
        </is>
      </c>
      <c r="B1603" s="1" t="n">
        <v>45131</v>
      </c>
      <c r="C1603" s="1" t="n">
        <v>45627</v>
      </c>
      <c r="D1603" t="inlineStr">
        <is>
          <t>VÄRMLANDS LÄN</t>
        </is>
      </c>
      <c r="E1603" t="inlineStr">
        <is>
          <t>TORSBY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33645-2023</t>
        </is>
      </c>
      <c r="B1604" s="1" t="n">
        <v>45132</v>
      </c>
      <c r="C1604" s="1" t="n">
        <v>45627</v>
      </c>
      <c r="D1604" t="inlineStr">
        <is>
          <t>VÄRMLANDS LÄN</t>
        </is>
      </c>
      <c r="E1604" t="inlineStr">
        <is>
          <t>TORSBY</t>
        </is>
      </c>
      <c r="F1604" t="inlineStr">
        <is>
          <t>Bergvik skog väst AB</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33656-2023</t>
        </is>
      </c>
      <c r="B1605" s="1" t="n">
        <v>45132</v>
      </c>
      <c r="C1605" s="1" t="n">
        <v>45627</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33813-2023</t>
        </is>
      </c>
      <c r="B1606" s="1" t="n">
        <v>45133</v>
      </c>
      <c r="C1606" s="1" t="n">
        <v>45627</v>
      </c>
      <c r="D1606" t="inlineStr">
        <is>
          <t>VÄRMLANDS LÄN</t>
        </is>
      </c>
      <c r="E1606" t="inlineStr">
        <is>
          <t>TORSBY</t>
        </is>
      </c>
      <c r="F1606" t="inlineStr">
        <is>
          <t>Bergvik skog väst AB</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33839-2023</t>
        </is>
      </c>
      <c r="B1607" s="1" t="n">
        <v>45133</v>
      </c>
      <c r="C1607" s="1" t="n">
        <v>45627</v>
      </c>
      <c r="D1607" t="inlineStr">
        <is>
          <t>VÄRMLANDS LÄN</t>
        </is>
      </c>
      <c r="E1607" t="inlineStr">
        <is>
          <t>TORSBY</t>
        </is>
      </c>
      <c r="F1607" t="inlineStr">
        <is>
          <t>Bergvik skog väst AB</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33848-2023</t>
        </is>
      </c>
      <c r="B1608" s="1" t="n">
        <v>45133</v>
      </c>
      <c r="C1608" s="1" t="n">
        <v>45627</v>
      </c>
      <c r="D1608" t="inlineStr">
        <is>
          <t>VÄRMLANDS LÄN</t>
        </is>
      </c>
      <c r="E1608" t="inlineStr">
        <is>
          <t>TORSBY</t>
        </is>
      </c>
      <c r="F1608" t="inlineStr">
        <is>
          <t>Bergvik skog väst AB</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34405-2023</t>
        </is>
      </c>
      <c r="B1609" s="1" t="n">
        <v>45139</v>
      </c>
      <c r="C1609" s="1" t="n">
        <v>45627</v>
      </c>
      <c r="D1609" t="inlineStr">
        <is>
          <t>VÄRMLANDS LÄN</t>
        </is>
      </c>
      <c r="E1609" t="inlineStr">
        <is>
          <t>TORSBY</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34427-2023</t>
        </is>
      </c>
      <c r="B1610" s="1" t="n">
        <v>45139</v>
      </c>
      <c r="C1610" s="1" t="n">
        <v>45627</v>
      </c>
      <c r="D1610" t="inlineStr">
        <is>
          <t>VÄRMLANDS LÄN</t>
        </is>
      </c>
      <c r="E1610" t="inlineStr">
        <is>
          <t>TORSBY</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34469-2023</t>
        </is>
      </c>
      <c r="B1611" s="1" t="n">
        <v>45139</v>
      </c>
      <c r="C1611" s="1" t="n">
        <v>45627</v>
      </c>
      <c r="D1611" t="inlineStr">
        <is>
          <t>VÄRMLANDS LÄN</t>
        </is>
      </c>
      <c r="E1611" t="inlineStr">
        <is>
          <t>TORSBY</t>
        </is>
      </c>
      <c r="F1611" t="inlineStr">
        <is>
          <t>Bergvik skog väst AB</t>
        </is>
      </c>
      <c r="G1611" t="n">
        <v>13.2</v>
      </c>
      <c r="H1611" t="n">
        <v>0</v>
      </c>
      <c r="I1611" t="n">
        <v>0</v>
      </c>
      <c r="J1611" t="n">
        <v>0</v>
      </c>
      <c r="K1611" t="n">
        <v>0</v>
      </c>
      <c r="L1611" t="n">
        <v>0</v>
      </c>
      <c r="M1611" t="n">
        <v>0</v>
      </c>
      <c r="N1611" t="n">
        <v>0</v>
      </c>
      <c r="O1611" t="n">
        <v>0</v>
      </c>
      <c r="P1611" t="n">
        <v>0</v>
      </c>
      <c r="Q1611" t="n">
        <v>0</v>
      </c>
      <c r="R1611" s="2" t="inlineStr"/>
    </row>
    <row r="1612" ht="15" customHeight="1">
      <c r="A1612" t="inlineStr">
        <is>
          <t>A 34430-2023</t>
        </is>
      </c>
      <c r="B1612" s="1" t="n">
        <v>45139</v>
      </c>
      <c r="C1612" s="1" t="n">
        <v>45627</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34658-2023</t>
        </is>
      </c>
      <c r="B1613" s="1" t="n">
        <v>45140</v>
      </c>
      <c r="C1613" s="1" t="n">
        <v>45627</v>
      </c>
      <c r="D1613" t="inlineStr">
        <is>
          <t>VÄRMLANDS LÄN</t>
        </is>
      </c>
      <c r="E1613" t="inlineStr">
        <is>
          <t>TORSBY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34955-2023</t>
        </is>
      </c>
      <c r="B1614" s="1" t="n">
        <v>45142</v>
      </c>
      <c r="C1614" s="1" t="n">
        <v>45627</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35055-2023</t>
        </is>
      </c>
      <c r="B1615" s="1" t="n">
        <v>45145</v>
      </c>
      <c r="C1615" s="1" t="n">
        <v>45627</v>
      </c>
      <c r="D1615" t="inlineStr">
        <is>
          <t>VÄRMLANDS LÄN</t>
        </is>
      </c>
      <c r="E1615" t="inlineStr">
        <is>
          <t>TORSBY</t>
        </is>
      </c>
      <c r="F1615" t="inlineStr">
        <is>
          <t>Bergvik skog väst AB</t>
        </is>
      </c>
      <c r="G1615" t="n">
        <v>16.4</v>
      </c>
      <c r="H1615" t="n">
        <v>0</v>
      </c>
      <c r="I1615" t="n">
        <v>0</v>
      </c>
      <c r="J1615" t="n">
        <v>0</v>
      </c>
      <c r="K1615" t="n">
        <v>0</v>
      </c>
      <c r="L1615" t="n">
        <v>0</v>
      </c>
      <c r="M1615" t="n">
        <v>0</v>
      </c>
      <c r="N1615" t="n">
        <v>0</v>
      </c>
      <c r="O1615" t="n">
        <v>0</v>
      </c>
      <c r="P1615" t="n">
        <v>0</v>
      </c>
      <c r="Q1615" t="n">
        <v>0</v>
      </c>
      <c r="R1615" s="2" t="inlineStr"/>
    </row>
    <row r="1616" ht="15" customHeight="1">
      <c r="A1616" t="inlineStr">
        <is>
          <t>A 35057-2023</t>
        </is>
      </c>
      <c r="B1616" s="1" t="n">
        <v>45145</v>
      </c>
      <c r="C1616" s="1" t="n">
        <v>45627</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35186-2023</t>
        </is>
      </c>
      <c r="B1617" s="1" t="n">
        <v>45145</v>
      </c>
      <c r="C1617" s="1" t="n">
        <v>45627</v>
      </c>
      <c r="D1617" t="inlineStr">
        <is>
          <t>VÄRMLANDS LÄN</t>
        </is>
      </c>
      <c r="E1617" t="inlineStr">
        <is>
          <t>TORSBY</t>
        </is>
      </c>
      <c r="F1617" t="inlineStr">
        <is>
          <t>Bergvik skog väst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35115-2023</t>
        </is>
      </c>
      <c r="B1618" s="1" t="n">
        <v>45145</v>
      </c>
      <c r="C1618" s="1" t="n">
        <v>45627</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35120-2023</t>
        </is>
      </c>
      <c r="B1619" s="1" t="n">
        <v>45145</v>
      </c>
      <c r="C1619" s="1" t="n">
        <v>45627</v>
      </c>
      <c r="D1619" t="inlineStr">
        <is>
          <t>VÄRMLANDS LÄN</t>
        </is>
      </c>
      <c r="E1619" t="inlineStr">
        <is>
          <t>TORSBY</t>
        </is>
      </c>
      <c r="G1619" t="n">
        <v>16.9</v>
      </c>
      <c r="H1619" t="n">
        <v>0</v>
      </c>
      <c r="I1619" t="n">
        <v>0</v>
      </c>
      <c r="J1619" t="n">
        <v>0</v>
      </c>
      <c r="K1619" t="n">
        <v>0</v>
      </c>
      <c r="L1619" t="n">
        <v>0</v>
      </c>
      <c r="M1619" t="n">
        <v>0</v>
      </c>
      <c r="N1619" t="n">
        <v>0</v>
      </c>
      <c r="O1619" t="n">
        <v>0</v>
      </c>
      <c r="P1619" t="n">
        <v>0</v>
      </c>
      <c r="Q1619" t="n">
        <v>0</v>
      </c>
      <c r="R1619" s="2" t="inlineStr"/>
    </row>
    <row r="1620" ht="15" customHeight="1">
      <c r="A1620" t="inlineStr">
        <is>
          <t>A 35415-2023</t>
        </is>
      </c>
      <c r="B1620" s="1" t="n">
        <v>45146</v>
      </c>
      <c r="C1620" s="1" t="n">
        <v>45627</v>
      </c>
      <c r="D1620" t="inlineStr">
        <is>
          <t>VÄRMLANDS LÄN</t>
        </is>
      </c>
      <c r="E1620" t="inlineStr">
        <is>
          <t>TORSBY</t>
        </is>
      </c>
      <c r="F1620" t="inlineStr">
        <is>
          <t>Bergvik skog väst AB</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35629-2023</t>
        </is>
      </c>
      <c r="B1621" s="1" t="n">
        <v>45147</v>
      </c>
      <c r="C1621" s="1" t="n">
        <v>45627</v>
      </c>
      <c r="D1621" t="inlineStr">
        <is>
          <t>VÄRMLANDS LÄN</t>
        </is>
      </c>
      <c r="E1621" t="inlineStr">
        <is>
          <t>TORSBY</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35674-2023</t>
        </is>
      </c>
      <c r="B1622" s="1" t="n">
        <v>45147</v>
      </c>
      <c r="C1622" s="1" t="n">
        <v>45627</v>
      </c>
      <c r="D1622" t="inlineStr">
        <is>
          <t>VÄRMLANDS LÄN</t>
        </is>
      </c>
      <c r="E1622" t="inlineStr">
        <is>
          <t>TORSBY</t>
        </is>
      </c>
      <c r="G1622" t="n">
        <v>25.4</v>
      </c>
      <c r="H1622" t="n">
        <v>0</v>
      </c>
      <c r="I1622" t="n">
        <v>0</v>
      </c>
      <c r="J1622" t="n">
        <v>0</v>
      </c>
      <c r="K1622" t="n">
        <v>0</v>
      </c>
      <c r="L1622" t="n">
        <v>0</v>
      </c>
      <c r="M1622" t="n">
        <v>0</v>
      </c>
      <c r="N1622" t="n">
        <v>0</v>
      </c>
      <c r="O1622" t="n">
        <v>0</v>
      </c>
      <c r="P1622" t="n">
        <v>0</v>
      </c>
      <c r="Q1622" t="n">
        <v>0</v>
      </c>
      <c r="R1622" s="2" t="inlineStr"/>
    </row>
    <row r="1623" ht="15" customHeight="1">
      <c r="A1623" t="inlineStr">
        <is>
          <t>A 35553-2023</t>
        </is>
      </c>
      <c r="B1623" s="1" t="n">
        <v>45147</v>
      </c>
      <c r="C1623" s="1" t="n">
        <v>45627</v>
      </c>
      <c r="D1623" t="inlineStr">
        <is>
          <t>VÄRMLANDS LÄN</t>
        </is>
      </c>
      <c r="E1623" t="inlineStr">
        <is>
          <t>TORSBY</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35934-2023</t>
        </is>
      </c>
      <c r="B1624" s="1" t="n">
        <v>45148</v>
      </c>
      <c r="C1624" s="1" t="n">
        <v>45627</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35938-2023</t>
        </is>
      </c>
      <c r="B1625" s="1" t="n">
        <v>45148</v>
      </c>
      <c r="C1625" s="1" t="n">
        <v>45627</v>
      </c>
      <c r="D1625" t="inlineStr">
        <is>
          <t>VÄRMLANDS LÄN</t>
        </is>
      </c>
      <c r="E1625" t="inlineStr">
        <is>
          <t>TORSBY</t>
        </is>
      </c>
      <c r="F1625" t="inlineStr">
        <is>
          <t>Bergvik skog väst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36043-2023</t>
        </is>
      </c>
      <c r="B1626" s="1" t="n">
        <v>45148</v>
      </c>
      <c r="C1626" s="1" t="n">
        <v>45627</v>
      </c>
      <c r="D1626" t="inlineStr">
        <is>
          <t>VÄRMLANDS LÄN</t>
        </is>
      </c>
      <c r="E1626" t="inlineStr">
        <is>
          <t>TORSBY</t>
        </is>
      </c>
      <c r="G1626" t="n">
        <v>10.5</v>
      </c>
      <c r="H1626" t="n">
        <v>0</v>
      </c>
      <c r="I1626" t="n">
        <v>0</v>
      </c>
      <c r="J1626" t="n">
        <v>0</v>
      </c>
      <c r="K1626" t="n">
        <v>0</v>
      </c>
      <c r="L1626" t="n">
        <v>0</v>
      </c>
      <c r="M1626" t="n">
        <v>0</v>
      </c>
      <c r="N1626" t="n">
        <v>0</v>
      </c>
      <c r="O1626" t="n">
        <v>0</v>
      </c>
      <c r="P1626" t="n">
        <v>0</v>
      </c>
      <c r="Q1626" t="n">
        <v>0</v>
      </c>
      <c r="R1626" s="2" t="inlineStr"/>
    </row>
    <row r="1627" ht="15" customHeight="1">
      <c r="A1627" t="inlineStr">
        <is>
          <t>A 36050-2023</t>
        </is>
      </c>
      <c r="B1627" s="1" t="n">
        <v>45149</v>
      </c>
      <c r="C1627" s="1" t="n">
        <v>45627</v>
      </c>
      <c r="D1627" t="inlineStr">
        <is>
          <t>VÄRMLANDS LÄN</t>
        </is>
      </c>
      <c r="E1627" t="inlineStr">
        <is>
          <t>TORSBY</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36062-2023</t>
        </is>
      </c>
      <c r="B1628" s="1" t="n">
        <v>45149</v>
      </c>
      <c r="C1628" s="1" t="n">
        <v>45627</v>
      </c>
      <c r="D1628" t="inlineStr">
        <is>
          <t>VÄRMLANDS LÄN</t>
        </is>
      </c>
      <c r="E1628" t="inlineStr">
        <is>
          <t>TORSBY</t>
        </is>
      </c>
      <c r="F1628" t="inlineStr">
        <is>
          <t>Bergvik skog väst AB</t>
        </is>
      </c>
      <c r="G1628" t="n">
        <v>21.3</v>
      </c>
      <c r="H1628" t="n">
        <v>0</v>
      </c>
      <c r="I1628" t="n">
        <v>0</v>
      </c>
      <c r="J1628" t="n">
        <v>0</v>
      </c>
      <c r="K1628" t="n">
        <v>0</v>
      </c>
      <c r="L1628" t="n">
        <v>0</v>
      </c>
      <c r="M1628" t="n">
        <v>0</v>
      </c>
      <c r="N1628" t="n">
        <v>0</v>
      </c>
      <c r="O1628" t="n">
        <v>0</v>
      </c>
      <c r="P1628" t="n">
        <v>0</v>
      </c>
      <c r="Q1628" t="n">
        <v>0</v>
      </c>
      <c r="R1628" s="2" t="inlineStr"/>
    </row>
    <row r="1629" ht="15" customHeight="1">
      <c r="A1629" t="inlineStr">
        <is>
          <t>A 36239-2023</t>
        </is>
      </c>
      <c r="B1629" s="1" t="n">
        <v>45150</v>
      </c>
      <c r="C1629" s="1" t="n">
        <v>45627</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36462-2023</t>
        </is>
      </c>
      <c r="B1630" s="1" t="n">
        <v>45152</v>
      </c>
      <c r="C1630" s="1" t="n">
        <v>45627</v>
      </c>
      <c r="D1630" t="inlineStr">
        <is>
          <t>VÄRMLANDS LÄN</t>
        </is>
      </c>
      <c r="E1630" t="inlineStr">
        <is>
          <t>TORSBY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36582-2023</t>
        </is>
      </c>
      <c r="B1631" s="1" t="n">
        <v>45153</v>
      </c>
      <c r="C1631" s="1" t="n">
        <v>45627</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36598-2023</t>
        </is>
      </c>
      <c r="B1632" s="1" t="n">
        <v>45153</v>
      </c>
      <c r="C1632" s="1" t="n">
        <v>45627</v>
      </c>
      <c r="D1632" t="inlineStr">
        <is>
          <t>VÄRMLANDS LÄN</t>
        </is>
      </c>
      <c r="E1632" t="inlineStr">
        <is>
          <t>TORSBY</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36552-2023</t>
        </is>
      </c>
      <c r="B1633" s="1" t="n">
        <v>45153</v>
      </c>
      <c r="C1633" s="1" t="n">
        <v>45627</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36674-2023</t>
        </is>
      </c>
      <c r="B1634" s="1" t="n">
        <v>45153</v>
      </c>
      <c r="C1634" s="1" t="n">
        <v>45627</v>
      </c>
      <c r="D1634" t="inlineStr">
        <is>
          <t>VÄRMLANDS LÄN</t>
        </is>
      </c>
      <c r="E1634" t="inlineStr">
        <is>
          <t>TORSBY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36736-2023</t>
        </is>
      </c>
      <c r="B1635" s="1" t="n">
        <v>45153</v>
      </c>
      <c r="C1635" s="1" t="n">
        <v>45627</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36729-2023</t>
        </is>
      </c>
      <c r="B1636" s="1" t="n">
        <v>45153</v>
      </c>
      <c r="C1636" s="1" t="n">
        <v>45627</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36827-2023</t>
        </is>
      </c>
      <c r="B1637" s="1" t="n">
        <v>45154</v>
      </c>
      <c r="C1637" s="1" t="n">
        <v>45627</v>
      </c>
      <c r="D1637" t="inlineStr">
        <is>
          <t>VÄRMLANDS LÄN</t>
        </is>
      </c>
      <c r="E1637" t="inlineStr">
        <is>
          <t>TORSBY</t>
        </is>
      </c>
      <c r="F1637" t="inlineStr">
        <is>
          <t>Bergvik skog väst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36897-2023</t>
        </is>
      </c>
      <c r="B1638" s="1" t="n">
        <v>45154</v>
      </c>
      <c r="C1638" s="1" t="n">
        <v>45627</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36947-2023</t>
        </is>
      </c>
      <c r="B1639" s="1" t="n">
        <v>45154</v>
      </c>
      <c r="C1639" s="1" t="n">
        <v>45627</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37081-2023</t>
        </is>
      </c>
      <c r="B1640" s="1" t="n">
        <v>45155</v>
      </c>
      <c r="C1640" s="1" t="n">
        <v>45627</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37188-2023</t>
        </is>
      </c>
      <c r="B1641" s="1" t="n">
        <v>45155</v>
      </c>
      <c r="C1641" s="1" t="n">
        <v>45627</v>
      </c>
      <c r="D1641" t="inlineStr">
        <is>
          <t>VÄRMLANDS LÄN</t>
        </is>
      </c>
      <c r="E1641" t="inlineStr">
        <is>
          <t>TORSBY</t>
        </is>
      </c>
      <c r="F1641" t="inlineStr">
        <is>
          <t>Bergvik skog väst AB</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37346-2023</t>
        </is>
      </c>
      <c r="B1642" s="1" t="n">
        <v>45156</v>
      </c>
      <c r="C1642" s="1" t="n">
        <v>45627</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37357-2023</t>
        </is>
      </c>
      <c r="B1643" s="1" t="n">
        <v>45156</v>
      </c>
      <c r="C1643" s="1" t="n">
        <v>45627</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37305-2023</t>
        </is>
      </c>
      <c r="B1644" s="1" t="n">
        <v>45156</v>
      </c>
      <c r="C1644" s="1" t="n">
        <v>45627</v>
      </c>
      <c r="D1644" t="inlineStr">
        <is>
          <t>VÄRMLANDS LÄN</t>
        </is>
      </c>
      <c r="E1644" t="inlineStr">
        <is>
          <t>TORSBY</t>
        </is>
      </c>
      <c r="F1644" t="inlineStr">
        <is>
          <t>Bergvik skog väst AB</t>
        </is>
      </c>
      <c r="G1644" t="n">
        <v>28.8</v>
      </c>
      <c r="H1644" t="n">
        <v>0</v>
      </c>
      <c r="I1644" t="n">
        <v>0</v>
      </c>
      <c r="J1644" t="n">
        <v>0</v>
      </c>
      <c r="K1644" t="n">
        <v>0</v>
      </c>
      <c r="L1644" t="n">
        <v>0</v>
      </c>
      <c r="M1644" t="n">
        <v>0</v>
      </c>
      <c r="N1644" t="n">
        <v>0</v>
      </c>
      <c r="O1644" t="n">
        <v>0</v>
      </c>
      <c r="P1644" t="n">
        <v>0</v>
      </c>
      <c r="Q1644" t="n">
        <v>0</v>
      </c>
      <c r="R1644" s="2" t="inlineStr"/>
    </row>
    <row r="1645" ht="15" customHeight="1">
      <c r="A1645" t="inlineStr">
        <is>
          <t>A 37314-2023</t>
        </is>
      </c>
      <c r="B1645" s="1" t="n">
        <v>45156</v>
      </c>
      <c r="C1645" s="1" t="n">
        <v>45627</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37359-2023</t>
        </is>
      </c>
      <c r="B1646" s="1" t="n">
        <v>45156</v>
      </c>
      <c r="C1646" s="1" t="n">
        <v>45627</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37705-2023</t>
        </is>
      </c>
      <c r="B1647" s="1" t="n">
        <v>45159</v>
      </c>
      <c r="C1647" s="1" t="n">
        <v>45627</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37604-2023</t>
        </is>
      </c>
      <c r="B1648" s="1" t="n">
        <v>45159</v>
      </c>
      <c r="C1648" s="1" t="n">
        <v>45627</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37623-2023</t>
        </is>
      </c>
      <c r="B1649" s="1" t="n">
        <v>45159</v>
      </c>
      <c r="C1649" s="1" t="n">
        <v>45627</v>
      </c>
      <c r="D1649" t="inlineStr">
        <is>
          <t>VÄRMLANDS LÄN</t>
        </is>
      </c>
      <c r="E1649" t="inlineStr">
        <is>
          <t>TORSBY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37822-2023</t>
        </is>
      </c>
      <c r="B1650" s="1" t="n">
        <v>45160</v>
      </c>
      <c r="C1650" s="1" t="n">
        <v>45627</v>
      </c>
      <c r="D1650" t="inlineStr">
        <is>
          <t>VÄRMLANDS LÄN</t>
        </is>
      </c>
      <c r="E1650" t="inlineStr">
        <is>
          <t>TORSBY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38085-2023</t>
        </is>
      </c>
      <c r="B1651" s="1" t="n">
        <v>45160</v>
      </c>
      <c r="C1651" s="1" t="n">
        <v>45627</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37936-2023</t>
        </is>
      </c>
      <c r="B1652" s="1" t="n">
        <v>45160</v>
      </c>
      <c r="C1652" s="1" t="n">
        <v>45627</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38084-2023</t>
        </is>
      </c>
      <c r="B1653" s="1" t="n">
        <v>45160</v>
      </c>
      <c r="C1653" s="1" t="n">
        <v>45627</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38044-2023</t>
        </is>
      </c>
      <c r="B1654" s="1" t="n">
        <v>45160</v>
      </c>
      <c r="C1654" s="1" t="n">
        <v>45627</v>
      </c>
      <c r="D1654" t="inlineStr">
        <is>
          <t>VÄRMLANDS LÄN</t>
        </is>
      </c>
      <c r="E1654" t="inlineStr">
        <is>
          <t>TORSBY</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38086-2023</t>
        </is>
      </c>
      <c r="B1655" s="1" t="n">
        <v>45160</v>
      </c>
      <c r="C1655" s="1" t="n">
        <v>45627</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38252-2023</t>
        </is>
      </c>
      <c r="B1656" s="1" t="n">
        <v>45161</v>
      </c>
      <c r="C1656" s="1" t="n">
        <v>45627</v>
      </c>
      <c r="D1656" t="inlineStr">
        <is>
          <t>VÄRMLANDS LÄN</t>
        </is>
      </c>
      <c r="E1656" t="inlineStr">
        <is>
          <t>TORSBY</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38232-2023</t>
        </is>
      </c>
      <c r="B1657" s="1" t="n">
        <v>45161</v>
      </c>
      <c r="C1657" s="1" t="n">
        <v>45627</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38257-2023</t>
        </is>
      </c>
      <c r="B1658" s="1" t="n">
        <v>45161</v>
      </c>
      <c r="C1658" s="1" t="n">
        <v>45627</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38263-2023</t>
        </is>
      </c>
      <c r="B1659" s="1" t="n">
        <v>45161</v>
      </c>
      <c r="C1659" s="1" t="n">
        <v>45627</v>
      </c>
      <c r="D1659" t="inlineStr">
        <is>
          <t>VÄRMLANDS LÄN</t>
        </is>
      </c>
      <c r="E1659" t="inlineStr">
        <is>
          <t>TORSBY</t>
        </is>
      </c>
      <c r="F1659" t="inlineStr">
        <is>
          <t>Kyrkan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38286-2023</t>
        </is>
      </c>
      <c r="B1660" s="1" t="n">
        <v>45161</v>
      </c>
      <c r="C1660" s="1" t="n">
        <v>45627</v>
      </c>
      <c r="D1660" t="inlineStr">
        <is>
          <t>VÄRMLANDS LÄN</t>
        </is>
      </c>
      <c r="E1660" t="inlineStr">
        <is>
          <t>TORSBY</t>
        </is>
      </c>
      <c r="F1660" t="inlineStr">
        <is>
          <t>Kyrkan</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38541-2023</t>
        </is>
      </c>
      <c r="B1661" s="1" t="n">
        <v>45162</v>
      </c>
      <c r="C1661" s="1" t="n">
        <v>45627</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38641-2023</t>
        </is>
      </c>
      <c r="B1662" s="1" t="n">
        <v>45162</v>
      </c>
      <c r="C1662" s="1" t="n">
        <v>45627</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38637-2023</t>
        </is>
      </c>
      <c r="B1663" s="1" t="n">
        <v>45162</v>
      </c>
      <c r="C1663" s="1" t="n">
        <v>45627</v>
      </c>
      <c r="D1663" t="inlineStr">
        <is>
          <t>VÄRMLANDS LÄN</t>
        </is>
      </c>
      <c r="E1663" t="inlineStr">
        <is>
          <t>TORSBY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38668-2023</t>
        </is>
      </c>
      <c r="B1664" s="1" t="n">
        <v>45162</v>
      </c>
      <c r="C1664" s="1" t="n">
        <v>45627</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39408-2023</t>
        </is>
      </c>
      <c r="B1665" s="1" t="n">
        <v>45163</v>
      </c>
      <c r="C1665" s="1" t="n">
        <v>45627</v>
      </c>
      <c r="D1665" t="inlineStr">
        <is>
          <t>VÄRMLANDS LÄN</t>
        </is>
      </c>
      <c r="E1665" t="inlineStr">
        <is>
          <t>TORSBY</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38991-2023</t>
        </is>
      </c>
      <c r="B1666" s="1" t="n">
        <v>45163</v>
      </c>
      <c r="C1666" s="1" t="n">
        <v>45627</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38722-2023</t>
        </is>
      </c>
      <c r="B1667" s="1" t="n">
        <v>45163</v>
      </c>
      <c r="C1667" s="1" t="n">
        <v>45627</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38979-2023</t>
        </is>
      </c>
      <c r="B1668" s="1" t="n">
        <v>45163</v>
      </c>
      <c r="C1668" s="1" t="n">
        <v>45627</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39131-2023</t>
        </is>
      </c>
      <c r="B1669" s="1" t="n">
        <v>45165</v>
      </c>
      <c r="C1669" s="1" t="n">
        <v>45627</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39134-2023</t>
        </is>
      </c>
      <c r="B1670" s="1" t="n">
        <v>45165</v>
      </c>
      <c r="C1670" s="1" t="n">
        <v>45627</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39390-2023</t>
        </is>
      </c>
      <c r="B1671" s="1" t="n">
        <v>45166</v>
      </c>
      <c r="C1671" s="1" t="n">
        <v>45627</v>
      </c>
      <c r="D1671" t="inlineStr">
        <is>
          <t>VÄRMLANDS LÄN</t>
        </is>
      </c>
      <c r="E1671" t="inlineStr">
        <is>
          <t>TORSBY</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39339-2023</t>
        </is>
      </c>
      <c r="B1672" s="1" t="n">
        <v>45166</v>
      </c>
      <c r="C1672" s="1" t="n">
        <v>45627</v>
      </c>
      <c r="D1672" t="inlineStr">
        <is>
          <t>VÄRMLANDS LÄN</t>
        </is>
      </c>
      <c r="E1672" t="inlineStr">
        <is>
          <t>TORSBY</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39374-2023</t>
        </is>
      </c>
      <c r="B1673" s="1" t="n">
        <v>45166</v>
      </c>
      <c r="C1673" s="1" t="n">
        <v>45627</v>
      </c>
      <c r="D1673" t="inlineStr">
        <is>
          <t>VÄRMLANDS LÄN</t>
        </is>
      </c>
      <c r="E1673" t="inlineStr">
        <is>
          <t>TORSBY</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39677-2023</t>
        </is>
      </c>
      <c r="B1674" s="1" t="n">
        <v>45166</v>
      </c>
      <c r="C1674" s="1" t="n">
        <v>45627</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39648-2023</t>
        </is>
      </c>
      <c r="B1675" s="1" t="n">
        <v>45167</v>
      </c>
      <c r="C1675" s="1" t="n">
        <v>45627</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39732-2023</t>
        </is>
      </c>
      <c r="B1676" s="1" t="n">
        <v>45167</v>
      </c>
      <c r="C1676" s="1" t="n">
        <v>45627</v>
      </c>
      <c r="D1676" t="inlineStr">
        <is>
          <t>VÄRMLANDS LÄN</t>
        </is>
      </c>
      <c r="E1676" t="inlineStr">
        <is>
          <t>TORSBY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39921-2023</t>
        </is>
      </c>
      <c r="B1677" s="1" t="n">
        <v>45168</v>
      </c>
      <c r="C1677" s="1" t="n">
        <v>45627</v>
      </c>
      <c r="D1677" t="inlineStr">
        <is>
          <t>VÄRMLANDS LÄN</t>
        </is>
      </c>
      <c r="E1677" t="inlineStr">
        <is>
          <t>TORSBY</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39910-2023</t>
        </is>
      </c>
      <c r="B1678" s="1" t="n">
        <v>45168</v>
      </c>
      <c r="C1678" s="1" t="n">
        <v>45627</v>
      </c>
      <c r="D1678" t="inlineStr">
        <is>
          <t>VÄRMLANDS LÄN</t>
        </is>
      </c>
      <c r="E1678" t="inlineStr">
        <is>
          <t>TORSBY</t>
        </is>
      </c>
      <c r="F1678" t="inlineStr">
        <is>
          <t>Kyrkan</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40007-2023</t>
        </is>
      </c>
      <c r="B1679" s="1" t="n">
        <v>45168</v>
      </c>
      <c r="C1679" s="1" t="n">
        <v>45627</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39969-2023</t>
        </is>
      </c>
      <c r="B1680" s="1" t="n">
        <v>45168</v>
      </c>
      <c r="C1680" s="1" t="n">
        <v>45627</v>
      </c>
      <c r="D1680" t="inlineStr">
        <is>
          <t>VÄRMLANDS LÄN</t>
        </is>
      </c>
      <c r="E1680" t="inlineStr">
        <is>
          <t>TORSBY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40207-2023</t>
        </is>
      </c>
      <c r="B1681" s="1" t="n">
        <v>45169</v>
      </c>
      <c r="C1681" s="1" t="n">
        <v>45627</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40228-2023</t>
        </is>
      </c>
      <c r="B1682" s="1" t="n">
        <v>45169</v>
      </c>
      <c r="C1682" s="1" t="n">
        <v>45627</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40222-2023</t>
        </is>
      </c>
      <c r="B1683" s="1" t="n">
        <v>45169</v>
      </c>
      <c r="C1683" s="1" t="n">
        <v>45627</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40468-2023</t>
        </is>
      </c>
      <c r="B1684" s="1" t="n">
        <v>45170</v>
      </c>
      <c r="C1684" s="1" t="n">
        <v>45627</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40512-2023</t>
        </is>
      </c>
      <c r="B1685" s="1" t="n">
        <v>45170</v>
      </c>
      <c r="C1685" s="1" t="n">
        <v>45627</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40470-2023</t>
        </is>
      </c>
      <c r="B1686" s="1" t="n">
        <v>45170</v>
      </c>
      <c r="C1686" s="1" t="n">
        <v>45627</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40538-2023</t>
        </is>
      </c>
      <c r="B1687" s="1" t="n">
        <v>45170</v>
      </c>
      <c r="C1687" s="1" t="n">
        <v>45627</v>
      </c>
      <c r="D1687" t="inlineStr">
        <is>
          <t>VÄRMLANDS LÄN</t>
        </is>
      </c>
      <c r="E1687" t="inlineStr">
        <is>
          <t>TORSBY</t>
        </is>
      </c>
      <c r="F1687" t="inlineStr">
        <is>
          <t>Bergvik skog väst AB</t>
        </is>
      </c>
      <c r="G1687" t="n">
        <v>31.4</v>
      </c>
      <c r="H1687" t="n">
        <v>0</v>
      </c>
      <c r="I1687" t="n">
        <v>0</v>
      </c>
      <c r="J1687" t="n">
        <v>0</v>
      </c>
      <c r="K1687" t="n">
        <v>0</v>
      </c>
      <c r="L1687" t="n">
        <v>0</v>
      </c>
      <c r="M1687" t="n">
        <v>0</v>
      </c>
      <c r="N1687" t="n">
        <v>0</v>
      </c>
      <c r="O1687" t="n">
        <v>0</v>
      </c>
      <c r="P1687" t="n">
        <v>0</v>
      </c>
      <c r="Q1687" t="n">
        <v>0</v>
      </c>
      <c r="R1687" s="2" t="inlineStr"/>
    </row>
    <row r="1688" ht="15" customHeight="1">
      <c r="A1688" t="inlineStr">
        <is>
          <t>A 41469-2023</t>
        </is>
      </c>
      <c r="B1688" s="1" t="n">
        <v>45170</v>
      </c>
      <c r="C1688" s="1" t="n">
        <v>45627</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40858-2023</t>
        </is>
      </c>
      <c r="B1689" s="1" t="n">
        <v>45173</v>
      </c>
      <c r="C1689" s="1" t="n">
        <v>45627</v>
      </c>
      <c r="D1689" t="inlineStr">
        <is>
          <t>VÄRMLANDS LÄN</t>
        </is>
      </c>
      <c r="E1689" t="inlineStr">
        <is>
          <t>TORSBY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40971-2023</t>
        </is>
      </c>
      <c r="B1690" s="1" t="n">
        <v>45173</v>
      </c>
      <c r="C1690" s="1" t="n">
        <v>45627</v>
      </c>
      <c r="D1690" t="inlineStr">
        <is>
          <t>VÄRMLANDS LÄN</t>
        </is>
      </c>
      <c r="E1690" t="inlineStr">
        <is>
          <t>TORSBY</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41096-2023</t>
        </is>
      </c>
      <c r="B1691" s="1" t="n">
        <v>45173</v>
      </c>
      <c r="C1691" s="1" t="n">
        <v>45627</v>
      </c>
      <c r="D1691" t="inlineStr">
        <is>
          <t>VÄRMLANDS LÄN</t>
        </is>
      </c>
      <c r="E1691" t="inlineStr">
        <is>
          <t>TORSBY</t>
        </is>
      </c>
      <c r="F1691" t="inlineStr">
        <is>
          <t>Bergvik skog väst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41056-2023</t>
        </is>
      </c>
      <c r="B1692" s="1" t="n">
        <v>45173</v>
      </c>
      <c r="C1692" s="1" t="n">
        <v>45627</v>
      </c>
      <c r="D1692" t="inlineStr">
        <is>
          <t>VÄRMLANDS LÄN</t>
        </is>
      </c>
      <c r="E1692" t="inlineStr">
        <is>
          <t>TORSBY</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41022-2023</t>
        </is>
      </c>
      <c r="B1693" s="1" t="n">
        <v>45173</v>
      </c>
      <c r="C1693" s="1" t="n">
        <v>45627</v>
      </c>
      <c r="D1693" t="inlineStr">
        <is>
          <t>VÄRMLANDS LÄN</t>
        </is>
      </c>
      <c r="E1693" t="inlineStr">
        <is>
          <t>TORSBY</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41050-2023</t>
        </is>
      </c>
      <c r="B1694" s="1" t="n">
        <v>45173</v>
      </c>
      <c r="C1694" s="1" t="n">
        <v>45627</v>
      </c>
      <c r="D1694" t="inlineStr">
        <is>
          <t>VÄRMLANDS LÄN</t>
        </is>
      </c>
      <c r="E1694" t="inlineStr">
        <is>
          <t>TORSBY</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41059-2023</t>
        </is>
      </c>
      <c r="B1695" s="1" t="n">
        <v>45173</v>
      </c>
      <c r="C1695" s="1" t="n">
        <v>45627</v>
      </c>
      <c r="D1695" t="inlineStr">
        <is>
          <t>VÄRMLANDS LÄN</t>
        </is>
      </c>
      <c r="E1695" t="inlineStr">
        <is>
          <t>TORSBY</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41156-2023</t>
        </is>
      </c>
      <c r="B1696" s="1" t="n">
        <v>45174</v>
      </c>
      <c r="C1696" s="1" t="n">
        <v>45627</v>
      </c>
      <c r="D1696" t="inlineStr">
        <is>
          <t>VÄRMLANDS LÄN</t>
        </is>
      </c>
      <c r="E1696" t="inlineStr">
        <is>
          <t>TORSBY</t>
        </is>
      </c>
      <c r="F1696" t="inlineStr">
        <is>
          <t>Kyrkan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41160-2023</t>
        </is>
      </c>
      <c r="B1697" s="1" t="n">
        <v>45174</v>
      </c>
      <c r="C1697" s="1" t="n">
        <v>45627</v>
      </c>
      <c r="D1697" t="inlineStr">
        <is>
          <t>VÄRMLANDS LÄN</t>
        </is>
      </c>
      <c r="E1697" t="inlineStr">
        <is>
          <t>TORSBY</t>
        </is>
      </c>
      <c r="F1697" t="inlineStr">
        <is>
          <t>Kyrkan</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41246-2023</t>
        </is>
      </c>
      <c r="B1698" s="1" t="n">
        <v>45174</v>
      </c>
      <c r="C1698" s="1" t="n">
        <v>45627</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41270-2023</t>
        </is>
      </c>
      <c r="B1699" s="1" t="n">
        <v>45174</v>
      </c>
      <c r="C1699" s="1" t="n">
        <v>45627</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42069-2023</t>
        </is>
      </c>
      <c r="B1700" s="1" t="n">
        <v>45174</v>
      </c>
      <c r="C1700" s="1" t="n">
        <v>45627</v>
      </c>
      <c r="D1700" t="inlineStr">
        <is>
          <t>VÄRMLANDS LÄN</t>
        </is>
      </c>
      <c r="E1700" t="inlineStr">
        <is>
          <t>TORSBY</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42060-2023</t>
        </is>
      </c>
      <c r="B1701" s="1" t="n">
        <v>45174</v>
      </c>
      <c r="C1701" s="1" t="n">
        <v>45627</v>
      </c>
      <c r="D1701" t="inlineStr">
        <is>
          <t>VÄRMLANDS LÄN</t>
        </is>
      </c>
      <c r="E1701" t="inlineStr">
        <is>
          <t>TORSBY</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41488-2023</t>
        </is>
      </c>
      <c r="B1702" s="1" t="n">
        <v>45175</v>
      </c>
      <c r="C1702" s="1" t="n">
        <v>45627</v>
      </c>
      <c r="D1702" t="inlineStr">
        <is>
          <t>VÄRMLANDS LÄN</t>
        </is>
      </c>
      <c r="E1702" t="inlineStr">
        <is>
          <t>TORSBY</t>
        </is>
      </c>
      <c r="F1702" t="inlineStr">
        <is>
          <t>Kyrkan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41438-2023</t>
        </is>
      </c>
      <c r="B1703" s="1" t="n">
        <v>45175</v>
      </c>
      <c r="C1703" s="1" t="n">
        <v>45627</v>
      </c>
      <c r="D1703" t="inlineStr">
        <is>
          <t>VÄRMLANDS LÄN</t>
        </is>
      </c>
      <c r="E1703" t="inlineStr">
        <is>
          <t>TORSBY</t>
        </is>
      </c>
      <c r="F1703" t="inlineStr">
        <is>
          <t>Kyrkan</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41431-2023</t>
        </is>
      </c>
      <c r="B1704" s="1" t="n">
        <v>45175</v>
      </c>
      <c r="C1704" s="1" t="n">
        <v>45627</v>
      </c>
      <c r="D1704" t="inlineStr">
        <is>
          <t>VÄRMLANDS LÄN</t>
        </is>
      </c>
      <c r="E1704" t="inlineStr">
        <is>
          <t>TORSBY</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41867-2023</t>
        </is>
      </c>
      <c r="B1705" s="1" t="n">
        <v>45176</v>
      </c>
      <c r="C1705" s="1" t="n">
        <v>45627</v>
      </c>
      <c r="D1705" t="inlineStr">
        <is>
          <t>VÄRMLANDS LÄN</t>
        </is>
      </c>
      <c r="E1705" t="inlineStr">
        <is>
          <t>TORSBY</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41833-2023</t>
        </is>
      </c>
      <c r="B1706" s="1" t="n">
        <v>45176</v>
      </c>
      <c r="C1706" s="1" t="n">
        <v>45627</v>
      </c>
      <c r="D1706" t="inlineStr">
        <is>
          <t>VÄRMLANDS LÄN</t>
        </is>
      </c>
      <c r="E1706" t="inlineStr">
        <is>
          <t>TORSBY</t>
        </is>
      </c>
      <c r="F1706" t="inlineStr">
        <is>
          <t>Bergvik skog väst AB</t>
        </is>
      </c>
      <c r="G1706" t="n">
        <v>21.7</v>
      </c>
      <c r="H1706" t="n">
        <v>0</v>
      </c>
      <c r="I1706" t="n">
        <v>0</v>
      </c>
      <c r="J1706" t="n">
        <v>0</v>
      </c>
      <c r="K1706" t="n">
        <v>0</v>
      </c>
      <c r="L1706" t="n">
        <v>0</v>
      </c>
      <c r="M1706" t="n">
        <v>0</v>
      </c>
      <c r="N1706" t="n">
        <v>0</v>
      </c>
      <c r="O1706" t="n">
        <v>0</v>
      </c>
      <c r="P1706" t="n">
        <v>0</v>
      </c>
      <c r="Q1706" t="n">
        <v>0</v>
      </c>
      <c r="R1706" s="2" t="inlineStr"/>
    </row>
    <row r="1707" ht="15" customHeight="1">
      <c r="A1707" t="inlineStr">
        <is>
          <t>A 41841-2023</t>
        </is>
      </c>
      <c r="B1707" s="1" t="n">
        <v>45176</v>
      </c>
      <c r="C1707" s="1" t="n">
        <v>45627</v>
      </c>
      <c r="D1707" t="inlineStr">
        <is>
          <t>VÄRMLANDS LÄN</t>
        </is>
      </c>
      <c r="E1707" t="inlineStr">
        <is>
          <t>TORSBY</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41885-2023</t>
        </is>
      </c>
      <c r="B1708" s="1" t="n">
        <v>45176</v>
      </c>
      <c r="C1708" s="1" t="n">
        <v>45627</v>
      </c>
      <c r="D1708" t="inlineStr">
        <is>
          <t>VÄRMLANDS LÄN</t>
        </is>
      </c>
      <c r="E1708" t="inlineStr">
        <is>
          <t>TORSBY</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41843-2023</t>
        </is>
      </c>
      <c r="B1709" s="1" t="n">
        <v>45176</v>
      </c>
      <c r="C1709" s="1" t="n">
        <v>45627</v>
      </c>
      <c r="D1709" t="inlineStr">
        <is>
          <t>VÄRMLANDS LÄN</t>
        </is>
      </c>
      <c r="E1709" t="inlineStr">
        <is>
          <t>TORSBY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41868-2023</t>
        </is>
      </c>
      <c r="B1710" s="1" t="n">
        <v>45176</v>
      </c>
      <c r="C1710" s="1" t="n">
        <v>45627</v>
      </c>
      <c r="D1710" t="inlineStr">
        <is>
          <t>VÄRMLANDS LÄN</t>
        </is>
      </c>
      <c r="E1710" t="inlineStr">
        <is>
          <t>TORSBY</t>
        </is>
      </c>
      <c r="F1710" t="inlineStr">
        <is>
          <t>Bergvik skog väst AB</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42062-2023</t>
        </is>
      </c>
      <c r="B1711" s="1" t="n">
        <v>45177</v>
      </c>
      <c r="C1711" s="1" t="n">
        <v>45627</v>
      </c>
      <c r="D1711" t="inlineStr">
        <is>
          <t>VÄRMLANDS LÄN</t>
        </is>
      </c>
      <c r="E1711" t="inlineStr">
        <is>
          <t>TORSBY</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42245-2023</t>
        </is>
      </c>
      <c r="B1712" s="1" t="n">
        <v>45180</v>
      </c>
      <c r="C1712" s="1" t="n">
        <v>45627</v>
      </c>
      <c r="D1712" t="inlineStr">
        <is>
          <t>VÄRMLANDS LÄN</t>
        </is>
      </c>
      <c r="E1712" t="inlineStr">
        <is>
          <t>TORSBY</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42473-2023</t>
        </is>
      </c>
      <c r="B1713" s="1" t="n">
        <v>45180</v>
      </c>
      <c r="C1713" s="1" t="n">
        <v>45627</v>
      </c>
      <c r="D1713" t="inlineStr">
        <is>
          <t>VÄRMLANDS LÄN</t>
        </is>
      </c>
      <c r="E1713" t="inlineStr">
        <is>
          <t>TORSBY</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42403-2023</t>
        </is>
      </c>
      <c r="B1714" s="1" t="n">
        <v>45180</v>
      </c>
      <c r="C1714" s="1" t="n">
        <v>45627</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42420-2023</t>
        </is>
      </c>
      <c r="B1715" s="1" t="n">
        <v>45180</v>
      </c>
      <c r="C1715" s="1" t="n">
        <v>45627</v>
      </c>
      <c r="D1715" t="inlineStr">
        <is>
          <t>VÄRMLANDS LÄN</t>
        </is>
      </c>
      <c r="E1715" t="inlineStr">
        <is>
          <t>TORSBY</t>
        </is>
      </c>
      <c r="F1715" t="inlineStr">
        <is>
          <t>Bergvik skog väst AB</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43532-2023</t>
        </is>
      </c>
      <c r="B1716" s="1" t="n">
        <v>45181</v>
      </c>
      <c r="C1716" s="1" t="n">
        <v>45627</v>
      </c>
      <c r="D1716" t="inlineStr">
        <is>
          <t>VÄRMLANDS LÄN</t>
        </is>
      </c>
      <c r="E1716" t="inlineStr">
        <is>
          <t>TORSBY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43529-2023</t>
        </is>
      </c>
      <c r="B1717" s="1" t="n">
        <v>45181</v>
      </c>
      <c r="C1717" s="1" t="n">
        <v>45627</v>
      </c>
      <c r="D1717" t="inlineStr">
        <is>
          <t>VÄRMLANDS LÄN</t>
        </is>
      </c>
      <c r="E1717" t="inlineStr">
        <is>
          <t>TORSBY</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43527-2023</t>
        </is>
      </c>
      <c r="B1718" s="1" t="n">
        <v>45181</v>
      </c>
      <c r="C1718" s="1" t="n">
        <v>45627</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43536-2023</t>
        </is>
      </c>
      <c r="B1719" s="1" t="n">
        <v>45181</v>
      </c>
      <c r="C1719" s="1" t="n">
        <v>45627</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43528-2023</t>
        </is>
      </c>
      <c r="B1720" s="1" t="n">
        <v>45181</v>
      </c>
      <c r="C1720" s="1" t="n">
        <v>45627</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42645-2023</t>
        </is>
      </c>
      <c r="B1721" s="1" t="n">
        <v>45181</v>
      </c>
      <c r="C1721" s="1" t="n">
        <v>45627</v>
      </c>
      <c r="D1721" t="inlineStr">
        <is>
          <t>VÄRMLANDS LÄN</t>
        </is>
      </c>
      <c r="E1721" t="inlineStr">
        <is>
          <t>TORSBY</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42652-2023</t>
        </is>
      </c>
      <c r="B1722" s="1" t="n">
        <v>45181</v>
      </c>
      <c r="C1722" s="1" t="n">
        <v>45627</v>
      </c>
      <c r="D1722" t="inlineStr">
        <is>
          <t>VÄRMLANDS LÄN</t>
        </is>
      </c>
      <c r="E1722" t="inlineStr">
        <is>
          <t>TORSBY</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42656-2023</t>
        </is>
      </c>
      <c r="B1723" s="1" t="n">
        <v>45181</v>
      </c>
      <c r="C1723" s="1" t="n">
        <v>45627</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42581-2023</t>
        </is>
      </c>
      <c r="B1724" s="1" t="n">
        <v>45181</v>
      </c>
      <c r="C1724" s="1" t="n">
        <v>45627</v>
      </c>
      <c r="D1724" t="inlineStr">
        <is>
          <t>VÄRMLANDS LÄN</t>
        </is>
      </c>
      <c r="E1724" t="inlineStr">
        <is>
          <t>TORSBY</t>
        </is>
      </c>
      <c r="G1724" t="n">
        <v>17.6</v>
      </c>
      <c r="H1724" t="n">
        <v>0</v>
      </c>
      <c r="I1724" t="n">
        <v>0</v>
      </c>
      <c r="J1724" t="n">
        <v>0</v>
      </c>
      <c r="K1724" t="n">
        <v>0</v>
      </c>
      <c r="L1724" t="n">
        <v>0</v>
      </c>
      <c r="M1724" t="n">
        <v>0</v>
      </c>
      <c r="N1724" t="n">
        <v>0</v>
      </c>
      <c r="O1724" t="n">
        <v>0</v>
      </c>
      <c r="P1724" t="n">
        <v>0</v>
      </c>
      <c r="Q1724" t="n">
        <v>0</v>
      </c>
      <c r="R1724" s="2" t="inlineStr"/>
    </row>
    <row r="1725" ht="15" customHeight="1">
      <c r="A1725" t="inlineStr">
        <is>
          <t>A 42613-2023</t>
        </is>
      </c>
      <c r="B1725" s="1" t="n">
        <v>45181</v>
      </c>
      <c r="C1725" s="1" t="n">
        <v>45627</v>
      </c>
      <c r="D1725" t="inlineStr">
        <is>
          <t>VÄRMLANDS LÄN</t>
        </is>
      </c>
      <c r="E1725" t="inlineStr">
        <is>
          <t>TORSBY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42635-2023</t>
        </is>
      </c>
      <c r="B1726" s="1" t="n">
        <v>45181</v>
      </c>
      <c r="C1726" s="1" t="n">
        <v>45627</v>
      </c>
      <c r="D1726" t="inlineStr">
        <is>
          <t>VÄRMLANDS LÄN</t>
        </is>
      </c>
      <c r="E1726" t="inlineStr">
        <is>
          <t>TORSBY</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42658-2023</t>
        </is>
      </c>
      <c r="B1727" s="1" t="n">
        <v>45181</v>
      </c>
      <c r="C1727" s="1" t="n">
        <v>45627</v>
      </c>
      <c r="D1727" t="inlineStr">
        <is>
          <t>VÄRMLANDS LÄN</t>
        </is>
      </c>
      <c r="E1727" t="inlineStr">
        <is>
          <t>TORSBY</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42710-2023</t>
        </is>
      </c>
      <c r="B1728" s="1" t="n">
        <v>45181</v>
      </c>
      <c r="C1728" s="1" t="n">
        <v>45627</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42632-2023</t>
        </is>
      </c>
      <c r="B1729" s="1" t="n">
        <v>45181</v>
      </c>
      <c r="C1729" s="1" t="n">
        <v>45627</v>
      </c>
      <c r="D1729" t="inlineStr">
        <is>
          <t>VÄRMLANDS LÄN</t>
        </is>
      </c>
      <c r="E1729" t="inlineStr">
        <is>
          <t>TORSBY</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42944-2023</t>
        </is>
      </c>
      <c r="B1730" s="1" t="n">
        <v>45182</v>
      </c>
      <c r="C1730" s="1" t="n">
        <v>45627</v>
      </c>
      <c r="D1730" t="inlineStr">
        <is>
          <t>VÄRMLANDS LÄN</t>
        </is>
      </c>
      <c r="E1730" t="inlineStr">
        <is>
          <t>TORSBY</t>
        </is>
      </c>
      <c r="F1730" t="inlineStr">
        <is>
          <t>Bergvik skog väst AB</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43084-2023</t>
        </is>
      </c>
      <c r="B1731" s="1" t="n">
        <v>45182</v>
      </c>
      <c r="C1731" s="1" t="n">
        <v>45627</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44083-2023</t>
        </is>
      </c>
      <c r="B1732" s="1" t="n">
        <v>45182</v>
      </c>
      <c r="C1732" s="1" t="n">
        <v>45627</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44094-2023</t>
        </is>
      </c>
      <c r="B1733" s="1" t="n">
        <v>45182</v>
      </c>
      <c r="C1733" s="1" t="n">
        <v>45627</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43179-2023</t>
        </is>
      </c>
      <c r="B1734" s="1" t="n">
        <v>45183</v>
      </c>
      <c r="C1734" s="1" t="n">
        <v>45627</v>
      </c>
      <c r="D1734" t="inlineStr">
        <is>
          <t>VÄRMLANDS LÄN</t>
        </is>
      </c>
      <c r="E1734" t="inlineStr">
        <is>
          <t>TORSBY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43361-2023</t>
        </is>
      </c>
      <c r="B1735" s="1" t="n">
        <v>45183</v>
      </c>
      <c r="C1735" s="1" t="n">
        <v>45627</v>
      </c>
      <c r="D1735" t="inlineStr">
        <is>
          <t>VÄRMLANDS LÄN</t>
        </is>
      </c>
      <c r="E1735" t="inlineStr">
        <is>
          <t>TORSBY</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43540-2023</t>
        </is>
      </c>
      <c r="B1736" s="1" t="n">
        <v>45184</v>
      </c>
      <c r="C1736" s="1" t="n">
        <v>45627</v>
      </c>
      <c r="D1736" t="inlineStr">
        <is>
          <t>VÄRMLANDS LÄN</t>
        </is>
      </c>
      <c r="E1736" t="inlineStr">
        <is>
          <t>TORSBY</t>
        </is>
      </c>
      <c r="F1736" t="inlineStr">
        <is>
          <t>Bergvik skog väst AB</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43562-2023</t>
        </is>
      </c>
      <c r="B1737" s="1" t="n">
        <v>45184</v>
      </c>
      <c r="C1737" s="1" t="n">
        <v>45627</v>
      </c>
      <c r="D1737" t="inlineStr">
        <is>
          <t>VÄRMLANDS LÄN</t>
        </is>
      </c>
      <c r="E1737" t="inlineStr">
        <is>
          <t>TORSBY</t>
        </is>
      </c>
      <c r="F1737" t="inlineStr">
        <is>
          <t>Kommuner</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43599-2023</t>
        </is>
      </c>
      <c r="B1738" s="1" t="n">
        <v>45184</v>
      </c>
      <c r="C1738" s="1" t="n">
        <v>45627</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43663-2023</t>
        </is>
      </c>
      <c r="B1739" s="1" t="n">
        <v>45187</v>
      </c>
      <c r="C1739" s="1" t="n">
        <v>45627</v>
      </c>
      <c r="D1739" t="inlineStr">
        <is>
          <t>VÄRMLANDS LÄN</t>
        </is>
      </c>
      <c r="E1739" t="inlineStr">
        <is>
          <t>TORSBY</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43670-2023</t>
        </is>
      </c>
      <c r="B1740" s="1" t="n">
        <v>45187</v>
      </c>
      <c r="C1740" s="1" t="n">
        <v>45627</v>
      </c>
      <c r="D1740" t="inlineStr">
        <is>
          <t>VÄRMLANDS LÄN</t>
        </is>
      </c>
      <c r="E1740" t="inlineStr">
        <is>
          <t>TORSBY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44047-2023</t>
        </is>
      </c>
      <c r="B1741" s="1" t="n">
        <v>45188</v>
      </c>
      <c r="C1741" s="1" t="n">
        <v>45627</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44150-2023</t>
        </is>
      </c>
      <c r="B1742" s="1" t="n">
        <v>45188</v>
      </c>
      <c r="C1742" s="1" t="n">
        <v>45627</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44044-2023</t>
        </is>
      </c>
      <c r="B1743" s="1" t="n">
        <v>45188</v>
      </c>
      <c r="C1743" s="1" t="n">
        <v>45627</v>
      </c>
      <c r="D1743" t="inlineStr">
        <is>
          <t>VÄRMLANDS LÄN</t>
        </is>
      </c>
      <c r="E1743" t="inlineStr">
        <is>
          <t>TORSBY</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44127-2023</t>
        </is>
      </c>
      <c r="B1744" s="1" t="n">
        <v>45188</v>
      </c>
      <c r="C1744" s="1" t="n">
        <v>45627</v>
      </c>
      <c r="D1744" t="inlineStr">
        <is>
          <t>VÄRMLANDS LÄN</t>
        </is>
      </c>
      <c r="E1744" t="inlineStr">
        <is>
          <t>TORSBY</t>
        </is>
      </c>
      <c r="F1744" t="inlineStr">
        <is>
          <t>Bergvik skog väst AB</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44262-2023</t>
        </is>
      </c>
      <c r="B1745" s="1" t="n">
        <v>45188</v>
      </c>
      <c r="C1745" s="1" t="n">
        <v>45627</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44113-2023</t>
        </is>
      </c>
      <c r="B1746" s="1" t="n">
        <v>45188</v>
      </c>
      <c r="C1746" s="1" t="n">
        <v>45627</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44424-2023</t>
        </is>
      </c>
      <c r="B1747" s="1" t="n">
        <v>45189</v>
      </c>
      <c r="C1747" s="1" t="n">
        <v>45627</v>
      </c>
      <c r="D1747" t="inlineStr">
        <is>
          <t>VÄRMLANDS LÄN</t>
        </is>
      </c>
      <c r="E1747" t="inlineStr">
        <is>
          <t>TORSBY</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44497-2023</t>
        </is>
      </c>
      <c r="B1748" s="1" t="n">
        <v>45189</v>
      </c>
      <c r="C1748" s="1" t="n">
        <v>45627</v>
      </c>
      <c r="D1748" t="inlineStr">
        <is>
          <t>VÄRMLANDS LÄN</t>
        </is>
      </c>
      <c r="E1748" t="inlineStr">
        <is>
          <t>TORSBY</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44562-2023</t>
        </is>
      </c>
      <c r="B1749" s="1" t="n">
        <v>45189</v>
      </c>
      <c r="C1749" s="1" t="n">
        <v>45627</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44641-2023</t>
        </is>
      </c>
      <c r="B1750" s="1" t="n">
        <v>45189</v>
      </c>
      <c r="C1750" s="1" t="n">
        <v>45627</v>
      </c>
      <c r="D1750" t="inlineStr">
        <is>
          <t>VÄRMLANDS LÄN</t>
        </is>
      </c>
      <c r="E1750" t="inlineStr">
        <is>
          <t>TORSBY</t>
        </is>
      </c>
      <c r="F1750" t="inlineStr">
        <is>
          <t>Bergvik skog väst AB</t>
        </is>
      </c>
      <c r="G1750" t="n">
        <v>20.3</v>
      </c>
      <c r="H1750" t="n">
        <v>0</v>
      </c>
      <c r="I1750" t="n">
        <v>0</v>
      </c>
      <c r="J1750" t="n">
        <v>0</v>
      </c>
      <c r="K1750" t="n">
        <v>0</v>
      </c>
      <c r="L1750" t="n">
        <v>0</v>
      </c>
      <c r="M1750" t="n">
        <v>0</v>
      </c>
      <c r="N1750" t="n">
        <v>0</v>
      </c>
      <c r="O1750" t="n">
        <v>0</v>
      </c>
      <c r="P1750" t="n">
        <v>0</v>
      </c>
      <c r="Q1750" t="n">
        <v>0</v>
      </c>
      <c r="R1750" s="2" t="inlineStr"/>
    </row>
    <row r="1751" ht="15" customHeight="1">
      <c r="A1751" t="inlineStr">
        <is>
          <t>A 44645-2023</t>
        </is>
      </c>
      <c r="B1751" s="1" t="n">
        <v>45189</v>
      </c>
      <c r="C1751" s="1" t="n">
        <v>45627</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44670-2023</t>
        </is>
      </c>
      <c r="B1752" s="1" t="n">
        <v>45189</v>
      </c>
      <c r="C1752" s="1" t="n">
        <v>45627</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44710-2023</t>
        </is>
      </c>
      <c r="B1753" s="1" t="n">
        <v>45190</v>
      </c>
      <c r="C1753" s="1" t="n">
        <v>45627</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44730-2023</t>
        </is>
      </c>
      <c r="B1754" s="1" t="n">
        <v>45190</v>
      </c>
      <c r="C1754" s="1" t="n">
        <v>45627</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45224-2023</t>
        </is>
      </c>
      <c r="B1755" s="1" t="n">
        <v>45191</v>
      </c>
      <c r="C1755" s="1" t="n">
        <v>45627</v>
      </c>
      <c r="D1755" t="inlineStr">
        <is>
          <t>VÄRMLANDS LÄN</t>
        </is>
      </c>
      <c r="E1755" t="inlineStr">
        <is>
          <t>TORSBY</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45041-2023</t>
        </is>
      </c>
      <c r="B1756" s="1" t="n">
        <v>45191</v>
      </c>
      <c r="C1756" s="1" t="n">
        <v>45627</v>
      </c>
      <c r="D1756" t="inlineStr">
        <is>
          <t>VÄRMLANDS LÄN</t>
        </is>
      </c>
      <c r="E1756" t="inlineStr">
        <is>
          <t>TORSBY</t>
        </is>
      </c>
      <c r="F1756" t="inlineStr">
        <is>
          <t>Kyrkan</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45152-2023</t>
        </is>
      </c>
      <c r="B1757" s="1" t="n">
        <v>45191</v>
      </c>
      <c r="C1757" s="1" t="n">
        <v>45627</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45169-2023</t>
        </is>
      </c>
      <c r="B1758" s="1" t="n">
        <v>45191</v>
      </c>
      <c r="C1758" s="1" t="n">
        <v>45627</v>
      </c>
      <c r="D1758" t="inlineStr">
        <is>
          <t>VÄRMLANDS LÄN</t>
        </is>
      </c>
      <c r="E1758" t="inlineStr">
        <is>
          <t>TORSBY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45231-2023</t>
        </is>
      </c>
      <c r="B1759" s="1" t="n">
        <v>45191</v>
      </c>
      <c r="C1759" s="1" t="n">
        <v>45627</v>
      </c>
      <c r="D1759" t="inlineStr">
        <is>
          <t>VÄRMLANDS LÄN</t>
        </is>
      </c>
      <c r="E1759" t="inlineStr">
        <is>
          <t>TORSBY</t>
        </is>
      </c>
      <c r="F1759" t="inlineStr">
        <is>
          <t>Bergvik skog väst AB</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45228-2023</t>
        </is>
      </c>
      <c r="B1760" s="1" t="n">
        <v>45191</v>
      </c>
      <c r="C1760" s="1" t="n">
        <v>45627</v>
      </c>
      <c r="D1760" t="inlineStr">
        <is>
          <t>VÄRMLANDS LÄN</t>
        </is>
      </c>
      <c r="E1760" t="inlineStr">
        <is>
          <t>TORSBY</t>
        </is>
      </c>
      <c r="F1760" t="inlineStr">
        <is>
          <t>Bergvik skog väst AB</t>
        </is>
      </c>
      <c r="G1760" t="n">
        <v>26.8</v>
      </c>
      <c r="H1760" t="n">
        <v>0</v>
      </c>
      <c r="I1760" t="n">
        <v>0</v>
      </c>
      <c r="J1760" t="n">
        <v>0</v>
      </c>
      <c r="K1760" t="n">
        <v>0</v>
      </c>
      <c r="L1760" t="n">
        <v>0</v>
      </c>
      <c r="M1760" t="n">
        <v>0</v>
      </c>
      <c r="N1760" t="n">
        <v>0</v>
      </c>
      <c r="O1760" t="n">
        <v>0</v>
      </c>
      <c r="P1760" t="n">
        <v>0</v>
      </c>
      <c r="Q1760" t="n">
        <v>0</v>
      </c>
      <c r="R1760" s="2" t="inlineStr"/>
    </row>
    <row r="1761" ht="15" customHeight="1">
      <c r="A1761" t="inlineStr">
        <is>
          <t>A 45587-2023</t>
        </is>
      </c>
      <c r="B1761" s="1" t="n">
        <v>45194</v>
      </c>
      <c r="C1761" s="1" t="n">
        <v>45627</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45399-2023</t>
        </is>
      </c>
      <c r="B1762" s="1" t="n">
        <v>45194</v>
      </c>
      <c r="C1762" s="1" t="n">
        <v>45627</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45563-2023</t>
        </is>
      </c>
      <c r="B1763" s="1" t="n">
        <v>45194</v>
      </c>
      <c r="C1763" s="1" t="n">
        <v>45627</v>
      </c>
      <c r="D1763" t="inlineStr">
        <is>
          <t>VÄRMLANDS LÄN</t>
        </is>
      </c>
      <c r="E1763" t="inlineStr">
        <is>
          <t>TORSBY</t>
        </is>
      </c>
      <c r="F1763" t="inlineStr">
        <is>
          <t>Bergvik skog väst AB</t>
        </is>
      </c>
      <c r="G1763" t="n">
        <v>22.6</v>
      </c>
      <c r="H1763" t="n">
        <v>0</v>
      </c>
      <c r="I1763" t="n">
        <v>0</v>
      </c>
      <c r="J1763" t="n">
        <v>0</v>
      </c>
      <c r="K1763" t="n">
        <v>0</v>
      </c>
      <c r="L1763" t="n">
        <v>0</v>
      </c>
      <c r="M1763" t="n">
        <v>0</v>
      </c>
      <c r="N1763" t="n">
        <v>0</v>
      </c>
      <c r="O1763" t="n">
        <v>0</v>
      </c>
      <c r="P1763" t="n">
        <v>0</v>
      </c>
      <c r="Q1763" t="n">
        <v>0</v>
      </c>
      <c r="R1763" s="2" t="inlineStr"/>
    </row>
    <row r="1764" ht="15" customHeight="1">
      <c r="A1764" t="inlineStr">
        <is>
          <t>A 45765-2023</t>
        </is>
      </c>
      <c r="B1764" s="1" t="n">
        <v>45195</v>
      </c>
      <c r="C1764" s="1" t="n">
        <v>45627</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45872-2023</t>
        </is>
      </c>
      <c r="B1765" s="1" t="n">
        <v>45195</v>
      </c>
      <c r="C1765" s="1" t="n">
        <v>45627</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45775-2023</t>
        </is>
      </c>
      <c r="B1766" s="1" t="n">
        <v>45195</v>
      </c>
      <c r="C1766" s="1" t="n">
        <v>45627</v>
      </c>
      <c r="D1766" t="inlineStr">
        <is>
          <t>VÄRMLANDS LÄN</t>
        </is>
      </c>
      <c r="E1766" t="inlineStr">
        <is>
          <t>TORSBY</t>
        </is>
      </c>
      <c r="F1766" t="inlineStr">
        <is>
          <t>Bergvik skog väst AB</t>
        </is>
      </c>
      <c r="G1766" t="n">
        <v>34.2</v>
      </c>
      <c r="H1766" t="n">
        <v>0</v>
      </c>
      <c r="I1766" t="n">
        <v>0</v>
      </c>
      <c r="J1766" t="n">
        <v>0</v>
      </c>
      <c r="K1766" t="n">
        <v>0</v>
      </c>
      <c r="L1766" t="n">
        <v>0</v>
      </c>
      <c r="M1766" t="n">
        <v>0</v>
      </c>
      <c r="N1766" t="n">
        <v>0</v>
      </c>
      <c r="O1766" t="n">
        <v>0</v>
      </c>
      <c r="P1766" t="n">
        <v>0</v>
      </c>
      <c r="Q1766" t="n">
        <v>0</v>
      </c>
      <c r="R1766" s="2" t="inlineStr"/>
    </row>
    <row r="1767" ht="15" customHeight="1">
      <c r="A1767" t="inlineStr">
        <is>
          <t>A 46003-2023</t>
        </is>
      </c>
      <c r="B1767" s="1" t="n">
        <v>45196</v>
      </c>
      <c r="C1767" s="1" t="n">
        <v>45627</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46048-2023</t>
        </is>
      </c>
      <c r="B1768" s="1" t="n">
        <v>45196</v>
      </c>
      <c r="C1768" s="1" t="n">
        <v>45627</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46001-2023</t>
        </is>
      </c>
      <c r="B1769" s="1" t="n">
        <v>45196</v>
      </c>
      <c r="C1769" s="1" t="n">
        <v>45627</v>
      </c>
      <c r="D1769" t="inlineStr">
        <is>
          <t>VÄRMLANDS LÄN</t>
        </is>
      </c>
      <c r="E1769" t="inlineStr">
        <is>
          <t>TORSBY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46202-2023</t>
        </is>
      </c>
      <c r="B1770" s="1" t="n">
        <v>45196</v>
      </c>
      <c r="C1770" s="1" t="n">
        <v>45627</v>
      </c>
      <c r="D1770" t="inlineStr">
        <is>
          <t>VÄRMLANDS LÄN</t>
        </is>
      </c>
      <c r="E1770" t="inlineStr">
        <is>
          <t>TORSBY</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46233-2023</t>
        </is>
      </c>
      <c r="B1771" s="1" t="n">
        <v>45196</v>
      </c>
      <c r="C1771" s="1" t="n">
        <v>45627</v>
      </c>
      <c r="D1771" t="inlineStr">
        <is>
          <t>VÄRMLANDS LÄN</t>
        </is>
      </c>
      <c r="E1771" t="inlineStr">
        <is>
          <t>TORSBY</t>
        </is>
      </c>
      <c r="F1771" t="inlineStr">
        <is>
          <t>Kyrkan</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46127-2023</t>
        </is>
      </c>
      <c r="B1772" s="1" t="n">
        <v>45196</v>
      </c>
      <c r="C1772" s="1" t="n">
        <v>45627</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46199-2023</t>
        </is>
      </c>
      <c r="B1773" s="1" t="n">
        <v>45196</v>
      </c>
      <c r="C1773" s="1" t="n">
        <v>45627</v>
      </c>
      <c r="D1773" t="inlineStr">
        <is>
          <t>VÄRMLANDS LÄN</t>
        </is>
      </c>
      <c r="E1773" t="inlineStr">
        <is>
          <t>TORSBY</t>
        </is>
      </c>
      <c r="F1773" t="inlineStr">
        <is>
          <t>Bergvik skog väst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46220-2023</t>
        </is>
      </c>
      <c r="B1774" s="1" t="n">
        <v>45196</v>
      </c>
      <c r="C1774" s="1" t="n">
        <v>45627</v>
      </c>
      <c r="D1774" t="inlineStr">
        <is>
          <t>VÄRMLANDS LÄN</t>
        </is>
      </c>
      <c r="E1774" t="inlineStr">
        <is>
          <t>TORSBY</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46156-2023</t>
        </is>
      </c>
      <c r="B1775" s="1" t="n">
        <v>45196</v>
      </c>
      <c r="C1775" s="1" t="n">
        <v>45627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46180-2023</t>
        </is>
      </c>
      <c r="B1776" s="1" t="n">
        <v>45196</v>
      </c>
      <c r="C1776" s="1" t="n">
        <v>45627</v>
      </c>
      <c r="D1776" t="inlineStr">
        <is>
          <t>VÄRMLANDS LÄN</t>
        </is>
      </c>
      <c r="E1776" t="inlineStr">
        <is>
          <t>TORSBY</t>
        </is>
      </c>
      <c r="F1776" t="inlineStr">
        <is>
          <t>Bergvik skog väst AB</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46195-2023</t>
        </is>
      </c>
      <c r="B1777" s="1" t="n">
        <v>45196</v>
      </c>
      <c r="C1777" s="1" t="n">
        <v>45627</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46221-2023</t>
        </is>
      </c>
      <c r="B1778" s="1" t="n">
        <v>45196</v>
      </c>
      <c r="C1778" s="1" t="n">
        <v>45627</v>
      </c>
      <c r="D1778" t="inlineStr">
        <is>
          <t>VÄRMLANDS LÄN</t>
        </is>
      </c>
      <c r="E1778" t="inlineStr">
        <is>
          <t>TORSBY</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47227-2023</t>
        </is>
      </c>
      <c r="B1779" s="1" t="n">
        <v>45196</v>
      </c>
      <c r="C1779" s="1" t="n">
        <v>45627</v>
      </c>
      <c r="D1779" t="inlineStr">
        <is>
          <t>VÄRMLANDS LÄN</t>
        </is>
      </c>
      <c r="E1779" t="inlineStr">
        <is>
          <t>TORSBY</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46424-2023</t>
        </is>
      </c>
      <c r="B1780" s="1" t="n">
        <v>45197</v>
      </c>
      <c r="C1780" s="1" t="n">
        <v>45627</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46449-2023</t>
        </is>
      </c>
      <c r="B1781" s="1" t="n">
        <v>45197</v>
      </c>
      <c r="C1781" s="1" t="n">
        <v>45627</v>
      </c>
      <c r="D1781" t="inlineStr">
        <is>
          <t>VÄRMLANDS LÄN</t>
        </is>
      </c>
      <c r="E1781" t="inlineStr">
        <is>
          <t>TORSBY</t>
        </is>
      </c>
      <c r="F1781" t="inlineStr">
        <is>
          <t>Bergvik skog väst AB</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46509-2023</t>
        </is>
      </c>
      <c r="B1782" s="1" t="n">
        <v>45197</v>
      </c>
      <c r="C1782" s="1" t="n">
        <v>45627</v>
      </c>
      <c r="D1782" t="inlineStr">
        <is>
          <t>VÄRMLANDS LÄN</t>
        </is>
      </c>
      <c r="E1782" t="inlineStr">
        <is>
          <t>TORSBY</t>
        </is>
      </c>
      <c r="F1782" t="inlineStr">
        <is>
          <t>Bergvik skog väst AB</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46489-2023</t>
        </is>
      </c>
      <c r="B1783" s="1" t="n">
        <v>45197</v>
      </c>
      <c r="C1783" s="1" t="n">
        <v>45627</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47119-2023</t>
        </is>
      </c>
      <c r="B1784" s="1" t="n">
        <v>45201</v>
      </c>
      <c r="C1784" s="1" t="n">
        <v>45627</v>
      </c>
      <c r="D1784" t="inlineStr">
        <is>
          <t>VÄRMLANDS LÄN</t>
        </is>
      </c>
      <c r="E1784" t="inlineStr">
        <is>
          <t>TORSBY</t>
        </is>
      </c>
      <c r="F1784" t="inlineStr">
        <is>
          <t>Bergvik skog väst AB</t>
        </is>
      </c>
      <c r="G1784" t="n">
        <v>18.7</v>
      </c>
      <c r="H1784" t="n">
        <v>0</v>
      </c>
      <c r="I1784" t="n">
        <v>0</v>
      </c>
      <c r="J1784" t="n">
        <v>0</v>
      </c>
      <c r="K1784" t="n">
        <v>0</v>
      </c>
      <c r="L1784" t="n">
        <v>0</v>
      </c>
      <c r="M1784" t="n">
        <v>0</v>
      </c>
      <c r="N1784" t="n">
        <v>0</v>
      </c>
      <c r="O1784" t="n">
        <v>0</v>
      </c>
      <c r="P1784" t="n">
        <v>0</v>
      </c>
      <c r="Q1784" t="n">
        <v>0</v>
      </c>
      <c r="R1784" s="2" t="inlineStr"/>
    </row>
    <row r="1785" ht="15" customHeight="1">
      <c r="A1785" t="inlineStr">
        <is>
          <t>A 46880-2023</t>
        </is>
      </c>
      <c r="B1785" s="1" t="n">
        <v>45201</v>
      </c>
      <c r="C1785" s="1" t="n">
        <v>45627</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46938-2023</t>
        </is>
      </c>
      <c r="B1786" s="1" t="n">
        <v>45201</v>
      </c>
      <c r="C1786" s="1" t="n">
        <v>45627</v>
      </c>
      <c r="D1786" t="inlineStr">
        <is>
          <t>VÄRMLANDS LÄN</t>
        </is>
      </c>
      <c r="E1786" t="inlineStr">
        <is>
          <t>TORSBY</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47077-2023</t>
        </is>
      </c>
      <c r="B1787" s="1" t="n">
        <v>45201</v>
      </c>
      <c r="C1787" s="1" t="n">
        <v>45627</v>
      </c>
      <c r="D1787" t="inlineStr">
        <is>
          <t>VÄRMLANDS LÄN</t>
        </is>
      </c>
      <c r="E1787" t="inlineStr">
        <is>
          <t>TORSBY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47275-2023</t>
        </is>
      </c>
      <c r="B1788" s="1" t="n">
        <v>45202</v>
      </c>
      <c r="C1788" s="1" t="n">
        <v>45627</v>
      </c>
      <c r="D1788" t="inlineStr">
        <is>
          <t>VÄRMLANDS LÄN</t>
        </is>
      </c>
      <c r="E1788" t="inlineStr">
        <is>
          <t>TORSBY</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47241-2023</t>
        </is>
      </c>
      <c r="B1789" s="1" t="n">
        <v>45202</v>
      </c>
      <c r="C1789" s="1" t="n">
        <v>45627</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45627</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47401-2023</t>
        </is>
      </c>
      <c r="B1791" s="1" t="n">
        <v>45202</v>
      </c>
      <c r="C1791" s="1" t="n">
        <v>45627</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47737-2023</t>
        </is>
      </c>
      <c r="B1792" s="1" t="n">
        <v>45203</v>
      </c>
      <c r="C1792" s="1" t="n">
        <v>45627</v>
      </c>
      <c r="D1792" t="inlineStr">
        <is>
          <t>VÄRMLANDS LÄN</t>
        </is>
      </c>
      <c r="E1792" t="inlineStr">
        <is>
          <t>TORSBY</t>
        </is>
      </c>
      <c r="F1792" t="inlineStr">
        <is>
          <t>Bergvik skog väst AB</t>
        </is>
      </c>
      <c r="G1792" t="n">
        <v>24.4</v>
      </c>
      <c r="H1792" t="n">
        <v>0</v>
      </c>
      <c r="I1792" t="n">
        <v>0</v>
      </c>
      <c r="J1792" t="n">
        <v>0</v>
      </c>
      <c r="K1792" t="n">
        <v>0</v>
      </c>
      <c r="L1792" t="n">
        <v>0</v>
      </c>
      <c r="M1792" t="n">
        <v>0</v>
      </c>
      <c r="N1792" t="n">
        <v>0</v>
      </c>
      <c r="O1792" t="n">
        <v>0</v>
      </c>
      <c r="P1792" t="n">
        <v>0</v>
      </c>
      <c r="Q1792" t="n">
        <v>0</v>
      </c>
      <c r="R1792" s="2" t="inlineStr"/>
    </row>
    <row r="1793" ht="15" customHeight="1">
      <c r="A1793" t="inlineStr">
        <is>
          <t>A 47615-2023</t>
        </is>
      </c>
      <c r="B1793" s="1" t="n">
        <v>45203</v>
      </c>
      <c r="C1793" s="1" t="n">
        <v>45627</v>
      </c>
      <c r="D1793" t="inlineStr">
        <is>
          <t>VÄRMLANDS LÄN</t>
        </is>
      </c>
      <c r="E1793" t="inlineStr">
        <is>
          <t>TORSBY</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47730-2023</t>
        </is>
      </c>
      <c r="B1794" s="1" t="n">
        <v>45203</v>
      </c>
      <c r="C1794" s="1" t="n">
        <v>45627</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47734-2023</t>
        </is>
      </c>
      <c r="B1795" s="1" t="n">
        <v>45203</v>
      </c>
      <c r="C1795" s="1" t="n">
        <v>45627</v>
      </c>
      <c r="D1795" t="inlineStr">
        <is>
          <t>VÄRMLANDS LÄN</t>
        </is>
      </c>
      <c r="E1795" t="inlineStr">
        <is>
          <t>TORSBY</t>
        </is>
      </c>
      <c r="F1795" t="inlineStr">
        <is>
          <t>Bergvik skog väst AB</t>
        </is>
      </c>
      <c r="G1795" t="n">
        <v>23.3</v>
      </c>
      <c r="H1795" t="n">
        <v>0</v>
      </c>
      <c r="I1795" t="n">
        <v>0</v>
      </c>
      <c r="J1795" t="n">
        <v>0</v>
      </c>
      <c r="K1795" t="n">
        <v>0</v>
      </c>
      <c r="L1795" t="n">
        <v>0</v>
      </c>
      <c r="M1795" t="n">
        <v>0</v>
      </c>
      <c r="N1795" t="n">
        <v>0</v>
      </c>
      <c r="O1795" t="n">
        <v>0</v>
      </c>
      <c r="P1795" t="n">
        <v>0</v>
      </c>
      <c r="Q1795" t="n">
        <v>0</v>
      </c>
      <c r="R1795" s="2" t="inlineStr"/>
    </row>
    <row r="1796" ht="15" customHeight="1">
      <c r="A1796" t="inlineStr">
        <is>
          <t>A 48724-2023</t>
        </is>
      </c>
      <c r="B1796" s="1" t="n">
        <v>45203</v>
      </c>
      <c r="C1796" s="1" t="n">
        <v>45627</v>
      </c>
      <c r="D1796" t="inlineStr">
        <is>
          <t>VÄRMLANDS LÄN</t>
        </is>
      </c>
      <c r="E1796" t="inlineStr">
        <is>
          <t>TORSBY</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47842-2023</t>
        </is>
      </c>
      <c r="B1797" s="1" t="n">
        <v>45204</v>
      </c>
      <c r="C1797" s="1" t="n">
        <v>45627</v>
      </c>
      <c r="D1797" t="inlineStr">
        <is>
          <t>VÄRMLANDS LÄN</t>
        </is>
      </c>
      <c r="E1797" t="inlineStr">
        <is>
          <t>TORSBY</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48106-2023</t>
        </is>
      </c>
      <c r="B1798" s="1" t="n">
        <v>45205</v>
      </c>
      <c r="C1798" s="1" t="n">
        <v>45627</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48145-2023</t>
        </is>
      </c>
      <c r="B1799" s="1" t="n">
        <v>45205</v>
      </c>
      <c r="C1799" s="1" t="n">
        <v>45627</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48236-2023</t>
        </is>
      </c>
      <c r="B1800" s="1" t="n">
        <v>45205</v>
      </c>
      <c r="C1800" s="1" t="n">
        <v>45627</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48155-2023</t>
        </is>
      </c>
      <c r="B1801" s="1" t="n">
        <v>45205</v>
      </c>
      <c r="C1801" s="1" t="n">
        <v>45627</v>
      </c>
      <c r="D1801" t="inlineStr">
        <is>
          <t>VÄRMLANDS LÄN</t>
        </is>
      </c>
      <c r="E1801" t="inlineStr">
        <is>
          <t>TORSBY</t>
        </is>
      </c>
      <c r="F1801" t="inlineStr">
        <is>
          <t>Kyrkan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48170-2023</t>
        </is>
      </c>
      <c r="B1802" s="1" t="n">
        <v>45205</v>
      </c>
      <c r="C1802" s="1" t="n">
        <v>45627</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48324-2023</t>
        </is>
      </c>
      <c r="B1803" s="1" t="n">
        <v>45205</v>
      </c>
      <c r="C1803" s="1" t="n">
        <v>45627</v>
      </c>
      <c r="D1803" t="inlineStr">
        <is>
          <t>VÄRMLANDS LÄN</t>
        </is>
      </c>
      <c r="E1803" t="inlineStr">
        <is>
          <t>TORSBY</t>
        </is>
      </c>
      <c r="F1803" t="inlineStr">
        <is>
          <t>Bergvik skog väst AB</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48381-2023</t>
        </is>
      </c>
      <c r="B1804" s="1" t="n">
        <v>45205</v>
      </c>
      <c r="C1804" s="1" t="n">
        <v>45627</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48384-2023</t>
        </is>
      </c>
      <c r="B1805" s="1" t="n">
        <v>45205</v>
      </c>
      <c r="C1805" s="1" t="n">
        <v>45627</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48383-2023</t>
        </is>
      </c>
      <c r="B1806" s="1" t="n">
        <v>45205</v>
      </c>
      <c r="C1806" s="1" t="n">
        <v>45627</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48456-2023</t>
        </is>
      </c>
      <c r="B1807" s="1" t="n">
        <v>45206</v>
      </c>
      <c r="C1807" s="1" t="n">
        <v>45627</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48625-2023</t>
        </is>
      </c>
      <c r="B1808" s="1" t="n">
        <v>45208</v>
      </c>
      <c r="C1808" s="1" t="n">
        <v>45627</v>
      </c>
      <c r="D1808" t="inlineStr">
        <is>
          <t>VÄRMLANDS LÄN</t>
        </is>
      </c>
      <c r="E1808" t="inlineStr">
        <is>
          <t>TORSBY</t>
        </is>
      </c>
      <c r="F1808" t="inlineStr">
        <is>
          <t>Bergvik skog väst AB</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48727-2023</t>
        </is>
      </c>
      <c r="B1809" s="1" t="n">
        <v>45208</v>
      </c>
      <c r="C1809" s="1" t="n">
        <v>45627</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48753-2023</t>
        </is>
      </c>
      <c r="B1810" s="1" t="n">
        <v>45208</v>
      </c>
      <c r="C1810" s="1" t="n">
        <v>45627</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48762-2023</t>
        </is>
      </c>
      <c r="B1811" s="1" t="n">
        <v>45208</v>
      </c>
      <c r="C1811" s="1" t="n">
        <v>45627</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49717-2023</t>
        </is>
      </c>
      <c r="B1812" s="1" t="n">
        <v>45208</v>
      </c>
      <c r="C1812" s="1" t="n">
        <v>45627</v>
      </c>
      <c r="D1812" t="inlineStr">
        <is>
          <t>VÄRMLANDS LÄN</t>
        </is>
      </c>
      <c r="E1812" t="inlineStr">
        <is>
          <t>TORSBY</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50166-2023</t>
        </is>
      </c>
      <c r="B1813" s="1" t="n">
        <v>45208</v>
      </c>
      <c r="C1813" s="1" t="n">
        <v>45627</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50149-2023</t>
        </is>
      </c>
      <c r="B1814" s="1" t="n">
        <v>45208</v>
      </c>
      <c r="C1814" s="1" t="n">
        <v>45627</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48805-2023</t>
        </is>
      </c>
      <c r="B1815" s="1" t="n">
        <v>45209</v>
      </c>
      <c r="C1815" s="1" t="n">
        <v>45627</v>
      </c>
      <c r="D1815" t="inlineStr">
        <is>
          <t>VÄRMLANDS LÄN</t>
        </is>
      </c>
      <c r="E1815" t="inlineStr">
        <is>
          <t>TORSBY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48842-2023</t>
        </is>
      </c>
      <c r="B1816" s="1" t="n">
        <v>45209</v>
      </c>
      <c r="C1816" s="1" t="n">
        <v>45627</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49170-2023</t>
        </is>
      </c>
      <c r="B1817" s="1" t="n">
        <v>45210</v>
      </c>
      <c r="C1817" s="1" t="n">
        <v>45627</v>
      </c>
      <c r="D1817" t="inlineStr">
        <is>
          <t>VÄRMLANDS LÄN</t>
        </is>
      </c>
      <c r="E1817" t="inlineStr">
        <is>
          <t>TORSBY</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49179-2023</t>
        </is>
      </c>
      <c r="B1818" s="1" t="n">
        <v>45210</v>
      </c>
      <c r="C1818" s="1" t="n">
        <v>45627</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49296-2023</t>
        </is>
      </c>
      <c r="B1819" s="1" t="n">
        <v>45210</v>
      </c>
      <c r="C1819" s="1" t="n">
        <v>45627</v>
      </c>
      <c r="D1819" t="inlineStr">
        <is>
          <t>VÄRMLANDS LÄN</t>
        </is>
      </c>
      <c r="E1819" t="inlineStr">
        <is>
          <t>TORSBY</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51079-2023</t>
        </is>
      </c>
      <c r="B1820" s="1" t="n">
        <v>45211</v>
      </c>
      <c r="C1820" s="1" t="n">
        <v>45627</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49755-2023</t>
        </is>
      </c>
      <c r="B1821" s="1" t="n">
        <v>45212</v>
      </c>
      <c r="C1821" s="1" t="n">
        <v>45627</v>
      </c>
      <c r="D1821" t="inlineStr">
        <is>
          <t>VÄRMLANDS LÄN</t>
        </is>
      </c>
      <c r="E1821" t="inlineStr">
        <is>
          <t>TORSBY</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49777-2023</t>
        </is>
      </c>
      <c r="B1822" s="1" t="n">
        <v>45212</v>
      </c>
      <c r="C1822" s="1" t="n">
        <v>45627</v>
      </c>
      <c r="D1822" t="inlineStr">
        <is>
          <t>VÄRMLANDS LÄN</t>
        </is>
      </c>
      <c r="E1822" t="inlineStr">
        <is>
          <t>TORSBY</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49815-2023</t>
        </is>
      </c>
      <c r="B1823" s="1" t="n">
        <v>45212</v>
      </c>
      <c r="C1823" s="1" t="n">
        <v>45627</v>
      </c>
      <c r="D1823" t="inlineStr">
        <is>
          <t>VÄRMLANDS LÄN</t>
        </is>
      </c>
      <c r="E1823" t="inlineStr">
        <is>
          <t>TORSBY</t>
        </is>
      </c>
      <c r="F1823" t="inlineStr">
        <is>
          <t>Bergvik skog väst AB</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49745-2023</t>
        </is>
      </c>
      <c r="B1824" s="1" t="n">
        <v>45212</v>
      </c>
      <c r="C1824" s="1" t="n">
        <v>45627</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51144-2023</t>
        </is>
      </c>
      <c r="B1825" s="1" t="n">
        <v>45212</v>
      </c>
      <c r="C1825" s="1" t="n">
        <v>45627</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49982-2023</t>
        </is>
      </c>
      <c r="B1826" s="1" t="n">
        <v>45215</v>
      </c>
      <c r="C1826" s="1" t="n">
        <v>45627</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50147-2023</t>
        </is>
      </c>
      <c r="B1827" s="1" t="n">
        <v>45215</v>
      </c>
      <c r="C1827" s="1" t="n">
        <v>45627</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50138-2023</t>
        </is>
      </c>
      <c r="B1828" s="1" t="n">
        <v>45215</v>
      </c>
      <c r="C1828" s="1" t="n">
        <v>45627</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50144-2023</t>
        </is>
      </c>
      <c r="B1829" s="1" t="n">
        <v>45215</v>
      </c>
      <c r="C1829" s="1" t="n">
        <v>45627</v>
      </c>
      <c r="D1829" t="inlineStr">
        <is>
          <t>VÄRMLANDS LÄN</t>
        </is>
      </c>
      <c r="E1829" t="inlineStr">
        <is>
          <t>TORSBY</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50171-2023</t>
        </is>
      </c>
      <c r="B1830" s="1" t="n">
        <v>45215</v>
      </c>
      <c r="C1830" s="1" t="n">
        <v>45627</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50445-2023</t>
        </is>
      </c>
      <c r="B1831" s="1" t="n">
        <v>45216</v>
      </c>
      <c r="C1831" s="1" t="n">
        <v>45627</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50429-2023</t>
        </is>
      </c>
      <c r="B1832" s="1" t="n">
        <v>45216</v>
      </c>
      <c r="C1832" s="1" t="n">
        <v>45627</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50439-2023</t>
        </is>
      </c>
      <c r="B1833" s="1" t="n">
        <v>45216</v>
      </c>
      <c r="C1833" s="1" t="n">
        <v>45627</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50660-2023</t>
        </is>
      </c>
      <c r="B1834" s="1" t="n">
        <v>45217</v>
      </c>
      <c r="C1834" s="1" t="n">
        <v>45627</v>
      </c>
      <c r="D1834" t="inlineStr">
        <is>
          <t>VÄRMLANDS LÄN</t>
        </is>
      </c>
      <c r="E1834" t="inlineStr">
        <is>
          <t>TORSBY</t>
        </is>
      </c>
      <c r="F1834" t="inlineStr">
        <is>
          <t>Bergvik skog väst AB</t>
        </is>
      </c>
      <c r="G1834" t="n">
        <v>26.5</v>
      </c>
      <c r="H1834" t="n">
        <v>0</v>
      </c>
      <c r="I1834" t="n">
        <v>0</v>
      </c>
      <c r="J1834" t="n">
        <v>0</v>
      </c>
      <c r="K1834" t="n">
        <v>0</v>
      </c>
      <c r="L1834" t="n">
        <v>0</v>
      </c>
      <c r="M1834" t="n">
        <v>0</v>
      </c>
      <c r="N1834" t="n">
        <v>0</v>
      </c>
      <c r="O1834" t="n">
        <v>0</v>
      </c>
      <c r="P1834" t="n">
        <v>0</v>
      </c>
      <c r="Q1834" t="n">
        <v>0</v>
      </c>
      <c r="R1834" s="2" t="inlineStr"/>
    </row>
    <row r="1835" ht="15" customHeight="1">
      <c r="A1835" t="inlineStr">
        <is>
          <t>A 50523-2023</t>
        </is>
      </c>
      <c r="B1835" s="1" t="n">
        <v>45217</v>
      </c>
      <c r="C1835" s="1" t="n">
        <v>45627</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50608-2023</t>
        </is>
      </c>
      <c r="B1836" s="1" t="n">
        <v>45217</v>
      </c>
      <c r="C1836" s="1" t="n">
        <v>45627</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50680-2023</t>
        </is>
      </c>
      <c r="B1837" s="1" t="n">
        <v>45217</v>
      </c>
      <c r="C1837" s="1" t="n">
        <v>45627</v>
      </c>
      <c r="D1837" t="inlineStr">
        <is>
          <t>VÄRMLANDS LÄN</t>
        </is>
      </c>
      <c r="E1837" t="inlineStr">
        <is>
          <t>TORSBY</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50852-2023</t>
        </is>
      </c>
      <c r="B1838" s="1" t="n">
        <v>45218</v>
      </c>
      <c r="C1838" s="1" t="n">
        <v>45627</v>
      </c>
      <c r="D1838" t="inlineStr">
        <is>
          <t>VÄRMLANDS LÄN</t>
        </is>
      </c>
      <c r="E1838" t="inlineStr">
        <is>
          <t>TORSBY</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50973-2023</t>
        </is>
      </c>
      <c r="B1839" s="1" t="n">
        <v>45218</v>
      </c>
      <c r="C1839" s="1" t="n">
        <v>45627</v>
      </c>
      <c r="D1839" t="inlineStr">
        <is>
          <t>VÄRMLANDS LÄN</t>
        </is>
      </c>
      <c r="E1839" t="inlineStr">
        <is>
          <t>TORSBY</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51199-2023</t>
        </is>
      </c>
      <c r="B1840" s="1" t="n">
        <v>45219</v>
      </c>
      <c r="C1840" s="1" t="n">
        <v>45627</v>
      </c>
      <c r="D1840" t="inlineStr">
        <is>
          <t>VÄRMLANDS LÄN</t>
        </is>
      </c>
      <c r="E1840" t="inlineStr">
        <is>
          <t>TORSBY</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51215-2023</t>
        </is>
      </c>
      <c r="B1841" s="1" t="n">
        <v>45219</v>
      </c>
      <c r="C1841" s="1" t="n">
        <v>45627</v>
      </c>
      <c r="D1841" t="inlineStr">
        <is>
          <t>VÄRMLANDS LÄN</t>
        </is>
      </c>
      <c r="E1841" t="inlineStr">
        <is>
          <t>TORSBY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51343-2023</t>
        </is>
      </c>
      <c r="B1842" s="1" t="n">
        <v>45219</v>
      </c>
      <c r="C1842" s="1" t="n">
        <v>45627</v>
      </c>
      <c r="D1842" t="inlineStr">
        <is>
          <t>VÄRMLANDS LÄN</t>
        </is>
      </c>
      <c r="E1842" t="inlineStr">
        <is>
          <t>TORSBY</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51386-2023</t>
        </is>
      </c>
      <c r="B1843" s="1" t="n">
        <v>45219</v>
      </c>
      <c r="C1843" s="1" t="n">
        <v>45627</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51309-2023</t>
        </is>
      </c>
      <c r="B1844" s="1" t="n">
        <v>45219</v>
      </c>
      <c r="C1844" s="1" t="n">
        <v>45627</v>
      </c>
      <c r="D1844" t="inlineStr">
        <is>
          <t>VÄRMLANDS LÄN</t>
        </is>
      </c>
      <c r="E1844" t="inlineStr">
        <is>
          <t>TORSBY</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51751-2023</t>
        </is>
      </c>
      <c r="B1845" s="1" t="n">
        <v>45222</v>
      </c>
      <c r="C1845" s="1" t="n">
        <v>45627</v>
      </c>
      <c r="D1845" t="inlineStr">
        <is>
          <t>VÄRMLANDS LÄN</t>
        </is>
      </c>
      <c r="E1845" t="inlineStr">
        <is>
          <t>TORSBY</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51788-2023</t>
        </is>
      </c>
      <c r="B1846" s="1" t="n">
        <v>45222</v>
      </c>
      <c r="C1846" s="1" t="n">
        <v>45627</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51753-2023</t>
        </is>
      </c>
      <c r="B1847" s="1" t="n">
        <v>45222</v>
      </c>
      <c r="C1847" s="1" t="n">
        <v>45627</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52078-2023</t>
        </is>
      </c>
      <c r="B1848" s="1" t="n">
        <v>45223</v>
      </c>
      <c r="C1848" s="1" t="n">
        <v>45627</v>
      </c>
      <c r="D1848" t="inlineStr">
        <is>
          <t>VÄRMLANDS LÄN</t>
        </is>
      </c>
      <c r="E1848" t="inlineStr">
        <is>
          <t>TORSBY</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52050-2023</t>
        </is>
      </c>
      <c r="B1849" s="1" t="n">
        <v>45223</v>
      </c>
      <c r="C1849" s="1" t="n">
        <v>45627</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52067-2023</t>
        </is>
      </c>
      <c r="B1850" s="1" t="n">
        <v>45223</v>
      </c>
      <c r="C1850" s="1" t="n">
        <v>45627</v>
      </c>
      <c r="D1850" t="inlineStr">
        <is>
          <t>VÄRMLANDS LÄN</t>
        </is>
      </c>
      <c r="E1850" t="inlineStr">
        <is>
          <t>TORSBY</t>
        </is>
      </c>
      <c r="F1850" t="inlineStr">
        <is>
          <t>Bergvik skog väst AB</t>
        </is>
      </c>
      <c r="G1850" t="n">
        <v>40.4</v>
      </c>
      <c r="H1850" t="n">
        <v>0</v>
      </c>
      <c r="I1850" t="n">
        <v>0</v>
      </c>
      <c r="J1850" t="n">
        <v>0</v>
      </c>
      <c r="K1850" t="n">
        <v>0</v>
      </c>
      <c r="L1850" t="n">
        <v>0</v>
      </c>
      <c r="M1850" t="n">
        <v>0</v>
      </c>
      <c r="N1850" t="n">
        <v>0</v>
      </c>
      <c r="O1850" t="n">
        <v>0</v>
      </c>
      <c r="P1850" t="n">
        <v>0</v>
      </c>
      <c r="Q1850" t="n">
        <v>0</v>
      </c>
      <c r="R1850" s="2" t="inlineStr"/>
    </row>
    <row r="1851" ht="15" customHeight="1">
      <c r="A1851" t="inlineStr">
        <is>
          <t>A 53499-2023</t>
        </is>
      </c>
      <c r="B1851" s="1" t="n">
        <v>45223</v>
      </c>
      <c r="C1851" s="1" t="n">
        <v>45627</v>
      </c>
      <c r="D1851" t="inlineStr">
        <is>
          <t>VÄRMLANDS LÄN</t>
        </is>
      </c>
      <c r="E1851" t="inlineStr">
        <is>
          <t>TORSBY</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52275-2023</t>
        </is>
      </c>
      <c r="B1852" s="1" t="n">
        <v>45224</v>
      </c>
      <c r="C1852" s="1" t="n">
        <v>45627</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52385-2023</t>
        </is>
      </c>
      <c r="B1853" s="1" t="n">
        <v>45224</v>
      </c>
      <c r="C1853" s="1" t="n">
        <v>45627</v>
      </c>
      <c r="D1853" t="inlineStr">
        <is>
          <t>VÄRMLANDS LÄN</t>
        </is>
      </c>
      <c r="E1853" t="inlineStr">
        <is>
          <t>TORSBY</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53652-2023</t>
        </is>
      </c>
      <c r="B1854" s="1" t="n">
        <v>45224</v>
      </c>
      <c r="C1854" s="1" t="n">
        <v>45627</v>
      </c>
      <c r="D1854" t="inlineStr">
        <is>
          <t>VÄRMLANDS LÄN</t>
        </is>
      </c>
      <c r="E1854" t="inlineStr">
        <is>
          <t>TORSBY</t>
        </is>
      </c>
      <c r="F1854" t="inlineStr">
        <is>
          <t>Övriga statliga verk och myndigheter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52541-2023</t>
        </is>
      </c>
      <c r="B1855" s="1" t="n">
        <v>45225</v>
      </c>
      <c r="C1855" s="1" t="n">
        <v>45627</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52580-2023</t>
        </is>
      </c>
      <c r="B1856" s="1" t="n">
        <v>45225</v>
      </c>
      <c r="C1856" s="1" t="n">
        <v>45627</v>
      </c>
      <c r="D1856" t="inlineStr">
        <is>
          <t>VÄRMLANDS LÄN</t>
        </is>
      </c>
      <c r="E1856" t="inlineStr">
        <is>
          <t>TORSBY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52555-2023</t>
        </is>
      </c>
      <c r="B1857" s="1" t="n">
        <v>45225</v>
      </c>
      <c r="C1857" s="1" t="n">
        <v>45627</v>
      </c>
      <c r="D1857" t="inlineStr">
        <is>
          <t>VÄRMLANDS LÄN</t>
        </is>
      </c>
      <c r="E1857" t="inlineStr">
        <is>
          <t>TORSBY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52532-2023</t>
        </is>
      </c>
      <c r="B1858" s="1" t="n">
        <v>45225</v>
      </c>
      <c r="C1858" s="1" t="n">
        <v>45627</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52591-2023</t>
        </is>
      </c>
      <c r="B1859" s="1" t="n">
        <v>45225</v>
      </c>
      <c r="C1859" s="1" t="n">
        <v>45627</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52984-2023</t>
        </is>
      </c>
      <c r="B1860" s="1" t="n">
        <v>45226</v>
      </c>
      <c r="C1860" s="1" t="n">
        <v>45627</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52982-2023</t>
        </is>
      </c>
      <c r="B1861" s="1" t="n">
        <v>45226</v>
      </c>
      <c r="C1861" s="1" t="n">
        <v>45627</v>
      </c>
      <c r="D1861" t="inlineStr">
        <is>
          <t>VÄRMLANDS LÄN</t>
        </is>
      </c>
      <c r="E1861" t="inlineStr">
        <is>
          <t>TORSBY</t>
        </is>
      </c>
      <c r="G1861" t="n">
        <v>35.5</v>
      </c>
      <c r="H1861" t="n">
        <v>0</v>
      </c>
      <c r="I1861" t="n">
        <v>0</v>
      </c>
      <c r="J1861" t="n">
        <v>0</v>
      </c>
      <c r="K1861" t="n">
        <v>0</v>
      </c>
      <c r="L1861" t="n">
        <v>0</v>
      </c>
      <c r="M1861" t="n">
        <v>0</v>
      </c>
      <c r="N1861" t="n">
        <v>0</v>
      </c>
      <c r="O1861" t="n">
        <v>0</v>
      </c>
      <c r="P1861" t="n">
        <v>0</v>
      </c>
      <c r="Q1861" t="n">
        <v>0</v>
      </c>
      <c r="R1861" s="2" t="inlineStr"/>
    </row>
    <row r="1862" ht="15" customHeight="1">
      <c r="A1862" t="inlineStr">
        <is>
          <t>A 52810-2023</t>
        </is>
      </c>
      <c r="B1862" s="1" t="n">
        <v>45226</v>
      </c>
      <c r="C1862" s="1" t="n">
        <v>45627</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53103-2023</t>
        </is>
      </c>
      <c r="B1863" s="1" t="n">
        <v>45228</v>
      </c>
      <c r="C1863" s="1" t="n">
        <v>45627</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53116-2023</t>
        </is>
      </c>
      <c r="B1864" s="1" t="n">
        <v>45228</v>
      </c>
      <c r="C1864" s="1" t="n">
        <v>45627</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53346-2023</t>
        </is>
      </c>
      <c r="B1865" s="1" t="n">
        <v>45229</v>
      </c>
      <c r="C1865" s="1" t="n">
        <v>45627</v>
      </c>
      <c r="D1865" t="inlineStr">
        <is>
          <t>VÄRMLANDS LÄN</t>
        </is>
      </c>
      <c r="E1865" t="inlineStr">
        <is>
          <t>TORSBY</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54879-2023</t>
        </is>
      </c>
      <c r="B1866" s="1" t="n">
        <v>45229</v>
      </c>
      <c r="C1866" s="1" t="n">
        <v>45627</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54822-2023</t>
        </is>
      </c>
      <c r="B1867" s="1" t="n">
        <v>45229</v>
      </c>
      <c r="C1867" s="1" t="n">
        <v>45627</v>
      </c>
      <c r="D1867" t="inlineStr">
        <is>
          <t>VÄRMLANDS LÄN</t>
        </is>
      </c>
      <c r="E1867" t="inlineStr">
        <is>
          <t>TORSBY</t>
        </is>
      </c>
      <c r="F1867" t="inlineStr">
        <is>
          <t>Övriga Aktiebolag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53557-2023</t>
        </is>
      </c>
      <c r="B1868" s="1" t="n">
        <v>45230</v>
      </c>
      <c r="C1868" s="1" t="n">
        <v>45627</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53495-2023</t>
        </is>
      </c>
      <c r="B1869" s="1" t="n">
        <v>45230</v>
      </c>
      <c r="C1869" s="1" t="n">
        <v>45627</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53794-2023</t>
        </is>
      </c>
      <c r="B1870" s="1" t="n">
        <v>45231</v>
      </c>
      <c r="C1870" s="1" t="n">
        <v>45627</v>
      </c>
      <c r="D1870" t="inlineStr">
        <is>
          <t>VÄRMLANDS LÄN</t>
        </is>
      </c>
      <c r="E1870" t="inlineStr">
        <is>
          <t>TORSBY</t>
        </is>
      </c>
      <c r="G1870" t="n">
        <v>17.3</v>
      </c>
      <c r="H1870" t="n">
        <v>0</v>
      </c>
      <c r="I1870" t="n">
        <v>0</v>
      </c>
      <c r="J1870" t="n">
        <v>0</v>
      </c>
      <c r="K1870" t="n">
        <v>0</v>
      </c>
      <c r="L1870" t="n">
        <v>0</v>
      </c>
      <c r="M1870" t="n">
        <v>0</v>
      </c>
      <c r="N1870" t="n">
        <v>0</v>
      </c>
      <c r="O1870" t="n">
        <v>0</v>
      </c>
      <c r="P1870" t="n">
        <v>0</v>
      </c>
      <c r="Q1870" t="n">
        <v>0</v>
      </c>
      <c r="R1870" s="2" t="inlineStr"/>
    </row>
    <row r="1871" ht="15" customHeight="1">
      <c r="A1871" t="inlineStr">
        <is>
          <t>A 53921-2023</t>
        </is>
      </c>
      <c r="B1871" s="1" t="n">
        <v>45231</v>
      </c>
      <c r="C1871" s="1" t="n">
        <v>45627</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53945-2023</t>
        </is>
      </c>
      <c r="B1872" s="1" t="n">
        <v>45231</v>
      </c>
      <c r="C1872" s="1" t="n">
        <v>45627</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53922-2023</t>
        </is>
      </c>
      <c r="B1873" s="1" t="n">
        <v>45231</v>
      </c>
      <c r="C1873" s="1" t="n">
        <v>45627</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54162-2023</t>
        </is>
      </c>
      <c r="B1874" s="1" t="n">
        <v>45232</v>
      </c>
      <c r="C1874" s="1" t="n">
        <v>45627</v>
      </c>
      <c r="D1874" t="inlineStr">
        <is>
          <t>VÄRMLANDS LÄN</t>
        </is>
      </c>
      <c r="E1874" t="inlineStr">
        <is>
          <t>TORSBY</t>
        </is>
      </c>
      <c r="F1874" t="inlineStr">
        <is>
          <t>Bergvik skog väst AB</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54262-2023</t>
        </is>
      </c>
      <c r="B1875" s="1" t="n">
        <v>45232</v>
      </c>
      <c r="C1875" s="1" t="n">
        <v>45627</v>
      </c>
      <c r="D1875" t="inlineStr">
        <is>
          <t>VÄRMLANDS LÄN</t>
        </is>
      </c>
      <c r="E1875" t="inlineStr">
        <is>
          <t>TORSBY</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54223-2023</t>
        </is>
      </c>
      <c r="B1876" s="1" t="n">
        <v>45232</v>
      </c>
      <c r="C1876" s="1" t="n">
        <v>45627</v>
      </c>
      <c r="D1876" t="inlineStr">
        <is>
          <t>VÄRMLANDS LÄN</t>
        </is>
      </c>
      <c r="E1876" t="inlineStr">
        <is>
          <t>TORSBY</t>
        </is>
      </c>
      <c r="F1876" t="inlineStr">
        <is>
          <t>Bergvik skog väst AB</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54191-2023</t>
        </is>
      </c>
      <c r="B1877" s="1" t="n">
        <v>45232</v>
      </c>
      <c r="C1877" s="1" t="n">
        <v>45627</v>
      </c>
      <c r="D1877" t="inlineStr">
        <is>
          <t>VÄRMLANDS LÄN</t>
        </is>
      </c>
      <c r="E1877" t="inlineStr">
        <is>
          <t>TORSBY</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54204-2023</t>
        </is>
      </c>
      <c r="B1878" s="1" t="n">
        <v>45232</v>
      </c>
      <c r="C1878" s="1" t="n">
        <v>45627</v>
      </c>
      <c r="D1878" t="inlineStr">
        <is>
          <t>VÄRMLANDS LÄN</t>
        </is>
      </c>
      <c r="E1878" t="inlineStr">
        <is>
          <t>TORSBY</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54556-2023</t>
        </is>
      </c>
      <c r="B1879" s="1" t="n">
        <v>45233</v>
      </c>
      <c r="C1879" s="1" t="n">
        <v>45627</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54551-2023</t>
        </is>
      </c>
      <c r="B1880" s="1" t="n">
        <v>45233</v>
      </c>
      <c r="C1880" s="1" t="n">
        <v>45627</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54442-2023</t>
        </is>
      </c>
      <c r="B1881" s="1" t="n">
        <v>45233</v>
      </c>
      <c r="C1881" s="1" t="n">
        <v>45627</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54386-2023</t>
        </is>
      </c>
      <c r="B1882" s="1" t="n">
        <v>45233</v>
      </c>
      <c r="C1882" s="1" t="n">
        <v>45627</v>
      </c>
      <c r="D1882" t="inlineStr">
        <is>
          <t>VÄRMLANDS LÄN</t>
        </is>
      </c>
      <c r="E1882" t="inlineStr">
        <is>
          <t>TORSBY</t>
        </is>
      </c>
      <c r="F1882" t="inlineStr">
        <is>
          <t>Bergvik skog väst AB</t>
        </is>
      </c>
      <c r="G1882" t="n">
        <v>12.6</v>
      </c>
      <c r="H1882" t="n">
        <v>0</v>
      </c>
      <c r="I1882" t="n">
        <v>0</v>
      </c>
      <c r="J1882" t="n">
        <v>0</v>
      </c>
      <c r="K1882" t="n">
        <v>0</v>
      </c>
      <c r="L1882" t="n">
        <v>0</v>
      </c>
      <c r="M1882" t="n">
        <v>0</v>
      </c>
      <c r="N1882" t="n">
        <v>0</v>
      </c>
      <c r="O1882" t="n">
        <v>0</v>
      </c>
      <c r="P1882" t="n">
        <v>0</v>
      </c>
      <c r="Q1882" t="n">
        <v>0</v>
      </c>
      <c r="R1882" s="2" t="inlineStr"/>
    </row>
    <row r="1883" ht="15" customHeight="1">
      <c r="A1883" t="inlineStr">
        <is>
          <t>A 54528-2023</t>
        </is>
      </c>
      <c r="B1883" s="1" t="n">
        <v>45233</v>
      </c>
      <c r="C1883" s="1" t="n">
        <v>45627</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54562-2023</t>
        </is>
      </c>
      <c r="B1884" s="1" t="n">
        <v>45233</v>
      </c>
      <c r="C1884" s="1" t="n">
        <v>45627</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54532-2023</t>
        </is>
      </c>
      <c r="B1885" s="1" t="n">
        <v>45233</v>
      </c>
      <c r="C1885" s="1" t="n">
        <v>45627</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54525-2023</t>
        </is>
      </c>
      <c r="B1886" s="1" t="n">
        <v>45233</v>
      </c>
      <c r="C1886" s="1" t="n">
        <v>45627</v>
      </c>
      <c r="D1886" t="inlineStr">
        <is>
          <t>VÄRMLANDS LÄN</t>
        </is>
      </c>
      <c r="E1886" t="inlineStr">
        <is>
          <t>TORSBY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54487-2023</t>
        </is>
      </c>
      <c r="B1887" s="1" t="n">
        <v>45233</v>
      </c>
      <c r="C1887" s="1" t="n">
        <v>45627</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54409-2023</t>
        </is>
      </c>
      <c r="B1888" s="1" t="n">
        <v>45233</v>
      </c>
      <c r="C1888" s="1" t="n">
        <v>45627</v>
      </c>
      <c r="D1888" t="inlineStr">
        <is>
          <t>VÄRMLANDS LÄN</t>
        </is>
      </c>
      <c r="E1888" t="inlineStr">
        <is>
          <t>TORSBY</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54714-2023</t>
        </is>
      </c>
      <c r="B1889" s="1" t="n">
        <v>45236</v>
      </c>
      <c r="C1889" s="1" t="n">
        <v>45627</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54766-2023</t>
        </is>
      </c>
      <c r="B1890" s="1" t="n">
        <v>45236</v>
      </c>
      <c r="C1890" s="1" t="n">
        <v>45627</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54777-2023</t>
        </is>
      </c>
      <c r="B1891" s="1" t="n">
        <v>45236</v>
      </c>
      <c r="C1891" s="1" t="n">
        <v>45627</v>
      </c>
      <c r="D1891" t="inlineStr">
        <is>
          <t>VÄRMLANDS LÄN</t>
        </is>
      </c>
      <c r="E1891" t="inlineStr">
        <is>
          <t>TORSBY</t>
        </is>
      </c>
      <c r="F1891" t="inlineStr">
        <is>
          <t>Bergvik skog väst AB</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54876-2023</t>
        </is>
      </c>
      <c r="B1892" s="1" t="n">
        <v>45236</v>
      </c>
      <c r="C1892" s="1" t="n">
        <v>45627</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54708-2023</t>
        </is>
      </c>
      <c r="B1893" s="1" t="n">
        <v>45236</v>
      </c>
      <c r="C1893" s="1" t="n">
        <v>45627</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55031-2023</t>
        </is>
      </c>
      <c r="B1894" s="1" t="n">
        <v>45237</v>
      </c>
      <c r="C1894" s="1" t="n">
        <v>45627</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55100-2023</t>
        </is>
      </c>
      <c r="B1895" s="1" t="n">
        <v>45237</v>
      </c>
      <c r="C1895" s="1" t="n">
        <v>45627</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55401-2023</t>
        </is>
      </c>
      <c r="B1896" s="1" t="n">
        <v>45238</v>
      </c>
      <c r="C1896" s="1" t="n">
        <v>45627</v>
      </c>
      <c r="D1896" t="inlineStr">
        <is>
          <t>VÄRMLANDS LÄN</t>
        </is>
      </c>
      <c r="E1896" t="inlineStr">
        <is>
          <t>TORSBY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55461-2023</t>
        </is>
      </c>
      <c r="B1897" s="1" t="n">
        <v>45238</v>
      </c>
      <c r="C1897" s="1" t="n">
        <v>45627</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55480-2023</t>
        </is>
      </c>
      <c r="B1898" s="1" t="n">
        <v>45238</v>
      </c>
      <c r="C1898" s="1" t="n">
        <v>45627</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55485-2023</t>
        </is>
      </c>
      <c r="B1899" s="1" t="n">
        <v>45238</v>
      </c>
      <c r="C1899" s="1" t="n">
        <v>45627</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55478-2023</t>
        </is>
      </c>
      <c r="B1900" s="1" t="n">
        <v>45238</v>
      </c>
      <c r="C1900" s="1" t="n">
        <v>45627</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55522-2023</t>
        </is>
      </c>
      <c r="B1901" s="1" t="n">
        <v>45238</v>
      </c>
      <c r="C1901" s="1" t="n">
        <v>45627</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55527-2023</t>
        </is>
      </c>
      <c r="B1902" s="1" t="n">
        <v>45238</v>
      </c>
      <c r="C1902" s="1" t="n">
        <v>45627</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56716-2023</t>
        </is>
      </c>
      <c r="B1903" s="1" t="n">
        <v>45238</v>
      </c>
      <c r="C1903" s="1" t="n">
        <v>45627</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56712-2023</t>
        </is>
      </c>
      <c r="B1904" s="1" t="n">
        <v>45238</v>
      </c>
      <c r="C1904" s="1" t="n">
        <v>45627</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55447-2023</t>
        </is>
      </c>
      <c r="B1905" s="1" t="n">
        <v>45238</v>
      </c>
      <c r="C1905" s="1" t="n">
        <v>45627</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56714-2023</t>
        </is>
      </c>
      <c r="B1906" s="1" t="n">
        <v>45238</v>
      </c>
      <c r="C1906" s="1" t="n">
        <v>45627</v>
      </c>
      <c r="D1906" t="inlineStr">
        <is>
          <t>VÄRMLANDS LÄN</t>
        </is>
      </c>
      <c r="E1906" t="inlineStr">
        <is>
          <t>TORSBY</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55759-2023</t>
        </is>
      </c>
      <c r="B1907" s="1" t="n">
        <v>45239</v>
      </c>
      <c r="C1907" s="1" t="n">
        <v>45627</v>
      </c>
      <c r="D1907" t="inlineStr">
        <is>
          <t>VÄRMLANDS LÄN</t>
        </is>
      </c>
      <c r="E1907" t="inlineStr">
        <is>
          <t>TORSBY</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57092-2023</t>
        </is>
      </c>
      <c r="B1908" s="1" t="n">
        <v>45239</v>
      </c>
      <c r="C1908" s="1" t="n">
        <v>45627</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57091-2023</t>
        </is>
      </c>
      <c r="B1909" s="1" t="n">
        <v>45239</v>
      </c>
      <c r="C1909" s="1" t="n">
        <v>45627</v>
      </c>
      <c r="D1909" t="inlineStr">
        <is>
          <t>VÄRMLANDS LÄN</t>
        </is>
      </c>
      <c r="E1909" t="inlineStr">
        <is>
          <t>TORSBY</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56889-2023</t>
        </is>
      </c>
      <c r="B1910" s="1" t="n">
        <v>45239</v>
      </c>
      <c r="C1910" s="1" t="n">
        <v>45627</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55727-2023</t>
        </is>
      </c>
      <c r="B1911" s="1" t="n">
        <v>45239</v>
      </c>
      <c r="C1911" s="1" t="n">
        <v>45627</v>
      </c>
      <c r="D1911" t="inlineStr">
        <is>
          <t>VÄRMLANDS LÄN</t>
        </is>
      </c>
      <c r="E1911" t="inlineStr">
        <is>
          <t>TORSBY</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56164-2023</t>
        </is>
      </c>
      <c r="B1912" s="1" t="n">
        <v>45240</v>
      </c>
      <c r="C1912" s="1" t="n">
        <v>45627</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56170-2023</t>
        </is>
      </c>
      <c r="B1913" s="1" t="n">
        <v>45240</v>
      </c>
      <c r="C1913" s="1" t="n">
        <v>45627</v>
      </c>
      <c r="D1913" t="inlineStr">
        <is>
          <t>VÄRMLANDS LÄN</t>
        </is>
      </c>
      <c r="E1913" t="inlineStr">
        <is>
          <t>TORSBY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56116-2023</t>
        </is>
      </c>
      <c r="B1914" s="1" t="n">
        <v>45240</v>
      </c>
      <c r="C1914" s="1" t="n">
        <v>45627</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56021-2023</t>
        </is>
      </c>
      <c r="B1915" s="1" t="n">
        <v>45240</v>
      </c>
      <c r="C1915" s="1" t="n">
        <v>45627</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56426-2023</t>
        </is>
      </c>
      <c r="B1916" s="1" t="n">
        <v>45243</v>
      </c>
      <c r="C1916" s="1" t="n">
        <v>45627</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56724-2023</t>
        </is>
      </c>
      <c r="B1917" s="1" t="n">
        <v>45244</v>
      </c>
      <c r="C1917" s="1" t="n">
        <v>45627</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56880-2023</t>
        </is>
      </c>
      <c r="B1918" s="1" t="n">
        <v>45244</v>
      </c>
      <c r="C1918" s="1" t="n">
        <v>45627</v>
      </c>
      <c r="D1918" t="inlineStr">
        <is>
          <t>VÄRMLANDS LÄN</t>
        </is>
      </c>
      <c r="E1918" t="inlineStr">
        <is>
          <t>TORSBY</t>
        </is>
      </c>
      <c r="F1918" t="inlineStr">
        <is>
          <t>Övriga Aktiebolag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56881-2023</t>
        </is>
      </c>
      <c r="B1919" s="1" t="n">
        <v>45244</v>
      </c>
      <c r="C1919" s="1" t="n">
        <v>45627</v>
      </c>
      <c r="D1919" t="inlineStr">
        <is>
          <t>VÄRMLANDS LÄN</t>
        </is>
      </c>
      <c r="E1919" t="inlineStr">
        <is>
          <t>TORSBY</t>
        </is>
      </c>
      <c r="F1919" t="inlineStr">
        <is>
          <t>Övriga Aktiebolag</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56875-2023</t>
        </is>
      </c>
      <c r="B1920" s="1" t="n">
        <v>45244</v>
      </c>
      <c r="C1920" s="1" t="n">
        <v>45627</v>
      </c>
      <c r="D1920" t="inlineStr">
        <is>
          <t>VÄRMLANDS LÄN</t>
        </is>
      </c>
      <c r="E1920" t="inlineStr">
        <is>
          <t>TORSBY</t>
        </is>
      </c>
      <c r="F1920" t="inlineStr">
        <is>
          <t>Övriga Aktiebolag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56811-2023</t>
        </is>
      </c>
      <c r="B1921" s="1" t="n">
        <v>45244</v>
      </c>
      <c r="C1921" s="1" t="n">
        <v>45627</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56815-2023</t>
        </is>
      </c>
      <c r="B1922" s="1" t="n">
        <v>45244</v>
      </c>
      <c r="C1922" s="1" t="n">
        <v>45627</v>
      </c>
      <c r="D1922" t="inlineStr">
        <is>
          <t>VÄRMLANDS LÄN</t>
        </is>
      </c>
      <c r="E1922" t="inlineStr">
        <is>
          <t>TORSBY</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56902-2023</t>
        </is>
      </c>
      <c r="B1923" s="1" t="n">
        <v>45244</v>
      </c>
      <c r="C1923" s="1" t="n">
        <v>45627</v>
      </c>
      <c r="D1923" t="inlineStr">
        <is>
          <t>VÄRMLANDS LÄN</t>
        </is>
      </c>
      <c r="E1923" t="inlineStr">
        <is>
          <t>TORSBY</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56970-2023</t>
        </is>
      </c>
      <c r="B1924" s="1" t="n">
        <v>45244</v>
      </c>
      <c r="C1924" s="1" t="n">
        <v>45627</v>
      </c>
      <c r="D1924" t="inlineStr">
        <is>
          <t>VÄRMLANDS LÄN</t>
        </is>
      </c>
      <c r="E1924" t="inlineStr">
        <is>
          <t>TORSBY</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57017-2023</t>
        </is>
      </c>
      <c r="B1925" s="1" t="n">
        <v>45244</v>
      </c>
      <c r="C1925" s="1" t="n">
        <v>45627</v>
      </c>
      <c r="D1925" t="inlineStr">
        <is>
          <t>VÄRMLANDS LÄN</t>
        </is>
      </c>
      <c r="E1925" t="inlineStr">
        <is>
          <t>TORSBY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57117-2023</t>
        </is>
      </c>
      <c r="B1926" s="1" t="n">
        <v>45245</v>
      </c>
      <c r="C1926" s="1" t="n">
        <v>45627</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57143-2023</t>
        </is>
      </c>
      <c r="B1927" s="1" t="n">
        <v>45245</v>
      </c>
      <c r="C1927" s="1" t="n">
        <v>45627</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57345-2023</t>
        </is>
      </c>
      <c r="B1928" s="1" t="n">
        <v>45245</v>
      </c>
      <c r="C1928" s="1" t="n">
        <v>45627</v>
      </c>
      <c r="D1928" t="inlineStr">
        <is>
          <t>VÄRMLANDS LÄN</t>
        </is>
      </c>
      <c r="E1928" t="inlineStr">
        <is>
          <t>TORSBY</t>
        </is>
      </c>
      <c r="F1928" t="inlineStr">
        <is>
          <t>Bergvik skog väst AB</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57135-2023</t>
        </is>
      </c>
      <c r="B1929" s="1" t="n">
        <v>45245</v>
      </c>
      <c r="C1929" s="1" t="n">
        <v>45627</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57216-2023</t>
        </is>
      </c>
      <c r="B1930" s="1" t="n">
        <v>45245</v>
      </c>
      <c r="C1930" s="1" t="n">
        <v>45627</v>
      </c>
      <c r="D1930" t="inlineStr">
        <is>
          <t>VÄRMLANDS LÄN</t>
        </is>
      </c>
      <c r="E1930" t="inlineStr">
        <is>
          <t>TORSBY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57538-2023</t>
        </is>
      </c>
      <c r="B1931" s="1" t="n">
        <v>45246</v>
      </c>
      <c r="C1931" s="1" t="n">
        <v>45627</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57547-2023</t>
        </is>
      </c>
      <c r="B1932" s="1" t="n">
        <v>45246</v>
      </c>
      <c r="C1932" s="1" t="n">
        <v>45627</v>
      </c>
      <c r="D1932" t="inlineStr">
        <is>
          <t>VÄRMLANDS LÄN</t>
        </is>
      </c>
      <c r="E1932" t="inlineStr">
        <is>
          <t>TORSBY</t>
        </is>
      </c>
      <c r="F1932" t="inlineStr">
        <is>
          <t>Bergvik skog väst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57569-2023</t>
        </is>
      </c>
      <c r="B1933" s="1" t="n">
        <v>45246</v>
      </c>
      <c r="C1933" s="1" t="n">
        <v>45627</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57647-2023</t>
        </is>
      </c>
      <c r="B1934" s="1" t="n">
        <v>45246</v>
      </c>
      <c r="C1934" s="1" t="n">
        <v>45627</v>
      </c>
      <c r="D1934" t="inlineStr">
        <is>
          <t>VÄRMLANDS LÄN</t>
        </is>
      </c>
      <c r="E1934" t="inlineStr">
        <is>
          <t>TORSBY</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57642-2023</t>
        </is>
      </c>
      <c r="B1935" s="1" t="n">
        <v>45246</v>
      </c>
      <c r="C1935" s="1" t="n">
        <v>45627</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57921-2023</t>
        </is>
      </c>
      <c r="B1936" s="1" t="n">
        <v>45247</v>
      </c>
      <c r="C1936" s="1" t="n">
        <v>45627</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58013-2023</t>
        </is>
      </c>
      <c r="B1937" s="1" t="n">
        <v>45247</v>
      </c>
      <c r="C1937" s="1" t="n">
        <v>45627</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57980-2023</t>
        </is>
      </c>
      <c r="B1938" s="1" t="n">
        <v>45247</v>
      </c>
      <c r="C1938" s="1" t="n">
        <v>45627</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57990-2023</t>
        </is>
      </c>
      <c r="B1939" s="1" t="n">
        <v>45247</v>
      </c>
      <c r="C1939" s="1" t="n">
        <v>45627</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58037-2023</t>
        </is>
      </c>
      <c r="B1940" s="1" t="n">
        <v>45247</v>
      </c>
      <c r="C1940" s="1" t="n">
        <v>45627</v>
      </c>
      <c r="D1940" t="inlineStr">
        <is>
          <t>VÄRMLANDS LÄN</t>
        </is>
      </c>
      <c r="E1940" t="inlineStr">
        <is>
          <t>TORSBY</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58600-2023</t>
        </is>
      </c>
      <c r="B1941" s="1" t="n">
        <v>45247</v>
      </c>
      <c r="C1941" s="1" t="n">
        <v>45627</v>
      </c>
      <c r="D1941" t="inlineStr">
        <is>
          <t>VÄRMLANDS LÄN</t>
        </is>
      </c>
      <c r="E1941" t="inlineStr">
        <is>
          <t>TORSBY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58185-2023</t>
        </is>
      </c>
      <c r="B1942" s="1" t="n">
        <v>45250</v>
      </c>
      <c r="C1942" s="1" t="n">
        <v>45627</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58386-2023</t>
        </is>
      </c>
      <c r="B1943" s="1" t="n">
        <v>45250</v>
      </c>
      <c r="C1943" s="1" t="n">
        <v>45627</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58430-2023</t>
        </is>
      </c>
      <c r="B1944" s="1" t="n">
        <v>45250</v>
      </c>
      <c r="C1944" s="1" t="n">
        <v>45627</v>
      </c>
      <c r="D1944" t="inlineStr">
        <is>
          <t>VÄRMLANDS LÄN</t>
        </is>
      </c>
      <c r="E1944" t="inlineStr">
        <is>
          <t>TORSBY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58438-2023</t>
        </is>
      </c>
      <c r="B1945" s="1" t="n">
        <v>45250</v>
      </c>
      <c r="C1945" s="1" t="n">
        <v>45627</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58394-2023</t>
        </is>
      </c>
      <c r="B1946" s="1" t="n">
        <v>45250</v>
      </c>
      <c r="C1946" s="1" t="n">
        <v>45627</v>
      </c>
      <c r="D1946" t="inlineStr">
        <is>
          <t>VÄRMLANDS LÄN</t>
        </is>
      </c>
      <c r="E1946" t="inlineStr">
        <is>
          <t>TORSBY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58235-2023</t>
        </is>
      </c>
      <c r="B1947" s="1" t="n">
        <v>45250</v>
      </c>
      <c r="C1947" s="1" t="n">
        <v>45627</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58429-2023</t>
        </is>
      </c>
      <c r="B1948" s="1" t="n">
        <v>45250</v>
      </c>
      <c r="C1948" s="1" t="n">
        <v>45627</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58378-2023</t>
        </is>
      </c>
      <c r="B1949" s="1" t="n">
        <v>45250</v>
      </c>
      <c r="C1949" s="1" t="n">
        <v>45627</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58383-2023</t>
        </is>
      </c>
      <c r="B1950" s="1" t="n">
        <v>45250</v>
      </c>
      <c r="C1950" s="1" t="n">
        <v>45627</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59256-2023</t>
        </is>
      </c>
      <c r="B1951" s="1" t="n">
        <v>45251</v>
      </c>
      <c r="C1951" s="1" t="n">
        <v>45627</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59239-2023</t>
        </is>
      </c>
      <c r="B1952" s="1" t="n">
        <v>45253</v>
      </c>
      <c r="C1952" s="1" t="n">
        <v>45627</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59236-2023</t>
        </is>
      </c>
      <c r="B1953" s="1" t="n">
        <v>45253</v>
      </c>
      <c r="C1953" s="1" t="n">
        <v>45627</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59488-2023</t>
        </is>
      </c>
      <c r="B1954" s="1" t="n">
        <v>45254</v>
      </c>
      <c r="C1954" s="1" t="n">
        <v>45627</v>
      </c>
      <c r="D1954" t="inlineStr">
        <is>
          <t>VÄRMLANDS LÄN</t>
        </is>
      </c>
      <c r="E1954" t="inlineStr">
        <is>
          <t>TORSBY</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59781-2023</t>
        </is>
      </c>
      <c r="B1955" s="1" t="n">
        <v>45257</v>
      </c>
      <c r="C1955" s="1" t="n">
        <v>45627</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59941-2023</t>
        </is>
      </c>
      <c r="B1956" s="1" t="n">
        <v>45257</v>
      </c>
      <c r="C1956" s="1" t="n">
        <v>45627</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59872-2023</t>
        </is>
      </c>
      <c r="B1957" s="1" t="n">
        <v>45257</v>
      </c>
      <c r="C1957" s="1" t="n">
        <v>45627</v>
      </c>
      <c r="D1957" t="inlineStr">
        <is>
          <t>VÄRMLANDS LÄN</t>
        </is>
      </c>
      <c r="E1957" t="inlineStr">
        <is>
          <t>TORSBY</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60058-2023</t>
        </is>
      </c>
      <c r="B1958" s="1" t="n">
        <v>45258</v>
      </c>
      <c r="C1958" s="1" t="n">
        <v>45627</v>
      </c>
      <c r="D1958" t="inlineStr">
        <is>
          <t>VÄRMLANDS LÄN</t>
        </is>
      </c>
      <c r="E1958" t="inlineStr">
        <is>
          <t>TORSBY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60046-2023</t>
        </is>
      </c>
      <c r="B1959" s="1" t="n">
        <v>45258</v>
      </c>
      <c r="C1959" s="1" t="n">
        <v>45627</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60100-2023</t>
        </is>
      </c>
      <c r="B1960" s="1" t="n">
        <v>45258</v>
      </c>
      <c r="C1960" s="1" t="n">
        <v>45627</v>
      </c>
      <c r="D1960" t="inlineStr">
        <is>
          <t>VÄRMLANDS LÄN</t>
        </is>
      </c>
      <c r="E1960" t="inlineStr">
        <is>
          <t>TORSBY</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60088-2023</t>
        </is>
      </c>
      <c r="B1961" s="1" t="n">
        <v>45258</v>
      </c>
      <c r="C1961" s="1" t="n">
        <v>45627</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60133-2023</t>
        </is>
      </c>
      <c r="B1962" s="1" t="n">
        <v>45258</v>
      </c>
      <c r="C1962" s="1" t="n">
        <v>45627</v>
      </c>
      <c r="D1962" t="inlineStr">
        <is>
          <t>VÄRMLANDS LÄN</t>
        </is>
      </c>
      <c r="E1962" t="inlineStr">
        <is>
          <t>TORSBY</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60314-2023</t>
        </is>
      </c>
      <c r="B1963" s="1" t="n">
        <v>45258</v>
      </c>
      <c r="C1963" s="1" t="n">
        <v>45627</v>
      </c>
      <c r="D1963" t="inlineStr">
        <is>
          <t>VÄRMLANDS LÄN</t>
        </is>
      </c>
      <c r="E1963" t="inlineStr">
        <is>
          <t>TORSBY</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60523-2023</t>
        </is>
      </c>
      <c r="B1964" s="1" t="n">
        <v>45259</v>
      </c>
      <c r="C1964" s="1" t="n">
        <v>45627</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60486-2023</t>
        </is>
      </c>
      <c r="B1965" s="1" t="n">
        <v>45259</v>
      </c>
      <c r="C1965" s="1" t="n">
        <v>45627</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60525-2023</t>
        </is>
      </c>
      <c r="B1966" s="1" t="n">
        <v>45259</v>
      </c>
      <c r="C1966" s="1" t="n">
        <v>45627</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61157-2023</t>
        </is>
      </c>
      <c r="B1967" s="1" t="n">
        <v>45262</v>
      </c>
      <c r="C1967" s="1" t="n">
        <v>45627</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61164-2023</t>
        </is>
      </c>
      <c r="B1968" s="1" t="n">
        <v>45262</v>
      </c>
      <c r="C1968" s="1" t="n">
        <v>45627</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61229-2023</t>
        </is>
      </c>
      <c r="B1969" s="1" t="n">
        <v>45264</v>
      </c>
      <c r="C1969" s="1" t="n">
        <v>45627</v>
      </c>
      <c r="D1969" t="inlineStr">
        <is>
          <t>VÄRMLANDS LÄN</t>
        </is>
      </c>
      <c r="E1969" t="inlineStr">
        <is>
          <t>TORSBY</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61256-2023</t>
        </is>
      </c>
      <c r="B1970" s="1" t="n">
        <v>45264</v>
      </c>
      <c r="C1970" s="1" t="n">
        <v>45627</v>
      </c>
      <c r="D1970" t="inlineStr">
        <is>
          <t>VÄRMLANDS LÄN</t>
        </is>
      </c>
      <c r="E1970" t="inlineStr">
        <is>
          <t>TORSBY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61370-2023</t>
        </is>
      </c>
      <c r="B1971" s="1" t="n">
        <v>45264</v>
      </c>
      <c r="C1971" s="1" t="n">
        <v>45627</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61923-2023</t>
        </is>
      </c>
      <c r="B1972" s="1" t="n">
        <v>45266</v>
      </c>
      <c r="C1972" s="1" t="n">
        <v>45627</v>
      </c>
      <c r="D1972" t="inlineStr">
        <is>
          <t>VÄRMLANDS LÄN</t>
        </is>
      </c>
      <c r="E1972" t="inlineStr">
        <is>
          <t>TORSBY</t>
        </is>
      </c>
      <c r="F1972" t="inlineStr">
        <is>
          <t>Kommuner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61921-2023</t>
        </is>
      </c>
      <c r="B1973" s="1" t="n">
        <v>45266</v>
      </c>
      <c r="C1973" s="1" t="n">
        <v>45627</v>
      </c>
      <c r="D1973" t="inlineStr">
        <is>
          <t>VÄRMLANDS LÄN</t>
        </is>
      </c>
      <c r="E1973" t="inlineStr">
        <is>
          <t>TORSBY</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62037-2023</t>
        </is>
      </c>
      <c r="B1974" s="1" t="n">
        <v>45266</v>
      </c>
      <c r="C1974" s="1" t="n">
        <v>45627</v>
      </c>
      <c r="D1974" t="inlineStr">
        <is>
          <t>VÄRMLANDS LÄN</t>
        </is>
      </c>
      <c r="E1974" t="inlineStr">
        <is>
          <t>TORSBY</t>
        </is>
      </c>
      <c r="F1974" t="inlineStr">
        <is>
          <t>Bergvik skog väst AB</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62258-2023</t>
        </is>
      </c>
      <c r="B1975" s="1" t="n">
        <v>45266</v>
      </c>
      <c r="C1975" s="1" t="n">
        <v>45627</v>
      </c>
      <c r="D1975" t="inlineStr">
        <is>
          <t>VÄRMLANDS LÄN</t>
        </is>
      </c>
      <c r="E1975" t="inlineStr">
        <is>
          <t>TORSBY</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62250-2023</t>
        </is>
      </c>
      <c r="B1976" s="1" t="n">
        <v>45266</v>
      </c>
      <c r="C1976" s="1" t="n">
        <v>45627</v>
      </c>
      <c r="D1976" t="inlineStr">
        <is>
          <t>VÄRMLANDS LÄN</t>
        </is>
      </c>
      <c r="E1976" t="inlineStr">
        <is>
          <t>TORSBY</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62274-2023</t>
        </is>
      </c>
      <c r="B1977" s="1" t="n">
        <v>45267</v>
      </c>
      <c r="C1977" s="1" t="n">
        <v>45627</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62168-2023</t>
        </is>
      </c>
      <c r="B1978" s="1" t="n">
        <v>45267</v>
      </c>
      <c r="C1978" s="1" t="n">
        <v>45627</v>
      </c>
      <c r="D1978" t="inlineStr">
        <is>
          <t>VÄRMLANDS LÄN</t>
        </is>
      </c>
      <c r="E1978" t="inlineStr">
        <is>
          <t>TORSBY</t>
        </is>
      </c>
      <c r="F1978" t="inlineStr">
        <is>
          <t>Kommuner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62210-2023</t>
        </is>
      </c>
      <c r="B1979" s="1" t="n">
        <v>45267</v>
      </c>
      <c r="C1979" s="1" t="n">
        <v>45627</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62236-2023</t>
        </is>
      </c>
      <c r="B1980" s="1" t="n">
        <v>45267</v>
      </c>
      <c r="C1980" s="1" t="n">
        <v>45627</v>
      </c>
      <c r="D1980" t="inlineStr">
        <is>
          <t>VÄRMLANDS LÄN</t>
        </is>
      </c>
      <c r="E1980" t="inlineStr">
        <is>
          <t>TORSBY</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62240-2023</t>
        </is>
      </c>
      <c r="B1981" s="1" t="n">
        <v>45267</v>
      </c>
      <c r="C1981" s="1" t="n">
        <v>45627</v>
      </c>
      <c r="D1981" t="inlineStr">
        <is>
          <t>VÄRMLANDS LÄN</t>
        </is>
      </c>
      <c r="E1981" t="inlineStr">
        <is>
          <t>TORSBY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62317-2023</t>
        </is>
      </c>
      <c r="B1982" s="1" t="n">
        <v>45267</v>
      </c>
      <c r="C1982" s="1" t="n">
        <v>45627</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62507-2023</t>
        </is>
      </c>
      <c r="B1983" s="1" t="n">
        <v>45267</v>
      </c>
      <c r="C1983" s="1" t="n">
        <v>45627</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62387-2023</t>
        </is>
      </c>
      <c r="B1984" s="1" t="n">
        <v>45268</v>
      </c>
      <c r="C1984" s="1" t="n">
        <v>45627</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62445-2023</t>
        </is>
      </c>
      <c r="B1985" s="1" t="n">
        <v>45268</v>
      </c>
      <c r="C1985" s="1" t="n">
        <v>45627</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62510-2023</t>
        </is>
      </c>
      <c r="B1986" s="1" t="n">
        <v>45268</v>
      </c>
      <c r="C1986" s="1" t="n">
        <v>45627</v>
      </c>
      <c r="D1986" t="inlineStr">
        <is>
          <t>VÄRMLANDS LÄN</t>
        </is>
      </c>
      <c r="E1986" t="inlineStr">
        <is>
          <t>TORSBY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62618-2023</t>
        </is>
      </c>
      <c r="B1987" s="1" t="n">
        <v>45271</v>
      </c>
      <c r="C1987" s="1" t="n">
        <v>45627</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62957-2023</t>
        </is>
      </c>
      <c r="B1988" s="1" t="n">
        <v>45271</v>
      </c>
      <c r="C1988" s="1" t="n">
        <v>45627</v>
      </c>
      <c r="D1988" t="inlineStr">
        <is>
          <t>VÄRMLANDS LÄN</t>
        </is>
      </c>
      <c r="E1988" t="inlineStr">
        <is>
          <t>TORSBY</t>
        </is>
      </c>
      <c r="F1988" t="inlineStr">
        <is>
          <t>Övriga statliga verk och myndigheter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62950-2023</t>
        </is>
      </c>
      <c r="B1989" s="1" t="n">
        <v>45271</v>
      </c>
      <c r="C1989" s="1" t="n">
        <v>45627</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63030-2023</t>
        </is>
      </c>
      <c r="B1990" s="1" t="n">
        <v>45272</v>
      </c>
      <c r="C1990" s="1" t="n">
        <v>45627</v>
      </c>
      <c r="D1990" t="inlineStr">
        <is>
          <t>VÄRMLANDS LÄN</t>
        </is>
      </c>
      <c r="E1990" t="inlineStr">
        <is>
          <t>TORSBY</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63031-2023</t>
        </is>
      </c>
      <c r="B1991" s="1" t="n">
        <v>45272</v>
      </c>
      <c r="C1991" s="1" t="n">
        <v>45627</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63028-2023</t>
        </is>
      </c>
      <c r="B1992" s="1" t="n">
        <v>45272</v>
      </c>
      <c r="C1992" s="1" t="n">
        <v>45627</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63032-2023</t>
        </is>
      </c>
      <c r="B1993" s="1" t="n">
        <v>45272</v>
      </c>
      <c r="C1993" s="1" t="n">
        <v>45627</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63177-2023</t>
        </is>
      </c>
      <c r="B1994" s="1" t="n">
        <v>45272</v>
      </c>
      <c r="C1994" s="1" t="n">
        <v>45627</v>
      </c>
      <c r="D1994" t="inlineStr">
        <is>
          <t>VÄRMLANDS LÄN</t>
        </is>
      </c>
      <c r="E1994" t="inlineStr">
        <is>
          <t>TORSBY</t>
        </is>
      </c>
      <c r="G1994" t="n">
        <v>14.9</v>
      </c>
      <c r="H1994" t="n">
        <v>0</v>
      </c>
      <c r="I1994" t="n">
        <v>0</v>
      </c>
      <c r="J1994" t="n">
        <v>0</v>
      </c>
      <c r="K1994" t="n">
        <v>0</v>
      </c>
      <c r="L1994" t="n">
        <v>0</v>
      </c>
      <c r="M1994" t="n">
        <v>0</v>
      </c>
      <c r="N1994" t="n">
        <v>0</v>
      </c>
      <c r="O1994" t="n">
        <v>0</v>
      </c>
      <c r="P1994" t="n">
        <v>0</v>
      </c>
      <c r="Q1994" t="n">
        <v>0</v>
      </c>
      <c r="R1994" s="2" t="inlineStr"/>
    </row>
    <row r="1995" ht="15" customHeight="1">
      <c r="A1995" t="inlineStr">
        <is>
          <t>A 63160-2023</t>
        </is>
      </c>
      <c r="B1995" s="1" t="n">
        <v>45273</v>
      </c>
      <c r="C1995" s="1" t="n">
        <v>45627</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63146-2023</t>
        </is>
      </c>
      <c r="B1996" s="1" t="n">
        <v>45273</v>
      </c>
      <c r="C1996" s="1" t="n">
        <v>45627</v>
      </c>
      <c r="D1996" t="inlineStr">
        <is>
          <t>VÄRMLANDS LÄN</t>
        </is>
      </c>
      <c r="E1996" t="inlineStr">
        <is>
          <t>TORSBY</t>
        </is>
      </c>
      <c r="F1996" t="inlineStr">
        <is>
          <t>Bergvik skog väst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63266-2023</t>
        </is>
      </c>
      <c r="B1997" s="1" t="n">
        <v>45273</v>
      </c>
      <c r="C1997" s="1" t="n">
        <v>45627</v>
      </c>
      <c r="D1997" t="inlineStr">
        <is>
          <t>VÄRMLANDS LÄN</t>
        </is>
      </c>
      <c r="E1997" t="inlineStr">
        <is>
          <t>TORSBY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63083-2023</t>
        </is>
      </c>
      <c r="B1998" s="1" t="n">
        <v>45273</v>
      </c>
      <c r="C1998" s="1" t="n">
        <v>45627</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63244-2023</t>
        </is>
      </c>
      <c r="B1999" s="1" t="n">
        <v>45273</v>
      </c>
      <c r="C1999" s="1" t="n">
        <v>45627</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63158-2023</t>
        </is>
      </c>
      <c r="B2000" s="1" t="n">
        <v>45273</v>
      </c>
      <c r="C2000" s="1" t="n">
        <v>45627</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63363-2023</t>
        </is>
      </c>
      <c r="B2001" s="1" t="n">
        <v>45273</v>
      </c>
      <c r="C2001" s="1" t="n">
        <v>45627</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63399-2023</t>
        </is>
      </c>
      <c r="B2002" s="1" t="n">
        <v>45274</v>
      </c>
      <c r="C2002" s="1" t="n">
        <v>45627</v>
      </c>
      <c r="D2002" t="inlineStr">
        <is>
          <t>VÄRMLANDS LÄN</t>
        </is>
      </c>
      <c r="E2002" t="inlineStr">
        <is>
          <t>TORSBY</t>
        </is>
      </c>
      <c r="F2002" t="inlineStr">
        <is>
          <t>Bergvik skog väst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63409-2023</t>
        </is>
      </c>
      <c r="B2003" s="1" t="n">
        <v>45274</v>
      </c>
      <c r="C2003" s="1" t="n">
        <v>45627</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63821-2023</t>
        </is>
      </c>
      <c r="B2004" s="1" t="n">
        <v>45275</v>
      </c>
      <c r="C2004" s="1" t="n">
        <v>45627</v>
      </c>
      <c r="D2004" t="inlineStr">
        <is>
          <t>VÄRMLANDS LÄN</t>
        </is>
      </c>
      <c r="E2004" t="inlineStr">
        <is>
          <t>TORSBY</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63820-2023</t>
        </is>
      </c>
      <c r="B2005" s="1" t="n">
        <v>45278</v>
      </c>
      <c r="C2005" s="1" t="n">
        <v>45627</v>
      </c>
      <c r="D2005" t="inlineStr">
        <is>
          <t>VÄRMLANDS LÄN</t>
        </is>
      </c>
      <c r="E2005" t="inlineStr">
        <is>
          <t>TORSBY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63866-2023</t>
        </is>
      </c>
      <c r="B2006" s="1" t="n">
        <v>45278</v>
      </c>
      <c r="C2006" s="1" t="n">
        <v>45627</v>
      </c>
      <c r="D2006" t="inlineStr">
        <is>
          <t>VÄRMLANDS LÄN</t>
        </is>
      </c>
      <c r="E2006" t="inlineStr">
        <is>
          <t>TORSBY</t>
        </is>
      </c>
      <c r="F2006" t="inlineStr">
        <is>
          <t>Bergvik skog väst AB</t>
        </is>
      </c>
      <c r="G2006" t="n">
        <v>58.2</v>
      </c>
      <c r="H2006" t="n">
        <v>0</v>
      </c>
      <c r="I2006" t="n">
        <v>0</v>
      </c>
      <c r="J2006" t="n">
        <v>0</v>
      </c>
      <c r="K2006" t="n">
        <v>0</v>
      </c>
      <c r="L2006" t="n">
        <v>0</v>
      </c>
      <c r="M2006" t="n">
        <v>0</v>
      </c>
      <c r="N2006" t="n">
        <v>0</v>
      </c>
      <c r="O2006" t="n">
        <v>0</v>
      </c>
      <c r="P2006" t="n">
        <v>0</v>
      </c>
      <c r="Q2006" t="n">
        <v>0</v>
      </c>
      <c r="R2006" s="2" t="inlineStr"/>
    </row>
    <row r="2007" ht="15" customHeight="1">
      <c r="A2007" t="inlineStr">
        <is>
          <t>A 63955-2023</t>
        </is>
      </c>
      <c r="B2007" s="1" t="n">
        <v>45278</v>
      </c>
      <c r="C2007" s="1" t="n">
        <v>45627</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63967-2023</t>
        </is>
      </c>
      <c r="B2008" s="1" t="n">
        <v>45278</v>
      </c>
      <c r="C2008" s="1" t="n">
        <v>45627</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64162-2023</t>
        </is>
      </c>
      <c r="B2009" s="1" t="n">
        <v>45279</v>
      </c>
      <c r="C2009" s="1" t="n">
        <v>45627</v>
      </c>
      <c r="D2009" t="inlineStr">
        <is>
          <t>VÄRMLANDS LÄN</t>
        </is>
      </c>
      <c r="E2009" t="inlineStr">
        <is>
          <t>TORSBY</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64432-2023</t>
        </is>
      </c>
      <c r="B2010" s="1" t="n">
        <v>45280</v>
      </c>
      <c r="C2010" s="1" t="n">
        <v>45627</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64389-2023</t>
        </is>
      </c>
      <c r="B2011" s="1" t="n">
        <v>45280</v>
      </c>
      <c r="C2011" s="1" t="n">
        <v>45627</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64454-2023</t>
        </is>
      </c>
      <c r="B2012" s="1" t="n">
        <v>45280</v>
      </c>
      <c r="C2012" s="1" t="n">
        <v>45627</v>
      </c>
      <c r="D2012" t="inlineStr">
        <is>
          <t>VÄRMLANDS LÄN</t>
        </is>
      </c>
      <c r="E2012" t="inlineStr">
        <is>
          <t>TORSBY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64395-2023</t>
        </is>
      </c>
      <c r="B2013" s="1" t="n">
        <v>45280</v>
      </c>
      <c r="C2013" s="1" t="n">
        <v>45627</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64400-2023</t>
        </is>
      </c>
      <c r="B2014" s="1" t="n">
        <v>45280</v>
      </c>
      <c r="C2014" s="1" t="n">
        <v>45627</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64429-2023</t>
        </is>
      </c>
      <c r="B2015" s="1" t="n">
        <v>45280</v>
      </c>
      <c r="C2015" s="1" t="n">
        <v>45627</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64590-2023</t>
        </is>
      </c>
      <c r="B2016" s="1" t="n">
        <v>45281</v>
      </c>
      <c r="C2016" s="1" t="n">
        <v>45627</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64602-2023</t>
        </is>
      </c>
      <c r="B2017" s="1" t="n">
        <v>45281</v>
      </c>
      <c r="C2017" s="1" t="n">
        <v>45627</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64641-2023</t>
        </is>
      </c>
      <c r="B2018" s="1" t="n">
        <v>45281</v>
      </c>
      <c r="C2018" s="1" t="n">
        <v>45627</v>
      </c>
      <c r="D2018" t="inlineStr">
        <is>
          <t>VÄRMLANDS LÄN</t>
        </is>
      </c>
      <c r="E2018" t="inlineStr">
        <is>
          <t>TORSBY</t>
        </is>
      </c>
      <c r="F2018" t="inlineStr">
        <is>
          <t>Bergvik skog väst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64671-2023</t>
        </is>
      </c>
      <c r="B2019" s="1" t="n">
        <v>45281</v>
      </c>
      <c r="C2019" s="1" t="n">
        <v>45627</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64664-2023</t>
        </is>
      </c>
      <c r="B2020" s="1" t="n">
        <v>45281</v>
      </c>
      <c r="C2020" s="1" t="n">
        <v>45627</v>
      </c>
      <c r="D2020" t="inlineStr">
        <is>
          <t>VÄRMLANDS LÄN</t>
        </is>
      </c>
      <c r="E2020" t="inlineStr">
        <is>
          <t>TORSBY</t>
        </is>
      </c>
      <c r="F2020" t="inlineStr">
        <is>
          <t>Bergvik skog väst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64672-2023</t>
        </is>
      </c>
      <c r="B2021" s="1" t="n">
        <v>45281</v>
      </c>
      <c r="C2021" s="1" t="n">
        <v>45627</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64640-2023</t>
        </is>
      </c>
      <c r="B2022" s="1" t="n">
        <v>45281</v>
      </c>
      <c r="C2022" s="1" t="n">
        <v>45627</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65081-2023</t>
        </is>
      </c>
      <c r="B2023" s="1" t="n">
        <v>45288</v>
      </c>
      <c r="C2023" s="1" t="n">
        <v>45627</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65134-2023</t>
        </is>
      </c>
      <c r="B2024" s="1" t="n">
        <v>45288</v>
      </c>
      <c r="C2024" s="1" t="n">
        <v>45627</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65204-2023</t>
        </is>
      </c>
      <c r="B2025" s="1" t="n">
        <v>45289</v>
      </c>
      <c r="C2025" s="1" t="n">
        <v>45627</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173-2024</t>
        </is>
      </c>
      <c r="B2026" s="1" t="n">
        <v>45294</v>
      </c>
      <c r="C2026" s="1" t="n">
        <v>45627</v>
      </c>
      <c r="D2026" t="inlineStr">
        <is>
          <t>VÄRMLANDS LÄN</t>
        </is>
      </c>
      <c r="E2026" t="inlineStr">
        <is>
          <t>TORSBY</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119-2024</t>
        </is>
      </c>
      <c r="B2027" s="1" t="n">
        <v>45294</v>
      </c>
      <c r="C2027" s="1" t="n">
        <v>45627</v>
      </c>
      <c r="D2027" t="inlineStr">
        <is>
          <t>VÄRMLANDS LÄN</t>
        </is>
      </c>
      <c r="E2027" t="inlineStr">
        <is>
          <t>TORSBY</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144-2024</t>
        </is>
      </c>
      <c r="B2028" s="1" t="n">
        <v>45294</v>
      </c>
      <c r="C2028" s="1" t="n">
        <v>45627</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234-2024</t>
        </is>
      </c>
      <c r="B2029" s="1" t="n">
        <v>45294</v>
      </c>
      <c r="C2029" s="1" t="n">
        <v>45627</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176-2024</t>
        </is>
      </c>
      <c r="B2030" s="1" t="n">
        <v>45294</v>
      </c>
      <c r="C2030" s="1" t="n">
        <v>45627</v>
      </c>
      <c r="D2030" t="inlineStr">
        <is>
          <t>VÄRMLANDS LÄN</t>
        </is>
      </c>
      <c r="E2030" t="inlineStr">
        <is>
          <t>TORSBY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235-2024</t>
        </is>
      </c>
      <c r="B2031" s="1" t="n">
        <v>45294</v>
      </c>
      <c r="C2031" s="1" t="n">
        <v>45627</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236-2024</t>
        </is>
      </c>
      <c r="B2032" s="1" t="n">
        <v>45294</v>
      </c>
      <c r="C2032" s="1" t="n">
        <v>45627</v>
      </c>
      <c r="D2032" t="inlineStr">
        <is>
          <t>VÄRMLANDS LÄN</t>
        </is>
      </c>
      <c r="E2032" t="inlineStr">
        <is>
          <t>TORSBY</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266-2024</t>
        </is>
      </c>
      <c r="B2033" s="1" t="n">
        <v>45295</v>
      </c>
      <c r="C2033" s="1" t="n">
        <v>45627</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276-2024</t>
        </is>
      </c>
      <c r="B2034" s="1" t="n">
        <v>45295</v>
      </c>
      <c r="C2034" s="1" t="n">
        <v>45627</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324-2024</t>
        </is>
      </c>
      <c r="B2035" s="1" t="n">
        <v>45295</v>
      </c>
      <c r="C2035" s="1" t="n">
        <v>45627</v>
      </c>
      <c r="D2035" t="inlineStr">
        <is>
          <t>VÄRMLANDS LÄN</t>
        </is>
      </c>
      <c r="E2035" t="inlineStr">
        <is>
          <t>TORSBY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423-2024</t>
        </is>
      </c>
      <c r="B2036" s="1" t="n">
        <v>45296</v>
      </c>
      <c r="C2036" s="1" t="n">
        <v>45627</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502-2024</t>
        </is>
      </c>
      <c r="B2037" s="1" t="n">
        <v>45299</v>
      </c>
      <c r="C2037" s="1" t="n">
        <v>45627</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737-2024</t>
        </is>
      </c>
      <c r="B2038" s="1" t="n">
        <v>45300</v>
      </c>
      <c r="C2038" s="1" t="n">
        <v>45627</v>
      </c>
      <c r="D2038" t="inlineStr">
        <is>
          <t>VÄRMLANDS LÄN</t>
        </is>
      </c>
      <c r="E2038" t="inlineStr">
        <is>
          <t>TORSBY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714-2024</t>
        </is>
      </c>
      <c r="B2039" s="1" t="n">
        <v>45300</v>
      </c>
      <c r="C2039" s="1" t="n">
        <v>45627</v>
      </c>
      <c r="D2039" t="inlineStr">
        <is>
          <t>VÄRMLANDS LÄN</t>
        </is>
      </c>
      <c r="E2039" t="inlineStr">
        <is>
          <t>TORSBY</t>
        </is>
      </c>
      <c r="G2039" t="n">
        <v>18.1</v>
      </c>
      <c r="H2039" t="n">
        <v>0</v>
      </c>
      <c r="I2039" t="n">
        <v>0</v>
      </c>
      <c r="J2039" t="n">
        <v>0</v>
      </c>
      <c r="K2039" t="n">
        <v>0</v>
      </c>
      <c r="L2039" t="n">
        <v>0</v>
      </c>
      <c r="M2039" t="n">
        <v>0</v>
      </c>
      <c r="N2039" t="n">
        <v>0</v>
      </c>
      <c r="O2039" t="n">
        <v>0</v>
      </c>
      <c r="P2039" t="n">
        <v>0</v>
      </c>
      <c r="Q2039" t="n">
        <v>0</v>
      </c>
      <c r="R2039" s="2" t="inlineStr"/>
    </row>
    <row r="2040" ht="15" customHeight="1">
      <c r="A2040" t="inlineStr">
        <is>
          <t>A 731-2024</t>
        </is>
      </c>
      <c r="B2040" s="1" t="n">
        <v>45300</v>
      </c>
      <c r="C2040" s="1" t="n">
        <v>45627</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924-2024</t>
        </is>
      </c>
      <c r="B2041" s="1" t="n">
        <v>45301</v>
      </c>
      <c r="C2041" s="1" t="n">
        <v>45627</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869-2024</t>
        </is>
      </c>
      <c r="B2042" s="1" t="n">
        <v>45301</v>
      </c>
      <c r="C2042" s="1" t="n">
        <v>45627</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877-2024</t>
        </is>
      </c>
      <c r="B2043" s="1" t="n">
        <v>45301</v>
      </c>
      <c r="C2043" s="1" t="n">
        <v>45627</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1001-2024</t>
        </is>
      </c>
      <c r="B2044" s="1" t="n">
        <v>45301</v>
      </c>
      <c r="C2044" s="1" t="n">
        <v>45627</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894-2024</t>
        </is>
      </c>
      <c r="B2045" s="1" t="n">
        <v>45301</v>
      </c>
      <c r="C2045" s="1" t="n">
        <v>45627</v>
      </c>
      <c r="D2045" t="inlineStr">
        <is>
          <t>VÄRMLANDS LÄN</t>
        </is>
      </c>
      <c r="E2045" t="inlineStr">
        <is>
          <t>TORSBY</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1042-2024</t>
        </is>
      </c>
      <c r="B2046" s="1" t="n">
        <v>45301</v>
      </c>
      <c r="C2046" s="1" t="n">
        <v>45627</v>
      </c>
      <c r="D2046" t="inlineStr">
        <is>
          <t>VÄRMLANDS LÄN</t>
        </is>
      </c>
      <c r="E2046" t="inlineStr">
        <is>
          <t>TORSBY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1046-2024</t>
        </is>
      </c>
      <c r="B2047" s="1" t="n">
        <v>45301</v>
      </c>
      <c r="C2047" s="1" t="n">
        <v>45627</v>
      </c>
      <c r="D2047" t="inlineStr">
        <is>
          <t>VÄRMLANDS LÄN</t>
        </is>
      </c>
      <c r="E2047" t="inlineStr">
        <is>
          <t>TORSBY</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1041-2024</t>
        </is>
      </c>
      <c r="B2048" s="1" t="n">
        <v>45301</v>
      </c>
      <c r="C2048" s="1" t="n">
        <v>45627</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1040-2024</t>
        </is>
      </c>
      <c r="B2049" s="1" t="n">
        <v>45301</v>
      </c>
      <c r="C2049" s="1" t="n">
        <v>45627</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1080-2024</t>
        </is>
      </c>
      <c r="B2050" s="1" t="n">
        <v>45302</v>
      </c>
      <c r="C2050" s="1" t="n">
        <v>45627</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1086-2024</t>
        </is>
      </c>
      <c r="B2051" s="1" t="n">
        <v>45302</v>
      </c>
      <c r="C2051" s="1" t="n">
        <v>45627</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1091-2024</t>
        </is>
      </c>
      <c r="B2052" s="1" t="n">
        <v>45302</v>
      </c>
      <c r="C2052" s="1" t="n">
        <v>45627</v>
      </c>
      <c r="D2052" t="inlineStr">
        <is>
          <t>VÄRMLANDS LÄN</t>
        </is>
      </c>
      <c r="E2052" t="inlineStr">
        <is>
          <t>TORSBY</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1243-2024</t>
        </is>
      </c>
      <c r="B2053" s="1" t="n">
        <v>45302</v>
      </c>
      <c r="C2053" s="1" t="n">
        <v>45627</v>
      </c>
      <c r="D2053" t="inlineStr">
        <is>
          <t>VÄRMLANDS LÄN</t>
        </is>
      </c>
      <c r="E2053" t="inlineStr">
        <is>
          <t>TORSBY</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1154-2024</t>
        </is>
      </c>
      <c r="B2054" s="1" t="n">
        <v>45302</v>
      </c>
      <c r="C2054" s="1" t="n">
        <v>45627</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1090-2024</t>
        </is>
      </c>
      <c r="B2055" s="1" t="n">
        <v>45302</v>
      </c>
      <c r="C2055" s="1" t="n">
        <v>45627</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1094-2024</t>
        </is>
      </c>
      <c r="B2056" s="1" t="n">
        <v>45302</v>
      </c>
      <c r="C2056" s="1" t="n">
        <v>45627</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1232-2024</t>
        </is>
      </c>
      <c r="B2057" s="1" t="n">
        <v>45302</v>
      </c>
      <c r="C2057" s="1" t="n">
        <v>45627</v>
      </c>
      <c r="D2057" t="inlineStr">
        <is>
          <t>VÄRMLANDS LÄN</t>
        </is>
      </c>
      <c r="E2057" t="inlineStr">
        <is>
          <t>TORSBY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1236-2024</t>
        </is>
      </c>
      <c r="B2058" s="1" t="n">
        <v>45302</v>
      </c>
      <c r="C2058" s="1" t="n">
        <v>45627</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1275-2024</t>
        </is>
      </c>
      <c r="B2059" s="1" t="n">
        <v>45302</v>
      </c>
      <c r="C2059" s="1" t="n">
        <v>45627</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1363-2024</t>
        </is>
      </c>
      <c r="B2060" s="1" t="n">
        <v>45303</v>
      </c>
      <c r="C2060" s="1" t="n">
        <v>45627</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1527-2024</t>
        </is>
      </c>
      <c r="B2061" s="1" t="n">
        <v>45306</v>
      </c>
      <c r="C2061" s="1" t="n">
        <v>45627</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1522-2024</t>
        </is>
      </c>
      <c r="B2062" s="1" t="n">
        <v>45306</v>
      </c>
      <c r="C2062" s="1" t="n">
        <v>45627</v>
      </c>
      <c r="D2062" t="inlineStr">
        <is>
          <t>VÄRMLANDS LÄN</t>
        </is>
      </c>
      <c r="E2062" t="inlineStr">
        <is>
          <t>TORSBY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1547-2024</t>
        </is>
      </c>
      <c r="B2063" s="1" t="n">
        <v>45306</v>
      </c>
      <c r="C2063" s="1" t="n">
        <v>45627</v>
      </c>
      <c r="D2063" t="inlineStr">
        <is>
          <t>VÄRMLANDS LÄN</t>
        </is>
      </c>
      <c r="E2063" t="inlineStr">
        <is>
          <t>TORSBY</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1528-2024</t>
        </is>
      </c>
      <c r="B2064" s="1" t="n">
        <v>45306</v>
      </c>
      <c r="C2064" s="1" t="n">
        <v>45627</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1637-2024</t>
        </is>
      </c>
      <c r="B2065" s="1" t="n">
        <v>45306</v>
      </c>
      <c r="C2065" s="1" t="n">
        <v>45627</v>
      </c>
      <c r="D2065" t="inlineStr">
        <is>
          <t>VÄRMLANDS LÄN</t>
        </is>
      </c>
      <c r="E2065" t="inlineStr">
        <is>
          <t>TORSBY</t>
        </is>
      </c>
      <c r="G2065" t="n">
        <v>11.9</v>
      </c>
      <c r="H2065" t="n">
        <v>0</v>
      </c>
      <c r="I2065" t="n">
        <v>0</v>
      </c>
      <c r="J2065" t="n">
        <v>0</v>
      </c>
      <c r="K2065" t="n">
        <v>0</v>
      </c>
      <c r="L2065" t="n">
        <v>0</v>
      </c>
      <c r="M2065" t="n">
        <v>0</v>
      </c>
      <c r="N2065" t="n">
        <v>0</v>
      </c>
      <c r="O2065" t="n">
        <v>0</v>
      </c>
      <c r="P2065" t="n">
        <v>0</v>
      </c>
      <c r="Q2065" t="n">
        <v>0</v>
      </c>
      <c r="R2065" s="2" t="inlineStr"/>
    </row>
    <row r="2066" ht="15" customHeight="1">
      <c r="A2066" t="inlineStr">
        <is>
          <t>A 1608-2024</t>
        </is>
      </c>
      <c r="B2066" s="1" t="n">
        <v>45306</v>
      </c>
      <c r="C2066" s="1" t="n">
        <v>45627</v>
      </c>
      <c r="D2066" t="inlineStr">
        <is>
          <t>VÄRMLANDS LÄN</t>
        </is>
      </c>
      <c r="E2066" t="inlineStr">
        <is>
          <t>TORSBY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1700-2024</t>
        </is>
      </c>
      <c r="B2067" s="1" t="n">
        <v>45307</v>
      </c>
      <c r="C2067" s="1" t="n">
        <v>45627</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1803-2024</t>
        </is>
      </c>
      <c r="B2068" s="1" t="n">
        <v>45307</v>
      </c>
      <c r="C2068" s="1" t="n">
        <v>45627</v>
      </c>
      <c r="D2068" t="inlineStr">
        <is>
          <t>VÄRMLANDS LÄN</t>
        </is>
      </c>
      <c r="E2068" t="inlineStr">
        <is>
          <t>TORSBY</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1757-2024</t>
        </is>
      </c>
      <c r="B2069" s="1" t="n">
        <v>45307</v>
      </c>
      <c r="C2069" s="1" t="n">
        <v>45627</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1970-2024</t>
        </is>
      </c>
      <c r="B2070" s="1" t="n">
        <v>45308</v>
      </c>
      <c r="C2070" s="1" t="n">
        <v>45627</v>
      </c>
      <c r="D2070" t="inlineStr">
        <is>
          <t>VÄRMLANDS LÄN</t>
        </is>
      </c>
      <c r="E2070" t="inlineStr">
        <is>
          <t>TORSBY</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2155-2024</t>
        </is>
      </c>
      <c r="B2071" s="1" t="n">
        <v>45309</v>
      </c>
      <c r="C2071" s="1" t="n">
        <v>45627</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2130-2024</t>
        </is>
      </c>
      <c r="B2072" s="1" t="n">
        <v>45309</v>
      </c>
      <c r="C2072" s="1" t="n">
        <v>45627</v>
      </c>
      <c r="D2072" t="inlineStr">
        <is>
          <t>VÄRMLANDS LÄN</t>
        </is>
      </c>
      <c r="E2072" t="inlineStr">
        <is>
          <t>TORSBY</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2308-2024</t>
        </is>
      </c>
      <c r="B2073" s="1" t="n">
        <v>45310</v>
      </c>
      <c r="C2073" s="1" t="n">
        <v>45627</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2328-2024</t>
        </is>
      </c>
      <c r="B2074" s="1" t="n">
        <v>45310</v>
      </c>
      <c r="C2074" s="1" t="n">
        <v>45627</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2466-2024</t>
        </is>
      </c>
      <c r="B2075" s="1" t="n">
        <v>45313</v>
      </c>
      <c r="C2075" s="1" t="n">
        <v>45627</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2689-2024</t>
        </is>
      </c>
      <c r="B2076" s="1" t="n">
        <v>45314</v>
      </c>
      <c r="C2076" s="1" t="n">
        <v>45627</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2784-2024</t>
        </is>
      </c>
      <c r="B2077" s="1" t="n">
        <v>45314</v>
      </c>
      <c r="C2077" s="1" t="n">
        <v>45627</v>
      </c>
      <c r="D2077" t="inlineStr">
        <is>
          <t>VÄRMLANDS LÄN</t>
        </is>
      </c>
      <c r="E2077" t="inlineStr">
        <is>
          <t>TORSBY</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2662-2024</t>
        </is>
      </c>
      <c r="B2078" s="1" t="n">
        <v>45314</v>
      </c>
      <c r="C2078" s="1" t="n">
        <v>45627</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2870-2024</t>
        </is>
      </c>
      <c r="B2079" s="1" t="n">
        <v>45315</v>
      </c>
      <c r="C2079" s="1" t="n">
        <v>45627</v>
      </c>
      <c r="D2079" t="inlineStr">
        <is>
          <t>VÄRMLANDS LÄN</t>
        </is>
      </c>
      <c r="E2079" t="inlineStr">
        <is>
          <t>TORSBY</t>
        </is>
      </c>
      <c r="F2079" t="inlineStr">
        <is>
          <t>Bergvik skog väst AB</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3106-2024</t>
        </is>
      </c>
      <c r="B2080" s="1" t="n">
        <v>45316</v>
      </c>
      <c r="C2080" s="1" t="n">
        <v>45627</v>
      </c>
      <c r="D2080" t="inlineStr">
        <is>
          <t>VÄRMLANDS LÄN</t>
        </is>
      </c>
      <c r="E2080" t="inlineStr">
        <is>
          <t>TORSBY</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3069-2024</t>
        </is>
      </c>
      <c r="B2081" s="1" t="n">
        <v>45316</v>
      </c>
      <c r="C2081" s="1" t="n">
        <v>45627</v>
      </c>
      <c r="D2081" t="inlineStr">
        <is>
          <t>VÄRMLANDS LÄN</t>
        </is>
      </c>
      <c r="E2081" t="inlineStr">
        <is>
          <t>TORSBY</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3326-2024</t>
        </is>
      </c>
      <c r="B2082" s="1" t="n">
        <v>45317</v>
      </c>
      <c r="C2082" s="1" t="n">
        <v>45627</v>
      </c>
      <c r="D2082" t="inlineStr">
        <is>
          <t>VÄRMLANDS LÄN</t>
        </is>
      </c>
      <c r="E2082" t="inlineStr">
        <is>
          <t>TORSBY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3298-2024</t>
        </is>
      </c>
      <c r="B2083" s="1" t="n">
        <v>45317</v>
      </c>
      <c r="C2083" s="1" t="n">
        <v>45627</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3331-2024</t>
        </is>
      </c>
      <c r="B2084" s="1" t="n">
        <v>45317</v>
      </c>
      <c r="C2084" s="1" t="n">
        <v>45627</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3591-2024</t>
        </is>
      </c>
      <c r="B2085" s="1" t="n">
        <v>45320</v>
      </c>
      <c r="C2085" s="1" t="n">
        <v>45627</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3479-2024</t>
        </is>
      </c>
      <c r="B2086" s="1" t="n">
        <v>45320</v>
      </c>
      <c r="C2086" s="1" t="n">
        <v>45627</v>
      </c>
      <c r="D2086" t="inlineStr">
        <is>
          <t>VÄRMLANDS LÄN</t>
        </is>
      </c>
      <c r="E2086" t="inlineStr">
        <is>
          <t>TORSBY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3536-2024</t>
        </is>
      </c>
      <c r="B2087" s="1" t="n">
        <v>45320</v>
      </c>
      <c r="C2087" s="1" t="n">
        <v>45627</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3590-2024</t>
        </is>
      </c>
      <c r="B2088" s="1" t="n">
        <v>45320</v>
      </c>
      <c r="C2088" s="1" t="n">
        <v>45627</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3608-2024</t>
        </is>
      </c>
      <c r="B2089" s="1" t="n">
        <v>45320</v>
      </c>
      <c r="C2089" s="1" t="n">
        <v>45627</v>
      </c>
      <c r="D2089" t="inlineStr">
        <is>
          <t>VÄRMLANDS LÄN</t>
        </is>
      </c>
      <c r="E2089" t="inlineStr">
        <is>
          <t>TORSBY</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3678-2024</t>
        </is>
      </c>
      <c r="B2090" s="1" t="n">
        <v>45321</v>
      </c>
      <c r="C2090" s="1" t="n">
        <v>45627</v>
      </c>
      <c r="D2090" t="inlineStr">
        <is>
          <t>VÄRMLANDS LÄN</t>
        </is>
      </c>
      <c r="E2090" t="inlineStr">
        <is>
          <t>TORSBY</t>
        </is>
      </c>
      <c r="G2090" t="n">
        <v>24.6</v>
      </c>
      <c r="H2090" t="n">
        <v>0</v>
      </c>
      <c r="I2090" t="n">
        <v>0</v>
      </c>
      <c r="J2090" t="n">
        <v>0</v>
      </c>
      <c r="K2090" t="n">
        <v>0</v>
      </c>
      <c r="L2090" t="n">
        <v>0</v>
      </c>
      <c r="M2090" t="n">
        <v>0</v>
      </c>
      <c r="N2090" t="n">
        <v>0</v>
      </c>
      <c r="O2090" t="n">
        <v>0</v>
      </c>
      <c r="P2090" t="n">
        <v>0</v>
      </c>
      <c r="Q2090" t="n">
        <v>0</v>
      </c>
      <c r="R2090" s="2" t="inlineStr"/>
    </row>
    <row r="2091" ht="15" customHeight="1">
      <c r="A2091" t="inlineStr">
        <is>
          <t>A 3672-2024</t>
        </is>
      </c>
      <c r="B2091" s="1" t="n">
        <v>45321</v>
      </c>
      <c r="C2091" s="1" t="n">
        <v>45627</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3720-2024</t>
        </is>
      </c>
      <c r="B2092" s="1" t="n">
        <v>45321</v>
      </c>
      <c r="C2092" s="1" t="n">
        <v>45627</v>
      </c>
      <c r="D2092" t="inlineStr">
        <is>
          <t>VÄRMLANDS LÄN</t>
        </is>
      </c>
      <c r="E2092" t="inlineStr">
        <is>
          <t>TORSBY</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3724-2024</t>
        </is>
      </c>
      <c r="B2093" s="1" t="n">
        <v>45321</v>
      </c>
      <c r="C2093" s="1" t="n">
        <v>45627</v>
      </c>
      <c r="D2093" t="inlineStr">
        <is>
          <t>VÄRMLANDS LÄN</t>
        </is>
      </c>
      <c r="E2093" t="inlineStr">
        <is>
          <t>TORSBY</t>
        </is>
      </c>
      <c r="F2093" t="inlineStr">
        <is>
          <t>Bergvik skog väst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3673-2024</t>
        </is>
      </c>
      <c r="B2094" s="1" t="n">
        <v>45321</v>
      </c>
      <c r="C2094" s="1" t="n">
        <v>45627</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3750-2024</t>
        </is>
      </c>
      <c r="B2095" s="1" t="n">
        <v>45321</v>
      </c>
      <c r="C2095" s="1" t="n">
        <v>45627</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3734-2024</t>
        </is>
      </c>
      <c r="B2096" s="1" t="n">
        <v>45321</v>
      </c>
      <c r="C2096" s="1" t="n">
        <v>45627</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3822-2024</t>
        </is>
      </c>
      <c r="B2097" s="1" t="n">
        <v>45321</v>
      </c>
      <c r="C2097" s="1" t="n">
        <v>45627</v>
      </c>
      <c r="D2097" t="inlineStr">
        <is>
          <t>VÄRMLANDS LÄN</t>
        </is>
      </c>
      <c r="E2097" t="inlineStr">
        <is>
          <t>TORSBY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3922-2024</t>
        </is>
      </c>
      <c r="B2098" s="1" t="n">
        <v>45322</v>
      </c>
      <c r="C2098" s="1" t="n">
        <v>45627</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4030-2024</t>
        </is>
      </c>
      <c r="B2099" s="1" t="n">
        <v>45323</v>
      </c>
      <c r="C2099" s="1" t="n">
        <v>45627</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4070-2024</t>
        </is>
      </c>
      <c r="B2100" s="1" t="n">
        <v>45323</v>
      </c>
      <c r="C2100" s="1" t="n">
        <v>45627</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4078-2024</t>
        </is>
      </c>
      <c r="B2101" s="1" t="n">
        <v>45323</v>
      </c>
      <c r="C2101" s="1" t="n">
        <v>45627</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4231-2024</t>
        </is>
      </c>
      <c r="B2102" s="1" t="n">
        <v>45324</v>
      </c>
      <c r="C2102" s="1" t="n">
        <v>45627</v>
      </c>
      <c r="D2102" t="inlineStr">
        <is>
          <t>VÄRMLANDS LÄN</t>
        </is>
      </c>
      <c r="E2102" t="inlineStr">
        <is>
          <t>TORSBY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4219-2024</t>
        </is>
      </c>
      <c r="B2103" s="1" t="n">
        <v>45324</v>
      </c>
      <c r="C2103" s="1" t="n">
        <v>45627</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4908-2024</t>
        </is>
      </c>
      <c r="B2104" s="1" t="n">
        <v>45329</v>
      </c>
      <c r="C2104" s="1" t="n">
        <v>45627</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4918-2024</t>
        </is>
      </c>
      <c r="B2105" s="1" t="n">
        <v>45329</v>
      </c>
      <c r="C2105" s="1" t="n">
        <v>45627</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4920-2024</t>
        </is>
      </c>
      <c r="B2106" s="1" t="n">
        <v>45329</v>
      </c>
      <c r="C2106" s="1" t="n">
        <v>45627</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4913-2024</t>
        </is>
      </c>
      <c r="B2107" s="1" t="n">
        <v>45329</v>
      </c>
      <c r="C2107" s="1" t="n">
        <v>45627</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5115-2024</t>
        </is>
      </c>
      <c r="B2108" s="1" t="n">
        <v>45330</v>
      </c>
      <c r="C2108" s="1" t="n">
        <v>45627</v>
      </c>
      <c r="D2108" t="inlineStr">
        <is>
          <t>VÄRMLANDS LÄN</t>
        </is>
      </c>
      <c r="E2108" t="inlineStr">
        <is>
          <t>TORSBY</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5351-2024</t>
        </is>
      </c>
      <c r="B2109" s="1" t="n">
        <v>45331</v>
      </c>
      <c r="C2109" s="1" t="n">
        <v>45627</v>
      </c>
      <c r="D2109" t="inlineStr">
        <is>
          <t>VÄRMLANDS LÄN</t>
        </is>
      </c>
      <c r="E2109" t="inlineStr">
        <is>
          <t>TORSBY</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5509-2024</t>
        </is>
      </c>
      <c r="B2110" s="1" t="n">
        <v>45334</v>
      </c>
      <c r="C2110" s="1" t="n">
        <v>45627</v>
      </c>
      <c r="D2110" t="inlineStr">
        <is>
          <t>VÄRMLANDS LÄN</t>
        </is>
      </c>
      <c r="E2110" t="inlineStr">
        <is>
          <t>TORSBY</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5814-2024</t>
        </is>
      </c>
      <c r="B2111" s="1" t="n">
        <v>45335</v>
      </c>
      <c r="C2111" s="1" t="n">
        <v>45627</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5863-2024</t>
        </is>
      </c>
      <c r="B2112" s="1" t="n">
        <v>45335</v>
      </c>
      <c r="C2112" s="1" t="n">
        <v>45627</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5948-2024</t>
        </is>
      </c>
      <c r="B2113" s="1" t="n">
        <v>45336</v>
      </c>
      <c r="C2113" s="1" t="n">
        <v>45627</v>
      </c>
      <c r="D2113" t="inlineStr">
        <is>
          <t>VÄRMLANDS LÄN</t>
        </is>
      </c>
      <c r="E2113" t="inlineStr">
        <is>
          <t>TORSBY</t>
        </is>
      </c>
      <c r="F2113" t="inlineStr">
        <is>
          <t>Bergvik skog väst AB</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6013-2024</t>
        </is>
      </c>
      <c r="B2114" s="1" t="n">
        <v>45336</v>
      </c>
      <c r="C2114" s="1" t="n">
        <v>45627</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6371-2024</t>
        </is>
      </c>
      <c r="B2115" s="1" t="n">
        <v>45338</v>
      </c>
      <c r="C2115" s="1" t="n">
        <v>45627</v>
      </c>
      <c r="D2115" t="inlineStr">
        <is>
          <t>VÄRMLANDS LÄN</t>
        </is>
      </c>
      <c r="E2115" t="inlineStr">
        <is>
          <t>TORSBY</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6648-2024</t>
        </is>
      </c>
      <c r="B2116" s="1" t="n">
        <v>45341</v>
      </c>
      <c r="C2116" s="1" t="n">
        <v>45627</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v>
      </c>
      <c r="C2117" s="1" t="n">
        <v>45627</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6675-2024</t>
        </is>
      </c>
      <c r="B2118" s="1" t="n">
        <v>45341</v>
      </c>
      <c r="C2118" s="1" t="n">
        <v>45627</v>
      </c>
      <c r="D2118" t="inlineStr">
        <is>
          <t>VÄRMLANDS LÄN</t>
        </is>
      </c>
      <c r="E2118" t="inlineStr">
        <is>
          <t>TORSBY</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6828-2024</t>
        </is>
      </c>
      <c r="B2119" s="1" t="n">
        <v>45342</v>
      </c>
      <c r="C2119" s="1" t="n">
        <v>45627</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6943-2024</t>
        </is>
      </c>
      <c r="B2120" s="1" t="n">
        <v>45343</v>
      </c>
      <c r="C2120" s="1" t="n">
        <v>45627</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6942-2024</t>
        </is>
      </c>
      <c r="B2121" s="1" t="n">
        <v>45343</v>
      </c>
      <c r="C2121" s="1" t="n">
        <v>45627</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7221-2024</t>
        </is>
      </c>
      <c r="B2122" s="1" t="n">
        <v>45344</v>
      </c>
      <c r="C2122" s="1" t="n">
        <v>45627</v>
      </c>
      <c r="D2122" t="inlineStr">
        <is>
          <t>VÄRMLANDS LÄN</t>
        </is>
      </c>
      <c r="E2122" t="inlineStr">
        <is>
          <t>TORSBY</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7490-2024</t>
        </is>
      </c>
      <c r="B2123" s="1" t="n">
        <v>45346</v>
      </c>
      <c r="C2123" s="1" t="n">
        <v>45627</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7494-2024</t>
        </is>
      </c>
      <c r="B2124" s="1" t="n">
        <v>45346</v>
      </c>
      <c r="C2124" s="1" t="n">
        <v>45627</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7487-2024</t>
        </is>
      </c>
      <c r="B2125" s="1" t="n">
        <v>45346</v>
      </c>
      <c r="C2125" s="1" t="n">
        <v>45627</v>
      </c>
      <c r="D2125" t="inlineStr">
        <is>
          <t>VÄRMLANDS LÄN</t>
        </is>
      </c>
      <c r="E2125" t="inlineStr">
        <is>
          <t>TORSBY</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7491-2024</t>
        </is>
      </c>
      <c r="B2126" s="1" t="n">
        <v>45346</v>
      </c>
      <c r="C2126" s="1" t="n">
        <v>45627</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7489-2024</t>
        </is>
      </c>
      <c r="B2127" s="1" t="n">
        <v>45346</v>
      </c>
      <c r="C2127" s="1" t="n">
        <v>45627</v>
      </c>
      <c r="D2127" t="inlineStr">
        <is>
          <t>VÄRMLANDS LÄN</t>
        </is>
      </c>
      <c r="E2127" t="inlineStr">
        <is>
          <t>TORSBY</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7493-2024</t>
        </is>
      </c>
      <c r="B2128" s="1" t="n">
        <v>45346</v>
      </c>
      <c r="C2128" s="1" t="n">
        <v>45627</v>
      </c>
      <c r="D2128" t="inlineStr">
        <is>
          <t>VÄRMLANDS LÄN</t>
        </is>
      </c>
      <c r="E2128" t="inlineStr">
        <is>
          <t>TORSBY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7488-2024</t>
        </is>
      </c>
      <c r="B2129" s="1" t="n">
        <v>45346</v>
      </c>
      <c r="C2129" s="1" t="n">
        <v>45627</v>
      </c>
      <c r="D2129" t="inlineStr">
        <is>
          <t>VÄRMLANDS LÄN</t>
        </is>
      </c>
      <c r="E2129" t="inlineStr">
        <is>
          <t>TORSBY</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7500-2024</t>
        </is>
      </c>
      <c r="B2130" s="1" t="n">
        <v>45347</v>
      </c>
      <c r="C2130" s="1" t="n">
        <v>45627</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7651-2024</t>
        </is>
      </c>
      <c r="B2131" s="1" t="n">
        <v>45348</v>
      </c>
      <c r="C2131" s="1" t="n">
        <v>45627</v>
      </c>
      <c r="D2131" t="inlineStr">
        <is>
          <t>VÄRMLANDS LÄN</t>
        </is>
      </c>
      <c r="E2131" t="inlineStr">
        <is>
          <t>TORSBY</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7636-2024</t>
        </is>
      </c>
      <c r="B2132" s="1" t="n">
        <v>45348</v>
      </c>
      <c r="C2132" s="1" t="n">
        <v>45627</v>
      </c>
      <c r="D2132" t="inlineStr">
        <is>
          <t>VÄRMLANDS LÄN</t>
        </is>
      </c>
      <c r="E2132" t="inlineStr">
        <is>
          <t>TORSBY</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7676-2024</t>
        </is>
      </c>
      <c r="B2133" s="1" t="n">
        <v>45348</v>
      </c>
      <c r="C2133" s="1" t="n">
        <v>45627</v>
      </c>
      <c r="D2133" t="inlineStr">
        <is>
          <t>VÄRMLANDS LÄN</t>
        </is>
      </c>
      <c r="E2133" t="inlineStr">
        <is>
          <t>TORSBY</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7677-2024</t>
        </is>
      </c>
      <c r="B2134" s="1" t="n">
        <v>45348</v>
      </c>
      <c r="C2134" s="1" t="n">
        <v>45627</v>
      </c>
      <c r="D2134" t="inlineStr">
        <is>
          <t>VÄRMLANDS LÄN</t>
        </is>
      </c>
      <c r="E2134" t="inlineStr">
        <is>
          <t>TORSBY</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7757-2024</t>
        </is>
      </c>
      <c r="B2135" s="1" t="n">
        <v>45349</v>
      </c>
      <c r="C2135" s="1" t="n">
        <v>45627</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7927-2024</t>
        </is>
      </c>
      <c r="B2136" s="1" t="n">
        <v>45350</v>
      </c>
      <c r="C2136" s="1" t="n">
        <v>45627</v>
      </c>
      <c r="D2136" t="inlineStr">
        <is>
          <t>VÄRMLANDS LÄN</t>
        </is>
      </c>
      <c r="E2136" t="inlineStr">
        <is>
          <t>TORSBY</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8012-2024</t>
        </is>
      </c>
      <c r="B2137" s="1" t="n">
        <v>45350</v>
      </c>
      <c r="C2137" s="1" t="n">
        <v>45627</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8625-2024</t>
        </is>
      </c>
      <c r="B2138" s="1" t="n">
        <v>45355</v>
      </c>
      <c r="C2138" s="1" t="n">
        <v>45627</v>
      </c>
      <c r="D2138" t="inlineStr">
        <is>
          <t>VÄRMLANDS LÄN</t>
        </is>
      </c>
      <c r="E2138" t="inlineStr">
        <is>
          <t>TORSBY</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v>
      </c>
      <c r="C2139" s="1" t="n">
        <v>45627</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8720-2024</t>
        </is>
      </c>
      <c r="B2140" s="1" t="n">
        <v>45356</v>
      </c>
      <c r="C2140" s="1" t="n">
        <v>45627</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8725-2024</t>
        </is>
      </c>
      <c r="B2141" s="1" t="n">
        <v>45356</v>
      </c>
      <c r="C2141" s="1" t="n">
        <v>45627</v>
      </c>
      <c r="D2141" t="inlineStr">
        <is>
          <t>VÄRMLANDS LÄN</t>
        </is>
      </c>
      <c r="E2141" t="inlineStr">
        <is>
          <t>TORSBY</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8719-2024</t>
        </is>
      </c>
      <c r="B2142" s="1" t="n">
        <v>45356</v>
      </c>
      <c r="C2142" s="1" t="n">
        <v>45627</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9203-2024</t>
        </is>
      </c>
      <c r="B2143" s="1" t="n">
        <v>45358</v>
      </c>
      <c r="C2143" s="1" t="n">
        <v>45627</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9381-2024</t>
        </is>
      </c>
      <c r="B2144" s="1" t="n">
        <v>45359</v>
      </c>
      <c r="C2144" s="1" t="n">
        <v>45627</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9764-2024</t>
        </is>
      </c>
      <c r="B2145" s="1" t="n">
        <v>45362</v>
      </c>
      <c r="C2145" s="1" t="n">
        <v>45627</v>
      </c>
      <c r="D2145" t="inlineStr">
        <is>
          <t>VÄRMLANDS LÄN</t>
        </is>
      </c>
      <c r="E2145" t="inlineStr">
        <is>
          <t>TORSBY</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9799-2024</t>
        </is>
      </c>
      <c r="B2146" s="1" t="n">
        <v>45362</v>
      </c>
      <c r="C2146" s="1" t="n">
        <v>45627</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9793-2024</t>
        </is>
      </c>
      <c r="B2147" s="1" t="n">
        <v>45362</v>
      </c>
      <c r="C2147" s="1" t="n">
        <v>45627</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9797-2024</t>
        </is>
      </c>
      <c r="B2148" s="1" t="n">
        <v>45362</v>
      </c>
      <c r="C2148" s="1" t="n">
        <v>45627</v>
      </c>
      <c r="D2148" t="inlineStr">
        <is>
          <t>VÄRMLANDS LÄN</t>
        </is>
      </c>
      <c r="E2148" t="inlineStr">
        <is>
          <t>TORSBY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9902-2024</t>
        </is>
      </c>
      <c r="B2149" s="1" t="n">
        <v>45363</v>
      </c>
      <c r="C2149" s="1" t="n">
        <v>45627</v>
      </c>
      <c r="D2149" t="inlineStr">
        <is>
          <t>VÄRMLANDS LÄN</t>
        </is>
      </c>
      <c r="E2149" t="inlineStr">
        <is>
          <t>TORSBY</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9900-2024</t>
        </is>
      </c>
      <c r="B2150" s="1" t="n">
        <v>45363</v>
      </c>
      <c r="C2150" s="1" t="n">
        <v>45627</v>
      </c>
      <c r="D2150" t="inlineStr">
        <is>
          <t>VÄRMLANDS LÄN</t>
        </is>
      </c>
      <c r="E2150" t="inlineStr">
        <is>
          <t>TORSBY</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9904-2024</t>
        </is>
      </c>
      <c r="B2151" s="1" t="n">
        <v>45363</v>
      </c>
      <c r="C2151" s="1" t="n">
        <v>45627</v>
      </c>
      <c r="D2151" t="inlineStr">
        <is>
          <t>VÄRMLANDS LÄN</t>
        </is>
      </c>
      <c r="E2151" t="inlineStr">
        <is>
          <t>TORSBY</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9908-2024</t>
        </is>
      </c>
      <c r="B2152" s="1" t="n">
        <v>45363</v>
      </c>
      <c r="C2152" s="1" t="n">
        <v>45627</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9912-2024</t>
        </is>
      </c>
      <c r="B2153" s="1" t="n">
        <v>45363</v>
      </c>
      <c r="C2153" s="1" t="n">
        <v>45627</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9871-2024</t>
        </is>
      </c>
      <c r="B2154" s="1" t="n">
        <v>45363</v>
      </c>
      <c r="C2154" s="1" t="n">
        <v>45627</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10011-2024</t>
        </is>
      </c>
      <c r="B2155" s="1" t="n">
        <v>45363</v>
      </c>
      <c r="C2155" s="1" t="n">
        <v>45627</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10304-2024</t>
        </is>
      </c>
      <c r="B2156" s="1" t="n">
        <v>45365</v>
      </c>
      <c r="C2156" s="1" t="n">
        <v>45627</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10372-2024</t>
        </is>
      </c>
      <c r="B2157" s="1" t="n">
        <v>45365</v>
      </c>
      <c r="C2157" s="1" t="n">
        <v>45627</v>
      </c>
      <c r="D2157" t="inlineStr">
        <is>
          <t>VÄRMLANDS LÄN</t>
        </is>
      </c>
      <c r="E2157" t="inlineStr">
        <is>
          <t>TORSBY</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10380-2024</t>
        </is>
      </c>
      <c r="B2158" s="1" t="n">
        <v>45365</v>
      </c>
      <c r="C2158" s="1" t="n">
        <v>45627</v>
      </c>
      <c r="D2158" t="inlineStr">
        <is>
          <t>VÄRMLANDS LÄN</t>
        </is>
      </c>
      <c r="E2158" t="inlineStr">
        <is>
          <t>TORSBY</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10466-2024</t>
        </is>
      </c>
      <c r="B2159" s="1" t="n">
        <v>45366</v>
      </c>
      <c r="C2159" s="1" t="n">
        <v>45627</v>
      </c>
      <c r="D2159" t="inlineStr">
        <is>
          <t>VÄRMLANDS LÄN</t>
        </is>
      </c>
      <c r="E2159" t="inlineStr">
        <is>
          <t>TORSBY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10589-2024</t>
        </is>
      </c>
      <c r="B2160" s="1" t="n">
        <v>45366</v>
      </c>
      <c r="C2160" s="1" t="n">
        <v>45627</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10587-2024</t>
        </is>
      </c>
      <c r="B2161" s="1" t="n">
        <v>45366</v>
      </c>
      <c r="C2161" s="1" t="n">
        <v>45627</v>
      </c>
      <c r="D2161" t="inlineStr">
        <is>
          <t>VÄRMLANDS LÄN</t>
        </is>
      </c>
      <c r="E2161" t="inlineStr">
        <is>
          <t>TORSBY</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10684-2024</t>
        </is>
      </c>
      <c r="B2162" s="1" t="n">
        <v>45369</v>
      </c>
      <c r="C2162" s="1" t="n">
        <v>45627</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v>
      </c>
      <c r="C2163" s="1" t="n">
        <v>45627</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11121-2024</t>
        </is>
      </c>
      <c r="B2164" s="1" t="n">
        <v>45371</v>
      </c>
      <c r="C2164" s="1" t="n">
        <v>45627</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11153-2024</t>
        </is>
      </c>
      <c r="B2165" s="1" t="n">
        <v>45371</v>
      </c>
      <c r="C2165" s="1" t="n">
        <v>45627</v>
      </c>
      <c r="D2165" t="inlineStr">
        <is>
          <t>VÄRMLANDS LÄN</t>
        </is>
      </c>
      <c r="E2165" t="inlineStr">
        <is>
          <t>TORSBY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11135-2024</t>
        </is>
      </c>
      <c r="B2166" s="1" t="n">
        <v>45371</v>
      </c>
      <c r="C2166" s="1" t="n">
        <v>45627</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11143-2024</t>
        </is>
      </c>
      <c r="B2167" s="1" t="n">
        <v>45371</v>
      </c>
      <c r="C2167" s="1" t="n">
        <v>45627</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11187-2024</t>
        </is>
      </c>
      <c r="B2168" s="1" t="n">
        <v>45371</v>
      </c>
      <c r="C2168" s="1" t="n">
        <v>45627</v>
      </c>
      <c r="D2168" t="inlineStr">
        <is>
          <t>VÄRMLANDS LÄN</t>
        </is>
      </c>
      <c r="E2168" t="inlineStr">
        <is>
          <t>TORSBY</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11211-2024</t>
        </is>
      </c>
      <c r="B2169" s="1" t="n">
        <v>45371</v>
      </c>
      <c r="C2169" s="1" t="n">
        <v>45627</v>
      </c>
      <c r="D2169" t="inlineStr">
        <is>
          <t>VÄRMLANDS LÄN</t>
        </is>
      </c>
      <c r="E2169" t="inlineStr">
        <is>
          <t>TORSBY</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11227-2024</t>
        </is>
      </c>
      <c r="B2170" s="1" t="n">
        <v>45371</v>
      </c>
      <c r="C2170" s="1" t="n">
        <v>45627</v>
      </c>
      <c r="D2170" t="inlineStr">
        <is>
          <t>VÄRMLANDS LÄN</t>
        </is>
      </c>
      <c r="E2170" t="inlineStr">
        <is>
          <t>TORSBY</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11235-2024</t>
        </is>
      </c>
      <c r="B2171" s="1" t="n">
        <v>45371</v>
      </c>
      <c r="C2171" s="1" t="n">
        <v>45627</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11214-2024</t>
        </is>
      </c>
      <c r="B2172" s="1" t="n">
        <v>45371</v>
      </c>
      <c r="C2172" s="1" t="n">
        <v>45627</v>
      </c>
      <c r="D2172" t="inlineStr">
        <is>
          <t>VÄRMLANDS LÄN</t>
        </is>
      </c>
      <c r="E2172" t="inlineStr">
        <is>
          <t>TORSBY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11222-2024</t>
        </is>
      </c>
      <c r="B2173" s="1" t="n">
        <v>45371</v>
      </c>
      <c r="C2173" s="1" t="n">
        <v>45627</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11242-2024</t>
        </is>
      </c>
      <c r="B2174" s="1" t="n">
        <v>45371</v>
      </c>
      <c r="C2174" s="1" t="n">
        <v>45627</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11253-2024</t>
        </is>
      </c>
      <c r="B2175" s="1" t="n">
        <v>45371</v>
      </c>
      <c r="C2175" s="1" t="n">
        <v>45627</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11259-2024</t>
        </is>
      </c>
      <c r="B2176" s="1" t="n">
        <v>45371</v>
      </c>
      <c r="C2176" s="1" t="n">
        <v>45627</v>
      </c>
      <c r="D2176" t="inlineStr">
        <is>
          <t>VÄRMLANDS LÄN</t>
        </is>
      </c>
      <c r="E2176" t="inlineStr">
        <is>
          <t>TORSBY</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11172-2024</t>
        </is>
      </c>
      <c r="B2177" s="1" t="n">
        <v>45371</v>
      </c>
      <c r="C2177" s="1" t="n">
        <v>45627</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11380-2024</t>
        </is>
      </c>
      <c r="B2178" s="1" t="n">
        <v>45372</v>
      </c>
      <c r="C2178" s="1" t="n">
        <v>45627</v>
      </c>
      <c r="D2178" t="inlineStr">
        <is>
          <t>VÄRMLANDS LÄN</t>
        </is>
      </c>
      <c r="E2178" t="inlineStr">
        <is>
          <t>TORSBY</t>
        </is>
      </c>
      <c r="F2178" t="inlineStr">
        <is>
          <t>Bergvik skog väst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11575-2024</t>
        </is>
      </c>
      <c r="B2179" s="1" t="n">
        <v>45373</v>
      </c>
      <c r="C2179" s="1" t="n">
        <v>45627</v>
      </c>
      <c r="D2179" t="inlineStr">
        <is>
          <t>VÄRMLANDS LÄN</t>
        </is>
      </c>
      <c r="E2179" t="inlineStr">
        <is>
          <t>TORSBY</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11706-2024</t>
        </is>
      </c>
      <c r="B2180" s="1" t="n">
        <v>45373</v>
      </c>
      <c r="C2180" s="1" t="n">
        <v>45627</v>
      </c>
      <c r="D2180" t="inlineStr">
        <is>
          <t>VÄRMLANDS LÄN</t>
        </is>
      </c>
      <c r="E2180" t="inlineStr">
        <is>
          <t>TORSBY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11776-2024</t>
        </is>
      </c>
      <c r="B2181" s="1" t="n">
        <v>45374</v>
      </c>
      <c r="C2181" s="1" t="n">
        <v>45627</v>
      </c>
      <c r="D2181" t="inlineStr">
        <is>
          <t>VÄRMLANDS LÄN</t>
        </is>
      </c>
      <c r="E2181" t="inlineStr">
        <is>
          <t>TORSBY</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11814-2024</t>
        </is>
      </c>
      <c r="B2182" s="1" t="n">
        <v>45376</v>
      </c>
      <c r="C2182" s="1" t="n">
        <v>45627</v>
      </c>
      <c r="D2182" t="inlineStr">
        <is>
          <t>VÄRMLANDS LÄN</t>
        </is>
      </c>
      <c r="E2182" t="inlineStr">
        <is>
          <t>TORSBY</t>
        </is>
      </c>
      <c r="F2182" t="inlineStr">
        <is>
          <t>Bergvik skog väst AB</t>
        </is>
      </c>
      <c r="G2182" t="n">
        <v>19.9</v>
      </c>
      <c r="H2182" t="n">
        <v>0</v>
      </c>
      <c r="I2182" t="n">
        <v>0</v>
      </c>
      <c r="J2182" t="n">
        <v>0</v>
      </c>
      <c r="K2182" t="n">
        <v>0</v>
      </c>
      <c r="L2182" t="n">
        <v>0</v>
      </c>
      <c r="M2182" t="n">
        <v>0</v>
      </c>
      <c r="N2182" t="n">
        <v>0</v>
      </c>
      <c r="O2182" t="n">
        <v>0</v>
      </c>
      <c r="P2182" t="n">
        <v>0</v>
      </c>
      <c r="Q2182" t="n">
        <v>0</v>
      </c>
      <c r="R2182" s="2" t="inlineStr"/>
    </row>
    <row r="2183" ht="15" customHeight="1">
      <c r="A2183" t="inlineStr">
        <is>
          <t>A 11850-2024</t>
        </is>
      </c>
      <c r="B2183" s="1" t="n">
        <v>45376</v>
      </c>
      <c r="C2183" s="1" t="n">
        <v>45627</v>
      </c>
      <c r="D2183" t="inlineStr">
        <is>
          <t>VÄRMLANDS LÄN</t>
        </is>
      </c>
      <c r="E2183" t="inlineStr">
        <is>
          <t>TORSBY</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11878-2024</t>
        </is>
      </c>
      <c r="B2184" s="1" t="n">
        <v>45376</v>
      </c>
      <c r="C2184" s="1" t="n">
        <v>45627</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12104-2024</t>
        </is>
      </c>
      <c r="B2185" s="1" t="n">
        <v>45377</v>
      </c>
      <c r="C2185" s="1" t="n">
        <v>45627</v>
      </c>
      <c r="D2185" t="inlineStr">
        <is>
          <t>VÄRMLANDS LÄN</t>
        </is>
      </c>
      <c r="E2185" t="inlineStr">
        <is>
          <t>TORSBY</t>
        </is>
      </c>
      <c r="F2185" t="inlineStr">
        <is>
          <t>Bergvik skog väst AB</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12107-2024</t>
        </is>
      </c>
      <c r="B2186" s="1" t="n">
        <v>45377</v>
      </c>
      <c r="C2186" s="1" t="n">
        <v>45627</v>
      </c>
      <c r="D2186" t="inlineStr">
        <is>
          <t>VÄRMLANDS LÄN</t>
        </is>
      </c>
      <c r="E2186" t="inlineStr">
        <is>
          <t>TORSBY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12051-2024</t>
        </is>
      </c>
      <c r="B2187" s="1" t="n">
        <v>45377</v>
      </c>
      <c r="C2187" s="1" t="n">
        <v>45627</v>
      </c>
      <c r="D2187" t="inlineStr">
        <is>
          <t>VÄRMLANDS LÄN</t>
        </is>
      </c>
      <c r="E2187" t="inlineStr">
        <is>
          <t>TORSBY</t>
        </is>
      </c>
      <c r="F2187" t="inlineStr">
        <is>
          <t>Bergvik skog väst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12509-2024</t>
        </is>
      </c>
      <c r="B2188" s="1" t="n">
        <v>45379</v>
      </c>
      <c r="C2188" s="1" t="n">
        <v>45627</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12503-2024</t>
        </is>
      </c>
      <c r="B2189" s="1" t="n">
        <v>45379</v>
      </c>
      <c r="C2189" s="1" t="n">
        <v>45627</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12684-2024</t>
        </is>
      </c>
      <c r="B2190" s="1" t="n">
        <v>45384</v>
      </c>
      <c r="C2190" s="1" t="n">
        <v>45627</v>
      </c>
      <c r="D2190" t="inlineStr">
        <is>
          <t>VÄRMLANDS LÄN</t>
        </is>
      </c>
      <c r="E2190" t="inlineStr">
        <is>
          <t>TORSBY</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12701-2024</t>
        </is>
      </c>
      <c r="B2191" s="1" t="n">
        <v>45384</v>
      </c>
      <c r="C2191" s="1" t="n">
        <v>45627</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12989-2024</t>
        </is>
      </c>
      <c r="B2192" s="1" t="n">
        <v>45385</v>
      </c>
      <c r="C2192" s="1" t="n">
        <v>45627</v>
      </c>
      <c r="D2192" t="inlineStr">
        <is>
          <t>VÄRMLANDS LÄN</t>
        </is>
      </c>
      <c r="E2192" t="inlineStr">
        <is>
          <t>TORSBY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13211-2024</t>
        </is>
      </c>
      <c r="B2193" s="1" t="n">
        <v>45386</v>
      </c>
      <c r="C2193" s="1" t="n">
        <v>45627</v>
      </c>
      <c r="D2193" t="inlineStr">
        <is>
          <t>VÄRMLANDS LÄN</t>
        </is>
      </c>
      <c r="E2193" t="inlineStr">
        <is>
          <t>TORSBY</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13262-2024</t>
        </is>
      </c>
      <c r="B2194" s="1" t="n">
        <v>45386</v>
      </c>
      <c r="C2194" s="1" t="n">
        <v>45627</v>
      </c>
      <c r="D2194" t="inlineStr">
        <is>
          <t>VÄRMLANDS LÄN</t>
        </is>
      </c>
      <c r="E2194" t="inlineStr">
        <is>
          <t>TORSBY</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13186-2024</t>
        </is>
      </c>
      <c r="B2195" s="1" t="n">
        <v>45386</v>
      </c>
      <c r="C2195" s="1" t="n">
        <v>45627</v>
      </c>
      <c r="D2195" t="inlineStr">
        <is>
          <t>VÄRMLANDS LÄN</t>
        </is>
      </c>
      <c r="E2195" t="inlineStr">
        <is>
          <t>TORSBY</t>
        </is>
      </c>
      <c r="F2195" t="inlineStr">
        <is>
          <t>Bergvik skog väst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13206-2024</t>
        </is>
      </c>
      <c r="B2196" s="1" t="n">
        <v>45386</v>
      </c>
      <c r="C2196" s="1" t="n">
        <v>45627</v>
      </c>
      <c r="D2196" t="inlineStr">
        <is>
          <t>VÄRMLANDS LÄN</t>
        </is>
      </c>
      <c r="E2196" t="inlineStr">
        <is>
          <t>TORSBY</t>
        </is>
      </c>
      <c r="F2196" t="inlineStr">
        <is>
          <t>Bergvik skog väst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13435-2024</t>
        </is>
      </c>
      <c r="B2197" s="1" t="n">
        <v>45387</v>
      </c>
      <c r="C2197" s="1" t="n">
        <v>45627</v>
      </c>
      <c r="D2197" t="inlineStr">
        <is>
          <t>VÄRMLANDS LÄN</t>
        </is>
      </c>
      <c r="E2197" t="inlineStr">
        <is>
          <t>TORSBY</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13619-2024</t>
        </is>
      </c>
      <c r="B2198" s="1" t="n">
        <v>45390</v>
      </c>
      <c r="C2198" s="1" t="n">
        <v>45627</v>
      </c>
      <c r="D2198" t="inlineStr">
        <is>
          <t>VÄRMLANDS LÄN</t>
        </is>
      </c>
      <c r="E2198" t="inlineStr">
        <is>
          <t>TORSBY</t>
        </is>
      </c>
      <c r="F2198" t="inlineStr">
        <is>
          <t>Bergvik skog väst AB</t>
        </is>
      </c>
      <c r="G2198" t="n">
        <v>25.7</v>
      </c>
      <c r="H2198" t="n">
        <v>0</v>
      </c>
      <c r="I2198" t="n">
        <v>0</v>
      </c>
      <c r="J2198" t="n">
        <v>0</v>
      </c>
      <c r="K2198" t="n">
        <v>0</v>
      </c>
      <c r="L2198" t="n">
        <v>0</v>
      </c>
      <c r="M2198" t="n">
        <v>0</v>
      </c>
      <c r="N2198" t="n">
        <v>0</v>
      </c>
      <c r="O2198" t="n">
        <v>0</v>
      </c>
      <c r="P2198" t="n">
        <v>0</v>
      </c>
      <c r="Q2198" t="n">
        <v>0</v>
      </c>
      <c r="R2198" s="2" t="inlineStr"/>
    </row>
    <row r="2199" ht="15" customHeight="1">
      <c r="A2199" t="inlineStr">
        <is>
          <t>A 13848-2024</t>
        </is>
      </c>
      <c r="B2199" s="1" t="n">
        <v>45390</v>
      </c>
      <c r="C2199" s="1" t="n">
        <v>45627</v>
      </c>
      <c r="D2199" t="inlineStr">
        <is>
          <t>VÄRMLANDS LÄN</t>
        </is>
      </c>
      <c r="E2199" t="inlineStr">
        <is>
          <t>TORSBY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13847-2024</t>
        </is>
      </c>
      <c r="B2200" s="1" t="n">
        <v>45390</v>
      </c>
      <c r="C2200" s="1" t="n">
        <v>45627</v>
      </c>
      <c r="D2200" t="inlineStr">
        <is>
          <t>VÄRMLANDS LÄN</t>
        </is>
      </c>
      <c r="E2200" t="inlineStr">
        <is>
          <t>TORSBY</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13797-2024</t>
        </is>
      </c>
      <c r="B2201" s="1" t="n">
        <v>45391</v>
      </c>
      <c r="C2201" s="1" t="n">
        <v>45627</v>
      </c>
      <c r="D2201" t="inlineStr">
        <is>
          <t>VÄRMLANDS LÄN</t>
        </is>
      </c>
      <c r="E2201" t="inlineStr">
        <is>
          <t>TORSBY</t>
        </is>
      </c>
      <c r="F2201" t="inlineStr">
        <is>
          <t>Bergvik skog väst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14023-2024</t>
        </is>
      </c>
      <c r="B2202" s="1" t="n">
        <v>45392</v>
      </c>
      <c r="C2202" s="1" t="n">
        <v>45627</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13965-2024</t>
        </is>
      </c>
      <c r="B2203" s="1" t="n">
        <v>45392</v>
      </c>
      <c r="C2203" s="1" t="n">
        <v>45627</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14052-2024</t>
        </is>
      </c>
      <c r="B2204" s="1" t="n">
        <v>45392</v>
      </c>
      <c r="C2204" s="1" t="n">
        <v>45627</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14063-2024</t>
        </is>
      </c>
      <c r="B2205" s="1" t="n">
        <v>45392</v>
      </c>
      <c r="C2205" s="1" t="n">
        <v>45627</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14283-2024</t>
        </is>
      </c>
      <c r="B2206" s="1" t="n">
        <v>45393</v>
      </c>
      <c r="C2206" s="1" t="n">
        <v>45627</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14440-2024</t>
        </is>
      </c>
      <c r="B2207" s="1" t="n">
        <v>45394</v>
      </c>
      <c r="C2207" s="1" t="n">
        <v>45627</v>
      </c>
      <c r="D2207" t="inlineStr">
        <is>
          <t>VÄRMLANDS LÄN</t>
        </is>
      </c>
      <c r="E2207" t="inlineStr">
        <is>
          <t>TORSBY</t>
        </is>
      </c>
      <c r="F2207" t="inlineStr">
        <is>
          <t>Bergvik skog väst AB</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14393-2024</t>
        </is>
      </c>
      <c r="B2208" s="1" t="n">
        <v>45394</v>
      </c>
      <c r="C2208" s="1" t="n">
        <v>45627</v>
      </c>
      <c r="D2208" t="inlineStr">
        <is>
          <t>VÄRMLANDS LÄN</t>
        </is>
      </c>
      <c r="E2208" t="inlineStr">
        <is>
          <t>TORSBY</t>
        </is>
      </c>
      <c r="F2208" t="inlineStr">
        <is>
          <t>Bergvik skog väst AB</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14453-2024</t>
        </is>
      </c>
      <c r="B2209" s="1" t="n">
        <v>45394</v>
      </c>
      <c r="C2209" s="1" t="n">
        <v>45627</v>
      </c>
      <c r="D2209" t="inlineStr">
        <is>
          <t>VÄRMLANDS LÄN</t>
        </is>
      </c>
      <c r="E2209" t="inlineStr">
        <is>
          <t>TORSBY</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14730-2024</t>
        </is>
      </c>
      <c r="B2210" s="1" t="n">
        <v>45397</v>
      </c>
      <c r="C2210" s="1" t="n">
        <v>45627</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14763-2024</t>
        </is>
      </c>
      <c r="B2211" s="1" t="n">
        <v>45397</v>
      </c>
      <c r="C2211" s="1" t="n">
        <v>45627</v>
      </c>
      <c r="D2211" t="inlineStr">
        <is>
          <t>VÄRMLANDS LÄN</t>
        </is>
      </c>
      <c r="E2211" t="inlineStr">
        <is>
          <t>TORSBY</t>
        </is>
      </c>
      <c r="F2211" t="inlineStr">
        <is>
          <t>Bergvik skog väst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14872-2024</t>
        </is>
      </c>
      <c r="B2212" s="1" t="n">
        <v>45398</v>
      </c>
      <c r="C2212" s="1" t="n">
        <v>45627</v>
      </c>
      <c r="D2212" t="inlineStr">
        <is>
          <t>VÄRMLANDS LÄN</t>
        </is>
      </c>
      <c r="E2212" t="inlineStr">
        <is>
          <t>TORSBY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14831-2024</t>
        </is>
      </c>
      <c r="B2213" s="1" t="n">
        <v>45398</v>
      </c>
      <c r="C2213" s="1" t="n">
        <v>45627</v>
      </c>
      <c r="D2213" t="inlineStr">
        <is>
          <t>VÄRMLANDS LÄN</t>
        </is>
      </c>
      <c r="E2213" t="inlineStr">
        <is>
          <t>TORSBY</t>
        </is>
      </c>
      <c r="F2213" t="inlineStr">
        <is>
          <t>Bergvik skog väst AB</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14949-2024</t>
        </is>
      </c>
      <c r="B2214" s="1" t="n">
        <v>45398</v>
      </c>
      <c r="C2214" s="1" t="n">
        <v>45627</v>
      </c>
      <c r="D2214" t="inlineStr">
        <is>
          <t>VÄRMLANDS LÄN</t>
        </is>
      </c>
      <c r="E2214" t="inlineStr">
        <is>
          <t>TORSBY</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14882-2024</t>
        </is>
      </c>
      <c r="B2215" s="1" t="n">
        <v>45398</v>
      </c>
      <c r="C2215" s="1" t="n">
        <v>45627</v>
      </c>
      <c r="D2215" t="inlineStr">
        <is>
          <t>VÄRMLANDS LÄN</t>
        </is>
      </c>
      <c r="E2215" t="inlineStr">
        <is>
          <t>TORSBY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14860-2024</t>
        </is>
      </c>
      <c r="B2216" s="1" t="n">
        <v>45398</v>
      </c>
      <c r="C2216" s="1" t="n">
        <v>45627</v>
      </c>
      <c r="D2216" t="inlineStr">
        <is>
          <t>VÄRMLANDS LÄN</t>
        </is>
      </c>
      <c r="E2216" t="inlineStr">
        <is>
          <t>TORSBY</t>
        </is>
      </c>
      <c r="F2216" t="inlineStr">
        <is>
          <t>Kyrkan</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15083-2024</t>
        </is>
      </c>
      <c r="B2217" s="1" t="n">
        <v>45399</v>
      </c>
      <c r="C2217" s="1" t="n">
        <v>45627</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15052-2024</t>
        </is>
      </c>
      <c r="B2218" s="1" t="n">
        <v>45399</v>
      </c>
      <c r="C2218" s="1" t="n">
        <v>45627</v>
      </c>
      <c r="D2218" t="inlineStr">
        <is>
          <t>VÄRMLANDS LÄN</t>
        </is>
      </c>
      <c r="E2218" t="inlineStr">
        <is>
          <t>TORSBY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15064-2024</t>
        </is>
      </c>
      <c r="B2219" s="1" t="n">
        <v>45399</v>
      </c>
      <c r="C2219" s="1" t="n">
        <v>45627</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15101-2024</t>
        </is>
      </c>
      <c r="B2220" s="1" t="n">
        <v>45399</v>
      </c>
      <c r="C2220" s="1" t="n">
        <v>45627</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15061-2024</t>
        </is>
      </c>
      <c r="B2221" s="1" t="n">
        <v>45399</v>
      </c>
      <c r="C2221" s="1" t="n">
        <v>45627</v>
      </c>
      <c r="D2221" t="inlineStr">
        <is>
          <t>VÄRMLANDS LÄN</t>
        </is>
      </c>
      <c r="E2221" t="inlineStr">
        <is>
          <t>TORSBY</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15126-2024</t>
        </is>
      </c>
      <c r="B2222" s="1" t="n">
        <v>45399</v>
      </c>
      <c r="C2222" s="1" t="n">
        <v>45627</v>
      </c>
      <c r="D2222" t="inlineStr">
        <is>
          <t>VÄRMLANDS LÄN</t>
        </is>
      </c>
      <c r="E2222" t="inlineStr">
        <is>
          <t>TORSBY</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15127-2024</t>
        </is>
      </c>
      <c r="B2223" s="1" t="n">
        <v>45399</v>
      </c>
      <c r="C2223" s="1" t="n">
        <v>45627</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15182-2024</t>
        </is>
      </c>
      <c r="B2224" s="1" t="n">
        <v>45400</v>
      </c>
      <c r="C2224" s="1" t="n">
        <v>45627</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15180-2024</t>
        </is>
      </c>
      <c r="B2225" s="1" t="n">
        <v>45400</v>
      </c>
      <c r="C2225" s="1" t="n">
        <v>45627</v>
      </c>
      <c r="D2225" t="inlineStr">
        <is>
          <t>VÄRMLANDS LÄN</t>
        </is>
      </c>
      <c r="E2225" t="inlineStr">
        <is>
          <t>TORSBY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15222-2024</t>
        </is>
      </c>
      <c r="B2226" s="1" t="n">
        <v>45400</v>
      </c>
      <c r="C2226" s="1" t="n">
        <v>45627</v>
      </c>
      <c r="D2226" t="inlineStr">
        <is>
          <t>VÄRMLANDS LÄN</t>
        </is>
      </c>
      <c r="E2226" t="inlineStr">
        <is>
          <t>TORSBY</t>
        </is>
      </c>
      <c r="F2226" t="inlineStr">
        <is>
          <t>Bergvik skog väst AB</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15274-2024</t>
        </is>
      </c>
      <c r="B2227" s="1" t="n">
        <v>45400</v>
      </c>
      <c r="C2227" s="1" t="n">
        <v>45627</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15293-2024</t>
        </is>
      </c>
      <c r="B2228" s="1" t="n">
        <v>45400</v>
      </c>
      <c r="C2228" s="1" t="n">
        <v>45627</v>
      </c>
      <c r="D2228" t="inlineStr">
        <is>
          <t>VÄRMLANDS LÄN</t>
        </is>
      </c>
      <c r="E2228" t="inlineStr">
        <is>
          <t>TORSBY</t>
        </is>
      </c>
      <c r="F2228" t="inlineStr">
        <is>
          <t>Bergvik skog väst AB</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15175-2024</t>
        </is>
      </c>
      <c r="B2229" s="1" t="n">
        <v>45400</v>
      </c>
      <c r="C2229" s="1" t="n">
        <v>45627</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15315-2024</t>
        </is>
      </c>
      <c r="B2230" s="1" t="n">
        <v>45400</v>
      </c>
      <c r="C2230" s="1" t="n">
        <v>45627</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15320-2024</t>
        </is>
      </c>
      <c r="B2231" s="1" t="n">
        <v>45400</v>
      </c>
      <c r="C2231" s="1" t="n">
        <v>45627</v>
      </c>
      <c r="D2231" t="inlineStr">
        <is>
          <t>VÄRMLANDS LÄN</t>
        </is>
      </c>
      <c r="E2231" t="inlineStr">
        <is>
          <t>TORSBY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15425-2024</t>
        </is>
      </c>
      <c r="B2232" s="1" t="n">
        <v>45401</v>
      </c>
      <c r="C2232" s="1" t="n">
        <v>45627</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15503-2024</t>
        </is>
      </c>
      <c r="B2233" s="1" t="n">
        <v>45401</v>
      </c>
      <c r="C2233" s="1" t="n">
        <v>45627</v>
      </c>
      <c r="D2233" t="inlineStr">
        <is>
          <t>VÄRMLANDS LÄN</t>
        </is>
      </c>
      <c r="E2233" t="inlineStr">
        <is>
          <t>TORSBY</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15465-2024</t>
        </is>
      </c>
      <c r="B2234" s="1" t="n">
        <v>45401</v>
      </c>
      <c r="C2234" s="1" t="n">
        <v>45627</v>
      </c>
      <c r="D2234" t="inlineStr">
        <is>
          <t>VÄRMLANDS LÄN</t>
        </is>
      </c>
      <c r="E2234" t="inlineStr">
        <is>
          <t>TORSBY</t>
        </is>
      </c>
      <c r="F2234" t="inlineStr">
        <is>
          <t>Bergvik skog väst AB</t>
        </is>
      </c>
      <c r="G2234" t="n">
        <v>24.6</v>
      </c>
      <c r="H2234" t="n">
        <v>0</v>
      </c>
      <c r="I2234" t="n">
        <v>0</v>
      </c>
      <c r="J2234" t="n">
        <v>0</v>
      </c>
      <c r="K2234" t="n">
        <v>0</v>
      </c>
      <c r="L2234" t="n">
        <v>0</v>
      </c>
      <c r="M2234" t="n">
        <v>0</v>
      </c>
      <c r="N2234" t="n">
        <v>0</v>
      </c>
      <c r="O2234" t="n">
        <v>0</v>
      </c>
      <c r="P2234" t="n">
        <v>0</v>
      </c>
      <c r="Q2234" t="n">
        <v>0</v>
      </c>
      <c r="R2234" s="2" t="inlineStr"/>
    </row>
    <row r="2235" ht="15" customHeight="1">
      <c r="A2235" t="inlineStr">
        <is>
          <t>A 15730-2024</t>
        </is>
      </c>
      <c r="B2235" s="1" t="n">
        <v>45404</v>
      </c>
      <c r="C2235" s="1" t="n">
        <v>45627</v>
      </c>
      <c r="D2235" t="inlineStr">
        <is>
          <t>VÄRMLANDS LÄN</t>
        </is>
      </c>
      <c r="E2235" t="inlineStr">
        <is>
          <t>TORSBY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15758-2024</t>
        </is>
      </c>
      <c r="B2236" s="1" t="n">
        <v>45404</v>
      </c>
      <c r="C2236" s="1" t="n">
        <v>45627</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15943-2024</t>
        </is>
      </c>
      <c r="B2237" s="1" t="n">
        <v>45405</v>
      </c>
      <c r="C2237" s="1" t="n">
        <v>45627</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15896-2024</t>
        </is>
      </c>
      <c r="B2238" s="1" t="n">
        <v>45405</v>
      </c>
      <c r="C2238" s="1" t="n">
        <v>45627</v>
      </c>
      <c r="D2238" t="inlineStr">
        <is>
          <t>VÄRMLANDS LÄN</t>
        </is>
      </c>
      <c r="E2238" t="inlineStr">
        <is>
          <t>TORSBY</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15892-2024</t>
        </is>
      </c>
      <c r="B2239" s="1" t="n">
        <v>45405</v>
      </c>
      <c r="C2239" s="1" t="n">
        <v>45627</v>
      </c>
      <c r="D2239" t="inlineStr">
        <is>
          <t>VÄRMLANDS LÄN</t>
        </is>
      </c>
      <c r="E2239" t="inlineStr">
        <is>
          <t>TORSBY</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15899-2024</t>
        </is>
      </c>
      <c r="B2240" s="1" t="n">
        <v>45405</v>
      </c>
      <c r="C2240" s="1" t="n">
        <v>45627</v>
      </c>
      <c r="D2240" t="inlineStr">
        <is>
          <t>VÄRMLANDS LÄN</t>
        </is>
      </c>
      <c r="E2240" t="inlineStr">
        <is>
          <t>TORSBY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15874-2024</t>
        </is>
      </c>
      <c r="B2241" s="1" t="n">
        <v>45405</v>
      </c>
      <c r="C2241" s="1" t="n">
        <v>45627</v>
      </c>
      <c r="D2241" t="inlineStr">
        <is>
          <t>VÄRMLANDS LÄN</t>
        </is>
      </c>
      <c r="E2241" t="inlineStr">
        <is>
          <t>TORSBY</t>
        </is>
      </c>
      <c r="F2241" t="inlineStr">
        <is>
          <t>Bergvik skog väst AB</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16073-2024</t>
        </is>
      </c>
      <c r="B2242" s="1" t="n">
        <v>45406</v>
      </c>
      <c r="C2242" s="1" t="n">
        <v>45627</v>
      </c>
      <c r="D2242" t="inlineStr">
        <is>
          <t>VÄRMLANDS LÄN</t>
        </is>
      </c>
      <c r="E2242" t="inlineStr">
        <is>
          <t>TORSBY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16369-2024</t>
        </is>
      </c>
      <c r="B2243" s="1" t="n">
        <v>45407</v>
      </c>
      <c r="C2243" s="1" t="n">
        <v>45627</v>
      </c>
      <c r="D2243" t="inlineStr">
        <is>
          <t>VÄRMLANDS LÄN</t>
        </is>
      </c>
      <c r="E2243" t="inlineStr">
        <is>
          <t>TORSBY</t>
        </is>
      </c>
      <c r="F2243" t="inlineStr">
        <is>
          <t>Kommuner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16517-2024</t>
        </is>
      </c>
      <c r="B2244" s="1" t="n">
        <v>45408</v>
      </c>
      <c r="C2244" s="1" t="n">
        <v>45627</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16585-2024</t>
        </is>
      </c>
      <c r="B2245" s="1" t="n">
        <v>45408</v>
      </c>
      <c r="C2245" s="1" t="n">
        <v>45627</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16654-2024</t>
        </is>
      </c>
      <c r="B2246" s="1" t="n">
        <v>45408</v>
      </c>
      <c r="C2246" s="1" t="n">
        <v>45627</v>
      </c>
      <c r="D2246" t="inlineStr">
        <is>
          <t>VÄRMLANDS LÄN</t>
        </is>
      </c>
      <c r="E2246" t="inlineStr">
        <is>
          <t>TORSBY</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16488-2024</t>
        </is>
      </c>
      <c r="B2247" s="1" t="n">
        <v>45408</v>
      </c>
      <c r="C2247" s="1" t="n">
        <v>45627</v>
      </c>
      <c r="D2247" t="inlineStr">
        <is>
          <t>VÄRMLANDS LÄN</t>
        </is>
      </c>
      <c r="E2247" t="inlineStr">
        <is>
          <t>TORSBY</t>
        </is>
      </c>
      <c r="F2247" t="inlineStr">
        <is>
          <t>Bergvik skog väst AB</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16544-2024</t>
        </is>
      </c>
      <c r="B2248" s="1" t="n">
        <v>45408</v>
      </c>
      <c r="C2248" s="1" t="n">
        <v>45627</v>
      </c>
      <c r="D2248" t="inlineStr">
        <is>
          <t>VÄRMLANDS LÄN</t>
        </is>
      </c>
      <c r="E2248" t="inlineStr">
        <is>
          <t>TORSBY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16592-2024</t>
        </is>
      </c>
      <c r="B2249" s="1" t="n">
        <v>45408</v>
      </c>
      <c r="C2249" s="1" t="n">
        <v>45627</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16583-2024</t>
        </is>
      </c>
      <c r="B2250" s="1" t="n">
        <v>45408</v>
      </c>
      <c r="C2250" s="1" t="n">
        <v>45627</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16591-2024</t>
        </is>
      </c>
      <c r="B2251" s="1" t="n">
        <v>45408</v>
      </c>
      <c r="C2251" s="1" t="n">
        <v>45627</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16586-2024</t>
        </is>
      </c>
      <c r="B2252" s="1" t="n">
        <v>45408</v>
      </c>
      <c r="C2252" s="1" t="n">
        <v>45627</v>
      </c>
      <c r="D2252" t="inlineStr">
        <is>
          <t>VÄRMLANDS LÄN</t>
        </is>
      </c>
      <c r="E2252" t="inlineStr">
        <is>
          <t>TORSBY</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16730-2024</t>
        </is>
      </c>
      <c r="B2253" s="1" t="n">
        <v>45410</v>
      </c>
      <c r="C2253" s="1" t="n">
        <v>45627</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16891-2024</t>
        </is>
      </c>
      <c r="B2254" s="1" t="n">
        <v>45411</v>
      </c>
      <c r="C2254" s="1" t="n">
        <v>45627</v>
      </c>
      <c r="D2254" t="inlineStr">
        <is>
          <t>VÄRMLANDS LÄN</t>
        </is>
      </c>
      <c r="E2254" t="inlineStr">
        <is>
          <t>TORSBY</t>
        </is>
      </c>
      <c r="F2254" t="inlineStr">
        <is>
          <t>Bergvik skog väst AB</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16961-2024</t>
        </is>
      </c>
      <c r="B2255" s="1" t="n">
        <v>45412</v>
      </c>
      <c r="C2255" s="1" t="n">
        <v>45627</v>
      </c>
      <c r="D2255" t="inlineStr">
        <is>
          <t>VÄRMLANDS LÄN</t>
        </is>
      </c>
      <c r="E2255" t="inlineStr">
        <is>
          <t>TORSBY</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16841-2024</t>
        </is>
      </c>
      <c r="B2256" s="1" t="n">
        <v>45411</v>
      </c>
      <c r="C2256" s="1" t="n">
        <v>45627</v>
      </c>
      <c r="D2256" t="inlineStr">
        <is>
          <t>VÄRMLANDS LÄN</t>
        </is>
      </c>
      <c r="E2256" t="inlineStr">
        <is>
          <t>TORSBY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16780-2024</t>
        </is>
      </c>
      <c r="B2257" s="1" t="n">
        <v>45411</v>
      </c>
      <c r="C2257" s="1" t="n">
        <v>45627</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16789-2024</t>
        </is>
      </c>
      <c r="B2258" s="1" t="n">
        <v>45411</v>
      </c>
      <c r="C2258" s="1" t="n">
        <v>45627</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17008-2024</t>
        </is>
      </c>
      <c r="B2259" s="1" t="n">
        <v>45412</v>
      </c>
      <c r="C2259" s="1" t="n">
        <v>45627</v>
      </c>
      <c r="D2259" t="inlineStr">
        <is>
          <t>VÄRMLANDS LÄN</t>
        </is>
      </c>
      <c r="E2259" t="inlineStr">
        <is>
          <t>TORSBY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17001-2024</t>
        </is>
      </c>
      <c r="B2260" s="1" t="n">
        <v>45412</v>
      </c>
      <c r="C2260" s="1" t="n">
        <v>45627</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17083-2024</t>
        </is>
      </c>
      <c r="B2261" s="1" t="n">
        <v>45412</v>
      </c>
      <c r="C2261" s="1" t="n">
        <v>45627</v>
      </c>
      <c r="D2261" t="inlineStr">
        <is>
          <t>VÄRMLANDS LÄN</t>
        </is>
      </c>
      <c r="E2261" t="inlineStr">
        <is>
          <t>TORSBY</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17024-2024</t>
        </is>
      </c>
      <c r="B2262" s="1" t="n">
        <v>45412</v>
      </c>
      <c r="C2262" s="1" t="n">
        <v>45627</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17017-2024</t>
        </is>
      </c>
      <c r="B2263" s="1" t="n">
        <v>45412</v>
      </c>
      <c r="C2263" s="1" t="n">
        <v>45627</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17047-2024</t>
        </is>
      </c>
      <c r="B2264" s="1" t="n">
        <v>45412</v>
      </c>
      <c r="C2264" s="1" t="n">
        <v>45627</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17265-2024</t>
        </is>
      </c>
      <c r="B2265" s="1" t="n">
        <v>45414</v>
      </c>
      <c r="C2265" s="1" t="n">
        <v>45627</v>
      </c>
      <c r="D2265" t="inlineStr">
        <is>
          <t>VÄRMLANDS LÄN</t>
        </is>
      </c>
      <c r="E2265" t="inlineStr">
        <is>
          <t>TORSBY</t>
        </is>
      </c>
      <c r="F2265" t="inlineStr">
        <is>
          <t>Bergvik skog väst AB</t>
        </is>
      </c>
      <c r="G2265" t="n">
        <v>23.9</v>
      </c>
      <c r="H2265" t="n">
        <v>0</v>
      </c>
      <c r="I2265" t="n">
        <v>0</v>
      </c>
      <c r="J2265" t="n">
        <v>0</v>
      </c>
      <c r="K2265" t="n">
        <v>0</v>
      </c>
      <c r="L2265" t="n">
        <v>0</v>
      </c>
      <c r="M2265" t="n">
        <v>0</v>
      </c>
      <c r="N2265" t="n">
        <v>0</v>
      </c>
      <c r="O2265" t="n">
        <v>0</v>
      </c>
      <c r="P2265" t="n">
        <v>0</v>
      </c>
      <c r="Q2265" t="n">
        <v>0</v>
      </c>
      <c r="R2265" s="2" t="inlineStr"/>
    </row>
    <row r="2266" ht="15" customHeight="1">
      <c r="A2266" t="inlineStr">
        <is>
          <t>A 17285-2024</t>
        </is>
      </c>
      <c r="B2266" s="1" t="n">
        <v>45414</v>
      </c>
      <c r="C2266" s="1" t="n">
        <v>45627</v>
      </c>
      <c r="D2266" t="inlineStr">
        <is>
          <t>VÄRMLANDS LÄN</t>
        </is>
      </c>
      <c r="E2266" t="inlineStr">
        <is>
          <t>TORSBY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17233-2024</t>
        </is>
      </c>
      <c r="B2267" s="1" t="n">
        <v>45414</v>
      </c>
      <c r="C2267" s="1" t="n">
        <v>45627</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17390-2024</t>
        </is>
      </c>
      <c r="B2268" s="1" t="n">
        <v>45414</v>
      </c>
      <c r="C2268" s="1" t="n">
        <v>45627</v>
      </c>
      <c r="D2268" t="inlineStr">
        <is>
          <t>VÄRMLANDS LÄN</t>
        </is>
      </c>
      <c r="E2268" t="inlineStr">
        <is>
          <t>TORSBY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17364-2024</t>
        </is>
      </c>
      <c r="B2269" s="1" t="n">
        <v>45414</v>
      </c>
      <c r="C2269" s="1" t="n">
        <v>45627</v>
      </c>
      <c r="D2269" t="inlineStr">
        <is>
          <t>VÄRMLANDS LÄN</t>
        </is>
      </c>
      <c r="E2269" t="inlineStr">
        <is>
          <t>TORSBY</t>
        </is>
      </c>
      <c r="F2269" t="inlineStr">
        <is>
          <t>Bergvik skog väst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17556-2024</t>
        </is>
      </c>
      <c r="B2270" s="1" t="n">
        <v>45415</v>
      </c>
      <c r="C2270" s="1" t="n">
        <v>45627</v>
      </c>
      <c r="D2270" t="inlineStr">
        <is>
          <t>VÄRMLANDS LÄN</t>
        </is>
      </c>
      <c r="E2270" t="inlineStr">
        <is>
          <t>TORSBY</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17525-2024</t>
        </is>
      </c>
      <c r="B2271" s="1" t="n">
        <v>45415</v>
      </c>
      <c r="C2271" s="1" t="n">
        <v>45627</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17562-2024</t>
        </is>
      </c>
      <c r="B2272" s="1" t="n">
        <v>45415</v>
      </c>
      <c r="C2272" s="1" t="n">
        <v>45627</v>
      </c>
      <c r="D2272" t="inlineStr">
        <is>
          <t>VÄRMLANDS LÄN</t>
        </is>
      </c>
      <c r="E2272" t="inlineStr">
        <is>
          <t>TORSBY</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17450-2024</t>
        </is>
      </c>
      <c r="B2273" s="1" t="n">
        <v>45415</v>
      </c>
      <c r="C2273" s="1" t="n">
        <v>45627</v>
      </c>
      <c r="D2273" t="inlineStr">
        <is>
          <t>VÄRMLANDS LÄN</t>
        </is>
      </c>
      <c r="E2273" t="inlineStr">
        <is>
          <t>TORSBY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17530-2024</t>
        </is>
      </c>
      <c r="B2274" s="1" t="n">
        <v>45415</v>
      </c>
      <c r="C2274" s="1" t="n">
        <v>45627</v>
      </c>
      <c r="D2274" t="inlineStr">
        <is>
          <t>VÄRMLANDS LÄN</t>
        </is>
      </c>
      <c r="E2274" t="inlineStr">
        <is>
          <t>TORSBY</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17687-2024</t>
        </is>
      </c>
      <c r="B2275" s="1" t="n">
        <v>45418</v>
      </c>
      <c r="C2275" s="1" t="n">
        <v>45627</v>
      </c>
      <c r="D2275" t="inlineStr">
        <is>
          <t>VÄRMLANDS LÄN</t>
        </is>
      </c>
      <c r="E2275" t="inlineStr">
        <is>
          <t>TORSBY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17717-2024</t>
        </is>
      </c>
      <c r="B2276" s="1" t="n">
        <v>45418</v>
      </c>
      <c r="C2276" s="1" t="n">
        <v>45627</v>
      </c>
      <c r="D2276" t="inlineStr">
        <is>
          <t>VÄRMLANDS LÄN</t>
        </is>
      </c>
      <c r="E2276" t="inlineStr">
        <is>
          <t>TORSBY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17959-2024</t>
        </is>
      </c>
      <c r="B2277" s="1" t="n">
        <v>45419</v>
      </c>
      <c r="C2277" s="1" t="n">
        <v>45627</v>
      </c>
      <c r="D2277" t="inlineStr">
        <is>
          <t>VÄRMLANDS LÄN</t>
        </is>
      </c>
      <c r="E2277" t="inlineStr">
        <is>
          <t>TORSBY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17921-2024</t>
        </is>
      </c>
      <c r="B2278" s="1" t="n">
        <v>45419</v>
      </c>
      <c r="C2278" s="1" t="n">
        <v>45627</v>
      </c>
      <c r="D2278" t="inlineStr">
        <is>
          <t>VÄRMLANDS LÄN</t>
        </is>
      </c>
      <c r="E2278" t="inlineStr">
        <is>
          <t>TORSBY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17837-2024</t>
        </is>
      </c>
      <c r="B2279" s="1" t="n">
        <v>45419</v>
      </c>
      <c r="C2279" s="1" t="n">
        <v>45627</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17879-2024</t>
        </is>
      </c>
      <c r="B2280" s="1" t="n">
        <v>45419</v>
      </c>
      <c r="C2280" s="1" t="n">
        <v>45627</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17931-2024</t>
        </is>
      </c>
      <c r="B2281" s="1" t="n">
        <v>45419</v>
      </c>
      <c r="C2281" s="1" t="n">
        <v>45627</v>
      </c>
      <c r="D2281" t="inlineStr">
        <is>
          <t>VÄRMLANDS LÄN</t>
        </is>
      </c>
      <c r="E2281" t="inlineStr">
        <is>
          <t>TORSBY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18125-2024</t>
        </is>
      </c>
      <c r="B2282" s="1" t="n">
        <v>45420</v>
      </c>
      <c r="C2282" s="1" t="n">
        <v>45627</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18155-2024</t>
        </is>
      </c>
      <c r="B2283" s="1" t="n">
        <v>45420</v>
      </c>
      <c r="C2283" s="1" t="n">
        <v>45627</v>
      </c>
      <c r="D2283" t="inlineStr">
        <is>
          <t>VÄRMLANDS LÄN</t>
        </is>
      </c>
      <c r="E2283" t="inlineStr">
        <is>
          <t>TORSBY</t>
        </is>
      </c>
      <c r="F2283" t="inlineStr">
        <is>
          <t>Bergvik skog väst AB</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18339-2024</t>
        </is>
      </c>
      <c r="B2284" s="1" t="n">
        <v>45422</v>
      </c>
      <c r="C2284" s="1" t="n">
        <v>45627</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18330-2024</t>
        </is>
      </c>
      <c r="B2285" s="1" t="n">
        <v>45422</v>
      </c>
      <c r="C2285" s="1" t="n">
        <v>45627</v>
      </c>
      <c r="D2285" t="inlineStr">
        <is>
          <t>VÄRMLANDS LÄN</t>
        </is>
      </c>
      <c r="E2285" t="inlineStr">
        <is>
          <t>TORSBY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18308-2024</t>
        </is>
      </c>
      <c r="B2286" s="1" t="n">
        <v>45422</v>
      </c>
      <c r="C2286" s="1" t="n">
        <v>45627</v>
      </c>
      <c r="D2286" t="inlineStr">
        <is>
          <t>VÄRMLANDS LÄN</t>
        </is>
      </c>
      <c r="E2286" t="inlineStr">
        <is>
          <t>TORSBY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18337-2024</t>
        </is>
      </c>
      <c r="B2287" s="1" t="n">
        <v>45422</v>
      </c>
      <c r="C2287" s="1" t="n">
        <v>45627</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18422-2024</t>
        </is>
      </c>
      <c r="B2288" s="1" t="n">
        <v>45425</v>
      </c>
      <c r="C2288" s="1" t="n">
        <v>45627</v>
      </c>
      <c r="D2288" t="inlineStr">
        <is>
          <t>VÄRMLANDS LÄN</t>
        </is>
      </c>
      <c r="E2288" t="inlineStr">
        <is>
          <t>TORSBY</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18682-2024</t>
        </is>
      </c>
      <c r="B2289" s="1" t="n">
        <v>45426</v>
      </c>
      <c r="C2289" s="1" t="n">
        <v>45627</v>
      </c>
      <c r="D2289" t="inlineStr">
        <is>
          <t>VÄRMLANDS LÄN</t>
        </is>
      </c>
      <c r="E2289" t="inlineStr">
        <is>
          <t>TORSBY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18883-2024</t>
        </is>
      </c>
      <c r="B2290" s="1" t="n">
        <v>45426</v>
      </c>
      <c r="C2290" s="1" t="n">
        <v>45627</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18855-2024</t>
        </is>
      </c>
      <c r="B2291" s="1" t="n">
        <v>45426</v>
      </c>
      <c r="C2291" s="1" t="n">
        <v>45627</v>
      </c>
      <c r="D2291" t="inlineStr">
        <is>
          <t>VÄRMLANDS LÄN</t>
        </is>
      </c>
      <c r="E2291" t="inlineStr">
        <is>
          <t>TORSBY</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18890-2024</t>
        </is>
      </c>
      <c r="B2292" s="1" t="n">
        <v>45427</v>
      </c>
      <c r="C2292" s="1" t="n">
        <v>45627</v>
      </c>
      <c r="D2292" t="inlineStr">
        <is>
          <t>VÄRMLANDS LÄN</t>
        </is>
      </c>
      <c r="E2292" t="inlineStr">
        <is>
          <t>TORSBY</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18953-2024</t>
        </is>
      </c>
      <c r="B2293" s="1" t="n">
        <v>45427</v>
      </c>
      <c r="C2293" s="1" t="n">
        <v>45627</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18959-2024</t>
        </is>
      </c>
      <c r="B2294" s="1" t="n">
        <v>45427</v>
      </c>
      <c r="C2294" s="1" t="n">
        <v>45627</v>
      </c>
      <c r="D2294" t="inlineStr">
        <is>
          <t>VÄRMLANDS LÄN</t>
        </is>
      </c>
      <c r="E2294" t="inlineStr">
        <is>
          <t>TORSBY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18955-2024</t>
        </is>
      </c>
      <c r="B2295" s="1" t="n">
        <v>45427</v>
      </c>
      <c r="C2295" s="1" t="n">
        <v>45627</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18897-2024</t>
        </is>
      </c>
      <c r="B2296" s="1" t="n">
        <v>45427</v>
      </c>
      <c r="C2296" s="1" t="n">
        <v>45627</v>
      </c>
      <c r="D2296" t="inlineStr">
        <is>
          <t>VÄRMLANDS LÄN</t>
        </is>
      </c>
      <c r="E2296" t="inlineStr">
        <is>
          <t>TORSBY</t>
        </is>
      </c>
      <c r="F2296" t="inlineStr">
        <is>
          <t>Övriga statliga verk och myndigheter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19029-2024</t>
        </is>
      </c>
      <c r="B2297" s="1" t="n">
        <v>45427</v>
      </c>
      <c r="C2297" s="1" t="n">
        <v>45627</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19136-2024</t>
        </is>
      </c>
      <c r="B2298" s="1" t="n">
        <v>45428</v>
      </c>
      <c r="C2298" s="1" t="n">
        <v>45627</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19251-2024</t>
        </is>
      </c>
      <c r="B2299" s="1" t="n">
        <v>45428</v>
      </c>
      <c r="C2299" s="1" t="n">
        <v>45627</v>
      </c>
      <c r="D2299" t="inlineStr">
        <is>
          <t>VÄRMLANDS LÄN</t>
        </is>
      </c>
      <c r="E2299" t="inlineStr">
        <is>
          <t>TORSBY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19215-2024</t>
        </is>
      </c>
      <c r="B2300" s="1" t="n">
        <v>45428</v>
      </c>
      <c r="C2300" s="1" t="n">
        <v>45627</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19665-2024</t>
        </is>
      </c>
      <c r="B2301" s="1" t="n">
        <v>45432</v>
      </c>
      <c r="C2301" s="1" t="n">
        <v>45627</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19887-2024</t>
        </is>
      </c>
      <c r="B2302" s="1" t="n">
        <v>45433</v>
      </c>
      <c r="C2302" s="1" t="n">
        <v>45627</v>
      </c>
      <c r="D2302" t="inlineStr">
        <is>
          <t>VÄRMLANDS LÄN</t>
        </is>
      </c>
      <c r="E2302" t="inlineStr">
        <is>
          <t>TORSBY</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20440-2024</t>
        </is>
      </c>
      <c r="B2303" s="1" t="n">
        <v>45435</v>
      </c>
      <c r="C2303" s="1" t="n">
        <v>45627</v>
      </c>
      <c r="D2303" t="inlineStr">
        <is>
          <t>VÄRMLANDS LÄN</t>
        </is>
      </c>
      <c r="E2303" t="inlineStr">
        <is>
          <t>TORSBY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20472-2024</t>
        </is>
      </c>
      <c r="B2304" s="1" t="n">
        <v>45435</v>
      </c>
      <c r="C2304" s="1" t="n">
        <v>45627</v>
      </c>
      <c r="D2304" t="inlineStr">
        <is>
          <t>VÄRMLANDS LÄN</t>
        </is>
      </c>
      <c r="E2304" t="inlineStr">
        <is>
          <t>TORSBY</t>
        </is>
      </c>
      <c r="F2304" t="inlineStr">
        <is>
          <t>Bergvik skog väst AB</t>
        </is>
      </c>
      <c r="G2304" t="n">
        <v>46.1</v>
      </c>
      <c r="H2304" t="n">
        <v>0</v>
      </c>
      <c r="I2304" t="n">
        <v>0</v>
      </c>
      <c r="J2304" t="n">
        <v>0</v>
      </c>
      <c r="K2304" t="n">
        <v>0</v>
      </c>
      <c r="L2304" t="n">
        <v>0</v>
      </c>
      <c r="M2304" t="n">
        <v>0</v>
      </c>
      <c r="N2304" t="n">
        <v>0</v>
      </c>
      <c r="O2304" t="n">
        <v>0</v>
      </c>
      <c r="P2304" t="n">
        <v>0</v>
      </c>
      <c r="Q2304" t="n">
        <v>0</v>
      </c>
      <c r="R2304" s="2" t="inlineStr"/>
    </row>
    <row r="2305" ht="15" customHeight="1">
      <c r="A2305" t="inlineStr">
        <is>
          <t>A 20645-2024</t>
        </is>
      </c>
      <c r="B2305" s="1" t="n">
        <v>45436</v>
      </c>
      <c r="C2305" s="1" t="n">
        <v>45627</v>
      </c>
      <c r="D2305" t="inlineStr">
        <is>
          <t>VÄRMLANDS LÄN</t>
        </is>
      </c>
      <c r="E2305" t="inlineStr">
        <is>
          <t>TORSBY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20725-2024</t>
        </is>
      </c>
      <c r="B2306" s="1" t="n">
        <v>45436</v>
      </c>
      <c r="C2306" s="1" t="n">
        <v>45627</v>
      </c>
      <c r="D2306" t="inlineStr">
        <is>
          <t>VÄRMLANDS LÄN</t>
        </is>
      </c>
      <c r="E2306" t="inlineStr">
        <is>
          <t>TORSBY</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20633-2024</t>
        </is>
      </c>
      <c r="B2307" s="1" t="n">
        <v>45436</v>
      </c>
      <c r="C2307" s="1" t="n">
        <v>45627</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20537-2024</t>
        </is>
      </c>
      <c r="B2308" s="1" t="n">
        <v>45436</v>
      </c>
      <c r="C2308" s="1" t="n">
        <v>45627</v>
      </c>
      <c r="D2308" t="inlineStr">
        <is>
          <t>VÄRMLANDS LÄN</t>
        </is>
      </c>
      <c r="E2308" t="inlineStr">
        <is>
          <t>TORSBY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20647-2024</t>
        </is>
      </c>
      <c r="B2309" s="1" t="n">
        <v>45436</v>
      </c>
      <c r="C2309" s="1" t="n">
        <v>45627</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20872-2024</t>
        </is>
      </c>
      <c r="B2310" s="1" t="n">
        <v>45439</v>
      </c>
      <c r="C2310" s="1" t="n">
        <v>45627</v>
      </c>
      <c r="D2310" t="inlineStr">
        <is>
          <t>VÄRMLANDS LÄN</t>
        </is>
      </c>
      <c r="E2310" t="inlineStr">
        <is>
          <t>TORSBY</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21013-2024</t>
        </is>
      </c>
      <c r="B2311" s="1" t="n">
        <v>45439</v>
      </c>
      <c r="C2311" s="1" t="n">
        <v>45627</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20982-2024</t>
        </is>
      </c>
      <c r="B2312" s="1" t="n">
        <v>45439</v>
      </c>
      <c r="C2312" s="1" t="n">
        <v>45627</v>
      </c>
      <c r="D2312" t="inlineStr">
        <is>
          <t>VÄRMLANDS LÄN</t>
        </is>
      </c>
      <c r="E2312" t="inlineStr">
        <is>
          <t>TORSBY</t>
        </is>
      </c>
      <c r="F2312" t="inlineStr">
        <is>
          <t>Bergvik skog väst AB</t>
        </is>
      </c>
      <c r="G2312" t="n">
        <v>10.2</v>
      </c>
      <c r="H2312" t="n">
        <v>0</v>
      </c>
      <c r="I2312" t="n">
        <v>0</v>
      </c>
      <c r="J2312" t="n">
        <v>0</v>
      </c>
      <c r="K2312" t="n">
        <v>0</v>
      </c>
      <c r="L2312" t="n">
        <v>0</v>
      </c>
      <c r="M2312" t="n">
        <v>0</v>
      </c>
      <c r="N2312" t="n">
        <v>0</v>
      </c>
      <c r="O2312" t="n">
        <v>0</v>
      </c>
      <c r="P2312" t="n">
        <v>0</v>
      </c>
      <c r="Q2312" t="n">
        <v>0</v>
      </c>
      <c r="R2312" s="2" t="inlineStr"/>
    </row>
    <row r="2313" ht="15" customHeight="1">
      <c r="A2313" t="inlineStr">
        <is>
          <t>A 20985-2024</t>
        </is>
      </c>
      <c r="B2313" s="1" t="n">
        <v>45439</v>
      </c>
      <c r="C2313" s="1" t="n">
        <v>45627</v>
      </c>
      <c r="D2313" t="inlineStr">
        <is>
          <t>VÄRMLANDS LÄN</t>
        </is>
      </c>
      <c r="E2313" t="inlineStr">
        <is>
          <t>TORSBY</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20968-2024</t>
        </is>
      </c>
      <c r="B2314" s="1" t="n">
        <v>45439</v>
      </c>
      <c r="C2314" s="1" t="n">
        <v>45627</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21280-2024</t>
        </is>
      </c>
      <c r="B2315" s="1" t="n">
        <v>45440</v>
      </c>
      <c r="C2315" s="1" t="n">
        <v>45627</v>
      </c>
      <c r="D2315" t="inlineStr">
        <is>
          <t>VÄRMLANDS LÄN</t>
        </is>
      </c>
      <c r="E2315" t="inlineStr">
        <is>
          <t>TORSBY</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21297-2024</t>
        </is>
      </c>
      <c r="B2316" s="1" t="n">
        <v>45440</v>
      </c>
      <c r="C2316" s="1" t="n">
        <v>45627</v>
      </c>
      <c r="D2316" t="inlineStr">
        <is>
          <t>VÄRMLANDS LÄN</t>
        </is>
      </c>
      <c r="E2316" t="inlineStr">
        <is>
          <t>TORSBY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21308-2024</t>
        </is>
      </c>
      <c r="B2317" s="1" t="n">
        <v>45440</v>
      </c>
      <c r="C2317" s="1" t="n">
        <v>45627</v>
      </c>
      <c r="D2317" t="inlineStr">
        <is>
          <t>VÄRMLANDS LÄN</t>
        </is>
      </c>
      <c r="E2317" t="inlineStr">
        <is>
          <t>TORSBY</t>
        </is>
      </c>
      <c r="G2317" t="n">
        <v>18.9</v>
      </c>
      <c r="H2317" t="n">
        <v>0</v>
      </c>
      <c r="I2317" t="n">
        <v>0</v>
      </c>
      <c r="J2317" t="n">
        <v>0</v>
      </c>
      <c r="K2317" t="n">
        <v>0</v>
      </c>
      <c r="L2317" t="n">
        <v>0</v>
      </c>
      <c r="M2317" t="n">
        <v>0</v>
      </c>
      <c r="N2317" t="n">
        <v>0</v>
      </c>
      <c r="O2317" t="n">
        <v>0</v>
      </c>
      <c r="P2317" t="n">
        <v>0</v>
      </c>
      <c r="Q2317" t="n">
        <v>0</v>
      </c>
      <c r="R2317" s="2" t="inlineStr"/>
    </row>
    <row r="2318" ht="15" customHeight="1">
      <c r="A2318" t="inlineStr">
        <is>
          <t>A 21518-2024</t>
        </is>
      </c>
      <c r="B2318" s="1" t="n">
        <v>45441</v>
      </c>
      <c r="C2318" s="1" t="n">
        <v>45627</v>
      </c>
      <c r="D2318" t="inlineStr">
        <is>
          <t>VÄRMLANDS LÄN</t>
        </is>
      </c>
      <c r="E2318" t="inlineStr">
        <is>
          <t>TORSBY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21542-2024</t>
        </is>
      </c>
      <c r="B2319" s="1" t="n">
        <v>45441</v>
      </c>
      <c r="C2319" s="1" t="n">
        <v>45627</v>
      </c>
      <c r="D2319" t="inlineStr">
        <is>
          <t>VÄRMLANDS LÄN</t>
        </is>
      </c>
      <c r="E2319" t="inlineStr">
        <is>
          <t>TORSBY</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21580-2024</t>
        </is>
      </c>
      <c r="B2320" s="1" t="n">
        <v>45441</v>
      </c>
      <c r="C2320" s="1" t="n">
        <v>45627</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21586-2024</t>
        </is>
      </c>
      <c r="B2321" s="1" t="n">
        <v>45441</v>
      </c>
      <c r="C2321" s="1" t="n">
        <v>45627</v>
      </c>
      <c r="D2321" t="inlineStr">
        <is>
          <t>VÄRMLANDS LÄN</t>
        </is>
      </c>
      <c r="E2321" t="inlineStr">
        <is>
          <t>TORSBY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21581-2024</t>
        </is>
      </c>
      <c r="B2322" s="1" t="n">
        <v>45441</v>
      </c>
      <c r="C2322" s="1" t="n">
        <v>45627</v>
      </c>
      <c r="D2322" t="inlineStr">
        <is>
          <t>VÄRMLANDS LÄN</t>
        </is>
      </c>
      <c r="E2322" t="inlineStr">
        <is>
          <t>TORSBY</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21585-2024</t>
        </is>
      </c>
      <c r="B2323" s="1" t="n">
        <v>45441</v>
      </c>
      <c r="C2323" s="1" t="n">
        <v>45627</v>
      </c>
      <c r="D2323" t="inlineStr">
        <is>
          <t>VÄRMLANDS LÄN</t>
        </is>
      </c>
      <c r="E2323" t="inlineStr">
        <is>
          <t>TORSBY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21587-2024</t>
        </is>
      </c>
      <c r="B2324" s="1" t="n">
        <v>45441</v>
      </c>
      <c r="C2324" s="1" t="n">
        <v>45627</v>
      </c>
      <c r="D2324" t="inlineStr">
        <is>
          <t>VÄRMLANDS LÄN</t>
        </is>
      </c>
      <c r="E2324" t="inlineStr">
        <is>
          <t>TORSBY</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21757-2024</t>
        </is>
      </c>
      <c r="B2325" s="1" t="n">
        <v>45442</v>
      </c>
      <c r="C2325" s="1" t="n">
        <v>45627</v>
      </c>
      <c r="D2325" t="inlineStr">
        <is>
          <t>VÄRMLANDS LÄN</t>
        </is>
      </c>
      <c r="E2325" t="inlineStr">
        <is>
          <t>TORSBY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21825-2024</t>
        </is>
      </c>
      <c r="B2326" s="1" t="n">
        <v>45442</v>
      </c>
      <c r="C2326" s="1" t="n">
        <v>45627</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21829-2024</t>
        </is>
      </c>
      <c r="B2327" s="1" t="n">
        <v>45442</v>
      </c>
      <c r="C2327" s="1" t="n">
        <v>45627</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21744-2024</t>
        </is>
      </c>
      <c r="B2328" s="1" t="n">
        <v>45442</v>
      </c>
      <c r="C2328" s="1" t="n">
        <v>45627</v>
      </c>
      <c r="D2328" t="inlineStr">
        <is>
          <t>VÄRMLANDS LÄN</t>
        </is>
      </c>
      <c r="E2328" t="inlineStr">
        <is>
          <t>TORSBY</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21828-2024</t>
        </is>
      </c>
      <c r="B2329" s="1" t="n">
        <v>45442</v>
      </c>
      <c r="C2329" s="1" t="n">
        <v>45627</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21930-2024</t>
        </is>
      </c>
      <c r="B2330" s="1" t="n">
        <v>45443</v>
      </c>
      <c r="C2330" s="1" t="n">
        <v>45627</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22216-2024</t>
        </is>
      </c>
      <c r="B2331" s="1" t="n">
        <v>45446</v>
      </c>
      <c r="C2331" s="1" t="n">
        <v>45627</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22483-2024</t>
        </is>
      </c>
      <c r="B2332" s="1" t="n">
        <v>45446</v>
      </c>
      <c r="C2332" s="1" t="n">
        <v>45627</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22421-2024</t>
        </is>
      </c>
      <c r="B2333" s="1" t="n">
        <v>45446</v>
      </c>
      <c r="C2333" s="1" t="n">
        <v>45627</v>
      </c>
      <c r="D2333" t="inlineStr">
        <is>
          <t>VÄRMLANDS LÄN</t>
        </is>
      </c>
      <c r="E2333" t="inlineStr">
        <is>
          <t>TORSBY</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22426-2024</t>
        </is>
      </c>
      <c r="B2334" s="1" t="n">
        <v>45446</v>
      </c>
      <c r="C2334" s="1" t="n">
        <v>45627</v>
      </c>
      <c r="D2334" t="inlineStr">
        <is>
          <t>VÄRMLANDS LÄN</t>
        </is>
      </c>
      <c r="E2334" t="inlineStr">
        <is>
          <t>TORSBY</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22525-2024</t>
        </is>
      </c>
      <c r="B2335" s="1" t="n">
        <v>45447</v>
      </c>
      <c r="C2335" s="1" t="n">
        <v>45627</v>
      </c>
      <c r="D2335" t="inlineStr">
        <is>
          <t>VÄRMLANDS LÄN</t>
        </is>
      </c>
      <c r="E2335" t="inlineStr">
        <is>
          <t>TORSBY</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22565-2024</t>
        </is>
      </c>
      <c r="B2336" s="1" t="n">
        <v>45447</v>
      </c>
      <c r="C2336" s="1" t="n">
        <v>45627</v>
      </c>
      <c r="D2336" t="inlineStr">
        <is>
          <t>VÄRMLANDS LÄN</t>
        </is>
      </c>
      <c r="E2336" t="inlineStr">
        <is>
          <t>TORSBY</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22536-2024</t>
        </is>
      </c>
      <c r="B2337" s="1" t="n">
        <v>45447</v>
      </c>
      <c r="C2337" s="1" t="n">
        <v>45627</v>
      </c>
      <c r="D2337" t="inlineStr">
        <is>
          <t>VÄRMLANDS LÄN</t>
        </is>
      </c>
      <c r="E2337" t="inlineStr">
        <is>
          <t>TORSBY</t>
        </is>
      </c>
      <c r="G2337" t="n">
        <v>25.2</v>
      </c>
      <c r="H2337" t="n">
        <v>0</v>
      </c>
      <c r="I2337" t="n">
        <v>0</v>
      </c>
      <c r="J2337" t="n">
        <v>0</v>
      </c>
      <c r="K2337" t="n">
        <v>0</v>
      </c>
      <c r="L2337" t="n">
        <v>0</v>
      </c>
      <c r="M2337" t="n">
        <v>0</v>
      </c>
      <c r="N2337" t="n">
        <v>0</v>
      </c>
      <c r="O2337" t="n">
        <v>0</v>
      </c>
      <c r="P2337" t="n">
        <v>0</v>
      </c>
      <c r="Q2337" t="n">
        <v>0</v>
      </c>
      <c r="R2337" s="2" t="inlineStr"/>
    </row>
    <row r="2338" ht="15" customHeight="1">
      <c r="A2338" t="inlineStr">
        <is>
          <t>A 22844-2024</t>
        </is>
      </c>
      <c r="B2338" s="1" t="n">
        <v>45448</v>
      </c>
      <c r="C2338" s="1" t="n">
        <v>45627</v>
      </c>
      <c r="D2338" t="inlineStr">
        <is>
          <t>VÄRMLANDS LÄN</t>
        </is>
      </c>
      <c r="E2338" t="inlineStr">
        <is>
          <t>TORSBY</t>
        </is>
      </c>
      <c r="F2338" t="inlineStr">
        <is>
          <t>Bergvik skog väst AB</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22729-2024</t>
        </is>
      </c>
      <c r="B2339" s="1" t="n">
        <v>45448</v>
      </c>
      <c r="C2339" s="1" t="n">
        <v>45627</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22843-2024</t>
        </is>
      </c>
      <c r="B2340" s="1" t="n">
        <v>45448</v>
      </c>
      <c r="C2340" s="1" t="n">
        <v>45627</v>
      </c>
      <c r="D2340" t="inlineStr">
        <is>
          <t>VÄRMLANDS LÄN</t>
        </is>
      </c>
      <c r="E2340" t="inlineStr">
        <is>
          <t>TORSBY</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22973-2024</t>
        </is>
      </c>
      <c r="B2341" s="1" t="n">
        <v>45449</v>
      </c>
      <c r="C2341" s="1" t="n">
        <v>45627</v>
      </c>
      <c r="D2341" t="inlineStr">
        <is>
          <t>VÄRMLANDS LÄN</t>
        </is>
      </c>
      <c r="E2341" t="inlineStr">
        <is>
          <t>TORSBY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23042-2024</t>
        </is>
      </c>
      <c r="B2342" s="1" t="n">
        <v>45450</v>
      </c>
      <c r="C2342" s="1" t="n">
        <v>45627</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23133-2024</t>
        </is>
      </c>
      <c r="B2343" s="1" t="n">
        <v>45450</v>
      </c>
      <c r="C2343" s="1" t="n">
        <v>45627</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23108-2024</t>
        </is>
      </c>
      <c r="B2344" s="1" t="n">
        <v>45450</v>
      </c>
      <c r="C2344" s="1" t="n">
        <v>45627</v>
      </c>
      <c r="D2344" t="inlineStr">
        <is>
          <t>VÄRMLANDS LÄN</t>
        </is>
      </c>
      <c r="E2344" t="inlineStr">
        <is>
          <t>TORSBY</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23044-2024</t>
        </is>
      </c>
      <c r="B2345" s="1" t="n">
        <v>45450</v>
      </c>
      <c r="C2345" s="1" t="n">
        <v>45627</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23106-2024</t>
        </is>
      </c>
      <c r="B2346" s="1" t="n">
        <v>45450</v>
      </c>
      <c r="C2346" s="1" t="n">
        <v>45627</v>
      </c>
      <c r="D2346" t="inlineStr">
        <is>
          <t>VÄRMLANDS LÄN</t>
        </is>
      </c>
      <c r="E2346" t="inlineStr">
        <is>
          <t>TORSBY</t>
        </is>
      </c>
      <c r="F2346" t="inlineStr">
        <is>
          <t>Bergvik skog väst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23423-2024</t>
        </is>
      </c>
      <c r="B2347" s="1" t="n">
        <v>45453</v>
      </c>
      <c r="C2347" s="1" t="n">
        <v>45627</v>
      </c>
      <c r="D2347" t="inlineStr">
        <is>
          <t>VÄRMLANDS LÄN</t>
        </is>
      </c>
      <c r="E2347" t="inlineStr">
        <is>
          <t>TORSBY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23678-2024</t>
        </is>
      </c>
      <c r="B2348" s="1" t="n">
        <v>45454</v>
      </c>
      <c r="C2348" s="1" t="n">
        <v>45627</v>
      </c>
      <c r="D2348" t="inlineStr">
        <is>
          <t>VÄRMLANDS LÄN</t>
        </is>
      </c>
      <c r="E2348" t="inlineStr">
        <is>
          <t>TORSBY</t>
        </is>
      </c>
      <c r="F2348" t="inlineStr">
        <is>
          <t>Bergvik skog väst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23719-2024</t>
        </is>
      </c>
      <c r="B2349" s="1" t="n">
        <v>45454</v>
      </c>
      <c r="C2349" s="1" t="n">
        <v>45627</v>
      </c>
      <c r="D2349" t="inlineStr">
        <is>
          <t>VÄRMLANDS LÄN</t>
        </is>
      </c>
      <c r="E2349" t="inlineStr">
        <is>
          <t>TORSBY</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23746-2024</t>
        </is>
      </c>
      <c r="B2350" s="1" t="n">
        <v>45454</v>
      </c>
      <c r="C2350" s="1" t="n">
        <v>45627</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23820-2024</t>
        </is>
      </c>
      <c r="B2351" s="1" t="n">
        <v>45455</v>
      </c>
      <c r="C2351" s="1" t="n">
        <v>45627</v>
      </c>
      <c r="D2351" t="inlineStr">
        <is>
          <t>VÄRMLANDS LÄN</t>
        </is>
      </c>
      <c r="E2351" t="inlineStr">
        <is>
          <t>TORSBY</t>
        </is>
      </c>
      <c r="F2351" t="inlineStr">
        <is>
          <t>Kyrkan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23846-2024</t>
        </is>
      </c>
      <c r="B2352" s="1" t="n">
        <v>45455</v>
      </c>
      <c r="C2352" s="1" t="n">
        <v>45627</v>
      </c>
      <c r="D2352" t="inlineStr">
        <is>
          <t>VÄRMLANDS LÄN</t>
        </is>
      </c>
      <c r="E2352" t="inlineStr">
        <is>
          <t>TORSBY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23824-2024</t>
        </is>
      </c>
      <c r="B2353" s="1" t="n">
        <v>45455</v>
      </c>
      <c r="C2353" s="1" t="n">
        <v>45627</v>
      </c>
      <c r="D2353" t="inlineStr">
        <is>
          <t>VÄRMLANDS LÄN</t>
        </is>
      </c>
      <c r="E2353" t="inlineStr">
        <is>
          <t>TORSBY</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23845-2024</t>
        </is>
      </c>
      <c r="B2354" s="1" t="n">
        <v>45455</v>
      </c>
      <c r="C2354" s="1" t="n">
        <v>45627</v>
      </c>
      <c r="D2354" t="inlineStr">
        <is>
          <t>VÄRMLANDS LÄN</t>
        </is>
      </c>
      <c r="E2354" t="inlineStr">
        <is>
          <t>TORSBY</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23843-2024</t>
        </is>
      </c>
      <c r="B2355" s="1" t="n">
        <v>45455</v>
      </c>
      <c r="C2355" s="1" t="n">
        <v>45627</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23835-2024</t>
        </is>
      </c>
      <c r="B2356" s="1" t="n">
        <v>45455</v>
      </c>
      <c r="C2356" s="1" t="n">
        <v>45627</v>
      </c>
      <c r="D2356" t="inlineStr">
        <is>
          <t>VÄRMLANDS LÄN</t>
        </is>
      </c>
      <c r="E2356" t="inlineStr">
        <is>
          <t>TORSBY</t>
        </is>
      </c>
      <c r="F2356" t="inlineStr">
        <is>
          <t>Bergvik skog väst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24020-2024</t>
        </is>
      </c>
      <c r="B2357" s="1" t="n">
        <v>45456</v>
      </c>
      <c r="C2357" s="1" t="n">
        <v>45627</v>
      </c>
      <c r="D2357" t="inlineStr">
        <is>
          <t>VÄRMLANDS LÄN</t>
        </is>
      </c>
      <c r="E2357" t="inlineStr">
        <is>
          <t>TORSBY</t>
        </is>
      </c>
      <c r="F2357" t="inlineStr">
        <is>
          <t>Bergvik skog väst AB</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23996-2024</t>
        </is>
      </c>
      <c r="B2358" s="1" t="n">
        <v>45456</v>
      </c>
      <c r="C2358" s="1" t="n">
        <v>45627</v>
      </c>
      <c r="D2358" t="inlineStr">
        <is>
          <t>VÄRMLANDS LÄN</t>
        </is>
      </c>
      <c r="E2358" t="inlineStr">
        <is>
          <t>TORSBY</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24004-2024</t>
        </is>
      </c>
      <c r="B2359" s="1" t="n">
        <v>45456</v>
      </c>
      <c r="C2359" s="1" t="n">
        <v>45627</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24148-2024</t>
        </is>
      </c>
      <c r="B2360" s="1" t="n">
        <v>45456</v>
      </c>
      <c r="C2360" s="1" t="n">
        <v>45627</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24182-2024</t>
        </is>
      </c>
      <c r="B2361" s="1" t="n">
        <v>45456</v>
      </c>
      <c r="C2361" s="1" t="n">
        <v>45627</v>
      </c>
      <c r="D2361" t="inlineStr">
        <is>
          <t>VÄRMLANDS LÄN</t>
        </is>
      </c>
      <c r="E2361" t="inlineStr">
        <is>
          <t>TORSBY</t>
        </is>
      </c>
      <c r="F2361" t="inlineStr">
        <is>
          <t>Bergvik skog väst AB</t>
        </is>
      </c>
      <c r="G2361" t="n">
        <v>28.9</v>
      </c>
      <c r="H2361" t="n">
        <v>0</v>
      </c>
      <c r="I2361" t="n">
        <v>0</v>
      </c>
      <c r="J2361" t="n">
        <v>0</v>
      </c>
      <c r="K2361" t="n">
        <v>0</v>
      </c>
      <c r="L2361" t="n">
        <v>0</v>
      </c>
      <c r="M2361" t="n">
        <v>0</v>
      </c>
      <c r="N2361" t="n">
        <v>0</v>
      </c>
      <c r="O2361" t="n">
        <v>0</v>
      </c>
      <c r="P2361" t="n">
        <v>0</v>
      </c>
      <c r="Q2361" t="n">
        <v>0</v>
      </c>
      <c r="R2361" s="2" t="inlineStr"/>
    </row>
    <row r="2362" ht="15" customHeight="1">
      <c r="A2362" t="inlineStr">
        <is>
          <t>A 24087-2024</t>
        </is>
      </c>
      <c r="B2362" s="1" t="n">
        <v>45456</v>
      </c>
      <c r="C2362" s="1" t="n">
        <v>45627</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24113-2024</t>
        </is>
      </c>
      <c r="B2363" s="1" t="n">
        <v>45456</v>
      </c>
      <c r="C2363" s="1" t="n">
        <v>45627</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24242-2024</t>
        </is>
      </c>
      <c r="B2364" s="1" t="n">
        <v>45457</v>
      </c>
      <c r="C2364" s="1" t="n">
        <v>45627</v>
      </c>
      <c r="D2364" t="inlineStr">
        <is>
          <t>VÄRMLANDS LÄN</t>
        </is>
      </c>
      <c r="E2364" t="inlineStr">
        <is>
          <t>TORSBY</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24261-2024</t>
        </is>
      </c>
      <c r="B2365" s="1" t="n">
        <v>45457</v>
      </c>
      <c r="C2365" s="1" t="n">
        <v>45627</v>
      </c>
      <c r="D2365" t="inlineStr">
        <is>
          <t>VÄRMLANDS LÄN</t>
        </is>
      </c>
      <c r="E2365" t="inlineStr">
        <is>
          <t>TORSBY</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24267-2024</t>
        </is>
      </c>
      <c r="B2366" s="1" t="n">
        <v>45457</v>
      </c>
      <c r="C2366" s="1" t="n">
        <v>45627</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24493-2024</t>
        </is>
      </c>
      <c r="B2367" s="1" t="n">
        <v>45459</v>
      </c>
      <c r="C2367" s="1" t="n">
        <v>45627</v>
      </c>
      <c r="D2367" t="inlineStr">
        <is>
          <t>VÄRMLANDS LÄN</t>
        </is>
      </c>
      <c r="E2367" t="inlineStr">
        <is>
          <t>TORSBY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24490-2024</t>
        </is>
      </c>
      <c r="B2368" s="1" t="n">
        <v>45459</v>
      </c>
      <c r="C2368" s="1" t="n">
        <v>45627</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24708-2024</t>
        </is>
      </c>
      <c r="B2369" s="1" t="n">
        <v>45460</v>
      </c>
      <c r="C2369" s="1" t="n">
        <v>45627</v>
      </c>
      <c r="D2369" t="inlineStr">
        <is>
          <t>VÄRMLANDS LÄN</t>
        </is>
      </c>
      <c r="E2369" t="inlineStr">
        <is>
          <t>TORSBY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24723-2024</t>
        </is>
      </c>
      <c r="B2370" s="1" t="n">
        <v>45460</v>
      </c>
      <c r="C2370" s="1" t="n">
        <v>45627</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24717-2024</t>
        </is>
      </c>
      <c r="B2371" s="1" t="n">
        <v>45460</v>
      </c>
      <c r="C2371" s="1" t="n">
        <v>45627</v>
      </c>
      <c r="D2371" t="inlineStr">
        <is>
          <t>VÄRMLANDS LÄN</t>
        </is>
      </c>
      <c r="E2371" t="inlineStr">
        <is>
          <t>TORSBY</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24636-2024</t>
        </is>
      </c>
      <c r="B2372" s="1" t="n">
        <v>45460</v>
      </c>
      <c r="C2372" s="1" t="n">
        <v>45627</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24630-2024</t>
        </is>
      </c>
      <c r="B2373" s="1" t="n">
        <v>45460</v>
      </c>
      <c r="C2373" s="1" t="n">
        <v>45627</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24657-2024</t>
        </is>
      </c>
      <c r="B2374" s="1" t="n">
        <v>45460</v>
      </c>
      <c r="C2374" s="1" t="n">
        <v>45627</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24995-2024</t>
        </is>
      </c>
      <c r="B2375" s="1" t="n">
        <v>45461</v>
      </c>
      <c r="C2375" s="1" t="n">
        <v>45627</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24851-2024</t>
        </is>
      </c>
      <c r="B2376" s="1" t="n">
        <v>45461</v>
      </c>
      <c r="C2376" s="1" t="n">
        <v>45627</v>
      </c>
      <c r="D2376" t="inlineStr">
        <is>
          <t>VÄRMLANDS LÄN</t>
        </is>
      </c>
      <c r="E2376" t="inlineStr">
        <is>
          <t>TORSBY</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25355-2024</t>
        </is>
      </c>
      <c r="B2377" s="1" t="n">
        <v>45463</v>
      </c>
      <c r="C2377" s="1" t="n">
        <v>45627</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25313-2024</t>
        </is>
      </c>
      <c r="B2378" s="1" t="n">
        <v>45462</v>
      </c>
      <c r="C2378" s="1" t="n">
        <v>45627</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25090-2024</t>
        </is>
      </c>
      <c r="B2379" s="1" t="n">
        <v>45462</v>
      </c>
      <c r="C2379" s="1" t="n">
        <v>45627</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25264-2024</t>
        </is>
      </c>
      <c r="B2380" s="1" t="n">
        <v>45462</v>
      </c>
      <c r="C2380" s="1" t="n">
        <v>45627</v>
      </c>
      <c r="D2380" t="inlineStr">
        <is>
          <t>VÄRMLANDS LÄN</t>
        </is>
      </c>
      <c r="E2380" t="inlineStr">
        <is>
          <t>TORSBY</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25194-2024</t>
        </is>
      </c>
      <c r="B2381" s="1" t="n">
        <v>45462</v>
      </c>
      <c r="C2381" s="1" t="n">
        <v>45627</v>
      </c>
      <c r="D2381" t="inlineStr">
        <is>
          <t>VÄRMLANDS LÄN</t>
        </is>
      </c>
      <c r="E2381" t="inlineStr">
        <is>
          <t>TORSBY</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25316-2024</t>
        </is>
      </c>
      <c r="B2382" s="1" t="n">
        <v>45462</v>
      </c>
      <c r="C2382" s="1" t="n">
        <v>45627</v>
      </c>
      <c r="D2382" t="inlineStr">
        <is>
          <t>VÄRMLANDS LÄN</t>
        </is>
      </c>
      <c r="E2382" t="inlineStr">
        <is>
          <t>TORSBY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25629-2024</t>
        </is>
      </c>
      <c r="B2383" s="1" t="n">
        <v>45463</v>
      </c>
      <c r="C2383" s="1" t="n">
        <v>45627</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25504-2024</t>
        </is>
      </c>
      <c r="B2384" s="1" t="n">
        <v>45463</v>
      </c>
      <c r="C2384" s="1" t="n">
        <v>45627</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25827-2024</t>
        </is>
      </c>
      <c r="B2385" s="1" t="n">
        <v>45467</v>
      </c>
      <c r="C2385" s="1" t="n">
        <v>45627</v>
      </c>
      <c r="D2385" t="inlineStr">
        <is>
          <t>VÄRMLANDS LÄN</t>
        </is>
      </c>
      <c r="E2385" t="inlineStr">
        <is>
          <t>TORSBY</t>
        </is>
      </c>
      <c r="G2385" t="n">
        <v>20.5</v>
      </c>
      <c r="H2385" t="n">
        <v>0</v>
      </c>
      <c r="I2385" t="n">
        <v>0</v>
      </c>
      <c r="J2385" t="n">
        <v>0</v>
      </c>
      <c r="K2385" t="n">
        <v>0</v>
      </c>
      <c r="L2385" t="n">
        <v>0</v>
      </c>
      <c r="M2385" t="n">
        <v>0</v>
      </c>
      <c r="N2385" t="n">
        <v>0</v>
      </c>
      <c r="O2385" t="n">
        <v>0</v>
      </c>
      <c r="P2385" t="n">
        <v>0</v>
      </c>
      <c r="Q2385" t="n">
        <v>0</v>
      </c>
      <c r="R2385" s="2" t="inlineStr"/>
    </row>
    <row r="2386" ht="15" customHeight="1">
      <c r="A2386" t="inlineStr">
        <is>
          <t>A 25898-2024</t>
        </is>
      </c>
      <c r="B2386" s="1" t="n">
        <v>45467</v>
      </c>
      <c r="C2386" s="1" t="n">
        <v>45627</v>
      </c>
      <c r="D2386" t="inlineStr">
        <is>
          <t>VÄRMLANDS LÄN</t>
        </is>
      </c>
      <c r="E2386" t="inlineStr">
        <is>
          <t>TORSBY</t>
        </is>
      </c>
      <c r="G2386" t="n">
        <v>27.6</v>
      </c>
      <c r="H2386" t="n">
        <v>0</v>
      </c>
      <c r="I2386" t="n">
        <v>0</v>
      </c>
      <c r="J2386" t="n">
        <v>0</v>
      </c>
      <c r="K2386" t="n">
        <v>0</v>
      </c>
      <c r="L2386" t="n">
        <v>0</v>
      </c>
      <c r="M2386" t="n">
        <v>0</v>
      </c>
      <c r="N2386" t="n">
        <v>0</v>
      </c>
      <c r="O2386" t="n">
        <v>0</v>
      </c>
      <c r="P2386" t="n">
        <v>0</v>
      </c>
      <c r="Q2386" t="n">
        <v>0</v>
      </c>
      <c r="R2386" s="2" t="inlineStr"/>
    </row>
    <row r="2387" ht="15" customHeight="1">
      <c r="A2387" t="inlineStr">
        <is>
          <t>A 25932-2024</t>
        </is>
      </c>
      <c r="B2387" s="1" t="n">
        <v>45467</v>
      </c>
      <c r="C2387" s="1" t="n">
        <v>45627</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25933-2024</t>
        </is>
      </c>
      <c r="B2388" s="1" t="n">
        <v>45467</v>
      </c>
      <c r="C2388" s="1" t="n">
        <v>45627</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25949-2024</t>
        </is>
      </c>
      <c r="B2389" s="1" t="n">
        <v>45467</v>
      </c>
      <c r="C2389" s="1" t="n">
        <v>45627</v>
      </c>
      <c r="D2389" t="inlineStr">
        <is>
          <t>VÄRMLANDS LÄN</t>
        </is>
      </c>
      <c r="E2389" t="inlineStr">
        <is>
          <t>TORSBY</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26186-2024</t>
        </is>
      </c>
      <c r="B2390" s="1" t="n">
        <v>45468</v>
      </c>
      <c r="C2390" s="1" t="n">
        <v>45627</v>
      </c>
      <c r="D2390" t="inlineStr">
        <is>
          <t>VÄRMLANDS LÄN</t>
        </is>
      </c>
      <c r="E2390" t="inlineStr">
        <is>
          <t>TORSBY</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26166-2024</t>
        </is>
      </c>
      <c r="B2391" s="1" t="n">
        <v>45468</v>
      </c>
      <c r="C2391" s="1" t="n">
        <v>45627</v>
      </c>
      <c r="D2391" t="inlineStr">
        <is>
          <t>VÄRMLANDS LÄN</t>
        </is>
      </c>
      <c r="E2391" t="inlineStr">
        <is>
          <t>TORSBY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26124-2024</t>
        </is>
      </c>
      <c r="B2392" s="1" t="n">
        <v>45468</v>
      </c>
      <c r="C2392" s="1" t="n">
        <v>45627</v>
      </c>
      <c r="D2392" t="inlineStr">
        <is>
          <t>VÄRMLANDS LÄN</t>
        </is>
      </c>
      <c r="E2392" t="inlineStr">
        <is>
          <t>TORSBY</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26086-2024</t>
        </is>
      </c>
      <c r="B2393" s="1" t="n">
        <v>45468</v>
      </c>
      <c r="C2393" s="1" t="n">
        <v>45627</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26042-2024</t>
        </is>
      </c>
      <c r="B2394" s="1" t="n">
        <v>45468</v>
      </c>
      <c r="C2394" s="1" t="n">
        <v>45627</v>
      </c>
      <c r="D2394" t="inlineStr">
        <is>
          <t>VÄRMLANDS LÄN</t>
        </is>
      </c>
      <c r="E2394" t="inlineStr">
        <is>
          <t>TORSBY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26634-2024</t>
        </is>
      </c>
      <c r="B2395" s="1" t="n">
        <v>45469</v>
      </c>
      <c r="C2395" s="1" t="n">
        <v>45627</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26876-2024</t>
        </is>
      </c>
      <c r="B2396" s="1" t="n">
        <v>45470</v>
      </c>
      <c r="C2396" s="1" t="n">
        <v>45627</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26887-2024</t>
        </is>
      </c>
      <c r="B2397" s="1" t="n">
        <v>45470</v>
      </c>
      <c r="C2397" s="1" t="n">
        <v>45627</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26807-2024</t>
        </is>
      </c>
      <c r="B2398" s="1" t="n">
        <v>45470</v>
      </c>
      <c r="C2398" s="1" t="n">
        <v>45627</v>
      </c>
      <c r="D2398" t="inlineStr">
        <is>
          <t>VÄRMLANDS LÄN</t>
        </is>
      </c>
      <c r="E2398" t="inlineStr">
        <is>
          <t>TORSBY</t>
        </is>
      </c>
      <c r="F2398" t="inlineStr">
        <is>
          <t>Bergvik skog väst AB</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26799-2024</t>
        </is>
      </c>
      <c r="B2399" s="1" t="n">
        <v>45470</v>
      </c>
      <c r="C2399" s="1" t="n">
        <v>45627</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27045-2024</t>
        </is>
      </c>
      <c r="B2400" s="1" t="n">
        <v>45471</v>
      </c>
      <c r="C2400" s="1" t="n">
        <v>45627</v>
      </c>
      <c r="D2400" t="inlineStr">
        <is>
          <t>VÄRMLANDS LÄN</t>
        </is>
      </c>
      <c r="E2400" t="inlineStr">
        <is>
          <t>TORSBY</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27187-2024</t>
        </is>
      </c>
      <c r="B2401" s="1" t="n">
        <v>45471</v>
      </c>
      <c r="C2401" s="1" t="n">
        <v>45627</v>
      </c>
      <c r="D2401" t="inlineStr">
        <is>
          <t>VÄRMLANDS LÄN</t>
        </is>
      </c>
      <c r="E2401" t="inlineStr">
        <is>
          <t>TORSBY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27111-2024</t>
        </is>
      </c>
      <c r="B2402" s="1" t="n">
        <v>45471</v>
      </c>
      <c r="C2402" s="1" t="n">
        <v>45627</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27115-2024</t>
        </is>
      </c>
      <c r="B2403" s="1" t="n">
        <v>45471</v>
      </c>
      <c r="C2403" s="1" t="n">
        <v>45627</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27116-2024</t>
        </is>
      </c>
      <c r="B2404" s="1" t="n">
        <v>45471</v>
      </c>
      <c r="C2404" s="1" t="n">
        <v>45627</v>
      </c>
      <c r="D2404" t="inlineStr">
        <is>
          <t>VÄRMLANDS LÄN</t>
        </is>
      </c>
      <c r="E2404" t="inlineStr">
        <is>
          <t>TORSBY</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27120-2024</t>
        </is>
      </c>
      <c r="B2405" s="1" t="n">
        <v>45471</v>
      </c>
      <c r="C2405" s="1" t="n">
        <v>45627</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27124-2024</t>
        </is>
      </c>
      <c r="B2406" s="1" t="n">
        <v>45471</v>
      </c>
      <c r="C2406" s="1" t="n">
        <v>45627</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27144-2024</t>
        </is>
      </c>
      <c r="B2407" s="1" t="n">
        <v>45471</v>
      </c>
      <c r="C2407" s="1" t="n">
        <v>45627</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27101-2024</t>
        </is>
      </c>
      <c r="B2408" s="1" t="n">
        <v>45471</v>
      </c>
      <c r="C2408" s="1" t="n">
        <v>45627</v>
      </c>
      <c r="D2408" t="inlineStr">
        <is>
          <t>VÄRMLANDS LÄN</t>
        </is>
      </c>
      <c r="E2408" t="inlineStr">
        <is>
          <t>TORSBY</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27090-2024</t>
        </is>
      </c>
      <c r="B2409" s="1" t="n">
        <v>45471</v>
      </c>
      <c r="C2409" s="1" t="n">
        <v>45627</v>
      </c>
      <c r="D2409" t="inlineStr">
        <is>
          <t>VÄRMLANDS LÄN</t>
        </is>
      </c>
      <c r="E2409" t="inlineStr">
        <is>
          <t>TORSBY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27086-2024</t>
        </is>
      </c>
      <c r="B2410" s="1" t="n">
        <v>45471</v>
      </c>
      <c r="C2410" s="1" t="n">
        <v>45627</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27078-2024</t>
        </is>
      </c>
      <c r="B2411" s="1" t="n">
        <v>45471</v>
      </c>
      <c r="C2411" s="1" t="n">
        <v>45627</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27270-2024</t>
        </is>
      </c>
      <c r="B2412" s="1" t="n">
        <v>45471</v>
      </c>
      <c r="C2412" s="1" t="n">
        <v>45627</v>
      </c>
      <c r="D2412" t="inlineStr">
        <is>
          <t>VÄRMLANDS LÄN</t>
        </is>
      </c>
      <c r="E2412" t="inlineStr">
        <is>
          <t>TORSBY</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27291-2024</t>
        </is>
      </c>
      <c r="B2413" s="1" t="n">
        <v>45472</v>
      </c>
      <c r="C2413" s="1" t="n">
        <v>45627</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27096-2024</t>
        </is>
      </c>
      <c r="B2414" s="1" t="n">
        <v>45471</v>
      </c>
      <c r="C2414" s="1" t="n">
        <v>45627</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27273-2024</t>
        </is>
      </c>
      <c r="B2415" s="1" t="n">
        <v>45471</v>
      </c>
      <c r="C2415" s="1" t="n">
        <v>45627</v>
      </c>
      <c r="D2415" t="inlineStr">
        <is>
          <t>VÄRMLANDS LÄN</t>
        </is>
      </c>
      <c r="E2415" t="inlineStr">
        <is>
          <t>TORSBY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27038-2024</t>
        </is>
      </c>
      <c r="B2416" s="1" t="n">
        <v>45471</v>
      </c>
      <c r="C2416" s="1" t="n">
        <v>45627</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27275-2024</t>
        </is>
      </c>
      <c r="B2417" s="1" t="n">
        <v>45471</v>
      </c>
      <c r="C2417" s="1" t="n">
        <v>45627</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27292-2024</t>
        </is>
      </c>
      <c r="B2418" s="1" t="n">
        <v>45472</v>
      </c>
      <c r="C2418" s="1" t="n">
        <v>45627</v>
      </c>
      <c r="D2418" t="inlineStr">
        <is>
          <t>VÄRMLANDS LÄN</t>
        </is>
      </c>
      <c r="E2418" t="inlineStr">
        <is>
          <t>TORSBY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27363-2024</t>
        </is>
      </c>
      <c r="B2419" s="1" t="n">
        <v>45473</v>
      </c>
      <c r="C2419" s="1" t="n">
        <v>45627</v>
      </c>
      <c r="D2419" t="inlineStr">
        <is>
          <t>VÄRMLANDS LÄN</t>
        </is>
      </c>
      <c r="E2419" t="inlineStr">
        <is>
          <t>TORSBY</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27347-2024</t>
        </is>
      </c>
      <c r="B2420" s="1" t="n">
        <v>45473</v>
      </c>
      <c r="C2420" s="1" t="n">
        <v>45627</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27360-2024</t>
        </is>
      </c>
      <c r="B2421" s="1" t="n">
        <v>45473</v>
      </c>
      <c r="C2421" s="1" t="n">
        <v>45627</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27352-2024</t>
        </is>
      </c>
      <c r="B2422" s="1" t="n">
        <v>45473</v>
      </c>
      <c r="C2422" s="1" t="n">
        <v>45627</v>
      </c>
      <c r="D2422" t="inlineStr">
        <is>
          <t>VÄRMLANDS LÄN</t>
        </is>
      </c>
      <c r="E2422" t="inlineStr">
        <is>
          <t>TORSBY</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27358-2024</t>
        </is>
      </c>
      <c r="B2423" s="1" t="n">
        <v>45473</v>
      </c>
      <c r="C2423" s="1" t="n">
        <v>45627</v>
      </c>
      <c r="D2423" t="inlineStr">
        <is>
          <t>VÄRMLANDS LÄN</t>
        </is>
      </c>
      <c r="E2423" t="inlineStr">
        <is>
          <t>TORSBY</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27346-2024</t>
        </is>
      </c>
      <c r="B2424" s="1" t="n">
        <v>45473</v>
      </c>
      <c r="C2424" s="1" t="n">
        <v>45627</v>
      </c>
      <c r="D2424" t="inlineStr">
        <is>
          <t>VÄRMLANDS LÄN</t>
        </is>
      </c>
      <c r="E2424" t="inlineStr">
        <is>
          <t>TORSBY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27349-2024</t>
        </is>
      </c>
      <c r="B2425" s="1" t="n">
        <v>45473</v>
      </c>
      <c r="C2425" s="1" t="n">
        <v>45627</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27548-2024</t>
        </is>
      </c>
      <c r="B2426" s="1" t="n">
        <v>45474</v>
      </c>
      <c r="C2426" s="1" t="n">
        <v>45627</v>
      </c>
      <c r="D2426" t="inlineStr">
        <is>
          <t>VÄRMLANDS LÄN</t>
        </is>
      </c>
      <c r="E2426" t="inlineStr">
        <is>
          <t>TORSBY</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27615-2024</t>
        </is>
      </c>
      <c r="B2427" s="1" t="n">
        <v>45474</v>
      </c>
      <c r="C2427" s="1" t="n">
        <v>45627</v>
      </c>
      <c r="D2427" t="inlineStr">
        <is>
          <t>VÄRMLANDS LÄN</t>
        </is>
      </c>
      <c r="E2427" t="inlineStr">
        <is>
          <t>TORSBY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27554-2024</t>
        </is>
      </c>
      <c r="B2428" s="1" t="n">
        <v>45474</v>
      </c>
      <c r="C2428" s="1" t="n">
        <v>45627</v>
      </c>
      <c r="D2428" t="inlineStr">
        <is>
          <t>VÄRMLANDS LÄN</t>
        </is>
      </c>
      <c r="E2428" t="inlineStr">
        <is>
          <t>TORSBY</t>
        </is>
      </c>
      <c r="F2428" t="inlineStr">
        <is>
          <t>Bergvik skog väst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27588-2024</t>
        </is>
      </c>
      <c r="B2429" s="1" t="n">
        <v>45474</v>
      </c>
      <c r="C2429" s="1" t="n">
        <v>45627</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27501-2024</t>
        </is>
      </c>
      <c r="B2430" s="1" t="n">
        <v>45474</v>
      </c>
      <c r="C2430" s="1" t="n">
        <v>45627</v>
      </c>
      <c r="D2430" t="inlineStr">
        <is>
          <t>VÄRMLANDS LÄN</t>
        </is>
      </c>
      <c r="E2430" t="inlineStr">
        <is>
          <t>TORSBY</t>
        </is>
      </c>
      <c r="F2430" t="inlineStr">
        <is>
          <t>Bergvik skog väst AB</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27529-2024</t>
        </is>
      </c>
      <c r="B2431" s="1" t="n">
        <v>45474</v>
      </c>
      <c r="C2431" s="1" t="n">
        <v>45627</v>
      </c>
      <c r="D2431" t="inlineStr">
        <is>
          <t>VÄRMLANDS LÄN</t>
        </is>
      </c>
      <c r="E2431" t="inlineStr">
        <is>
          <t>TORSBY</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27537-2024</t>
        </is>
      </c>
      <c r="B2432" s="1" t="n">
        <v>45474</v>
      </c>
      <c r="C2432" s="1" t="n">
        <v>45627</v>
      </c>
      <c r="D2432" t="inlineStr">
        <is>
          <t>VÄRMLANDS LÄN</t>
        </is>
      </c>
      <c r="E2432" t="inlineStr">
        <is>
          <t>TORSBY</t>
        </is>
      </c>
      <c r="F2432" t="inlineStr">
        <is>
          <t>Bergvik skog väst AB</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27573-2024</t>
        </is>
      </c>
      <c r="B2433" s="1" t="n">
        <v>45474</v>
      </c>
      <c r="C2433" s="1" t="n">
        <v>45627</v>
      </c>
      <c r="D2433" t="inlineStr">
        <is>
          <t>VÄRMLANDS LÄN</t>
        </is>
      </c>
      <c r="E2433" t="inlineStr">
        <is>
          <t>TORSBY</t>
        </is>
      </c>
      <c r="F2433" t="inlineStr">
        <is>
          <t>Bergvik skog väst AB</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27790-2024</t>
        </is>
      </c>
      <c r="B2434" s="1" t="n">
        <v>45475</v>
      </c>
      <c r="C2434" s="1" t="n">
        <v>45627</v>
      </c>
      <c r="D2434" t="inlineStr">
        <is>
          <t>VÄRMLANDS LÄN</t>
        </is>
      </c>
      <c r="E2434" t="inlineStr">
        <is>
          <t>TORSBY</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27678-2024</t>
        </is>
      </c>
      <c r="B2435" s="1" t="n">
        <v>45475</v>
      </c>
      <c r="C2435" s="1" t="n">
        <v>45627</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27824-2024</t>
        </is>
      </c>
      <c r="B2436" s="1" t="n">
        <v>45475</v>
      </c>
      <c r="C2436" s="1" t="n">
        <v>45627</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27677-2024</t>
        </is>
      </c>
      <c r="B2437" s="1" t="n">
        <v>45475</v>
      </c>
      <c r="C2437" s="1" t="n">
        <v>45627</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28102-2024</t>
        </is>
      </c>
      <c r="B2438" s="1" t="n">
        <v>45476</v>
      </c>
      <c r="C2438" s="1" t="n">
        <v>45627</v>
      </c>
      <c r="D2438" t="inlineStr">
        <is>
          <t>VÄRMLANDS LÄN</t>
        </is>
      </c>
      <c r="E2438" t="inlineStr">
        <is>
          <t>TORSBY</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28089-2024</t>
        </is>
      </c>
      <c r="B2439" s="1" t="n">
        <v>45476</v>
      </c>
      <c r="C2439" s="1" t="n">
        <v>45627</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28112-2024</t>
        </is>
      </c>
      <c r="B2440" s="1" t="n">
        <v>45476</v>
      </c>
      <c r="C2440" s="1" t="n">
        <v>45627</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28035-2024</t>
        </is>
      </c>
      <c r="B2441" s="1" t="n">
        <v>45476</v>
      </c>
      <c r="C2441" s="1" t="n">
        <v>45627</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28005-2024</t>
        </is>
      </c>
      <c r="B2442" s="1" t="n">
        <v>45476</v>
      </c>
      <c r="C2442" s="1" t="n">
        <v>45627</v>
      </c>
      <c r="D2442" t="inlineStr">
        <is>
          <t>VÄRMLANDS LÄN</t>
        </is>
      </c>
      <c r="E2442" t="inlineStr">
        <is>
          <t>TORSBY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28501-2024</t>
        </is>
      </c>
      <c r="B2443" s="1" t="n">
        <v>45478</v>
      </c>
      <c r="C2443" s="1" t="n">
        <v>45627</v>
      </c>
      <c r="D2443" t="inlineStr">
        <is>
          <t>VÄRMLANDS LÄN</t>
        </is>
      </c>
      <c r="E2443" t="inlineStr">
        <is>
          <t>TORSBY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28319-2024</t>
        </is>
      </c>
      <c r="B2444" s="1" t="n">
        <v>45477</v>
      </c>
      <c r="C2444" s="1" t="n">
        <v>45627</v>
      </c>
      <c r="D2444" t="inlineStr">
        <is>
          <t>VÄRMLANDS LÄN</t>
        </is>
      </c>
      <c r="E2444" t="inlineStr">
        <is>
          <t>TORSBY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28311-2024</t>
        </is>
      </c>
      <c r="B2445" s="1" t="n">
        <v>45477</v>
      </c>
      <c r="C2445" s="1" t="n">
        <v>45627</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28329-2024</t>
        </is>
      </c>
      <c r="B2446" s="1" t="n">
        <v>45477</v>
      </c>
      <c r="C2446" s="1" t="n">
        <v>45627</v>
      </c>
      <c r="D2446" t="inlineStr">
        <is>
          <t>VÄRMLANDS LÄN</t>
        </is>
      </c>
      <c r="E2446" t="inlineStr">
        <is>
          <t>TORSBY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28310-2024</t>
        </is>
      </c>
      <c r="B2447" s="1" t="n">
        <v>45477</v>
      </c>
      <c r="C2447" s="1" t="n">
        <v>45627</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28502-2024</t>
        </is>
      </c>
      <c r="B2448" s="1" t="n">
        <v>45478</v>
      </c>
      <c r="C2448" s="1" t="n">
        <v>45627</v>
      </c>
      <c r="D2448" t="inlineStr">
        <is>
          <t>VÄRMLANDS LÄN</t>
        </is>
      </c>
      <c r="E2448" t="inlineStr">
        <is>
          <t>TORSBY</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28249-2024</t>
        </is>
      </c>
      <c r="B2449" s="1" t="n">
        <v>45477</v>
      </c>
      <c r="C2449" s="1" t="n">
        <v>45627</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28364-2024</t>
        </is>
      </c>
      <c r="B2450" s="1" t="n">
        <v>45477</v>
      </c>
      <c r="C2450" s="1" t="n">
        <v>45627</v>
      </c>
      <c r="D2450" t="inlineStr">
        <is>
          <t>VÄRMLANDS LÄN</t>
        </is>
      </c>
      <c r="E2450" t="inlineStr">
        <is>
          <t>TORSBY</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28284-2024</t>
        </is>
      </c>
      <c r="B2451" s="1" t="n">
        <v>45477</v>
      </c>
      <c r="C2451" s="1" t="n">
        <v>45627</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28539-2024</t>
        </is>
      </c>
      <c r="B2452" s="1" t="n">
        <v>45478</v>
      </c>
      <c r="C2452" s="1" t="n">
        <v>45627</v>
      </c>
      <c r="D2452" t="inlineStr">
        <is>
          <t>VÄRMLANDS LÄN</t>
        </is>
      </c>
      <c r="E2452" t="inlineStr">
        <is>
          <t>TORSBY</t>
        </is>
      </c>
      <c r="F2452" t="inlineStr">
        <is>
          <t>Bergvik skog väst AB</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28619-2024</t>
        </is>
      </c>
      <c r="B2453" s="1" t="n">
        <v>45478</v>
      </c>
      <c r="C2453" s="1" t="n">
        <v>45627</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28554-2024</t>
        </is>
      </c>
      <c r="B2454" s="1" t="n">
        <v>45478</v>
      </c>
      <c r="C2454" s="1" t="n">
        <v>45627</v>
      </c>
      <c r="D2454" t="inlineStr">
        <is>
          <t>VÄRMLANDS LÄN</t>
        </is>
      </c>
      <c r="E2454" t="inlineStr">
        <is>
          <t>TORSBY</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28646-2024</t>
        </is>
      </c>
      <c r="B2455" s="1" t="n">
        <v>45478</v>
      </c>
      <c r="C2455" s="1" t="n">
        <v>45627</v>
      </c>
      <c r="D2455" t="inlineStr">
        <is>
          <t>VÄRMLANDS LÄN</t>
        </is>
      </c>
      <c r="E2455" t="inlineStr">
        <is>
          <t>TORSBY</t>
        </is>
      </c>
      <c r="F2455" t="inlineStr">
        <is>
          <t>Bergvik skog väst AB</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28545-2024</t>
        </is>
      </c>
      <c r="B2456" s="1" t="n">
        <v>45478</v>
      </c>
      <c r="C2456" s="1" t="n">
        <v>45627</v>
      </c>
      <c r="D2456" t="inlineStr">
        <is>
          <t>VÄRMLANDS LÄN</t>
        </is>
      </c>
      <c r="E2456" t="inlineStr">
        <is>
          <t>TORSBY</t>
        </is>
      </c>
      <c r="F2456" t="inlineStr">
        <is>
          <t>Bergvik skog väst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28589-2024</t>
        </is>
      </c>
      <c r="B2457" s="1" t="n">
        <v>45478</v>
      </c>
      <c r="C2457" s="1" t="n">
        <v>45627</v>
      </c>
      <c r="D2457" t="inlineStr">
        <is>
          <t>VÄRMLANDS LÄN</t>
        </is>
      </c>
      <c r="E2457" t="inlineStr">
        <is>
          <t>TORSBY</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28624-2024</t>
        </is>
      </c>
      <c r="B2458" s="1" t="n">
        <v>45478</v>
      </c>
      <c r="C2458" s="1" t="n">
        <v>45627</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28673-2024</t>
        </is>
      </c>
      <c r="B2459" s="1" t="n">
        <v>45478</v>
      </c>
      <c r="C2459" s="1" t="n">
        <v>45627</v>
      </c>
      <c r="D2459" t="inlineStr">
        <is>
          <t>VÄRMLANDS LÄN</t>
        </is>
      </c>
      <c r="E2459" t="inlineStr">
        <is>
          <t>TORSBY</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28609-2024</t>
        </is>
      </c>
      <c r="B2460" s="1" t="n">
        <v>45478</v>
      </c>
      <c r="C2460" s="1" t="n">
        <v>45627</v>
      </c>
      <c r="D2460" t="inlineStr">
        <is>
          <t>VÄRMLANDS LÄN</t>
        </is>
      </c>
      <c r="E2460" t="inlineStr">
        <is>
          <t>TORSBY</t>
        </is>
      </c>
      <c r="F2460" t="inlineStr">
        <is>
          <t>Bergvik skog väst AB</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28621-2024</t>
        </is>
      </c>
      <c r="B2461" s="1" t="n">
        <v>45478</v>
      </c>
      <c r="C2461" s="1" t="n">
        <v>45627</v>
      </c>
      <c r="D2461" t="inlineStr">
        <is>
          <t>VÄRMLANDS LÄN</t>
        </is>
      </c>
      <c r="E2461" t="inlineStr">
        <is>
          <t>TORSBY</t>
        </is>
      </c>
      <c r="F2461" t="inlineStr">
        <is>
          <t>Bergvik skog väst AB</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28637-2024</t>
        </is>
      </c>
      <c r="B2462" s="1" t="n">
        <v>45478</v>
      </c>
      <c r="C2462" s="1" t="n">
        <v>45627</v>
      </c>
      <c r="D2462" t="inlineStr">
        <is>
          <t>VÄRMLANDS LÄN</t>
        </is>
      </c>
      <c r="E2462" t="inlineStr">
        <is>
          <t>TORSBY</t>
        </is>
      </c>
      <c r="F2462" t="inlineStr">
        <is>
          <t>Bergvik skog väst AB</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28948-2024</t>
        </is>
      </c>
      <c r="B2463" s="1" t="n">
        <v>45481</v>
      </c>
      <c r="C2463" s="1" t="n">
        <v>45627</v>
      </c>
      <c r="D2463" t="inlineStr">
        <is>
          <t>VÄRMLANDS LÄN</t>
        </is>
      </c>
      <c r="E2463" t="inlineStr">
        <is>
          <t>TORSBY</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28987-2024</t>
        </is>
      </c>
      <c r="B2464" s="1" t="n">
        <v>45481</v>
      </c>
      <c r="C2464" s="1" t="n">
        <v>45627</v>
      </c>
      <c r="D2464" t="inlineStr">
        <is>
          <t>VÄRMLANDS LÄN</t>
        </is>
      </c>
      <c r="E2464" t="inlineStr">
        <is>
          <t>TORSBY</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29306-2024</t>
        </is>
      </c>
      <c r="B2465" s="1" t="n">
        <v>45483</v>
      </c>
      <c r="C2465" s="1" t="n">
        <v>45627</v>
      </c>
      <c r="D2465" t="inlineStr">
        <is>
          <t>VÄRMLANDS LÄN</t>
        </is>
      </c>
      <c r="E2465" t="inlineStr">
        <is>
          <t>TORSBY</t>
        </is>
      </c>
      <c r="F2465" t="inlineStr">
        <is>
          <t>Kyrkan</t>
        </is>
      </c>
      <c r="G2465" t="n">
        <v>18.3</v>
      </c>
      <c r="H2465" t="n">
        <v>0</v>
      </c>
      <c r="I2465" t="n">
        <v>0</v>
      </c>
      <c r="J2465" t="n">
        <v>0</v>
      </c>
      <c r="K2465" t="n">
        <v>0</v>
      </c>
      <c r="L2465" t="n">
        <v>0</v>
      </c>
      <c r="M2465" t="n">
        <v>0</v>
      </c>
      <c r="N2465" t="n">
        <v>0</v>
      </c>
      <c r="O2465" t="n">
        <v>0</v>
      </c>
      <c r="P2465" t="n">
        <v>0</v>
      </c>
      <c r="Q2465" t="n">
        <v>0</v>
      </c>
      <c r="R2465" s="2" t="inlineStr"/>
    </row>
    <row r="2466" ht="15" customHeight="1">
      <c r="A2466" t="inlineStr">
        <is>
          <t>A 29408-2024</t>
        </is>
      </c>
      <c r="B2466" s="1" t="n">
        <v>45483</v>
      </c>
      <c r="C2466" s="1" t="n">
        <v>45627</v>
      </c>
      <c r="D2466" t="inlineStr">
        <is>
          <t>VÄRMLANDS LÄN</t>
        </is>
      </c>
      <c r="E2466" t="inlineStr">
        <is>
          <t>TORSBY</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v>
      </c>
      <c r="C2467" s="1" t="n">
        <v>45627</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29541-2024</t>
        </is>
      </c>
      <c r="B2468" s="1" t="n">
        <v>45484</v>
      </c>
      <c r="C2468" s="1" t="n">
        <v>45627</v>
      </c>
      <c r="D2468" t="inlineStr">
        <is>
          <t>VÄRMLANDS LÄN</t>
        </is>
      </c>
      <c r="E2468" t="inlineStr">
        <is>
          <t>TORSBY</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29549-2024</t>
        </is>
      </c>
      <c r="B2469" s="1" t="n">
        <v>45484</v>
      </c>
      <c r="C2469" s="1" t="n">
        <v>45627</v>
      </c>
      <c r="D2469" t="inlineStr">
        <is>
          <t>VÄRMLANDS LÄN</t>
        </is>
      </c>
      <c r="E2469" t="inlineStr">
        <is>
          <t>TORSBY</t>
        </is>
      </c>
      <c r="F2469" t="inlineStr">
        <is>
          <t>Bergvik skog väst AB</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29593-2024</t>
        </is>
      </c>
      <c r="B2470" s="1" t="n">
        <v>45484</v>
      </c>
      <c r="C2470" s="1" t="n">
        <v>45627</v>
      </c>
      <c r="D2470" t="inlineStr">
        <is>
          <t>VÄRMLANDS LÄN</t>
        </is>
      </c>
      <c r="E2470" t="inlineStr">
        <is>
          <t>TORSBY</t>
        </is>
      </c>
      <c r="F2470" t="inlineStr">
        <is>
          <t>Bergvik skog väst AB</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29535-2024</t>
        </is>
      </c>
      <c r="B2471" s="1" t="n">
        <v>45484</v>
      </c>
      <c r="C2471" s="1" t="n">
        <v>45627</v>
      </c>
      <c r="D2471" t="inlineStr">
        <is>
          <t>VÄRMLANDS LÄN</t>
        </is>
      </c>
      <c r="E2471" t="inlineStr">
        <is>
          <t>TORSBY</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29559-2024</t>
        </is>
      </c>
      <c r="B2472" s="1" t="n">
        <v>45484</v>
      </c>
      <c r="C2472" s="1" t="n">
        <v>45627</v>
      </c>
      <c r="D2472" t="inlineStr">
        <is>
          <t>VÄRMLANDS LÄN</t>
        </is>
      </c>
      <c r="E2472" t="inlineStr">
        <is>
          <t>TORSBY</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29502-2024</t>
        </is>
      </c>
      <c r="B2473" s="1" t="n">
        <v>45484</v>
      </c>
      <c r="C2473" s="1" t="n">
        <v>45627</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29759-2024</t>
        </is>
      </c>
      <c r="B2474" s="1" t="n">
        <v>45485</v>
      </c>
      <c r="C2474" s="1" t="n">
        <v>45627</v>
      </c>
      <c r="D2474" t="inlineStr">
        <is>
          <t>VÄRMLANDS LÄN</t>
        </is>
      </c>
      <c r="E2474" t="inlineStr">
        <is>
          <t>TORSBY</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29852-2024</t>
        </is>
      </c>
      <c r="B2475" s="1" t="n">
        <v>45485</v>
      </c>
      <c r="C2475" s="1" t="n">
        <v>45627</v>
      </c>
      <c r="D2475" t="inlineStr">
        <is>
          <t>VÄRMLANDS LÄN</t>
        </is>
      </c>
      <c r="E2475" t="inlineStr">
        <is>
          <t>TORSBY</t>
        </is>
      </c>
      <c r="F2475" t="inlineStr">
        <is>
          <t>Bergvik skog väst AB</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29898-2024</t>
        </is>
      </c>
      <c r="B2476" s="1" t="n">
        <v>45487</v>
      </c>
      <c r="C2476" s="1" t="n">
        <v>45627</v>
      </c>
      <c r="D2476" t="inlineStr">
        <is>
          <t>VÄRMLANDS LÄN</t>
        </is>
      </c>
      <c r="E2476" t="inlineStr">
        <is>
          <t>TORSBY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29895-2024</t>
        </is>
      </c>
      <c r="B2477" s="1" t="n">
        <v>45487</v>
      </c>
      <c r="C2477" s="1" t="n">
        <v>45627</v>
      </c>
      <c r="D2477" t="inlineStr">
        <is>
          <t>VÄRMLANDS LÄN</t>
        </is>
      </c>
      <c r="E2477" t="inlineStr">
        <is>
          <t>TORSBY</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29897-2024</t>
        </is>
      </c>
      <c r="B2478" s="1" t="n">
        <v>45487</v>
      </c>
      <c r="C2478" s="1" t="n">
        <v>45627</v>
      </c>
      <c r="D2478" t="inlineStr">
        <is>
          <t>VÄRMLANDS LÄN</t>
        </is>
      </c>
      <c r="E2478" t="inlineStr">
        <is>
          <t>TORSBY</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29936-2024</t>
        </is>
      </c>
      <c r="B2479" s="1" t="n">
        <v>45488</v>
      </c>
      <c r="C2479" s="1" t="n">
        <v>45627</v>
      </c>
      <c r="D2479" t="inlineStr">
        <is>
          <t>VÄRMLANDS LÄN</t>
        </is>
      </c>
      <c r="E2479" t="inlineStr">
        <is>
          <t>TORSBY</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29925-2024</t>
        </is>
      </c>
      <c r="B2480" s="1" t="n">
        <v>45488</v>
      </c>
      <c r="C2480" s="1" t="n">
        <v>45627</v>
      </c>
      <c r="D2480" t="inlineStr">
        <is>
          <t>VÄRMLANDS LÄN</t>
        </is>
      </c>
      <c r="E2480" t="inlineStr">
        <is>
          <t>TORSBY</t>
        </is>
      </c>
      <c r="F2480" t="inlineStr">
        <is>
          <t>Kyrkan</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30002-2024</t>
        </is>
      </c>
      <c r="B2481" s="1" t="n">
        <v>45488</v>
      </c>
      <c r="C2481" s="1" t="n">
        <v>45627</v>
      </c>
      <c r="D2481" t="inlineStr">
        <is>
          <t>VÄRMLANDS LÄN</t>
        </is>
      </c>
      <c r="E2481" t="inlineStr">
        <is>
          <t>TORSBY</t>
        </is>
      </c>
      <c r="F2481" t="inlineStr">
        <is>
          <t>Kommuner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30011-2024</t>
        </is>
      </c>
      <c r="B2482" s="1" t="n">
        <v>45488</v>
      </c>
      <c r="C2482" s="1" t="n">
        <v>45627</v>
      </c>
      <c r="D2482" t="inlineStr">
        <is>
          <t>VÄRMLANDS LÄN</t>
        </is>
      </c>
      <c r="E2482" t="inlineStr">
        <is>
          <t>TORSBY</t>
        </is>
      </c>
      <c r="F2482" t="inlineStr">
        <is>
          <t>Kommuner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29926-2024</t>
        </is>
      </c>
      <c r="B2483" s="1" t="n">
        <v>45488</v>
      </c>
      <c r="C2483" s="1" t="n">
        <v>45627</v>
      </c>
      <c r="D2483" t="inlineStr">
        <is>
          <t>VÄRMLANDS LÄN</t>
        </is>
      </c>
      <c r="E2483" t="inlineStr">
        <is>
          <t>TORSBY</t>
        </is>
      </c>
      <c r="F2483" t="inlineStr">
        <is>
          <t>Kommuner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30074-2024</t>
        </is>
      </c>
      <c r="B2484" s="1" t="n">
        <v>45489</v>
      </c>
      <c r="C2484" s="1" t="n">
        <v>45627</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30267-2024</t>
        </is>
      </c>
      <c r="B2485" s="1" t="n">
        <v>45490</v>
      </c>
      <c r="C2485" s="1" t="n">
        <v>45627</v>
      </c>
      <c r="D2485" t="inlineStr">
        <is>
          <t>VÄRMLANDS LÄN</t>
        </is>
      </c>
      <c r="E2485" t="inlineStr">
        <is>
          <t>TORSBY</t>
        </is>
      </c>
      <c r="F2485" t="inlineStr">
        <is>
          <t>Bergvik skog väst AB</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30403-2024</t>
        </is>
      </c>
      <c r="B2486" s="1" t="n">
        <v>45491</v>
      </c>
      <c r="C2486" s="1" t="n">
        <v>45627</v>
      </c>
      <c r="D2486" t="inlineStr">
        <is>
          <t>VÄRMLANDS LÄN</t>
        </is>
      </c>
      <c r="E2486" t="inlineStr">
        <is>
          <t>TORSBY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30629-2024</t>
        </is>
      </c>
      <c r="B2487" s="1" t="n">
        <v>45495</v>
      </c>
      <c r="C2487" s="1" t="n">
        <v>45627</v>
      </c>
      <c r="D2487" t="inlineStr">
        <is>
          <t>VÄRMLANDS LÄN</t>
        </is>
      </c>
      <c r="E2487" t="inlineStr">
        <is>
          <t>TORSBY</t>
        </is>
      </c>
      <c r="F2487" t="inlineStr">
        <is>
          <t>Bergvik skog väst AB</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30718-2024</t>
        </is>
      </c>
      <c r="B2488" s="1" t="n">
        <v>45496</v>
      </c>
      <c r="C2488" s="1" t="n">
        <v>45627</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30706-2024</t>
        </is>
      </c>
      <c r="B2489" s="1" t="n">
        <v>45496</v>
      </c>
      <c r="C2489" s="1" t="n">
        <v>45627</v>
      </c>
      <c r="D2489" t="inlineStr">
        <is>
          <t>VÄRMLANDS LÄN</t>
        </is>
      </c>
      <c r="E2489" t="inlineStr">
        <is>
          <t>TORSBY</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30720-2024</t>
        </is>
      </c>
      <c r="B2490" s="1" t="n">
        <v>45496</v>
      </c>
      <c r="C2490" s="1" t="n">
        <v>45627</v>
      </c>
      <c r="D2490" t="inlineStr">
        <is>
          <t>VÄRMLANDS LÄN</t>
        </is>
      </c>
      <c r="E2490" t="inlineStr">
        <is>
          <t>TORSBY</t>
        </is>
      </c>
      <c r="F2490" t="inlineStr">
        <is>
          <t>Bergvik skog väst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30700-2024</t>
        </is>
      </c>
      <c r="B2491" s="1" t="n">
        <v>45496</v>
      </c>
      <c r="C2491" s="1" t="n">
        <v>45627</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30696-2024</t>
        </is>
      </c>
      <c r="B2492" s="1" t="n">
        <v>45496</v>
      </c>
      <c r="C2492" s="1" t="n">
        <v>45627</v>
      </c>
      <c r="D2492" t="inlineStr">
        <is>
          <t>VÄRMLANDS LÄN</t>
        </is>
      </c>
      <c r="E2492" t="inlineStr">
        <is>
          <t>TORSBY</t>
        </is>
      </c>
      <c r="F2492" t="inlineStr">
        <is>
          <t>Bergvik skog väst AB</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30699-2024</t>
        </is>
      </c>
      <c r="B2493" s="1" t="n">
        <v>45496</v>
      </c>
      <c r="C2493" s="1" t="n">
        <v>45627</v>
      </c>
      <c r="D2493" t="inlineStr">
        <is>
          <t>VÄRMLANDS LÄN</t>
        </is>
      </c>
      <c r="E2493" t="inlineStr">
        <is>
          <t>TORSBY</t>
        </is>
      </c>
      <c r="F2493" t="inlineStr">
        <is>
          <t>Kyrkan</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30705-2024</t>
        </is>
      </c>
      <c r="B2494" s="1" t="n">
        <v>45496</v>
      </c>
      <c r="C2494" s="1" t="n">
        <v>45627</v>
      </c>
      <c r="D2494" t="inlineStr">
        <is>
          <t>VÄRMLANDS LÄN</t>
        </is>
      </c>
      <c r="E2494" t="inlineStr">
        <is>
          <t>TORSBY</t>
        </is>
      </c>
      <c r="F2494" t="inlineStr">
        <is>
          <t>Bergvik skog väst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30790-2024</t>
        </is>
      </c>
      <c r="B2495" s="1" t="n">
        <v>45497</v>
      </c>
      <c r="C2495" s="1" t="n">
        <v>45627</v>
      </c>
      <c r="D2495" t="inlineStr">
        <is>
          <t>VÄRMLANDS LÄN</t>
        </is>
      </c>
      <c r="E2495" t="inlineStr">
        <is>
          <t>TORSBY</t>
        </is>
      </c>
      <c r="G2495" t="n">
        <v>49.9</v>
      </c>
      <c r="H2495" t="n">
        <v>0</v>
      </c>
      <c r="I2495" t="n">
        <v>0</v>
      </c>
      <c r="J2495" t="n">
        <v>0</v>
      </c>
      <c r="K2495" t="n">
        <v>0</v>
      </c>
      <c r="L2495" t="n">
        <v>0</v>
      </c>
      <c r="M2495" t="n">
        <v>0</v>
      </c>
      <c r="N2495" t="n">
        <v>0</v>
      </c>
      <c r="O2495" t="n">
        <v>0</v>
      </c>
      <c r="P2495" t="n">
        <v>0</v>
      </c>
      <c r="Q2495" t="n">
        <v>0</v>
      </c>
      <c r="R2495" s="2" t="inlineStr"/>
    </row>
    <row r="2496" ht="15" customHeight="1">
      <c r="A2496" t="inlineStr">
        <is>
          <t>A 30789-2024</t>
        </is>
      </c>
      <c r="B2496" s="1" t="n">
        <v>45497</v>
      </c>
      <c r="C2496" s="1" t="n">
        <v>45627</v>
      </c>
      <c r="D2496" t="inlineStr">
        <is>
          <t>VÄRMLANDS LÄN</t>
        </is>
      </c>
      <c r="E2496" t="inlineStr">
        <is>
          <t>TORSBY</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30803-2024</t>
        </is>
      </c>
      <c r="B2497" s="1" t="n">
        <v>45497</v>
      </c>
      <c r="C2497" s="1" t="n">
        <v>45627</v>
      </c>
      <c r="D2497" t="inlineStr">
        <is>
          <t>VÄRMLANDS LÄN</t>
        </is>
      </c>
      <c r="E2497" t="inlineStr">
        <is>
          <t>TORSBY</t>
        </is>
      </c>
      <c r="F2497" t="inlineStr">
        <is>
          <t>Kyrkan</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30791-2024</t>
        </is>
      </c>
      <c r="B2498" s="1" t="n">
        <v>45497</v>
      </c>
      <c r="C2498" s="1" t="n">
        <v>45627</v>
      </c>
      <c r="D2498" t="inlineStr">
        <is>
          <t>VÄRMLANDS LÄN</t>
        </is>
      </c>
      <c r="E2498" t="inlineStr">
        <is>
          <t>TORSBY</t>
        </is>
      </c>
      <c r="G2498" t="n">
        <v>44.2</v>
      </c>
      <c r="H2498" t="n">
        <v>0</v>
      </c>
      <c r="I2498" t="n">
        <v>0</v>
      </c>
      <c r="J2498" t="n">
        <v>0</v>
      </c>
      <c r="K2498" t="n">
        <v>0</v>
      </c>
      <c r="L2498" t="n">
        <v>0</v>
      </c>
      <c r="M2498" t="n">
        <v>0</v>
      </c>
      <c r="N2498" t="n">
        <v>0</v>
      </c>
      <c r="O2498" t="n">
        <v>0</v>
      </c>
      <c r="P2498" t="n">
        <v>0</v>
      </c>
      <c r="Q2498" t="n">
        <v>0</v>
      </c>
      <c r="R2498" s="2" t="inlineStr"/>
    </row>
    <row r="2499" ht="15" customHeight="1">
      <c r="A2499" t="inlineStr">
        <is>
          <t>A 30873-2024</t>
        </is>
      </c>
      <c r="B2499" s="1" t="n">
        <v>45498</v>
      </c>
      <c r="C2499" s="1" t="n">
        <v>45627</v>
      </c>
      <c r="D2499" t="inlineStr">
        <is>
          <t>VÄRMLANDS LÄN</t>
        </is>
      </c>
      <c r="E2499" t="inlineStr">
        <is>
          <t>TORSBY</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30952-2024</t>
        </is>
      </c>
      <c r="B2500" s="1" t="n">
        <v>45499</v>
      </c>
      <c r="C2500" s="1" t="n">
        <v>45627</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30947-2024</t>
        </is>
      </c>
      <c r="B2501" s="1" t="n">
        <v>45499</v>
      </c>
      <c r="C2501" s="1" t="n">
        <v>45627</v>
      </c>
      <c r="D2501" t="inlineStr">
        <is>
          <t>VÄRMLANDS LÄN</t>
        </is>
      </c>
      <c r="E2501" t="inlineStr">
        <is>
          <t>TORSBY</t>
        </is>
      </c>
      <c r="F2501" t="inlineStr">
        <is>
          <t>Bergvik skog väst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31004-2024</t>
        </is>
      </c>
      <c r="B2502" s="1" t="n">
        <v>45499</v>
      </c>
      <c r="C2502" s="1" t="n">
        <v>45627</v>
      </c>
      <c r="D2502" t="inlineStr">
        <is>
          <t>VÄRMLANDS LÄN</t>
        </is>
      </c>
      <c r="E2502" t="inlineStr">
        <is>
          <t>TORSBY</t>
        </is>
      </c>
      <c r="F2502" t="inlineStr">
        <is>
          <t>Bergvik skog väst AB</t>
        </is>
      </c>
      <c r="G2502" t="n">
        <v>14.2</v>
      </c>
      <c r="H2502" t="n">
        <v>0</v>
      </c>
      <c r="I2502" t="n">
        <v>0</v>
      </c>
      <c r="J2502" t="n">
        <v>0</v>
      </c>
      <c r="K2502" t="n">
        <v>0</v>
      </c>
      <c r="L2502" t="n">
        <v>0</v>
      </c>
      <c r="M2502" t="n">
        <v>0</v>
      </c>
      <c r="N2502" t="n">
        <v>0</v>
      </c>
      <c r="O2502" t="n">
        <v>0</v>
      </c>
      <c r="P2502" t="n">
        <v>0</v>
      </c>
      <c r="Q2502" t="n">
        <v>0</v>
      </c>
      <c r="R2502" s="2" t="inlineStr"/>
    </row>
    <row r="2503" ht="15" customHeight="1">
      <c r="A2503" t="inlineStr">
        <is>
          <t>A 30942-2024</t>
        </is>
      </c>
      <c r="B2503" s="1" t="n">
        <v>45499</v>
      </c>
      <c r="C2503" s="1" t="n">
        <v>45627</v>
      </c>
      <c r="D2503" t="inlineStr">
        <is>
          <t>VÄRMLANDS LÄN</t>
        </is>
      </c>
      <c r="E2503" t="inlineStr">
        <is>
          <t>TORSBY</t>
        </is>
      </c>
      <c r="F2503" t="inlineStr">
        <is>
          <t>Bergvik skog väst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31089-2024</t>
        </is>
      </c>
      <c r="B2504" s="1" t="n">
        <v>45502</v>
      </c>
      <c r="C2504" s="1" t="n">
        <v>45627</v>
      </c>
      <c r="D2504" t="inlineStr">
        <is>
          <t>VÄRMLANDS LÄN</t>
        </is>
      </c>
      <c r="E2504" t="inlineStr">
        <is>
          <t>TORSBY</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31158-2024</t>
        </is>
      </c>
      <c r="B2505" s="1" t="n">
        <v>45503</v>
      </c>
      <c r="C2505" s="1" t="n">
        <v>45627</v>
      </c>
      <c r="D2505" t="inlineStr">
        <is>
          <t>VÄRMLANDS LÄN</t>
        </is>
      </c>
      <c r="E2505" t="inlineStr">
        <is>
          <t>TORSBY</t>
        </is>
      </c>
      <c r="F2505" t="inlineStr">
        <is>
          <t>Kyrkan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31164-2024</t>
        </is>
      </c>
      <c r="B2506" s="1" t="n">
        <v>45503</v>
      </c>
      <c r="C2506" s="1" t="n">
        <v>45627</v>
      </c>
      <c r="D2506" t="inlineStr">
        <is>
          <t>VÄRMLANDS LÄN</t>
        </is>
      </c>
      <c r="E2506" t="inlineStr">
        <is>
          <t>TORSBY</t>
        </is>
      </c>
      <c r="F2506" t="inlineStr">
        <is>
          <t>Kyrkan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31285-2024</t>
        </is>
      </c>
      <c r="B2507" s="1" t="n">
        <v>45504</v>
      </c>
      <c r="C2507" s="1" t="n">
        <v>45627</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31289-2024</t>
        </is>
      </c>
      <c r="B2508" s="1" t="n">
        <v>45504</v>
      </c>
      <c r="C2508" s="1" t="n">
        <v>45627</v>
      </c>
      <c r="D2508" t="inlineStr">
        <is>
          <t>VÄRMLANDS LÄN</t>
        </is>
      </c>
      <c r="E2508" t="inlineStr">
        <is>
          <t>TORSBY</t>
        </is>
      </c>
      <c r="G2508" t="n">
        <v>16.8</v>
      </c>
      <c r="H2508" t="n">
        <v>0</v>
      </c>
      <c r="I2508" t="n">
        <v>0</v>
      </c>
      <c r="J2508" t="n">
        <v>0</v>
      </c>
      <c r="K2508" t="n">
        <v>0</v>
      </c>
      <c r="L2508" t="n">
        <v>0</v>
      </c>
      <c r="M2508" t="n">
        <v>0</v>
      </c>
      <c r="N2508" t="n">
        <v>0</v>
      </c>
      <c r="O2508" t="n">
        <v>0</v>
      </c>
      <c r="P2508" t="n">
        <v>0</v>
      </c>
      <c r="Q2508" t="n">
        <v>0</v>
      </c>
      <c r="R2508" s="2" t="inlineStr"/>
    </row>
    <row r="2509" ht="15" customHeight="1">
      <c r="A2509" t="inlineStr">
        <is>
          <t>A 31380-2024</t>
        </is>
      </c>
      <c r="B2509" s="1" t="n">
        <v>45505</v>
      </c>
      <c r="C2509" s="1" t="n">
        <v>45627</v>
      </c>
      <c r="D2509" t="inlineStr">
        <is>
          <t>VÄRMLANDS LÄN</t>
        </is>
      </c>
      <c r="E2509" t="inlineStr">
        <is>
          <t>TORSBY</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31385-2024</t>
        </is>
      </c>
      <c r="B2510" s="1" t="n">
        <v>45505</v>
      </c>
      <c r="C2510" s="1" t="n">
        <v>45627</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31377-2024</t>
        </is>
      </c>
      <c r="B2511" s="1" t="n">
        <v>45505</v>
      </c>
      <c r="C2511" s="1" t="n">
        <v>45627</v>
      </c>
      <c r="D2511" t="inlineStr">
        <is>
          <t>VÄRMLANDS LÄN</t>
        </is>
      </c>
      <c r="E2511" t="inlineStr">
        <is>
          <t>TORSBY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31351-2024</t>
        </is>
      </c>
      <c r="B2512" s="1" t="n">
        <v>45505</v>
      </c>
      <c r="C2512" s="1" t="n">
        <v>45627</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31767-2024</t>
        </is>
      </c>
      <c r="B2513" s="1" t="n">
        <v>45509</v>
      </c>
      <c r="C2513" s="1" t="n">
        <v>45627</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31716-2024</t>
        </is>
      </c>
      <c r="B2514" s="1" t="n">
        <v>45509</v>
      </c>
      <c r="C2514" s="1" t="n">
        <v>45627</v>
      </c>
      <c r="D2514" t="inlineStr">
        <is>
          <t>VÄRMLANDS LÄN</t>
        </is>
      </c>
      <c r="E2514" t="inlineStr">
        <is>
          <t>TORSBY</t>
        </is>
      </c>
      <c r="F2514" t="inlineStr">
        <is>
          <t>Bergvik skog väst AB</t>
        </is>
      </c>
      <c r="G2514" t="n">
        <v>19.3</v>
      </c>
      <c r="H2514" t="n">
        <v>0</v>
      </c>
      <c r="I2514" t="n">
        <v>0</v>
      </c>
      <c r="J2514" t="n">
        <v>0</v>
      </c>
      <c r="K2514" t="n">
        <v>0</v>
      </c>
      <c r="L2514" t="n">
        <v>0</v>
      </c>
      <c r="M2514" t="n">
        <v>0</v>
      </c>
      <c r="N2514" t="n">
        <v>0</v>
      </c>
      <c r="O2514" t="n">
        <v>0</v>
      </c>
      <c r="P2514" t="n">
        <v>0</v>
      </c>
      <c r="Q2514" t="n">
        <v>0</v>
      </c>
      <c r="R2514" s="2" t="inlineStr"/>
    </row>
    <row r="2515" ht="15" customHeight="1">
      <c r="A2515" t="inlineStr">
        <is>
          <t>A 31836-2024</t>
        </is>
      </c>
      <c r="B2515" s="1" t="n">
        <v>45509</v>
      </c>
      <c r="C2515" s="1" t="n">
        <v>45627</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31830-2024</t>
        </is>
      </c>
      <c r="B2516" s="1" t="n">
        <v>45509</v>
      </c>
      <c r="C2516" s="1" t="n">
        <v>45627</v>
      </c>
      <c r="D2516" t="inlineStr">
        <is>
          <t>VÄRMLANDS LÄN</t>
        </is>
      </c>
      <c r="E2516" t="inlineStr">
        <is>
          <t>TORSBY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31945-2024</t>
        </is>
      </c>
      <c r="B2517" s="1" t="n">
        <v>45510</v>
      </c>
      <c r="C2517" s="1" t="n">
        <v>45627</v>
      </c>
      <c r="D2517" t="inlineStr">
        <is>
          <t>VÄRMLANDS LÄN</t>
        </is>
      </c>
      <c r="E2517" t="inlineStr">
        <is>
          <t>TORSBY</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32155-2024</t>
        </is>
      </c>
      <c r="B2518" s="1" t="n">
        <v>45511</v>
      </c>
      <c r="C2518" s="1" t="n">
        <v>45627</v>
      </c>
      <c r="D2518" t="inlineStr">
        <is>
          <t>VÄRMLANDS LÄN</t>
        </is>
      </c>
      <c r="E2518" t="inlineStr">
        <is>
          <t>TORSBY</t>
        </is>
      </c>
      <c r="F2518" t="inlineStr">
        <is>
          <t>Bergvik skog väst AB</t>
        </is>
      </c>
      <c r="G2518" t="n">
        <v>13.5</v>
      </c>
      <c r="H2518" t="n">
        <v>0</v>
      </c>
      <c r="I2518" t="n">
        <v>0</v>
      </c>
      <c r="J2518" t="n">
        <v>0</v>
      </c>
      <c r="K2518" t="n">
        <v>0</v>
      </c>
      <c r="L2518" t="n">
        <v>0</v>
      </c>
      <c r="M2518" t="n">
        <v>0</v>
      </c>
      <c r="N2518" t="n">
        <v>0</v>
      </c>
      <c r="O2518" t="n">
        <v>0</v>
      </c>
      <c r="P2518" t="n">
        <v>0</v>
      </c>
      <c r="Q2518" t="n">
        <v>0</v>
      </c>
      <c r="R2518" s="2" t="inlineStr"/>
    </row>
    <row r="2519" ht="15" customHeight="1">
      <c r="A2519" t="inlineStr">
        <is>
          <t>A 32138-2024</t>
        </is>
      </c>
      <c r="B2519" s="1" t="n">
        <v>45511</v>
      </c>
      <c r="C2519" s="1" t="n">
        <v>45627</v>
      </c>
      <c r="D2519" t="inlineStr">
        <is>
          <t>VÄRMLANDS LÄN</t>
        </is>
      </c>
      <c r="E2519" t="inlineStr">
        <is>
          <t>TORSBY</t>
        </is>
      </c>
      <c r="F2519" t="inlineStr">
        <is>
          <t>Bergvik skog väst AB</t>
        </is>
      </c>
      <c r="G2519" t="n">
        <v>26.3</v>
      </c>
      <c r="H2519" t="n">
        <v>0</v>
      </c>
      <c r="I2519" t="n">
        <v>0</v>
      </c>
      <c r="J2519" t="n">
        <v>0</v>
      </c>
      <c r="K2519" t="n">
        <v>0</v>
      </c>
      <c r="L2519" t="n">
        <v>0</v>
      </c>
      <c r="M2519" t="n">
        <v>0</v>
      </c>
      <c r="N2519" t="n">
        <v>0</v>
      </c>
      <c r="O2519" t="n">
        <v>0</v>
      </c>
      <c r="P2519" t="n">
        <v>0</v>
      </c>
      <c r="Q2519" t="n">
        <v>0</v>
      </c>
      <c r="R2519" s="2" t="inlineStr"/>
    </row>
    <row r="2520" ht="15" customHeight="1">
      <c r="A2520" t="inlineStr">
        <is>
          <t>A 32213-2024</t>
        </is>
      </c>
      <c r="B2520" s="1" t="n">
        <v>45511</v>
      </c>
      <c r="C2520" s="1" t="n">
        <v>45627</v>
      </c>
      <c r="D2520" t="inlineStr">
        <is>
          <t>VÄRMLANDS LÄN</t>
        </is>
      </c>
      <c r="E2520" t="inlineStr">
        <is>
          <t>TORSBY</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32314-2024</t>
        </is>
      </c>
      <c r="B2521" s="1" t="n">
        <v>45512</v>
      </c>
      <c r="C2521" s="1" t="n">
        <v>45627</v>
      </c>
      <c r="D2521" t="inlineStr">
        <is>
          <t>VÄRMLANDS LÄN</t>
        </is>
      </c>
      <c r="E2521" t="inlineStr">
        <is>
          <t>TORSBY</t>
        </is>
      </c>
      <c r="F2521" t="inlineStr">
        <is>
          <t>Bergvik skog väst AB</t>
        </is>
      </c>
      <c r="G2521" t="n">
        <v>35.1</v>
      </c>
      <c r="H2521" t="n">
        <v>0</v>
      </c>
      <c r="I2521" t="n">
        <v>0</v>
      </c>
      <c r="J2521" t="n">
        <v>0</v>
      </c>
      <c r="K2521" t="n">
        <v>0</v>
      </c>
      <c r="L2521" t="n">
        <v>0</v>
      </c>
      <c r="M2521" t="n">
        <v>0</v>
      </c>
      <c r="N2521" t="n">
        <v>0</v>
      </c>
      <c r="O2521" t="n">
        <v>0</v>
      </c>
      <c r="P2521" t="n">
        <v>0</v>
      </c>
      <c r="Q2521" t="n">
        <v>0</v>
      </c>
      <c r="R2521" s="2" t="inlineStr"/>
    </row>
    <row r="2522" ht="15" customHeight="1">
      <c r="A2522" t="inlineStr">
        <is>
          <t>A 32343-2024</t>
        </is>
      </c>
      <c r="B2522" s="1" t="n">
        <v>45512</v>
      </c>
      <c r="C2522" s="1" t="n">
        <v>45627</v>
      </c>
      <c r="D2522" t="inlineStr">
        <is>
          <t>VÄRMLANDS LÄN</t>
        </is>
      </c>
      <c r="E2522" t="inlineStr">
        <is>
          <t>TORSBY</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32340-2024</t>
        </is>
      </c>
      <c r="B2523" s="1" t="n">
        <v>45512</v>
      </c>
      <c r="C2523" s="1" t="n">
        <v>45627</v>
      </c>
      <c r="D2523" t="inlineStr">
        <is>
          <t>VÄRMLANDS LÄN</t>
        </is>
      </c>
      <c r="E2523" t="inlineStr">
        <is>
          <t>TORSBY</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32319-2024</t>
        </is>
      </c>
      <c r="B2524" s="1" t="n">
        <v>45512</v>
      </c>
      <c r="C2524" s="1" t="n">
        <v>45627</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32588-2024</t>
        </is>
      </c>
      <c r="B2525" s="1" t="n">
        <v>45513</v>
      </c>
      <c r="C2525" s="1" t="n">
        <v>45627</v>
      </c>
      <c r="D2525" t="inlineStr">
        <is>
          <t>VÄRMLANDS LÄN</t>
        </is>
      </c>
      <c r="E2525" t="inlineStr">
        <is>
          <t>TORSBY</t>
        </is>
      </c>
      <c r="F2525" t="inlineStr">
        <is>
          <t>Bergvik skog väst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32603-2024</t>
        </is>
      </c>
      <c r="B2526" s="1" t="n">
        <v>45513</v>
      </c>
      <c r="C2526" s="1" t="n">
        <v>45627</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32764-2024</t>
        </is>
      </c>
      <c r="B2527" s="1" t="n">
        <v>45515</v>
      </c>
      <c r="C2527" s="1" t="n">
        <v>45627</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32755-2024</t>
        </is>
      </c>
      <c r="B2528" s="1" t="n">
        <v>45515</v>
      </c>
      <c r="C2528" s="1" t="n">
        <v>45627</v>
      </c>
      <c r="D2528" t="inlineStr">
        <is>
          <t>VÄRMLANDS LÄN</t>
        </is>
      </c>
      <c r="E2528" t="inlineStr">
        <is>
          <t>TORSBY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32746-2024</t>
        </is>
      </c>
      <c r="B2529" s="1" t="n">
        <v>45515</v>
      </c>
      <c r="C2529" s="1" t="n">
        <v>45627</v>
      </c>
      <c r="D2529" t="inlineStr">
        <is>
          <t>VÄRMLANDS LÄN</t>
        </is>
      </c>
      <c r="E2529" t="inlineStr">
        <is>
          <t>TORSBY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32758-2024</t>
        </is>
      </c>
      <c r="B2530" s="1" t="n">
        <v>45515</v>
      </c>
      <c r="C2530" s="1" t="n">
        <v>45627</v>
      </c>
      <c r="D2530" t="inlineStr">
        <is>
          <t>VÄRMLANDS LÄN</t>
        </is>
      </c>
      <c r="E2530" t="inlineStr">
        <is>
          <t>TORSBY</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32845-2024</t>
        </is>
      </c>
      <c r="B2531" s="1" t="n">
        <v>45516</v>
      </c>
      <c r="C2531" s="1" t="n">
        <v>45627</v>
      </c>
      <c r="D2531" t="inlineStr">
        <is>
          <t>VÄRMLANDS LÄN</t>
        </is>
      </c>
      <c r="E2531" t="inlineStr">
        <is>
          <t>TORSBY</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32847-2024</t>
        </is>
      </c>
      <c r="B2532" s="1" t="n">
        <v>45516</v>
      </c>
      <c r="C2532" s="1" t="n">
        <v>45627</v>
      </c>
      <c r="D2532" t="inlineStr">
        <is>
          <t>VÄRMLANDS LÄN</t>
        </is>
      </c>
      <c r="E2532" t="inlineStr">
        <is>
          <t>TORSBY</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33088-2024</t>
        </is>
      </c>
      <c r="B2533" s="1" t="n">
        <v>45517</v>
      </c>
      <c r="C2533" s="1" t="n">
        <v>45627</v>
      </c>
      <c r="D2533" t="inlineStr">
        <is>
          <t>VÄRMLANDS LÄN</t>
        </is>
      </c>
      <c r="E2533" t="inlineStr">
        <is>
          <t>TORSBY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33078-2024</t>
        </is>
      </c>
      <c r="B2534" s="1" t="n">
        <v>45517</v>
      </c>
      <c r="C2534" s="1" t="n">
        <v>45627</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32973-2024</t>
        </is>
      </c>
      <c r="B2535" s="1" t="n">
        <v>45517</v>
      </c>
      <c r="C2535" s="1" t="n">
        <v>45627</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33085-2024</t>
        </is>
      </c>
      <c r="B2536" s="1" t="n">
        <v>45517</v>
      </c>
      <c r="C2536" s="1" t="n">
        <v>45627</v>
      </c>
      <c r="D2536" t="inlineStr">
        <is>
          <t>VÄRMLANDS LÄN</t>
        </is>
      </c>
      <c r="E2536" t="inlineStr">
        <is>
          <t>TORSBY</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33073-2024</t>
        </is>
      </c>
      <c r="B2537" s="1" t="n">
        <v>45517</v>
      </c>
      <c r="C2537" s="1" t="n">
        <v>45627</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32988-2024</t>
        </is>
      </c>
      <c r="B2538" s="1" t="n">
        <v>45517</v>
      </c>
      <c r="C2538" s="1" t="n">
        <v>45627</v>
      </c>
      <c r="D2538" t="inlineStr">
        <is>
          <t>VÄRMLANDS LÄN</t>
        </is>
      </c>
      <c r="E2538" t="inlineStr">
        <is>
          <t>TORSBY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32932-2024</t>
        </is>
      </c>
      <c r="B2539" s="1" t="n">
        <v>45517</v>
      </c>
      <c r="C2539" s="1" t="n">
        <v>45627</v>
      </c>
      <c r="D2539" t="inlineStr">
        <is>
          <t>VÄRMLANDS LÄN</t>
        </is>
      </c>
      <c r="E2539" t="inlineStr">
        <is>
          <t>TORSBY</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32936-2024</t>
        </is>
      </c>
      <c r="B2540" s="1" t="n">
        <v>45517</v>
      </c>
      <c r="C2540" s="1" t="n">
        <v>45627</v>
      </c>
      <c r="D2540" t="inlineStr">
        <is>
          <t>VÄRMLANDS LÄN</t>
        </is>
      </c>
      <c r="E2540" t="inlineStr">
        <is>
          <t>TORSBY</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32939-2024</t>
        </is>
      </c>
      <c r="B2541" s="1" t="n">
        <v>45517</v>
      </c>
      <c r="C2541" s="1" t="n">
        <v>45627</v>
      </c>
      <c r="D2541" t="inlineStr">
        <is>
          <t>VÄRMLANDS LÄN</t>
        </is>
      </c>
      <c r="E2541" t="inlineStr">
        <is>
          <t>TORSBY</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33185-2024</t>
        </is>
      </c>
      <c r="B2542" s="1" t="n">
        <v>45518</v>
      </c>
      <c r="C2542" s="1" t="n">
        <v>45627</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33293-2024</t>
        </is>
      </c>
      <c r="B2543" s="1" t="n">
        <v>45518</v>
      </c>
      <c r="C2543" s="1" t="n">
        <v>45627</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33218-2024</t>
        </is>
      </c>
      <c r="B2544" s="1" t="n">
        <v>45518</v>
      </c>
      <c r="C2544" s="1" t="n">
        <v>45627</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33232-2024</t>
        </is>
      </c>
      <c r="B2545" s="1" t="n">
        <v>45518</v>
      </c>
      <c r="C2545" s="1" t="n">
        <v>45627</v>
      </c>
      <c r="D2545" t="inlineStr">
        <is>
          <t>VÄRMLANDS LÄN</t>
        </is>
      </c>
      <c r="E2545" t="inlineStr">
        <is>
          <t>TORSBY</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33133-2024</t>
        </is>
      </c>
      <c r="B2546" s="1" t="n">
        <v>45518</v>
      </c>
      <c r="C2546" s="1" t="n">
        <v>45627</v>
      </c>
      <c r="D2546" t="inlineStr">
        <is>
          <t>VÄRMLANDS LÄN</t>
        </is>
      </c>
      <c r="E2546" t="inlineStr">
        <is>
          <t>TORSBY</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33227-2024</t>
        </is>
      </c>
      <c r="B2547" s="1" t="n">
        <v>45518</v>
      </c>
      <c r="C2547" s="1" t="n">
        <v>45627</v>
      </c>
      <c r="D2547" t="inlineStr">
        <is>
          <t>VÄRMLANDS LÄN</t>
        </is>
      </c>
      <c r="E2547" t="inlineStr">
        <is>
          <t>TORSBY</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33220-2024</t>
        </is>
      </c>
      <c r="B2548" s="1" t="n">
        <v>45518</v>
      </c>
      <c r="C2548" s="1" t="n">
        <v>45627</v>
      </c>
      <c r="D2548" t="inlineStr">
        <is>
          <t>VÄRMLANDS LÄN</t>
        </is>
      </c>
      <c r="E2548" t="inlineStr">
        <is>
          <t>TORSBY</t>
        </is>
      </c>
      <c r="F2548" t="inlineStr">
        <is>
          <t>Bergvik skog väst AB</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33172-2024</t>
        </is>
      </c>
      <c r="B2549" s="1" t="n">
        <v>45518</v>
      </c>
      <c r="C2549" s="1" t="n">
        <v>45627</v>
      </c>
      <c r="D2549" t="inlineStr">
        <is>
          <t>VÄRMLANDS LÄN</t>
        </is>
      </c>
      <c r="E2549" t="inlineStr">
        <is>
          <t>TORSBY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33151-2024</t>
        </is>
      </c>
      <c r="B2550" s="1" t="n">
        <v>45518</v>
      </c>
      <c r="C2550" s="1" t="n">
        <v>45627</v>
      </c>
      <c r="D2550" t="inlineStr">
        <is>
          <t>VÄRMLANDS LÄN</t>
        </is>
      </c>
      <c r="E2550" t="inlineStr">
        <is>
          <t>TORSBY</t>
        </is>
      </c>
      <c r="F2550" t="inlineStr">
        <is>
          <t>Bergvik skog väst AB</t>
        </is>
      </c>
      <c r="G2550" t="n">
        <v>28.2</v>
      </c>
      <c r="H2550" t="n">
        <v>0</v>
      </c>
      <c r="I2550" t="n">
        <v>0</v>
      </c>
      <c r="J2550" t="n">
        <v>0</v>
      </c>
      <c r="K2550" t="n">
        <v>0</v>
      </c>
      <c r="L2550" t="n">
        <v>0</v>
      </c>
      <c r="M2550" t="n">
        <v>0</v>
      </c>
      <c r="N2550" t="n">
        <v>0</v>
      </c>
      <c r="O2550" t="n">
        <v>0</v>
      </c>
      <c r="P2550" t="n">
        <v>0</v>
      </c>
      <c r="Q2550" t="n">
        <v>0</v>
      </c>
      <c r="R2550" s="2" t="inlineStr"/>
    </row>
    <row r="2551" ht="15" customHeight="1">
      <c r="A2551" t="inlineStr">
        <is>
          <t>A 33338-2024</t>
        </is>
      </c>
      <c r="B2551" s="1" t="n">
        <v>45519</v>
      </c>
      <c r="C2551" s="1" t="n">
        <v>45627</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33370-2024</t>
        </is>
      </c>
      <c r="B2552" s="1" t="n">
        <v>45519</v>
      </c>
      <c r="C2552" s="1" t="n">
        <v>45627</v>
      </c>
      <c r="D2552" t="inlineStr">
        <is>
          <t>VÄRMLANDS LÄN</t>
        </is>
      </c>
      <c r="E2552" t="inlineStr">
        <is>
          <t>TORSBY</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33337-2024</t>
        </is>
      </c>
      <c r="B2553" s="1" t="n">
        <v>45519</v>
      </c>
      <c r="C2553" s="1" t="n">
        <v>45627</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33341-2024</t>
        </is>
      </c>
      <c r="B2554" s="1" t="n">
        <v>45519</v>
      </c>
      <c r="C2554" s="1" t="n">
        <v>45627</v>
      </c>
      <c r="D2554" t="inlineStr">
        <is>
          <t>VÄRMLANDS LÄN</t>
        </is>
      </c>
      <c r="E2554" t="inlineStr">
        <is>
          <t>TORSBY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33425-2024</t>
        </is>
      </c>
      <c r="B2555" s="1" t="n">
        <v>45519</v>
      </c>
      <c r="C2555" s="1" t="n">
        <v>45627</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33429-2024</t>
        </is>
      </c>
      <c r="B2556" s="1" t="n">
        <v>45519</v>
      </c>
      <c r="C2556" s="1" t="n">
        <v>45627</v>
      </c>
      <c r="D2556" t="inlineStr">
        <is>
          <t>VÄRMLANDS LÄN</t>
        </is>
      </c>
      <c r="E2556" t="inlineStr">
        <is>
          <t>TORSBY</t>
        </is>
      </c>
      <c r="F2556" t="inlineStr">
        <is>
          <t>Bergvik skog väst AB</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33469-2024</t>
        </is>
      </c>
      <c r="B2557" s="1" t="n">
        <v>45519</v>
      </c>
      <c r="C2557" s="1" t="n">
        <v>45627</v>
      </c>
      <c r="D2557" t="inlineStr">
        <is>
          <t>VÄRMLANDS LÄN</t>
        </is>
      </c>
      <c r="E2557" t="inlineStr">
        <is>
          <t>TORSBY</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33546-2024</t>
        </is>
      </c>
      <c r="B2558" s="1" t="n">
        <v>45519</v>
      </c>
      <c r="C2558" s="1" t="n">
        <v>45627</v>
      </c>
      <c r="D2558" t="inlineStr">
        <is>
          <t>VÄRMLANDS LÄN</t>
        </is>
      </c>
      <c r="E2558" t="inlineStr">
        <is>
          <t>TORSBY</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33418-2024</t>
        </is>
      </c>
      <c r="B2559" s="1" t="n">
        <v>45519</v>
      </c>
      <c r="C2559" s="1" t="n">
        <v>45627</v>
      </c>
      <c r="D2559" t="inlineStr">
        <is>
          <t>VÄRMLANDS LÄN</t>
        </is>
      </c>
      <c r="E2559" t="inlineStr">
        <is>
          <t>TORSBY</t>
        </is>
      </c>
      <c r="F2559" t="inlineStr">
        <is>
          <t>Bergvik skog väst AB</t>
        </is>
      </c>
      <c r="G2559" t="n">
        <v>27.6</v>
      </c>
      <c r="H2559" t="n">
        <v>0</v>
      </c>
      <c r="I2559" t="n">
        <v>0</v>
      </c>
      <c r="J2559" t="n">
        <v>0</v>
      </c>
      <c r="K2559" t="n">
        <v>0</v>
      </c>
      <c r="L2559" t="n">
        <v>0</v>
      </c>
      <c r="M2559" t="n">
        <v>0</v>
      </c>
      <c r="N2559" t="n">
        <v>0</v>
      </c>
      <c r="O2559" t="n">
        <v>0</v>
      </c>
      <c r="P2559" t="n">
        <v>0</v>
      </c>
      <c r="Q2559" t="n">
        <v>0</v>
      </c>
      <c r="R2559" s="2" t="inlineStr"/>
    </row>
    <row r="2560" ht="15" customHeight="1">
      <c r="A2560" t="inlineStr">
        <is>
          <t>A 33511-2024</t>
        </is>
      </c>
      <c r="B2560" s="1" t="n">
        <v>45519</v>
      </c>
      <c r="C2560" s="1" t="n">
        <v>45627</v>
      </c>
      <c r="D2560" t="inlineStr">
        <is>
          <t>VÄRMLANDS LÄN</t>
        </is>
      </c>
      <c r="E2560" t="inlineStr">
        <is>
          <t>TORSBY</t>
        </is>
      </c>
      <c r="F2560" t="inlineStr">
        <is>
          <t>Bergvik skog väst AB</t>
        </is>
      </c>
      <c r="G2560" t="n">
        <v>12.1</v>
      </c>
      <c r="H2560" t="n">
        <v>0</v>
      </c>
      <c r="I2560" t="n">
        <v>0</v>
      </c>
      <c r="J2560" t="n">
        <v>0</v>
      </c>
      <c r="K2560" t="n">
        <v>0</v>
      </c>
      <c r="L2560" t="n">
        <v>0</v>
      </c>
      <c r="M2560" t="n">
        <v>0</v>
      </c>
      <c r="N2560" t="n">
        <v>0</v>
      </c>
      <c r="O2560" t="n">
        <v>0</v>
      </c>
      <c r="P2560" t="n">
        <v>0</v>
      </c>
      <c r="Q2560" t="n">
        <v>0</v>
      </c>
      <c r="R2560" s="2" t="inlineStr"/>
    </row>
    <row r="2561" ht="15" customHeight="1">
      <c r="A2561" t="inlineStr">
        <is>
          <t>A 33547-2024</t>
        </is>
      </c>
      <c r="B2561" s="1" t="n">
        <v>45519</v>
      </c>
      <c r="C2561" s="1" t="n">
        <v>45627</v>
      </c>
      <c r="D2561" t="inlineStr">
        <is>
          <t>VÄRMLANDS LÄN</t>
        </is>
      </c>
      <c r="E2561" t="inlineStr">
        <is>
          <t>TORSBY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33495-2024</t>
        </is>
      </c>
      <c r="B2562" s="1" t="n">
        <v>45519</v>
      </c>
      <c r="C2562" s="1" t="n">
        <v>45627</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33499-2024</t>
        </is>
      </c>
      <c r="B2563" s="1" t="n">
        <v>45519</v>
      </c>
      <c r="C2563" s="1" t="n">
        <v>45627</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33548-2024</t>
        </is>
      </c>
      <c r="B2564" s="1" t="n">
        <v>45519</v>
      </c>
      <c r="C2564" s="1" t="n">
        <v>45627</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33367-2024</t>
        </is>
      </c>
      <c r="B2565" s="1" t="n">
        <v>45519</v>
      </c>
      <c r="C2565" s="1" t="n">
        <v>45627</v>
      </c>
      <c r="D2565" t="inlineStr">
        <is>
          <t>VÄRMLANDS LÄN</t>
        </is>
      </c>
      <c r="E2565" t="inlineStr">
        <is>
          <t>TORSBY</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33371-2024</t>
        </is>
      </c>
      <c r="B2566" s="1" t="n">
        <v>45519</v>
      </c>
      <c r="C2566" s="1" t="n">
        <v>45627</v>
      </c>
      <c r="D2566" t="inlineStr">
        <is>
          <t>VÄRMLANDS LÄN</t>
        </is>
      </c>
      <c r="E2566" t="inlineStr">
        <is>
          <t>TORSBY</t>
        </is>
      </c>
      <c r="F2566" t="inlineStr">
        <is>
          <t>Bergvik skog väst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33521-2024</t>
        </is>
      </c>
      <c r="B2567" s="1" t="n">
        <v>45519</v>
      </c>
      <c r="C2567" s="1" t="n">
        <v>45627</v>
      </c>
      <c r="D2567" t="inlineStr">
        <is>
          <t>VÄRMLANDS LÄN</t>
        </is>
      </c>
      <c r="E2567" t="inlineStr">
        <is>
          <t>TORSBY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33620-2024</t>
        </is>
      </c>
      <c r="B2568" s="1" t="n">
        <v>45520</v>
      </c>
      <c r="C2568" s="1" t="n">
        <v>45627</v>
      </c>
      <c r="D2568" t="inlineStr">
        <is>
          <t>VÄRMLANDS LÄN</t>
        </is>
      </c>
      <c r="E2568" t="inlineStr">
        <is>
          <t>TORSBY</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33649-2024</t>
        </is>
      </c>
      <c r="B2569" s="1" t="n">
        <v>45520</v>
      </c>
      <c r="C2569" s="1" t="n">
        <v>45627</v>
      </c>
      <c r="D2569" t="inlineStr">
        <is>
          <t>VÄRMLANDS LÄN</t>
        </is>
      </c>
      <c r="E2569" t="inlineStr">
        <is>
          <t>TORSBY</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33769-2024</t>
        </is>
      </c>
      <c r="B2570" s="1" t="n">
        <v>45520</v>
      </c>
      <c r="C2570" s="1" t="n">
        <v>45627</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33862-2024</t>
        </is>
      </c>
      <c r="B2571" s="1" t="n">
        <v>45520</v>
      </c>
      <c r="C2571" s="1" t="n">
        <v>45627</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33791-2024</t>
        </is>
      </c>
      <c r="B2572" s="1" t="n">
        <v>45520</v>
      </c>
      <c r="C2572" s="1" t="n">
        <v>45627</v>
      </c>
      <c r="D2572" t="inlineStr">
        <is>
          <t>VÄRMLANDS LÄN</t>
        </is>
      </c>
      <c r="E2572" t="inlineStr">
        <is>
          <t>TORSBY</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33964-2024</t>
        </is>
      </c>
      <c r="B2573" s="1" t="n">
        <v>45523</v>
      </c>
      <c r="C2573" s="1" t="n">
        <v>45627</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34034-2024</t>
        </is>
      </c>
      <c r="B2574" s="1" t="n">
        <v>45523</v>
      </c>
      <c r="C2574" s="1" t="n">
        <v>45627</v>
      </c>
      <c r="D2574" t="inlineStr">
        <is>
          <t>VÄRMLANDS LÄN</t>
        </is>
      </c>
      <c r="E2574" t="inlineStr">
        <is>
          <t>TORSBY</t>
        </is>
      </c>
      <c r="F2574" t="inlineStr">
        <is>
          <t>Bergvik skog väst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34031-2024</t>
        </is>
      </c>
      <c r="B2575" s="1" t="n">
        <v>45523</v>
      </c>
      <c r="C2575" s="1" t="n">
        <v>45627</v>
      </c>
      <c r="D2575" t="inlineStr">
        <is>
          <t>VÄRMLANDS LÄN</t>
        </is>
      </c>
      <c r="E2575" t="inlineStr">
        <is>
          <t>TORSBY</t>
        </is>
      </c>
      <c r="F2575" t="inlineStr">
        <is>
          <t>Bergvik skog väst AB</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34081-2024</t>
        </is>
      </c>
      <c r="B2576" s="1" t="n">
        <v>45523</v>
      </c>
      <c r="C2576" s="1" t="n">
        <v>45627</v>
      </c>
      <c r="D2576" t="inlineStr">
        <is>
          <t>VÄRMLANDS LÄN</t>
        </is>
      </c>
      <c r="E2576" t="inlineStr">
        <is>
          <t>TORSBY</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34093-2024</t>
        </is>
      </c>
      <c r="B2577" s="1" t="n">
        <v>45523</v>
      </c>
      <c r="C2577" s="1" t="n">
        <v>45627</v>
      </c>
      <c r="D2577" t="inlineStr">
        <is>
          <t>VÄRMLANDS LÄN</t>
        </is>
      </c>
      <c r="E2577" t="inlineStr">
        <is>
          <t>TORSBY</t>
        </is>
      </c>
      <c r="F2577" t="inlineStr">
        <is>
          <t>Bergvik skog väst AB</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34207-2024</t>
        </is>
      </c>
      <c r="B2578" s="1" t="n">
        <v>45524</v>
      </c>
      <c r="C2578" s="1" t="n">
        <v>45627</v>
      </c>
      <c r="D2578" t="inlineStr">
        <is>
          <t>VÄRMLANDS LÄN</t>
        </is>
      </c>
      <c r="E2578" t="inlineStr">
        <is>
          <t>TORSBY</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34219-2024</t>
        </is>
      </c>
      <c r="B2579" s="1" t="n">
        <v>45524</v>
      </c>
      <c r="C2579" s="1" t="n">
        <v>45627</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34164-2024</t>
        </is>
      </c>
      <c r="B2580" s="1" t="n">
        <v>45524</v>
      </c>
      <c r="C2580" s="1" t="n">
        <v>45627</v>
      </c>
      <c r="D2580" t="inlineStr">
        <is>
          <t>VÄRMLANDS LÄN</t>
        </is>
      </c>
      <c r="E2580" t="inlineStr">
        <is>
          <t>TORSBY</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34226-2024</t>
        </is>
      </c>
      <c r="B2581" s="1" t="n">
        <v>45524</v>
      </c>
      <c r="C2581" s="1" t="n">
        <v>45627</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34206-2024</t>
        </is>
      </c>
      <c r="B2582" s="1" t="n">
        <v>45524</v>
      </c>
      <c r="C2582" s="1" t="n">
        <v>45627</v>
      </c>
      <c r="D2582" t="inlineStr">
        <is>
          <t>VÄRMLANDS LÄN</t>
        </is>
      </c>
      <c r="E2582" t="inlineStr">
        <is>
          <t>TORSBY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34236-2024</t>
        </is>
      </c>
      <c r="B2583" s="1" t="n">
        <v>45524</v>
      </c>
      <c r="C2583" s="1" t="n">
        <v>45627</v>
      </c>
      <c r="D2583" t="inlineStr">
        <is>
          <t>VÄRMLANDS LÄN</t>
        </is>
      </c>
      <c r="E2583" t="inlineStr">
        <is>
          <t>TORSBY</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34256-2024</t>
        </is>
      </c>
      <c r="B2584" s="1" t="n">
        <v>45524</v>
      </c>
      <c r="C2584" s="1" t="n">
        <v>45627</v>
      </c>
      <c r="D2584" t="inlineStr">
        <is>
          <t>VÄRMLANDS LÄN</t>
        </is>
      </c>
      <c r="E2584" t="inlineStr">
        <is>
          <t>TORSBY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34281-2024</t>
        </is>
      </c>
      <c r="B2585" s="1" t="n">
        <v>45524</v>
      </c>
      <c r="C2585" s="1" t="n">
        <v>45627</v>
      </c>
      <c r="D2585" t="inlineStr">
        <is>
          <t>VÄRMLANDS LÄN</t>
        </is>
      </c>
      <c r="E2585" t="inlineStr">
        <is>
          <t>TORSBY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34304-2024</t>
        </is>
      </c>
      <c r="B2586" s="1" t="n">
        <v>45524</v>
      </c>
      <c r="C2586" s="1" t="n">
        <v>45627</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34500-2024</t>
        </is>
      </c>
      <c r="B2587" s="1" t="n">
        <v>45525</v>
      </c>
      <c r="C2587" s="1" t="n">
        <v>45627</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34534-2024</t>
        </is>
      </c>
      <c r="B2588" s="1" t="n">
        <v>45525</v>
      </c>
      <c r="C2588" s="1" t="n">
        <v>45627</v>
      </c>
      <c r="D2588" t="inlineStr">
        <is>
          <t>VÄRMLANDS LÄN</t>
        </is>
      </c>
      <c r="E2588" t="inlineStr">
        <is>
          <t>TORSBY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34528-2024</t>
        </is>
      </c>
      <c r="B2589" s="1" t="n">
        <v>45525</v>
      </c>
      <c r="C2589" s="1" t="n">
        <v>45627</v>
      </c>
      <c r="D2589" t="inlineStr">
        <is>
          <t>VÄRMLANDS LÄN</t>
        </is>
      </c>
      <c r="E2589" t="inlineStr">
        <is>
          <t>TORSBY</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34554-2024</t>
        </is>
      </c>
      <c r="B2590" s="1" t="n">
        <v>45525</v>
      </c>
      <c r="C2590" s="1" t="n">
        <v>45627</v>
      </c>
      <c r="D2590" t="inlineStr">
        <is>
          <t>VÄRMLANDS LÄN</t>
        </is>
      </c>
      <c r="E2590" t="inlineStr">
        <is>
          <t>TORSBY</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34472-2024</t>
        </is>
      </c>
      <c r="B2591" s="1" t="n">
        <v>45525</v>
      </c>
      <c r="C2591" s="1" t="n">
        <v>45627</v>
      </c>
      <c r="D2591" t="inlineStr">
        <is>
          <t>VÄRMLANDS LÄN</t>
        </is>
      </c>
      <c r="E2591" t="inlineStr">
        <is>
          <t>TORSBY</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34549-2024</t>
        </is>
      </c>
      <c r="B2592" s="1" t="n">
        <v>45525</v>
      </c>
      <c r="C2592" s="1" t="n">
        <v>45627</v>
      </c>
      <c r="D2592" t="inlineStr">
        <is>
          <t>VÄRMLANDS LÄN</t>
        </is>
      </c>
      <c r="E2592" t="inlineStr">
        <is>
          <t>TORSBY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34551-2024</t>
        </is>
      </c>
      <c r="B2593" s="1" t="n">
        <v>45525</v>
      </c>
      <c r="C2593" s="1" t="n">
        <v>45627</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34680-2024</t>
        </is>
      </c>
      <c r="B2594" s="1" t="n">
        <v>45526</v>
      </c>
      <c r="C2594" s="1" t="n">
        <v>45627</v>
      </c>
      <c r="D2594" t="inlineStr">
        <is>
          <t>VÄRMLANDS LÄN</t>
        </is>
      </c>
      <c r="E2594" t="inlineStr">
        <is>
          <t>TORSBY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34568-2024</t>
        </is>
      </c>
      <c r="B2595" s="1" t="n">
        <v>45526</v>
      </c>
      <c r="C2595" s="1" t="n">
        <v>45627</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34573-2024</t>
        </is>
      </c>
      <c r="B2596" s="1" t="n">
        <v>45526</v>
      </c>
      <c r="C2596" s="1" t="n">
        <v>45627</v>
      </c>
      <c r="D2596" t="inlineStr">
        <is>
          <t>VÄRMLANDS LÄN</t>
        </is>
      </c>
      <c r="E2596" t="inlineStr">
        <is>
          <t>TORSBY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34697-2024</t>
        </is>
      </c>
      <c r="B2597" s="1" t="n">
        <v>45526</v>
      </c>
      <c r="C2597" s="1" t="n">
        <v>45627</v>
      </c>
      <c r="D2597" t="inlineStr">
        <is>
          <t>VÄRMLANDS LÄN</t>
        </is>
      </c>
      <c r="E2597" t="inlineStr">
        <is>
          <t>TORSBY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34717-2024</t>
        </is>
      </c>
      <c r="B2598" s="1" t="n">
        <v>45526</v>
      </c>
      <c r="C2598" s="1" t="n">
        <v>45627</v>
      </c>
      <c r="D2598" t="inlineStr">
        <is>
          <t>VÄRMLANDS LÄN</t>
        </is>
      </c>
      <c r="E2598" t="inlineStr">
        <is>
          <t>TORSBY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34824-2024</t>
        </is>
      </c>
      <c r="B2599" s="1" t="n">
        <v>45526</v>
      </c>
      <c r="C2599" s="1" t="n">
        <v>45627</v>
      </c>
      <c r="D2599" t="inlineStr">
        <is>
          <t>VÄRMLANDS LÄN</t>
        </is>
      </c>
      <c r="E2599" t="inlineStr">
        <is>
          <t>TORSBY</t>
        </is>
      </c>
      <c r="F2599" t="inlineStr">
        <is>
          <t>Bergvik skog väst AB</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34686-2024</t>
        </is>
      </c>
      <c r="B2600" s="1" t="n">
        <v>45526</v>
      </c>
      <c r="C2600" s="1" t="n">
        <v>45627</v>
      </c>
      <c r="D2600" t="inlineStr">
        <is>
          <t>VÄRMLANDS LÄN</t>
        </is>
      </c>
      <c r="E2600" t="inlineStr">
        <is>
          <t>TORSBY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35019-2024</t>
        </is>
      </c>
      <c r="B2601" s="1" t="n">
        <v>45527</v>
      </c>
      <c r="C2601" s="1" t="n">
        <v>45627</v>
      </c>
      <c r="D2601" t="inlineStr">
        <is>
          <t>VÄRMLANDS LÄN</t>
        </is>
      </c>
      <c r="E2601" t="inlineStr">
        <is>
          <t>TORSBY</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35075-2024</t>
        </is>
      </c>
      <c r="B2602" s="1" t="n">
        <v>45527</v>
      </c>
      <c r="C2602" s="1" t="n">
        <v>45627</v>
      </c>
      <c r="D2602" t="inlineStr">
        <is>
          <t>VÄRMLANDS LÄN</t>
        </is>
      </c>
      <c r="E2602" t="inlineStr">
        <is>
          <t>TORSBY</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34970-2024</t>
        </is>
      </c>
      <c r="B2603" s="1" t="n">
        <v>45527</v>
      </c>
      <c r="C2603" s="1" t="n">
        <v>45627</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34966-2024</t>
        </is>
      </c>
      <c r="B2604" s="1" t="n">
        <v>45527</v>
      </c>
      <c r="C2604" s="1" t="n">
        <v>45627</v>
      </c>
      <c r="D2604" t="inlineStr">
        <is>
          <t>VÄRMLANDS LÄN</t>
        </is>
      </c>
      <c r="E2604" t="inlineStr">
        <is>
          <t>TORSBY</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34958-2024</t>
        </is>
      </c>
      <c r="B2605" s="1" t="n">
        <v>45527</v>
      </c>
      <c r="C2605" s="1" t="n">
        <v>45627</v>
      </c>
      <c r="D2605" t="inlineStr">
        <is>
          <t>VÄRMLANDS LÄN</t>
        </is>
      </c>
      <c r="E2605" t="inlineStr">
        <is>
          <t>TORSBY</t>
        </is>
      </c>
      <c r="F2605" t="inlineStr">
        <is>
          <t>Bergvik skog väst AB</t>
        </is>
      </c>
      <c r="G2605" t="n">
        <v>12.5</v>
      </c>
      <c r="H2605" t="n">
        <v>0</v>
      </c>
      <c r="I2605" t="n">
        <v>0</v>
      </c>
      <c r="J2605" t="n">
        <v>0</v>
      </c>
      <c r="K2605" t="n">
        <v>0</v>
      </c>
      <c r="L2605" t="n">
        <v>0</v>
      </c>
      <c r="M2605" t="n">
        <v>0</v>
      </c>
      <c r="N2605" t="n">
        <v>0</v>
      </c>
      <c r="O2605" t="n">
        <v>0</v>
      </c>
      <c r="P2605" t="n">
        <v>0</v>
      </c>
      <c r="Q2605" t="n">
        <v>0</v>
      </c>
      <c r="R2605" s="2" t="inlineStr"/>
    </row>
    <row r="2606" ht="15" customHeight="1">
      <c r="A2606" t="inlineStr">
        <is>
          <t>A 34946-2024</t>
        </is>
      </c>
      <c r="B2606" s="1" t="n">
        <v>45527</v>
      </c>
      <c r="C2606" s="1" t="n">
        <v>45627</v>
      </c>
      <c r="D2606" t="inlineStr">
        <is>
          <t>VÄRMLANDS LÄN</t>
        </is>
      </c>
      <c r="E2606" t="inlineStr">
        <is>
          <t>TORSBY</t>
        </is>
      </c>
      <c r="F2606" t="inlineStr">
        <is>
          <t>Bergvik skog väst AB</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34906-2024</t>
        </is>
      </c>
      <c r="B2607" s="1" t="n">
        <v>45527</v>
      </c>
      <c r="C2607" s="1" t="n">
        <v>45627</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35066-2024</t>
        </is>
      </c>
      <c r="B2608" s="1" t="n">
        <v>45527</v>
      </c>
      <c r="C2608" s="1" t="n">
        <v>45627</v>
      </c>
      <c r="D2608" t="inlineStr">
        <is>
          <t>VÄRMLANDS LÄN</t>
        </is>
      </c>
      <c r="E2608" t="inlineStr">
        <is>
          <t>TORSBY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34961-2024</t>
        </is>
      </c>
      <c r="B2609" s="1" t="n">
        <v>45527</v>
      </c>
      <c r="C2609" s="1" t="n">
        <v>45627</v>
      </c>
      <c r="D2609" t="inlineStr">
        <is>
          <t>VÄRMLANDS LÄN</t>
        </is>
      </c>
      <c r="E2609" t="inlineStr">
        <is>
          <t>TORSBY</t>
        </is>
      </c>
      <c r="F2609" t="inlineStr">
        <is>
          <t>Bergvik skog väst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34921-2024</t>
        </is>
      </c>
      <c r="B2610" s="1" t="n">
        <v>45527</v>
      </c>
      <c r="C2610" s="1" t="n">
        <v>45627</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34968-2024</t>
        </is>
      </c>
      <c r="B2611" s="1" t="n">
        <v>45527</v>
      </c>
      <c r="C2611" s="1" t="n">
        <v>45627</v>
      </c>
      <c r="D2611" t="inlineStr">
        <is>
          <t>VÄRMLANDS LÄN</t>
        </is>
      </c>
      <c r="E2611" t="inlineStr">
        <is>
          <t>TORSBY</t>
        </is>
      </c>
      <c r="F2611" t="inlineStr">
        <is>
          <t>Bergvik skog väst AB</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34939-2024</t>
        </is>
      </c>
      <c r="B2612" s="1" t="n">
        <v>45527</v>
      </c>
      <c r="C2612" s="1" t="n">
        <v>45627</v>
      </c>
      <c r="D2612" t="inlineStr">
        <is>
          <t>VÄRMLANDS LÄN</t>
        </is>
      </c>
      <c r="E2612" t="inlineStr">
        <is>
          <t>TORSBY</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35107-2024</t>
        </is>
      </c>
      <c r="B2613" s="1" t="n">
        <v>45529</v>
      </c>
      <c r="C2613" s="1" t="n">
        <v>45627</v>
      </c>
      <c r="D2613" t="inlineStr">
        <is>
          <t>VÄRMLANDS LÄN</t>
        </is>
      </c>
      <c r="E2613" t="inlineStr">
        <is>
          <t>TORSBY</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35524-2024</t>
        </is>
      </c>
      <c r="B2614" s="1" t="n">
        <v>45531</v>
      </c>
      <c r="C2614" s="1" t="n">
        <v>45627</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35493-2024</t>
        </is>
      </c>
      <c r="B2615" s="1" t="n">
        <v>45531</v>
      </c>
      <c r="C2615" s="1" t="n">
        <v>45627</v>
      </c>
      <c r="D2615" t="inlineStr">
        <is>
          <t>VÄRMLANDS LÄN</t>
        </is>
      </c>
      <c r="E2615" t="inlineStr">
        <is>
          <t>TORSBY</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35497-2024</t>
        </is>
      </c>
      <c r="B2616" s="1" t="n">
        <v>45531</v>
      </c>
      <c r="C2616" s="1" t="n">
        <v>45627</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35609-2024</t>
        </is>
      </c>
      <c r="B2617" s="1" t="n">
        <v>45531</v>
      </c>
      <c r="C2617" s="1" t="n">
        <v>45627</v>
      </c>
      <c r="D2617" t="inlineStr">
        <is>
          <t>VÄRMLANDS LÄN</t>
        </is>
      </c>
      <c r="E2617" t="inlineStr">
        <is>
          <t>TORSBY</t>
        </is>
      </c>
      <c r="G2617" t="n">
        <v>38.3</v>
      </c>
      <c r="H2617" t="n">
        <v>0</v>
      </c>
      <c r="I2617" t="n">
        <v>0</v>
      </c>
      <c r="J2617" t="n">
        <v>0</v>
      </c>
      <c r="K2617" t="n">
        <v>0</v>
      </c>
      <c r="L2617" t="n">
        <v>0</v>
      </c>
      <c r="M2617" t="n">
        <v>0</v>
      </c>
      <c r="N2617" t="n">
        <v>0</v>
      </c>
      <c r="O2617" t="n">
        <v>0</v>
      </c>
      <c r="P2617" t="n">
        <v>0</v>
      </c>
      <c r="Q2617" t="n">
        <v>0</v>
      </c>
      <c r="R2617" s="2" t="inlineStr"/>
    </row>
    <row r="2618" ht="15" customHeight="1">
      <c r="A2618" t="inlineStr">
        <is>
          <t>A 35632-2024</t>
        </is>
      </c>
      <c r="B2618" s="1" t="n">
        <v>45531</v>
      </c>
      <c r="C2618" s="1" t="n">
        <v>45627</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35762-2024</t>
        </is>
      </c>
      <c r="B2619" s="1" t="n">
        <v>45532</v>
      </c>
      <c r="C2619" s="1" t="n">
        <v>45627</v>
      </c>
      <c r="D2619" t="inlineStr">
        <is>
          <t>VÄRMLANDS LÄN</t>
        </is>
      </c>
      <c r="E2619" t="inlineStr">
        <is>
          <t>TORSBY</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35774-2024</t>
        </is>
      </c>
      <c r="B2620" s="1" t="n">
        <v>45532</v>
      </c>
      <c r="C2620" s="1" t="n">
        <v>45627</v>
      </c>
      <c r="D2620" t="inlineStr">
        <is>
          <t>VÄRMLANDS LÄN</t>
        </is>
      </c>
      <c r="E2620" t="inlineStr">
        <is>
          <t>TORSBY</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35787-2024</t>
        </is>
      </c>
      <c r="B2621" s="1" t="n">
        <v>45532</v>
      </c>
      <c r="C2621" s="1" t="n">
        <v>45627</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35769-2024</t>
        </is>
      </c>
      <c r="B2622" s="1" t="n">
        <v>45532</v>
      </c>
      <c r="C2622" s="1" t="n">
        <v>45627</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35777-2024</t>
        </is>
      </c>
      <c r="B2623" s="1" t="n">
        <v>45532</v>
      </c>
      <c r="C2623" s="1" t="n">
        <v>45627</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35967-2024</t>
        </is>
      </c>
      <c r="B2624" s="1" t="n">
        <v>45533</v>
      </c>
      <c r="C2624" s="1" t="n">
        <v>45627</v>
      </c>
      <c r="D2624" t="inlineStr">
        <is>
          <t>VÄRMLANDS LÄN</t>
        </is>
      </c>
      <c r="E2624" t="inlineStr">
        <is>
          <t>TORSBY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36057-2024</t>
        </is>
      </c>
      <c r="B2625" s="1" t="n">
        <v>45533</v>
      </c>
      <c r="C2625" s="1" t="n">
        <v>45627</v>
      </c>
      <c r="D2625" t="inlineStr">
        <is>
          <t>VÄRMLANDS LÄN</t>
        </is>
      </c>
      <c r="E2625" t="inlineStr">
        <is>
          <t>TORSBY</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36153-2024</t>
        </is>
      </c>
      <c r="B2626" s="1" t="n">
        <v>45534</v>
      </c>
      <c r="C2626" s="1" t="n">
        <v>45627</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36175-2024</t>
        </is>
      </c>
      <c r="B2627" s="1" t="n">
        <v>45534</v>
      </c>
      <c r="C2627" s="1" t="n">
        <v>45627</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36184-2024</t>
        </is>
      </c>
      <c r="B2628" s="1" t="n">
        <v>45534</v>
      </c>
      <c r="C2628" s="1" t="n">
        <v>45627</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36419-2024</t>
        </is>
      </c>
      <c r="B2629" s="1" t="n">
        <v>45536</v>
      </c>
      <c r="C2629" s="1" t="n">
        <v>45627</v>
      </c>
      <c r="D2629" t="inlineStr">
        <is>
          <t>VÄRMLANDS LÄN</t>
        </is>
      </c>
      <c r="E2629" t="inlineStr">
        <is>
          <t>TORSBY</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36558-2024</t>
        </is>
      </c>
      <c r="B2630" s="1" t="n">
        <v>45537</v>
      </c>
      <c r="C2630" s="1" t="n">
        <v>45627</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36578-2024</t>
        </is>
      </c>
      <c r="B2631" s="1" t="n">
        <v>45537</v>
      </c>
      <c r="C2631" s="1" t="n">
        <v>45627</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36540-2024</t>
        </is>
      </c>
      <c r="B2632" s="1" t="n">
        <v>45537</v>
      </c>
      <c r="C2632" s="1" t="n">
        <v>45627</v>
      </c>
      <c r="D2632" t="inlineStr">
        <is>
          <t>VÄRMLANDS LÄN</t>
        </is>
      </c>
      <c r="E2632" t="inlineStr">
        <is>
          <t>TORSBY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36445-2024</t>
        </is>
      </c>
      <c r="B2633" s="1" t="n">
        <v>45537</v>
      </c>
      <c r="C2633" s="1" t="n">
        <v>45627</v>
      </c>
      <c r="D2633" t="inlineStr">
        <is>
          <t>VÄRMLANDS LÄN</t>
        </is>
      </c>
      <c r="E2633" t="inlineStr">
        <is>
          <t>TORSBY</t>
        </is>
      </c>
      <c r="F2633" t="inlineStr">
        <is>
          <t>Bergvik skog väst AB</t>
        </is>
      </c>
      <c r="G2633" t="n">
        <v>78.3</v>
      </c>
      <c r="H2633" t="n">
        <v>0</v>
      </c>
      <c r="I2633" t="n">
        <v>0</v>
      </c>
      <c r="J2633" t="n">
        <v>0</v>
      </c>
      <c r="K2633" t="n">
        <v>0</v>
      </c>
      <c r="L2633" t="n">
        <v>0</v>
      </c>
      <c r="M2633" t="n">
        <v>0</v>
      </c>
      <c r="N2633" t="n">
        <v>0</v>
      </c>
      <c r="O2633" t="n">
        <v>0</v>
      </c>
      <c r="P2633" t="n">
        <v>0</v>
      </c>
      <c r="Q2633" t="n">
        <v>0</v>
      </c>
      <c r="R2633" s="2" t="inlineStr"/>
    </row>
    <row r="2634" ht="15" customHeight="1">
      <c r="A2634" t="inlineStr">
        <is>
          <t>A 36718-2024</t>
        </is>
      </c>
      <c r="B2634" s="1" t="n">
        <v>45537</v>
      </c>
      <c r="C2634" s="1" t="n">
        <v>45627</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36765-2024</t>
        </is>
      </c>
      <c r="B2635" s="1" t="n">
        <v>45538</v>
      </c>
      <c r="C2635" s="1" t="n">
        <v>45627</v>
      </c>
      <c r="D2635" t="inlineStr">
        <is>
          <t>VÄRMLANDS LÄN</t>
        </is>
      </c>
      <c r="E2635" t="inlineStr">
        <is>
          <t>TORSBY</t>
        </is>
      </c>
      <c r="F2635" t="inlineStr">
        <is>
          <t>Bergvik skog väst AB</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36758-2024</t>
        </is>
      </c>
      <c r="B2636" s="1" t="n">
        <v>45538</v>
      </c>
      <c r="C2636" s="1" t="n">
        <v>45627</v>
      </c>
      <c r="D2636" t="inlineStr">
        <is>
          <t>VÄRMLANDS LÄN</t>
        </is>
      </c>
      <c r="E2636" t="inlineStr">
        <is>
          <t>TORSBY</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36782-2024</t>
        </is>
      </c>
      <c r="B2637" s="1" t="n">
        <v>45538</v>
      </c>
      <c r="C2637" s="1" t="n">
        <v>45627</v>
      </c>
      <c r="D2637" t="inlineStr">
        <is>
          <t>VÄRMLANDS LÄN</t>
        </is>
      </c>
      <c r="E2637" t="inlineStr">
        <is>
          <t>TORSBY</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36790-2024</t>
        </is>
      </c>
      <c r="B2638" s="1" t="n">
        <v>45538</v>
      </c>
      <c r="C2638" s="1" t="n">
        <v>45627</v>
      </c>
      <c r="D2638" t="inlineStr">
        <is>
          <t>VÄRMLANDS LÄN</t>
        </is>
      </c>
      <c r="E2638" t="inlineStr">
        <is>
          <t>TORSBY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36775-2024</t>
        </is>
      </c>
      <c r="B2639" s="1" t="n">
        <v>45538</v>
      </c>
      <c r="C2639" s="1" t="n">
        <v>45627</v>
      </c>
      <c r="D2639" t="inlineStr">
        <is>
          <t>VÄRMLANDS LÄN</t>
        </is>
      </c>
      <c r="E2639" t="inlineStr">
        <is>
          <t>TORSBY</t>
        </is>
      </c>
      <c r="F2639" t="inlineStr">
        <is>
          <t>Kyrkan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36850-2024</t>
        </is>
      </c>
      <c r="B2640" s="1" t="n">
        <v>45538</v>
      </c>
      <c r="C2640" s="1" t="n">
        <v>45627</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36879-2024</t>
        </is>
      </c>
      <c r="B2641" s="1" t="n">
        <v>45538</v>
      </c>
      <c r="C2641" s="1" t="n">
        <v>45627</v>
      </c>
      <c r="D2641" t="inlineStr">
        <is>
          <t>VÄRMLANDS LÄN</t>
        </is>
      </c>
      <c r="E2641" t="inlineStr">
        <is>
          <t>TORSBY</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36922-2024</t>
        </is>
      </c>
      <c r="B2642" s="1" t="n">
        <v>45538</v>
      </c>
      <c r="C2642" s="1" t="n">
        <v>45627</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36939-2024</t>
        </is>
      </c>
      <c r="B2643" s="1" t="n">
        <v>45538</v>
      </c>
      <c r="C2643" s="1" t="n">
        <v>45627</v>
      </c>
      <c r="D2643" t="inlineStr">
        <is>
          <t>VÄRMLANDS LÄN</t>
        </is>
      </c>
      <c r="E2643" t="inlineStr">
        <is>
          <t>TORSBY</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36917-2024</t>
        </is>
      </c>
      <c r="B2644" s="1" t="n">
        <v>45538</v>
      </c>
      <c r="C2644" s="1" t="n">
        <v>45627</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36964-2024</t>
        </is>
      </c>
      <c r="B2645" s="1" t="n">
        <v>45538</v>
      </c>
      <c r="C2645" s="1" t="n">
        <v>45627</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37153-2024</t>
        </is>
      </c>
      <c r="B2646" s="1" t="n">
        <v>45539</v>
      </c>
      <c r="C2646" s="1" t="n">
        <v>45627</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37194-2024</t>
        </is>
      </c>
      <c r="B2647" s="1" t="n">
        <v>45539</v>
      </c>
      <c r="C2647" s="1" t="n">
        <v>45627</v>
      </c>
      <c r="D2647" t="inlineStr">
        <is>
          <t>VÄRMLANDS LÄN</t>
        </is>
      </c>
      <c r="E2647" t="inlineStr">
        <is>
          <t>TORSBY</t>
        </is>
      </c>
      <c r="F2647" t="inlineStr">
        <is>
          <t>Bergvik skog väst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37238-2024</t>
        </is>
      </c>
      <c r="B2648" s="1" t="n">
        <v>45540</v>
      </c>
      <c r="C2648" s="1" t="n">
        <v>45627</v>
      </c>
      <c r="D2648" t="inlineStr">
        <is>
          <t>VÄRMLANDS LÄN</t>
        </is>
      </c>
      <c r="E2648" t="inlineStr">
        <is>
          <t>TORSBY</t>
        </is>
      </c>
      <c r="F2648" t="inlineStr">
        <is>
          <t>Bergvik skog väst AB</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37292-2024</t>
        </is>
      </c>
      <c r="B2649" s="1" t="n">
        <v>45540</v>
      </c>
      <c r="C2649" s="1" t="n">
        <v>45627</v>
      </c>
      <c r="D2649" t="inlineStr">
        <is>
          <t>VÄRMLANDS LÄN</t>
        </is>
      </c>
      <c r="E2649" t="inlineStr">
        <is>
          <t>TORSBY</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37477-2024</t>
        </is>
      </c>
      <c r="B2650" s="1" t="n">
        <v>45541</v>
      </c>
      <c r="C2650" s="1" t="n">
        <v>45627</v>
      </c>
      <c r="D2650" t="inlineStr">
        <is>
          <t>VÄRMLANDS LÄN</t>
        </is>
      </c>
      <c r="E2650" t="inlineStr">
        <is>
          <t>TORSBY</t>
        </is>
      </c>
      <c r="F2650" t="inlineStr">
        <is>
          <t>Bergvik skog väst AB</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37580-2024</t>
        </is>
      </c>
      <c r="B2651" s="1" t="n">
        <v>45541</v>
      </c>
      <c r="C2651" s="1" t="n">
        <v>45627</v>
      </c>
      <c r="D2651" t="inlineStr">
        <is>
          <t>VÄRMLANDS LÄN</t>
        </is>
      </c>
      <c r="E2651" t="inlineStr">
        <is>
          <t>TORSBY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37665-2024</t>
        </is>
      </c>
      <c r="B2652" s="1" t="n">
        <v>45541</v>
      </c>
      <c r="C2652" s="1" t="n">
        <v>45627</v>
      </c>
      <c r="D2652" t="inlineStr">
        <is>
          <t>VÄRMLANDS LÄN</t>
        </is>
      </c>
      <c r="E2652" t="inlineStr">
        <is>
          <t>TORSBY</t>
        </is>
      </c>
      <c r="F2652" t="inlineStr">
        <is>
          <t>Kyrkan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37533-2024</t>
        </is>
      </c>
      <c r="B2653" s="1" t="n">
        <v>45541</v>
      </c>
      <c r="C2653" s="1" t="n">
        <v>45627</v>
      </c>
      <c r="D2653" t="inlineStr">
        <is>
          <t>VÄRMLANDS LÄN</t>
        </is>
      </c>
      <c r="E2653" t="inlineStr">
        <is>
          <t>TORSBY</t>
        </is>
      </c>
      <c r="F2653" t="inlineStr">
        <is>
          <t>Bergvik skog väst AB</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37733-2024</t>
        </is>
      </c>
      <c r="B2654" s="1" t="n">
        <v>45541</v>
      </c>
      <c r="C2654" s="1" t="n">
        <v>45627</v>
      </c>
      <c r="D2654" t="inlineStr">
        <is>
          <t>VÄRMLANDS LÄN</t>
        </is>
      </c>
      <c r="E2654" t="inlineStr">
        <is>
          <t>TORSBY</t>
        </is>
      </c>
      <c r="F2654" t="inlineStr">
        <is>
          <t>Bergvik skog väst AB</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37884-2024</t>
        </is>
      </c>
      <c r="B2655" s="1" t="n">
        <v>45544</v>
      </c>
      <c r="C2655" s="1" t="n">
        <v>45627</v>
      </c>
      <c r="D2655" t="inlineStr">
        <is>
          <t>VÄRMLANDS LÄN</t>
        </is>
      </c>
      <c r="E2655" t="inlineStr">
        <is>
          <t>TORSBY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37948-2024</t>
        </is>
      </c>
      <c r="B2656" s="1" t="n">
        <v>45544</v>
      </c>
      <c r="C2656" s="1" t="n">
        <v>45627</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37853-2024</t>
        </is>
      </c>
      <c r="B2657" s="1" t="n">
        <v>45544</v>
      </c>
      <c r="C2657" s="1" t="n">
        <v>45627</v>
      </c>
      <c r="D2657" t="inlineStr">
        <is>
          <t>VÄRMLANDS LÄN</t>
        </is>
      </c>
      <c r="E2657" t="inlineStr">
        <is>
          <t>TORSBY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37901-2024</t>
        </is>
      </c>
      <c r="B2658" s="1" t="n">
        <v>45544</v>
      </c>
      <c r="C2658" s="1" t="n">
        <v>45627</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37913-2024</t>
        </is>
      </c>
      <c r="B2659" s="1" t="n">
        <v>45544</v>
      </c>
      <c r="C2659" s="1" t="n">
        <v>45627</v>
      </c>
      <c r="D2659" t="inlineStr">
        <is>
          <t>VÄRMLANDS LÄN</t>
        </is>
      </c>
      <c r="E2659" t="inlineStr">
        <is>
          <t>TORSBY</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38062-2024</t>
        </is>
      </c>
      <c r="B2660" s="1" t="n">
        <v>45544</v>
      </c>
      <c r="C2660" s="1" t="n">
        <v>45627</v>
      </c>
      <c r="D2660" t="inlineStr">
        <is>
          <t>VÄRMLANDS LÄN</t>
        </is>
      </c>
      <c r="E2660" t="inlineStr">
        <is>
          <t>TORSBY</t>
        </is>
      </c>
      <c r="F2660" t="inlineStr">
        <is>
          <t>Bergvik skog väst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38076-2024</t>
        </is>
      </c>
      <c r="B2661" s="1" t="n">
        <v>45544</v>
      </c>
      <c r="C2661" s="1" t="n">
        <v>45627</v>
      </c>
      <c r="D2661" t="inlineStr">
        <is>
          <t>VÄRMLANDS LÄN</t>
        </is>
      </c>
      <c r="E2661" t="inlineStr">
        <is>
          <t>TORSBY</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38100-2024</t>
        </is>
      </c>
      <c r="B2662" s="1" t="n">
        <v>45545</v>
      </c>
      <c r="C2662" s="1" t="n">
        <v>45627</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38085-2024</t>
        </is>
      </c>
      <c r="B2663" s="1" t="n">
        <v>45545</v>
      </c>
      <c r="C2663" s="1" t="n">
        <v>45627</v>
      </c>
      <c r="D2663" t="inlineStr">
        <is>
          <t>VÄRMLANDS LÄN</t>
        </is>
      </c>
      <c r="E2663" t="inlineStr">
        <is>
          <t>TORSBY</t>
        </is>
      </c>
      <c r="F2663" t="inlineStr">
        <is>
          <t>Bergvik skog väst AB</t>
        </is>
      </c>
      <c r="G2663" t="n">
        <v>27.8</v>
      </c>
      <c r="H2663" t="n">
        <v>0</v>
      </c>
      <c r="I2663" t="n">
        <v>0</v>
      </c>
      <c r="J2663" t="n">
        <v>0</v>
      </c>
      <c r="K2663" t="n">
        <v>0</v>
      </c>
      <c r="L2663" t="n">
        <v>0</v>
      </c>
      <c r="M2663" t="n">
        <v>0</v>
      </c>
      <c r="N2663" t="n">
        <v>0</v>
      </c>
      <c r="O2663" t="n">
        <v>0</v>
      </c>
      <c r="P2663" t="n">
        <v>0</v>
      </c>
      <c r="Q2663" t="n">
        <v>0</v>
      </c>
      <c r="R2663" s="2" t="inlineStr"/>
    </row>
    <row r="2664" ht="15" customHeight="1">
      <c r="A2664" t="inlineStr">
        <is>
          <t>A 38148-2024</t>
        </is>
      </c>
      <c r="B2664" s="1" t="n">
        <v>45545</v>
      </c>
      <c r="C2664" s="1" t="n">
        <v>45627</v>
      </c>
      <c r="D2664" t="inlineStr">
        <is>
          <t>VÄRMLANDS LÄN</t>
        </is>
      </c>
      <c r="E2664" t="inlineStr">
        <is>
          <t>TORSBY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38184-2024</t>
        </is>
      </c>
      <c r="B2665" s="1" t="n">
        <v>45545</v>
      </c>
      <c r="C2665" s="1" t="n">
        <v>45627</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38206-2024</t>
        </is>
      </c>
      <c r="B2666" s="1" t="n">
        <v>45545</v>
      </c>
      <c r="C2666" s="1" t="n">
        <v>45627</v>
      </c>
      <c r="D2666" t="inlineStr">
        <is>
          <t>VÄRMLANDS LÄN</t>
        </is>
      </c>
      <c r="E2666" t="inlineStr">
        <is>
          <t>TORSBY</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38353-2024</t>
        </is>
      </c>
      <c r="B2667" s="1" t="n">
        <v>45545</v>
      </c>
      <c r="C2667" s="1" t="n">
        <v>45627</v>
      </c>
      <c r="D2667" t="inlineStr">
        <is>
          <t>VÄRMLANDS LÄN</t>
        </is>
      </c>
      <c r="E2667" t="inlineStr">
        <is>
          <t>TORSBY</t>
        </is>
      </c>
      <c r="G2667" t="n">
        <v>20.8</v>
      </c>
      <c r="H2667" t="n">
        <v>0</v>
      </c>
      <c r="I2667" t="n">
        <v>0</v>
      </c>
      <c r="J2667" t="n">
        <v>0</v>
      </c>
      <c r="K2667" t="n">
        <v>0</v>
      </c>
      <c r="L2667" t="n">
        <v>0</v>
      </c>
      <c r="M2667" t="n">
        <v>0</v>
      </c>
      <c r="N2667" t="n">
        <v>0</v>
      </c>
      <c r="O2667" t="n">
        <v>0</v>
      </c>
      <c r="P2667" t="n">
        <v>0</v>
      </c>
      <c r="Q2667" t="n">
        <v>0</v>
      </c>
      <c r="R2667" s="2" t="inlineStr"/>
    </row>
    <row r="2668" ht="15" customHeight="1">
      <c r="A2668" t="inlineStr">
        <is>
          <t>A 38497-2024</t>
        </is>
      </c>
      <c r="B2668" s="1" t="n">
        <v>45546</v>
      </c>
      <c r="C2668" s="1" t="n">
        <v>45627</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38618-2024</t>
        </is>
      </c>
      <c r="B2669" s="1" t="n">
        <v>45546</v>
      </c>
      <c r="C2669" s="1" t="n">
        <v>45627</v>
      </c>
      <c r="D2669" t="inlineStr">
        <is>
          <t>VÄRMLANDS LÄN</t>
        </is>
      </c>
      <c r="E2669" t="inlineStr">
        <is>
          <t>TORSBY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38911-2024</t>
        </is>
      </c>
      <c r="B2670" s="1" t="n">
        <v>45547</v>
      </c>
      <c r="C2670" s="1" t="n">
        <v>45627</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38931-2024</t>
        </is>
      </c>
      <c r="B2671" s="1" t="n">
        <v>45548</v>
      </c>
      <c r="C2671" s="1" t="n">
        <v>45627</v>
      </c>
      <c r="D2671" t="inlineStr">
        <is>
          <t>VÄRMLANDS LÄN</t>
        </is>
      </c>
      <c r="E2671" t="inlineStr">
        <is>
          <t>TORSBY</t>
        </is>
      </c>
      <c r="F2671" t="inlineStr">
        <is>
          <t>Bergvik skog väst AB</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39075-2024</t>
        </is>
      </c>
      <c r="B2672" s="1" t="n">
        <v>45548</v>
      </c>
      <c r="C2672" s="1" t="n">
        <v>45627</v>
      </c>
      <c r="D2672" t="inlineStr">
        <is>
          <t>VÄRMLANDS LÄN</t>
        </is>
      </c>
      <c r="E2672" t="inlineStr">
        <is>
          <t>TORSBY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39277-2024</t>
        </is>
      </c>
      <c r="B2673" s="1" t="n">
        <v>45551</v>
      </c>
      <c r="C2673" s="1" t="n">
        <v>45627</v>
      </c>
      <c r="D2673" t="inlineStr">
        <is>
          <t>VÄRMLANDS LÄN</t>
        </is>
      </c>
      <c r="E2673" t="inlineStr">
        <is>
          <t>TORSBY</t>
        </is>
      </c>
      <c r="F2673" t="inlineStr">
        <is>
          <t>Bergvik skog väst AB</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39378-2024</t>
        </is>
      </c>
      <c r="B2674" s="1" t="n">
        <v>45551</v>
      </c>
      <c r="C2674" s="1" t="n">
        <v>45627</v>
      </c>
      <c r="D2674" t="inlineStr">
        <is>
          <t>VÄRMLANDS LÄN</t>
        </is>
      </c>
      <c r="E2674" t="inlineStr">
        <is>
          <t>TORSBY</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39383-2024</t>
        </is>
      </c>
      <c r="B2675" s="1" t="n">
        <v>45551</v>
      </c>
      <c r="C2675" s="1" t="n">
        <v>45627</v>
      </c>
      <c r="D2675" t="inlineStr">
        <is>
          <t>VÄRMLANDS LÄN</t>
        </is>
      </c>
      <c r="E2675" t="inlineStr">
        <is>
          <t>TORSBY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39587-2024</t>
        </is>
      </c>
      <c r="B2676" s="1" t="n">
        <v>45551</v>
      </c>
      <c r="C2676" s="1" t="n">
        <v>45627</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39569-2024</t>
        </is>
      </c>
      <c r="B2677" s="1" t="n">
        <v>45551</v>
      </c>
      <c r="C2677" s="1" t="n">
        <v>45627</v>
      </c>
      <c r="D2677" t="inlineStr">
        <is>
          <t>VÄRMLANDS LÄN</t>
        </is>
      </c>
      <c r="E2677" t="inlineStr">
        <is>
          <t>TORSBY</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39567-2024</t>
        </is>
      </c>
      <c r="B2678" s="1" t="n">
        <v>45552</v>
      </c>
      <c r="C2678" s="1" t="n">
        <v>45627</v>
      </c>
      <c r="D2678" t="inlineStr">
        <is>
          <t>VÄRMLANDS LÄN</t>
        </is>
      </c>
      <c r="E2678" t="inlineStr">
        <is>
          <t>TORSBY</t>
        </is>
      </c>
      <c r="F2678" t="inlineStr">
        <is>
          <t>Bergvik skog väst AB</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39617-2024</t>
        </is>
      </c>
      <c r="B2679" s="1" t="n">
        <v>45552</v>
      </c>
      <c r="C2679" s="1" t="n">
        <v>45627</v>
      </c>
      <c r="D2679" t="inlineStr">
        <is>
          <t>VÄRMLANDS LÄN</t>
        </is>
      </c>
      <c r="E2679" t="inlineStr">
        <is>
          <t>TORSBY</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39767-2024</t>
        </is>
      </c>
      <c r="B2680" s="1" t="n">
        <v>45552</v>
      </c>
      <c r="C2680" s="1" t="n">
        <v>45627</v>
      </c>
      <c r="D2680" t="inlineStr">
        <is>
          <t>VÄRMLANDS LÄN</t>
        </is>
      </c>
      <c r="E2680" t="inlineStr">
        <is>
          <t>TORSBY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39771-2024</t>
        </is>
      </c>
      <c r="B2681" s="1" t="n">
        <v>45552</v>
      </c>
      <c r="C2681" s="1" t="n">
        <v>45627</v>
      </c>
      <c r="D2681" t="inlineStr">
        <is>
          <t>VÄRMLANDS LÄN</t>
        </is>
      </c>
      <c r="E2681" t="inlineStr">
        <is>
          <t>TORSBY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39746-2024</t>
        </is>
      </c>
      <c r="B2682" s="1" t="n">
        <v>45552</v>
      </c>
      <c r="C2682" s="1" t="n">
        <v>45627</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45627</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39768-2024</t>
        </is>
      </c>
      <c r="B2684" s="1" t="n">
        <v>45552</v>
      </c>
      <c r="C2684" s="1" t="n">
        <v>45627</v>
      </c>
      <c r="D2684" t="inlineStr">
        <is>
          <t>VÄRMLANDS LÄN</t>
        </is>
      </c>
      <c r="E2684" t="inlineStr">
        <is>
          <t>TORSBY</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39772-2024</t>
        </is>
      </c>
      <c r="B2685" s="1" t="n">
        <v>45552</v>
      </c>
      <c r="C2685" s="1" t="n">
        <v>45627</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39769-2024</t>
        </is>
      </c>
      <c r="B2686" s="1" t="n">
        <v>45552</v>
      </c>
      <c r="C2686" s="1" t="n">
        <v>45627</v>
      </c>
      <c r="D2686" t="inlineStr">
        <is>
          <t>VÄRMLANDS LÄN</t>
        </is>
      </c>
      <c r="E2686" t="inlineStr">
        <is>
          <t>TORSBY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39953-2024</t>
        </is>
      </c>
      <c r="B2687" s="1" t="n">
        <v>45553</v>
      </c>
      <c r="C2687" s="1" t="n">
        <v>45627</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39985-2024</t>
        </is>
      </c>
      <c r="B2688" s="1" t="n">
        <v>45553</v>
      </c>
      <c r="C2688" s="1" t="n">
        <v>45627</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40180-2024</t>
        </is>
      </c>
      <c r="B2689" s="1" t="n">
        <v>45554</v>
      </c>
      <c r="C2689" s="1" t="n">
        <v>45627</v>
      </c>
      <c r="D2689" t="inlineStr">
        <is>
          <t>VÄRMLANDS LÄN</t>
        </is>
      </c>
      <c r="E2689" t="inlineStr">
        <is>
          <t>TORSBY</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40227-2024</t>
        </is>
      </c>
      <c r="B2690" s="1" t="n">
        <v>45554</v>
      </c>
      <c r="C2690" s="1" t="n">
        <v>45627</v>
      </c>
      <c r="D2690" t="inlineStr">
        <is>
          <t>VÄRMLANDS LÄN</t>
        </is>
      </c>
      <c r="E2690" t="inlineStr">
        <is>
          <t>TORSBY</t>
        </is>
      </c>
      <c r="F2690" t="inlineStr">
        <is>
          <t>Bergvik skog väst AB</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40157-2024</t>
        </is>
      </c>
      <c r="B2691" s="1" t="n">
        <v>45554</v>
      </c>
      <c r="C2691" s="1" t="n">
        <v>45627</v>
      </c>
      <c r="D2691" t="inlineStr">
        <is>
          <t>VÄRMLANDS LÄN</t>
        </is>
      </c>
      <c r="E2691" t="inlineStr">
        <is>
          <t>TORSBY</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40301-2024</t>
        </is>
      </c>
      <c r="B2692" s="1" t="n">
        <v>45554</v>
      </c>
      <c r="C2692" s="1" t="n">
        <v>45627</v>
      </c>
      <c r="D2692" t="inlineStr">
        <is>
          <t>VÄRMLANDS LÄN</t>
        </is>
      </c>
      <c r="E2692" t="inlineStr">
        <is>
          <t>TORSBY</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40541-2024</t>
        </is>
      </c>
      <c r="B2693" s="1" t="n">
        <v>45555</v>
      </c>
      <c r="C2693" s="1" t="n">
        <v>45627</v>
      </c>
      <c r="D2693" t="inlineStr">
        <is>
          <t>VÄRMLANDS LÄN</t>
        </is>
      </c>
      <c r="E2693" t="inlineStr">
        <is>
          <t>TORSBY</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40565-2024</t>
        </is>
      </c>
      <c r="B2694" s="1" t="n">
        <v>45555</v>
      </c>
      <c r="C2694" s="1" t="n">
        <v>45627</v>
      </c>
      <c r="D2694" t="inlineStr">
        <is>
          <t>VÄRMLANDS LÄN</t>
        </is>
      </c>
      <c r="E2694" t="inlineStr">
        <is>
          <t>TORSBY</t>
        </is>
      </c>
      <c r="F2694" t="inlineStr">
        <is>
          <t>Bergvik skog väst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40573-2024</t>
        </is>
      </c>
      <c r="B2695" s="1" t="n">
        <v>45555</v>
      </c>
      <c r="C2695" s="1" t="n">
        <v>45627</v>
      </c>
      <c r="D2695" t="inlineStr">
        <is>
          <t>VÄRMLANDS LÄN</t>
        </is>
      </c>
      <c r="E2695" t="inlineStr">
        <is>
          <t>TORSBY</t>
        </is>
      </c>
      <c r="F2695" t="inlineStr">
        <is>
          <t>Bergvik skog väst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40546-2024</t>
        </is>
      </c>
      <c r="B2696" s="1" t="n">
        <v>45555</v>
      </c>
      <c r="C2696" s="1" t="n">
        <v>45627</v>
      </c>
      <c r="D2696" t="inlineStr">
        <is>
          <t>VÄRMLANDS LÄN</t>
        </is>
      </c>
      <c r="E2696" t="inlineStr">
        <is>
          <t>TORSBY</t>
        </is>
      </c>
      <c r="F2696" t="inlineStr">
        <is>
          <t>Bergvik skog väst AB</t>
        </is>
      </c>
      <c r="G2696" t="n">
        <v>13.9</v>
      </c>
      <c r="H2696" t="n">
        <v>0</v>
      </c>
      <c r="I2696" t="n">
        <v>0</v>
      </c>
      <c r="J2696" t="n">
        <v>0</v>
      </c>
      <c r="K2696" t="n">
        <v>0</v>
      </c>
      <c r="L2696" t="n">
        <v>0</v>
      </c>
      <c r="M2696" t="n">
        <v>0</v>
      </c>
      <c r="N2696" t="n">
        <v>0</v>
      </c>
      <c r="O2696" t="n">
        <v>0</v>
      </c>
      <c r="P2696" t="n">
        <v>0</v>
      </c>
      <c r="Q2696" t="n">
        <v>0</v>
      </c>
      <c r="R2696" s="2" t="inlineStr"/>
    </row>
    <row r="2697" ht="15" customHeight="1">
      <c r="A2697" t="inlineStr">
        <is>
          <t>A 40914-2024</t>
        </is>
      </c>
      <c r="B2697" s="1" t="n">
        <v>45558</v>
      </c>
      <c r="C2697" s="1" t="n">
        <v>45627</v>
      </c>
      <c r="D2697" t="inlineStr">
        <is>
          <t>VÄRMLANDS LÄN</t>
        </is>
      </c>
      <c r="E2697" t="inlineStr">
        <is>
          <t>TORSBY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40807-2024</t>
        </is>
      </c>
      <c r="B2698" s="1" t="n">
        <v>45558</v>
      </c>
      <c r="C2698" s="1" t="n">
        <v>45627</v>
      </c>
      <c r="D2698" t="inlineStr">
        <is>
          <t>VÄRMLANDS LÄN</t>
        </is>
      </c>
      <c r="E2698" t="inlineStr">
        <is>
          <t>TORSBY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40810-2024</t>
        </is>
      </c>
      <c r="B2699" s="1" t="n">
        <v>45558</v>
      </c>
      <c r="C2699" s="1" t="n">
        <v>45627</v>
      </c>
      <c r="D2699" t="inlineStr">
        <is>
          <t>VÄRMLANDS LÄN</t>
        </is>
      </c>
      <c r="E2699" t="inlineStr">
        <is>
          <t>TORSBY</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40987-2024</t>
        </is>
      </c>
      <c r="B2700" s="1" t="n">
        <v>45558</v>
      </c>
      <c r="C2700" s="1" t="n">
        <v>45627</v>
      </c>
      <c r="D2700" t="inlineStr">
        <is>
          <t>VÄRMLANDS LÄN</t>
        </is>
      </c>
      <c r="E2700" t="inlineStr">
        <is>
          <t>TORSBY</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41161-2024</t>
        </is>
      </c>
      <c r="B2701" s="1" t="n">
        <v>45559</v>
      </c>
      <c r="C2701" s="1" t="n">
        <v>45627</v>
      </c>
      <c r="D2701" t="inlineStr">
        <is>
          <t>VÄRMLANDS LÄN</t>
        </is>
      </c>
      <c r="E2701" t="inlineStr">
        <is>
          <t>TORSBY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41162-2024</t>
        </is>
      </c>
      <c r="B2702" s="1" t="n">
        <v>45559</v>
      </c>
      <c r="C2702" s="1" t="n">
        <v>45627</v>
      </c>
      <c r="D2702" t="inlineStr">
        <is>
          <t>VÄRMLANDS LÄN</t>
        </is>
      </c>
      <c r="E2702" t="inlineStr">
        <is>
          <t>TORSBY</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41518-2024</t>
        </is>
      </c>
      <c r="B2703" s="1" t="n">
        <v>45560</v>
      </c>
      <c r="C2703" s="1" t="n">
        <v>45627</v>
      </c>
      <c r="D2703" t="inlineStr">
        <is>
          <t>VÄRMLANDS LÄN</t>
        </is>
      </c>
      <c r="E2703" t="inlineStr">
        <is>
          <t>TORSBY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41504-2024</t>
        </is>
      </c>
      <c r="B2704" s="1" t="n">
        <v>45560</v>
      </c>
      <c r="C2704" s="1" t="n">
        <v>45627</v>
      </c>
      <c r="D2704" t="inlineStr">
        <is>
          <t>VÄRMLANDS LÄN</t>
        </is>
      </c>
      <c r="E2704" t="inlineStr">
        <is>
          <t>TORSBY</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41529-2024</t>
        </is>
      </c>
      <c r="B2705" s="1" t="n">
        <v>45560</v>
      </c>
      <c r="C2705" s="1" t="n">
        <v>45627</v>
      </c>
      <c r="D2705" t="inlineStr">
        <is>
          <t>VÄRMLANDS LÄN</t>
        </is>
      </c>
      <c r="E2705" t="inlineStr">
        <is>
          <t>TORSBY</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41501-2024</t>
        </is>
      </c>
      <c r="B2706" s="1" t="n">
        <v>45560</v>
      </c>
      <c r="C2706" s="1" t="n">
        <v>45627</v>
      </c>
      <c r="D2706" t="inlineStr">
        <is>
          <t>VÄRMLANDS LÄN</t>
        </is>
      </c>
      <c r="E2706" t="inlineStr">
        <is>
          <t>TORSBY</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41720-2024</t>
        </is>
      </c>
      <c r="B2707" s="1" t="n">
        <v>45560</v>
      </c>
      <c r="C2707" s="1" t="n">
        <v>45627</v>
      </c>
      <c r="D2707" t="inlineStr">
        <is>
          <t>VÄRMLANDS LÄN</t>
        </is>
      </c>
      <c r="E2707" t="inlineStr">
        <is>
          <t>TORSBY</t>
        </is>
      </c>
      <c r="F2707" t="inlineStr">
        <is>
          <t>Bergvik skog väst AB</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41534-2024</t>
        </is>
      </c>
      <c r="B2708" s="1" t="n">
        <v>45560</v>
      </c>
      <c r="C2708" s="1" t="n">
        <v>45627</v>
      </c>
      <c r="D2708" t="inlineStr">
        <is>
          <t>VÄRMLANDS LÄN</t>
        </is>
      </c>
      <c r="E2708" t="inlineStr">
        <is>
          <t>TORSBY</t>
        </is>
      </c>
      <c r="G2708" t="n">
        <v>17.3</v>
      </c>
      <c r="H2708" t="n">
        <v>0</v>
      </c>
      <c r="I2708" t="n">
        <v>0</v>
      </c>
      <c r="J2708" t="n">
        <v>0</v>
      </c>
      <c r="K2708" t="n">
        <v>0</v>
      </c>
      <c r="L2708" t="n">
        <v>0</v>
      </c>
      <c r="M2708" t="n">
        <v>0</v>
      </c>
      <c r="N2708" t="n">
        <v>0</v>
      </c>
      <c r="O2708" t="n">
        <v>0</v>
      </c>
      <c r="P2708" t="n">
        <v>0</v>
      </c>
      <c r="Q2708" t="n">
        <v>0</v>
      </c>
      <c r="R2708" s="2" t="inlineStr"/>
    </row>
    <row r="2709" ht="15" customHeight="1">
      <c r="A2709" t="inlineStr">
        <is>
          <t>A 41631-2024</t>
        </is>
      </c>
      <c r="B2709" s="1" t="n">
        <v>45560</v>
      </c>
      <c r="C2709" s="1" t="n">
        <v>45627</v>
      </c>
      <c r="D2709" t="inlineStr">
        <is>
          <t>VÄRMLANDS LÄN</t>
        </is>
      </c>
      <c r="E2709" t="inlineStr">
        <is>
          <t>TORSBY</t>
        </is>
      </c>
      <c r="F2709" t="inlineStr">
        <is>
          <t>Bergvik skog väst AB</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41745-2024</t>
        </is>
      </c>
      <c r="B2710" s="1" t="n">
        <v>45561</v>
      </c>
      <c r="C2710" s="1" t="n">
        <v>45627</v>
      </c>
      <c r="D2710" t="inlineStr">
        <is>
          <t>VÄRMLANDS LÄN</t>
        </is>
      </c>
      <c r="E2710" t="inlineStr">
        <is>
          <t>TORSBY</t>
        </is>
      </c>
      <c r="F2710" t="inlineStr">
        <is>
          <t>Bergvik skog väst AB</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41743-2024</t>
        </is>
      </c>
      <c r="B2711" s="1" t="n">
        <v>45561</v>
      </c>
      <c r="C2711" s="1" t="n">
        <v>45627</v>
      </c>
      <c r="D2711" t="inlineStr">
        <is>
          <t>VÄRMLANDS LÄN</t>
        </is>
      </c>
      <c r="E2711" t="inlineStr">
        <is>
          <t>TORSBY</t>
        </is>
      </c>
      <c r="F2711" t="inlineStr">
        <is>
          <t>Bergvik skog väst AB</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41936-2024</t>
        </is>
      </c>
      <c r="B2712" s="1" t="n">
        <v>45561</v>
      </c>
      <c r="C2712" s="1" t="n">
        <v>45627</v>
      </c>
      <c r="D2712" t="inlineStr">
        <is>
          <t>VÄRMLANDS LÄN</t>
        </is>
      </c>
      <c r="E2712" t="inlineStr">
        <is>
          <t>TORSBY</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42283-2024</t>
        </is>
      </c>
      <c r="B2713" s="1" t="n">
        <v>45562</v>
      </c>
      <c r="C2713" s="1" t="n">
        <v>45627</v>
      </c>
      <c r="D2713" t="inlineStr">
        <is>
          <t>VÄRMLANDS LÄN</t>
        </is>
      </c>
      <c r="E2713" t="inlineStr">
        <is>
          <t>TORSBY</t>
        </is>
      </c>
      <c r="F2713" t="inlineStr">
        <is>
          <t>Bergvik skog väst AB</t>
        </is>
      </c>
      <c r="G2713" t="n">
        <v>10.7</v>
      </c>
      <c r="H2713" t="n">
        <v>0</v>
      </c>
      <c r="I2713" t="n">
        <v>0</v>
      </c>
      <c r="J2713" t="n">
        <v>0</v>
      </c>
      <c r="K2713" t="n">
        <v>0</v>
      </c>
      <c r="L2713" t="n">
        <v>0</v>
      </c>
      <c r="M2713" t="n">
        <v>0</v>
      </c>
      <c r="N2713" t="n">
        <v>0</v>
      </c>
      <c r="O2713" t="n">
        <v>0</v>
      </c>
      <c r="P2713" t="n">
        <v>0</v>
      </c>
      <c r="Q2713" t="n">
        <v>0</v>
      </c>
      <c r="R2713" s="2" t="inlineStr"/>
    </row>
    <row r="2714" ht="15" customHeight="1">
      <c r="A2714" t="inlineStr">
        <is>
          <t>A 42250-2024</t>
        </is>
      </c>
      <c r="B2714" s="1" t="n">
        <v>45562</v>
      </c>
      <c r="C2714" s="1" t="n">
        <v>45627</v>
      </c>
      <c r="D2714" t="inlineStr">
        <is>
          <t>VÄRMLANDS LÄN</t>
        </is>
      </c>
      <c r="E2714" t="inlineStr">
        <is>
          <t>TORSBY</t>
        </is>
      </c>
      <c r="F2714" t="inlineStr">
        <is>
          <t>Bergvik skog väst AB</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42176-2024</t>
        </is>
      </c>
      <c r="B2715" s="1" t="n">
        <v>45562</v>
      </c>
      <c r="C2715" s="1" t="n">
        <v>45627</v>
      </c>
      <c r="D2715" t="inlineStr">
        <is>
          <t>VÄRMLANDS LÄN</t>
        </is>
      </c>
      <c r="E2715" t="inlineStr">
        <is>
          <t>TORSBY</t>
        </is>
      </c>
      <c r="F2715" t="inlineStr">
        <is>
          <t>Kommuner</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42405-2024</t>
        </is>
      </c>
      <c r="B2716" s="1" t="n">
        <v>45565</v>
      </c>
      <c r="C2716" s="1" t="n">
        <v>45627</v>
      </c>
      <c r="D2716" t="inlineStr">
        <is>
          <t>VÄRMLANDS LÄN</t>
        </is>
      </c>
      <c r="E2716" t="inlineStr">
        <is>
          <t>TORSBY</t>
        </is>
      </c>
      <c r="F2716" t="inlineStr">
        <is>
          <t>Bergvik skog väst AB</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42414-2024</t>
        </is>
      </c>
      <c r="B2717" s="1" t="n">
        <v>45565</v>
      </c>
      <c r="C2717" s="1" t="n">
        <v>45627</v>
      </c>
      <c r="D2717" t="inlineStr">
        <is>
          <t>VÄRMLANDS LÄN</t>
        </is>
      </c>
      <c r="E2717" t="inlineStr">
        <is>
          <t>TORSBY</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42424-2024</t>
        </is>
      </c>
      <c r="B2718" s="1" t="n">
        <v>45565</v>
      </c>
      <c r="C2718" s="1" t="n">
        <v>45627</v>
      </c>
      <c r="D2718" t="inlineStr">
        <is>
          <t>VÄRMLANDS LÄN</t>
        </is>
      </c>
      <c r="E2718" t="inlineStr">
        <is>
          <t>TORSBY</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42428-2024</t>
        </is>
      </c>
      <c r="B2719" s="1" t="n">
        <v>45565</v>
      </c>
      <c r="C2719" s="1" t="n">
        <v>45627</v>
      </c>
      <c r="D2719" t="inlineStr">
        <is>
          <t>VÄRMLANDS LÄN</t>
        </is>
      </c>
      <c r="E2719" t="inlineStr">
        <is>
          <t>TORSBY</t>
        </is>
      </c>
      <c r="F2719" t="inlineStr">
        <is>
          <t>Bergvik skog väst AB</t>
        </is>
      </c>
      <c r="G2719" t="n">
        <v>20.7</v>
      </c>
      <c r="H2719" t="n">
        <v>0</v>
      </c>
      <c r="I2719" t="n">
        <v>0</v>
      </c>
      <c r="J2719" t="n">
        <v>0</v>
      </c>
      <c r="K2719" t="n">
        <v>0</v>
      </c>
      <c r="L2719" t="n">
        <v>0</v>
      </c>
      <c r="M2719" t="n">
        <v>0</v>
      </c>
      <c r="N2719" t="n">
        <v>0</v>
      </c>
      <c r="O2719" t="n">
        <v>0</v>
      </c>
      <c r="P2719" t="n">
        <v>0</v>
      </c>
      <c r="Q2719" t="n">
        <v>0</v>
      </c>
      <c r="R2719" s="2" t="inlineStr"/>
    </row>
    <row r="2720" ht="15" customHeight="1">
      <c r="A2720" t="inlineStr">
        <is>
          <t>A 42457-2024</t>
        </is>
      </c>
      <c r="B2720" s="1" t="n">
        <v>45565</v>
      </c>
      <c r="C2720" s="1" t="n">
        <v>45627</v>
      </c>
      <c r="D2720" t="inlineStr">
        <is>
          <t>VÄRMLANDS LÄN</t>
        </is>
      </c>
      <c r="E2720" t="inlineStr">
        <is>
          <t>TORSBY</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42834-2024</t>
        </is>
      </c>
      <c r="B2721" s="1" t="n">
        <v>45566</v>
      </c>
      <c r="C2721" s="1" t="n">
        <v>45627</v>
      </c>
      <c r="D2721" t="inlineStr">
        <is>
          <t>VÄRMLANDS LÄN</t>
        </is>
      </c>
      <c r="E2721" t="inlineStr">
        <is>
          <t>TORSBY</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42662-2024</t>
        </is>
      </c>
      <c r="B2722" s="1" t="n">
        <v>45566</v>
      </c>
      <c r="C2722" s="1" t="n">
        <v>45627</v>
      </c>
      <c r="D2722" t="inlineStr">
        <is>
          <t>VÄRMLANDS LÄN</t>
        </is>
      </c>
      <c r="E2722" t="inlineStr">
        <is>
          <t>TORSBY</t>
        </is>
      </c>
      <c r="F2722" t="inlineStr">
        <is>
          <t>Bergvik skog väst AB</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43037-2024</t>
        </is>
      </c>
      <c r="B2723" s="1" t="n">
        <v>45567</v>
      </c>
      <c r="C2723" s="1" t="n">
        <v>45627</v>
      </c>
      <c r="D2723" t="inlineStr">
        <is>
          <t>VÄRMLANDS LÄN</t>
        </is>
      </c>
      <c r="E2723" t="inlineStr">
        <is>
          <t>TORSBY</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42945-2024</t>
        </is>
      </c>
      <c r="B2724" s="1" t="n">
        <v>45567</v>
      </c>
      <c r="C2724" s="1" t="n">
        <v>45627</v>
      </c>
      <c r="D2724" t="inlineStr">
        <is>
          <t>VÄRMLANDS LÄN</t>
        </is>
      </c>
      <c r="E2724" t="inlineStr">
        <is>
          <t>TORSBY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43137-2024</t>
        </is>
      </c>
      <c r="B2725" s="1" t="n">
        <v>45567</v>
      </c>
      <c r="C2725" s="1" t="n">
        <v>45627</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43044-2024</t>
        </is>
      </c>
      <c r="B2726" s="1" t="n">
        <v>45567</v>
      </c>
      <c r="C2726" s="1" t="n">
        <v>45627</v>
      </c>
      <c r="D2726" t="inlineStr">
        <is>
          <t>VÄRMLANDS LÄN</t>
        </is>
      </c>
      <c r="E2726" t="inlineStr">
        <is>
          <t>TORSBY</t>
        </is>
      </c>
      <c r="F2726" t="inlineStr">
        <is>
          <t>Bergvik skog väst AB</t>
        </is>
      </c>
      <c r="G2726" t="n">
        <v>42.7</v>
      </c>
      <c r="H2726" t="n">
        <v>0</v>
      </c>
      <c r="I2726" t="n">
        <v>0</v>
      </c>
      <c r="J2726" t="n">
        <v>0</v>
      </c>
      <c r="K2726" t="n">
        <v>0</v>
      </c>
      <c r="L2726" t="n">
        <v>0</v>
      </c>
      <c r="M2726" t="n">
        <v>0</v>
      </c>
      <c r="N2726" t="n">
        <v>0</v>
      </c>
      <c r="O2726" t="n">
        <v>0</v>
      </c>
      <c r="P2726" t="n">
        <v>0</v>
      </c>
      <c r="Q2726" t="n">
        <v>0</v>
      </c>
      <c r="R2726" s="2" t="inlineStr"/>
    </row>
    <row r="2727" ht="15" customHeight="1">
      <c r="A2727" t="inlineStr">
        <is>
          <t>A 43164-2024</t>
        </is>
      </c>
      <c r="B2727" s="1" t="n">
        <v>45567</v>
      </c>
      <c r="C2727" s="1" t="n">
        <v>45627</v>
      </c>
      <c r="D2727" t="inlineStr">
        <is>
          <t>VÄRMLANDS LÄN</t>
        </is>
      </c>
      <c r="E2727" t="inlineStr">
        <is>
          <t>TORSBY</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43144-2024</t>
        </is>
      </c>
      <c r="B2728" s="1" t="n">
        <v>45567</v>
      </c>
      <c r="C2728" s="1" t="n">
        <v>45627</v>
      </c>
      <c r="D2728" t="inlineStr">
        <is>
          <t>VÄRMLANDS LÄN</t>
        </is>
      </c>
      <c r="E2728" t="inlineStr">
        <is>
          <t>TORSBY</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43420-2024</t>
        </is>
      </c>
      <c r="B2729" s="1" t="n">
        <v>45568</v>
      </c>
      <c r="C2729" s="1" t="n">
        <v>45627</v>
      </c>
      <c r="D2729" t="inlineStr">
        <is>
          <t>VÄRMLANDS LÄN</t>
        </is>
      </c>
      <c r="E2729" t="inlineStr">
        <is>
          <t>TORSBY</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43409-2024</t>
        </is>
      </c>
      <c r="B2730" s="1" t="n">
        <v>45568</v>
      </c>
      <c r="C2730" s="1" t="n">
        <v>45627</v>
      </c>
      <c r="D2730" t="inlineStr">
        <is>
          <t>VÄRMLANDS LÄN</t>
        </is>
      </c>
      <c r="E2730" t="inlineStr">
        <is>
          <t>TORSBY</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43295-2024</t>
        </is>
      </c>
      <c r="B2731" s="1" t="n">
        <v>45568</v>
      </c>
      <c r="C2731" s="1" t="n">
        <v>45627</v>
      </c>
      <c r="D2731" t="inlineStr">
        <is>
          <t>VÄRMLANDS LÄN</t>
        </is>
      </c>
      <c r="E2731" t="inlineStr">
        <is>
          <t>TORSBY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43336-2024</t>
        </is>
      </c>
      <c r="B2732" s="1" t="n">
        <v>45568</v>
      </c>
      <c r="C2732" s="1" t="n">
        <v>45627</v>
      </c>
      <c r="D2732" t="inlineStr">
        <is>
          <t>VÄRMLANDS LÄN</t>
        </is>
      </c>
      <c r="E2732" t="inlineStr">
        <is>
          <t>TORSBY</t>
        </is>
      </c>
      <c r="F2732" t="inlineStr">
        <is>
          <t>Bergvik skog väst AB</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43301-2024</t>
        </is>
      </c>
      <c r="B2733" s="1" t="n">
        <v>45568</v>
      </c>
      <c r="C2733" s="1" t="n">
        <v>45627</v>
      </c>
      <c r="D2733" t="inlineStr">
        <is>
          <t>VÄRMLANDS LÄN</t>
        </is>
      </c>
      <c r="E2733" t="inlineStr">
        <is>
          <t>TORSBY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43256-2024</t>
        </is>
      </c>
      <c r="B2734" s="1" t="n">
        <v>45568</v>
      </c>
      <c r="C2734" s="1" t="n">
        <v>45627</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43538-2024</t>
        </is>
      </c>
      <c r="B2735" s="1" t="n">
        <v>45569</v>
      </c>
      <c r="C2735" s="1" t="n">
        <v>45627</v>
      </c>
      <c r="D2735" t="inlineStr">
        <is>
          <t>VÄRMLANDS LÄN</t>
        </is>
      </c>
      <c r="E2735" t="inlineStr">
        <is>
          <t>TORSBY</t>
        </is>
      </c>
      <c r="F2735" t="inlineStr">
        <is>
          <t>Bergvik skog väst AB</t>
        </is>
      </c>
      <c r="G2735" t="n">
        <v>14.4</v>
      </c>
      <c r="H2735" t="n">
        <v>0</v>
      </c>
      <c r="I2735" t="n">
        <v>0</v>
      </c>
      <c r="J2735" t="n">
        <v>0</v>
      </c>
      <c r="K2735" t="n">
        <v>0</v>
      </c>
      <c r="L2735" t="n">
        <v>0</v>
      </c>
      <c r="M2735" t="n">
        <v>0</v>
      </c>
      <c r="N2735" t="n">
        <v>0</v>
      </c>
      <c r="O2735" t="n">
        <v>0</v>
      </c>
      <c r="P2735" t="n">
        <v>0</v>
      </c>
      <c r="Q2735" t="n">
        <v>0</v>
      </c>
      <c r="R2735" s="2" t="inlineStr"/>
    </row>
    <row r="2736" ht="15" customHeight="1">
      <c r="A2736" t="inlineStr">
        <is>
          <t>A 43718-2024</t>
        </is>
      </c>
      <c r="B2736" s="1" t="n">
        <v>45569</v>
      </c>
      <c r="C2736" s="1" t="n">
        <v>45627</v>
      </c>
      <c r="D2736" t="inlineStr">
        <is>
          <t>VÄRMLANDS LÄN</t>
        </is>
      </c>
      <c r="E2736" t="inlineStr">
        <is>
          <t>TORSBY</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43545-2024</t>
        </is>
      </c>
      <c r="B2737" s="1" t="n">
        <v>45569</v>
      </c>
      <c r="C2737" s="1" t="n">
        <v>45627</v>
      </c>
      <c r="D2737" t="inlineStr">
        <is>
          <t>VÄRMLANDS LÄN</t>
        </is>
      </c>
      <c r="E2737" t="inlineStr">
        <is>
          <t>TORSBY</t>
        </is>
      </c>
      <c r="F2737" t="inlineStr">
        <is>
          <t>Bergvik skog väst AB</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43739-2024</t>
        </is>
      </c>
      <c r="B2738" s="1" t="n">
        <v>45569</v>
      </c>
      <c r="C2738" s="1" t="n">
        <v>45627</v>
      </c>
      <c r="D2738" t="inlineStr">
        <is>
          <t>VÄRMLANDS LÄN</t>
        </is>
      </c>
      <c r="E2738" t="inlineStr">
        <is>
          <t>TORSBY</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43864-2024</t>
        </is>
      </c>
      <c r="B2739" s="1" t="n">
        <v>45572</v>
      </c>
      <c r="C2739" s="1" t="n">
        <v>45627</v>
      </c>
      <c r="D2739" t="inlineStr">
        <is>
          <t>VÄRMLANDS LÄN</t>
        </is>
      </c>
      <c r="E2739" t="inlineStr">
        <is>
          <t>TORSBY</t>
        </is>
      </c>
      <c r="F2739" t="inlineStr">
        <is>
          <t>Kommuner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43988-2024</t>
        </is>
      </c>
      <c r="B2740" s="1" t="n">
        <v>45572</v>
      </c>
      <c r="C2740" s="1" t="n">
        <v>45627</v>
      </c>
      <c r="D2740" t="inlineStr">
        <is>
          <t>VÄRMLANDS LÄN</t>
        </is>
      </c>
      <c r="E2740" t="inlineStr">
        <is>
          <t>TORSBY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44081-2024</t>
        </is>
      </c>
      <c r="B2741" s="1" t="n">
        <v>45572</v>
      </c>
      <c r="C2741" s="1" t="n">
        <v>45627</v>
      </c>
      <c r="D2741" t="inlineStr">
        <is>
          <t>VÄRMLANDS LÄN</t>
        </is>
      </c>
      <c r="E2741" t="inlineStr">
        <is>
          <t>TORSBY</t>
        </is>
      </c>
      <c r="F2741" t="inlineStr">
        <is>
          <t>Bergvik skog väst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44059-2024</t>
        </is>
      </c>
      <c r="B2742" s="1" t="n">
        <v>45572</v>
      </c>
      <c r="C2742" s="1" t="n">
        <v>45627</v>
      </c>
      <c r="D2742" t="inlineStr">
        <is>
          <t>VÄRMLANDS LÄN</t>
        </is>
      </c>
      <c r="E2742" t="inlineStr">
        <is>
          <t>TORSBY</t>
        </is>
      </c>
      <c r="F2742" t="inlineStr">
        <is>
          <t>Bergvik skog väst AB</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44349-2024</t>
        </is>
      </c>
      <c r="B2743" s="1" t="n">
        <v>45573</v>
      </c>
      <c r="C2743" s="1" t="n">
        <v>45627</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44352-2024</t>
        </is>
      </c>
      <c r="B2744" s="1" t="n">
        <v>45573</v>
      </c>
      <c r="C2744" s="1" t="n">
        <v>45627</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44276-2024</t>
        </is>
      </c>
      <c r="B2745" s="1" t="n">
        <v>45573</v>
      </c>
      <c r="C2745" s="1" t="n">
        <v>45627</v>
      </c>
      <c r="D2745" t="inlineStr">
        <is>
          <t>VÄRMLANDS LÄN</t>
        </is>
      </c>
      <c r="E2745" t="inlineStr">
        <is>
          <t>TORSBY</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44241-2024</t>
        </is>
      </c>
      <c r="B2746" s="1" t="n">
        <v>45573</v>
      </c>
      <c r="C2746" s="1" t="n">
        <v>45627</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44303-2024</t>
        </is>
      </c>
      <c r="B2747" s="1" t="n">
        <v>45573</v>
      </c>
      <c r="C2747" s="1" t="n">
        <v>45627</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44424-2024</t>
        </is>
      </c>
      <c r="B2748" s="1" t="n">
        <v>45573</v>
      </c>
      <c r="C2748" s="1" t="n">
        <v>45627</v>
      </c>
      <c r="D2748" t="inlineStr">
        <is>
          <t>VÄRMLANDS LÄN</t>
        </is>
      </c>
      <c r="E2748" t="inlineStr">
        <is>
          <t>TORSBY</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44325-2024</t>
        </is>
      </c>
      <c r="B2749" s="1" t="n">
        <v>45573</v>
      </c>
      <c r="C2749" s="1" t="n">
        <v>45627</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44422-2024</t>
        </is>
      </c>
      <c r="B2750" s="1" t="n">
        <v>45573</v>
      </c>
      <c r="C2750" s="1" t="n">
        <v>45627</v>
      </c>
      <c r="D2750" t="inlineStr">
        <is>
          <t>VÄRMLANDS LÄN</t>
        </is>
      </c>
      <c r="E2750" t="inlineStr">
        <is>
          <t>TORSBY</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44423-2024</t>
        </is>
      </c>
      <c r="B2751" s="1" t="n">
        <v>45573</v>
      </c>
      <c r="C2751" s="1" t="n">
        <v>45627</v>
      </c>
      <c r="D2751" t="inlineStr">
        <is>
          <t>VÄRMLANDS LÄN</t>
        </is>
      </c>
      <c r="E2751" t="inlineStr">
        <is>
          <t>TORSBY</t>
        </is>
      </c>
      <c r="G2751" t="n">
        <v>34.1</v>
      </c>
      <c r="H2751" t="n">
        <v>0</v>
      </c>
      <c r="I2751" t="n">
        <v>0</v>
      </c>
      <c r="J2751" t="n">
        <v>0</v>
      </c>
      <c r="K2751" t="n">
        <v>0</v>
      </c>
      <c r="L2751" t="n">
        <v>0</v>
      </c>
      <c r="M2751" t="n">
        <v>0</v>
      </c>
      <c r="N2751" t="n">
        <v>0</v>
      </c>
      <c r="O2751" t="n">
        <v>0</v>
      </c>
      <c r="P2751" t="n">
        <v>0</v>
      </c>
      <c r="Q2751" t="n">
        <v>0</v>
      </c>
      <c r="R2751" s="2" t="inlineStr"/>
    </row>
    <row r="2752" ht="15" customHeight="1">
      <c r="A2752" t="inlineStr">
        <is>
          <t>A 44278-2024</t>
        </is>
      </c>
      <c r="B2752" s="1" t="n">
        <v>45573</v>
      </c>
      <c r="C2752" s="1" t="n">
        <v>45627</v>
      </c>
      <c r="D2752" t="inlineStr">
        <is>
          <t>VÄRMLANDS LÄN</t>
        </is>
      </c>
      <c r="E2752" t="inlineStr">
        <is>
          <t>TORSBY</t>
        </is>
      </c>
      <c r="F2752" t="inlineStr">
        <is>
          <t>Bergvik skog väst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44204-2024</t>
        </is>
      </c>
      <c r="B2753" s="1" t="n">
        <v>45573</v>
      </c>
      <c r="C2753" s="1" t="n">
        <v>45627</v>
      </c>
      <c r="D2753" t="inlineStr">
        <is>
          <t>VÄRMLANDS LÄN</t>
        </is>
      </c>
      <c r="E2753" t="inlineStr">
        <is>
          <t>TORSBY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44338-2024</t>
        </is>
      </c>
      <c r="B2754" s="1" t="n">
        <v>45573</v>
      </c>
      <c r="C2754" s="1" t="n">
        <v>45627</v>
      </c>
      <c r="D2754" t="inlineStr">
        <is>
          <t>VÄRMLANDS LÄN</t>
        </is>
      </c>
      <c r="E2754" t="inlineStr">
        <is>
          <t>TORSBY</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44342-2024</t>
        </is>
      </c>
      <c r="B2755" s="1" t="n">
        <v>45573</v>
      </c>
      <c r="C2755" s="1" t="n">
        <v>45627</v>
      </c>
      <c r="D2755" t="inlineStr">
        <is>
          <t>VÄRMLANDS LÄN</t>
        </is>
      </c>
      <c r="E2755" t="inlineStr">
        <is>
          <t>TORSBY</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44448-2024</t>
        </is>
      </c>
      <c r="B2756" s="1" t="n">
        <v>45574</v>
      </c>
      <c r="C2756" s="1" t="n">
        <v>45627</v>
      </c>
      <c r="D2756" t="inlineStr">
        <is>
          <t>VÄRMLANDS LÄN</t>
        </is>
      </c>
      <c r="E2756" t="inlineStr">
        <is>
          <t>TORSBY</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44697-2024</t>
        </is>
      </c>
      <c r="B2757" s="1" t="n">
        <v>45574</v>
      </c>
      <c r="C2757" s="1" t="n">
        <v>45627</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44685-2024</t>
        </is>
      </c>
      <c r="B2758" s="1" t="n">
        <v>45574</v>
      </c>
      <c r="C2758" s="1" t="n">
        <v>45627</v>
      </c>
      <c r="D2758" t="inlineStr">
        <is>
          <t>VÄRMLANDS LÄN</t>
        </is>
      </c>
      <c r="E2758" t="inlineStr">
        <is>
          <t>TORSBY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44690-2024</t>
        </is>
      </c>
      <c r="B2759" s="1" t="n">
        <v>45574</v>
      </c>
      <c r="C2759" s="1" t="n">
        <v>45627</v>
      </c>
      <c r="D2759" t="inlineStr">
        <is>
          <t>VÄRMLANDS LÄN</t>
        </is>
      </c>
      <c r="E2759" t="inlineStr">
        <is>
          <t>TORSBY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44702-2024</t>
        </is>
      </c>
      <c r="B2760" s="1" t="n">
        <v>45574</v>
      </c>
      <c r="C2760" s="1" t="n">
        <v>45627</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44770-2024</t>
        </is>
      </c>
      <c r="B2761" s="1" t="n">
        <v>45574</v>
      </c>
      <c r="C2761" s="1" t="n">
        <v>45627</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44786-2024</t>
        </is>
      </c>
      <c r="B2762" s="1" t="n">
        <v>45574</v>
      </c>
      <c r="C2762" s="1" t="n">
        <v>45627</v>
      </c>
      <c r="D2762" t="inlineStr">
        <is>
          <t>VÄRMLANDS LÄN</t>
        </is>
      </c>
      <c r="E2762" t="inlineStr">
        <is>
          <t>TORSBY</t>
        </is>
      </c>
      <c r="F2762" t="inlineStr">
        <is>
          <t>Bergvik skog väst AB</t>
        </is>
      </c>
      <c r="G2762" t="n">
        <v>21.9</v>
      </c>
      <c r="H2762" t="n">
        <v>0</v>
      </c>
      <c r="I2762" t="n">
        <v>0</v>
      </c>
      <c r="J2762" t="n">
        <v>0</v>
      </c>
      <c r="K2762" t="n">
        <v>0</v>
      </c>
      <c r="L2762" t="n">
        <v>0</v>
      </c>
      <c r="M2762" t="n">
        <v>0</v>
      </c>
      <c r="N2762" t="n">
        <v>0</v>
      </c>
      <c r="O2762" t="n">
        <v>0</v>
      </c>
      <c r="P2762" t="n">
        <v>0</v>
      </c>
      <c r="Q2762" t="n">
        <v>0</v>
      </c>
      <c r="R2762" s="2" t="inlineStr"/>
    </row>
    <row r="2763" ht="15" customHeight="1">
      <c r="A2763" t="inlineStr">
        <is>
          <t>A 44659-2024</t>
        </is>
      </c>
      <c r="B2763" s="1" t="n">
        <v>45574</v>
      </c>
      <c r="C2763" s="1" t="n">
        <v>45627</v>
      </c>
      <c r="D2763" t="inlineStr">
        <is>
          <t>VÄRMLANDS LÄN</t>
        </is>
      </c>
      <c r="E2763" t="inlineStr">
        <is>
          <t>TORSBY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44683-2024</t>
        </is>
      </c>
      <c r="B2764" s="1" t="n">
        <v>45574</v>
      </c>
      <c r="C2764" s="1" t="n">
        <v>45627</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44470-2024</t>
        </is>
      </c>
      <c r="B2765" s="1" t="n">
        <v>45574</v>
      </c>
      <c r="C2765" s="1" t="n">
        <v>45627</v>
      </c>
      <c r="D2765" t="inlineStr">
        <is>
          <t>VÄRMLANDS LÄN</t>
        </is>
      </c>
      <c r="E2765" t="inlineStr">
        <is>
          <t>TORSBY</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44764-2024</t>
        </is>
      </c>
      <c r="B2766" s="1" t="n">
        <v>45574</v>
      </c>
      <c r="C2766" s="1" t="n">
        <v>45627</v>
      </c>
      <c r="D2766" t="inlineStr">
        <is>
          <t>VÄRMLANDS LÄN</t>
        </is>
      </c>
      <c r="E2766" t="inlineStr">
        <is>
          <t>TORSBY</t>
        </is>
      </c>
      <c r="F2766" t="inlineStr">
        <is>
          <t>Bergvik skog väst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44838-2024</t>
        </is>
      </c>
      <c r="B2767" s="1" t="n">
        <v>45574</v>
      </c>
      <c r="C2767" s="1" t="n">
        <v>45627</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45134-2024</t>
        </is>
      </c>
      <c r="B2768" s="1" t="n">
        <v>45575</v>
      </c>
      <c r="C2768" s="1" t="n">
        <v>45627</v>
      </c>
      <c r="D2768" t="inlineStr">
        <is>
          <t>VÄRMLANDS LÄN</t>
        </is>
      </c>
      <c r="E2768" t="inlineStr">
        <is>
          <t>TORSBY</t>
        </is>
      </c>
      <c r="F2768" t="inlineStr">
        <is>
          <t>Bergvik skog väst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45114-2024</t>
        </is>
      </c>
      <c r="B2769" s="1" t="n">
        <v>45575</v>
      </c>
      <c r="C2769" s="1" t="n">
        <v>45627</v>
      </c>
      <c r="D2769" t="inlineStr">
        <is>
          <t>VÄRMLANDS LÄN</t>
        </is>
      </c>
      <c r="E2769" t="inlineStr">
        <is>
          <t>TORSBY</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45129-2024</t>
        </is>
      </c>
      <c r="B2770" s="1" t="n">
        <v>45575</v>
      </c>
      <c r="C2770" s="1" t="n">
        <v>45627</v>
      </c>
      <c r="D2770" t="inlineStr">
        <is>
          <t>VÄRMLANDS LÄN</t>
        </is>
      </c>
      <c r="E2770" t="inlineStr">
        <is>
          <t>TORSBY</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45132-2024</t>
        </is>
      </c>
      <c r="B2771" s="1" t="n">
        <v>45575</v>
      </c>
      <c r="C2771" s="1" t="n">
        <v>45627</v>
      </c>
      <c r="D2771" t="inlineStr">
        <is>
          <t>VÄRMLANDS LÄN</t>
        </is>
      </c>
      <c r="E2771" t="inlineStr">
        <is>
          <t>TORSBY</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45022-2024</t>
        </is>
      </c>
      <c r="B2772" s="1" t="n">
        <v>45575</v>
      </c>
      <c r="C2772" s="1" t="n">
        <v>45627</v>
      </c>
      <c r="D2772" t="inlineStr">
        <is>
          <t>VÄRMLANDS LÄN</t>
        </is>
      </c>
      <c r="E2772" t="inlineStr">
        <is>
          <t>TORSBY</t>
        </is>
      </c>
      <c r="F2772" t="inlineStr">
        <is>
          <t>Bergvik skog väst AB</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45227-2024</t>
        </is>
      </c>
      <c r="B2773" s="1" t="n">
        <v>45575</v>
      </c>
      <c r="C2773" s="1" t="n">
        <v>45627</v>
      </c>
      <c r="D2773" t="inlineStr">
        <is>
          <t>VÄRMLANDS LÄN</t>
        </is>
      </c>
      <c r="E2773" t="inlineStr">
        <is>
          <t>TORSBY</t>
        </is>
      </c>
      <c r="G2773" t="n">
        <v>12.9</v>
      </c>
      <c r="H2773" t="n">
        <v>0</v>
      </c>
      <c r="I2773" t="n">
        <v>0</v>
      </c>
      <c r="J2773" t="n">
        <v>0</v>
      </c>
      <c r="K2773" t="n">
        <v>0</v>
      </c>
      <c r="L2773" t="n">
        <v>0</v>
      </c>
      <c r="M2773" t="n">
        <v>0</v>
      </c>
      <c r="N2773" t="n">
        <v>0</v>
      </c>
      <c r="O2773" t="n">
        <v>0</v>
      </c>
      <c r="P2773" t="n">
        <v>0</v>
      </c>
      <c r="Q2773" t="n">
        <v>0</v>
      </c>
      <c r="R2773" s="2" t="inlineStr"/>
    </row>
    <row r="2774" ht="15" customHeight="1">
      <c r="A2774" t="inlineStr">
        <is>
          <t>A 44965-2024</t>
        </is>
      </c>
      <c r="B2774" s="1" t="n">
        <v>45575</v>
      </c>
      <c r="C2774" s="1" t="n">
        <v>45627</v>
      </c>
      <c r="D2774" t="inlineStr">
        <is>
          <t>VÄRMLANDS LÄN</t>
        </is>
      </c>
      <c r="E2774" t="inlineStr">
        <is>
          <t>TORSBY</t>
        </is>
      </c>
      <c r="F2774" t="inlineStr">
        <is>
          <t>Bergvik skog väst AB</t>
        </is>
      </c>
      <c r="G2774" t="n">
        <v>15.1</v>
      </c>
      <c r="H2774" t="n">
        <v>0</v>
      </c>
      <c r="I2774" t="n">
        <v>0</v>
      </c>
      <c r="J2774" t="n">
        <v>0</v>
      </c>
      <c r="K2774" t="n">
        <v>0</v>
      </c>
      <c r="L2774" t="n">
        <v>0</v>
      </c>
      <c r="M2774" t="n">
        <v>0</v>
      </c>
      <c r="N2774" t="n">
        <v>0</v>
      </c>
      <c r="O2774" t="n">
        <v>0</v>
      </c>
      <c r="P2774" t="n">
        <v>0</v>
      </c>
      <c r="Q2774" t="n">
        <v>0</v>
      </c>
      <c r="R2774" s="2" t="inlineStr"/>
    </row>
    <row r="2775" ht="15" customHeight="1">
      <c r="A2775" t="inlineStr">
        <is>
          <t>A 45389-2024</t>
        </is>
      </c>
      <c r="B2775" s="1" t="n">
        <v>45576</v>
      </c>
      <c r="C2775" s="1" t="n">
        <v>45627</v>
      </c>
      <c r="D2775" t="inlineStr">
        <is>
          <t>VÄRMLANDS LÄN</t>
        </is>
      </c>
      <c r="E2775" t="inlineStr">
        <is>
          <t>TORSBY</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45448-2024</t>
        </is>
      </c>
      <c r="B2776" s="1" t="n">
        <v>45576</v>
      </c>
      <c r="C2776" s="1" t="n">
        <v>45627</v>
      </c>
      <c r="D2776" t="inlineStr">
        <is>
          <t>VÄRMLANDS LÄN</t>
        </is>
      </c>
      <c r="E2776" t="inlineStr">
        <is>
          <t>TORSBY</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45385-2024</t>
        </is>
      </c>
      <c r="B2777" s="1" t="n">
        <v>45576</v>
      </c>
      <c r="C2777" s="1" t="n">
        <v>45627</v>
      </c>
      <c r="D2777" t="inlineStr">
        <is>
          <t>VÄRMLANDS LÄN</t>
        </is>
      </c>
      <c r="E2777" t="inlineStr">
        <is>
          <t>TORSBY</t>
        </is>
      </c>
      <c r="F2777" t="inlineStr">
        <is>
          <t>Bergvik skog väst AB</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45669-2024</t>
        </is>
      </c>
      <c r="B2778" s="1" t="n">
        <v>45579</v>
      </c>
      <c r="C2778" s="1" t="n">
        <v>45627</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45548-2024</t>
        </is>
      </c>
      <c r="B2779" s="1" t="n">
        <v>45579</v>
      </c>
      <c r="C2779" s="1" t="n">
        <v>45627</v>
      </c>
      <c r="D2779" t="inlineStr">
        <is>
          <t>VÄRMLANDS LÄN</t>
        </is>
      </c>
      <c r="E2779" t="inlineStr">
        <is>
          <t>TORSBY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45812-2024</t>
        </is>
      </c>
      <c r="B2780" s="1" t="n">
        <v>45579</v>
      </c>
      <c r="C2780" s="1" t="n">
        <v>45627</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45849-2024</t>
        </is>
      </c>
      <c r="B2781" s="1" t="n">
        <v>45580</v>
      </c>
      <c r="C2781" s="1" t="n">
        <v>45627</v>
      </c>
      <c r="D2781" t="inlineStr">
        <is>
          <t>VÄRMLANDS LÄN</t>
        </is>
      </c>
      <c r="E2781" t="inlineStr">
        <is>
          <t>TORSBY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46239-2024</t>
        </is>
      </c>
      <c r="B2782" s="1" t="n">
        <v>45581</v>
      </c>
      <c r="C2782" s="1" t="n">
        <v>45627</v>
      </c>
      <c r="D2782" t="inlineStr">
        <is>
          <t>VÄRMLANDS LÄN</t>
        </is>
      </c>
      <c r="E2782" t="inlineStr">
        <is>
          <t>TORSBY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46152-2024</t>
        </is>
      </c>
      <c r="B2783" s="1" t="n">
        <v>45581</v>
      </c>
      <c r="C2783" s="1" t="n">
        <v>45627</v>
      </c>
      <c r="D2783" t="inlineStr">
        <is>
          <t>VÄRMLANDS LÄN</t>
        </is>
      </c>
      <c r="E2783" t="inlineStr">
        <is>
          <t>TORSBY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46166-2024</t>
        </is>
      </c>
      <c r="B2784" s="1" t="n">
        <v>45581</v>
      </c>
      <c r="C2784" s="1" t="n">
        <v>45627</v>
      </c>
      <c r="D2784" t="inlineStr">
        <is>
          <t>VÄRMLANDS LÄN</t>
        </is>
      </c>
      <c r="E2784" t="inlineStr">
        <is>
          <t>TORSBY</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46471-2024</t>
        </is>
      </c>
      <c r="B2785" s="1" t="n">
        <v>45582</v>
      </c>
      <c r="C2785" s="1" t="n">
        <v>45627</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46503-2024</t>
        </is>
      </c>
      <c r="B2786" s="1" t="n">
        <v>45582</v>
      </c>
      <c r="C2786" s="1" t="n">
        <v>45627</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46456-2024</t>
        </is>
      </c>
      <c r="B2787" s="1" t="n">
        <v>45582</v>
      </c>
      <c r="C2787" s="1" t="n">
        <v>45627</v>
      </c>
      <c r="D2787" t="inlineStr">
        <is>
          <t>VÄRMLANDS LÄN</t>
        </is>
      </c>
      <c r="E2787" t="inlineStr">
        <is>
          <t>TORSBY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46343-2024</t>
        </is>
      </c>
      <c r="B2788" s="1" t="n">
        <v>45582</v>
      </c>
      <c r="C2788" s="1" t="n">
        <v>45627</v>
      </c>
      <c r="D2788" t="inlineStr">
        <is>
          <t>VÄRMLANDS LÄN</t>
        </is>
      </c>
      <c r="E2788" t="inlineStr">
        <is>
          <t>TORSBY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46914-2024</t>
        </is>
      </c>
      <c r="B2789" s="1" t="n">
        <v>45583</v>
      </c>
      <c r="C2789" s="1" t="n">
        <v>45627</v>
      </c>
      <c r="D2789" t="inlineStr">
        <is>
          <t>VÄRMLANDS LÄN</t>
        </is>
      </c>
      <c r="E2789" t="inlineStr">
        <is>
          <t>TORSBY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46698-2024</t>
        </is>
      </c>
      <c r="B2790" s="1" t="n">
        <v>45583</v>
      </c>
      <c r="C2790" s="1" t="n">
        <v>45627</v>
      </c>
      <c r="D2790" t="inlineStr">
        <is>
          <t>VÄRMLANDS LÄN</t>
        </is>
      </c>
      <c r="E2790" t="inlineStr">
        <is>
          <t>TORSBY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46909-2024</t>
        </is>
      </c>
      <c r="B2791" s="1" t="n">
        <v>45583</v>
      </c>
      <c r="C2791" s="1" t="n">
        <v>45627</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46917-2024</t>
        </is>
      </c>
      <c r="B2792" s="1" t="n">
        <v>45583</v>
      </c>
      <c r="C2792" s="1" t="n">
        <v>45627</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46912-2024</t>
        </is>
      </c>
      <c r="B2793" s="1" t="n">
        <v>45583</v>
      </c>
      <c r="C2793" s="1" t="n">
        <v>45627</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46915-2024</t>
        </is>
      </c>
      <c r="B2794" s="1" t="n">
        <v>45583</v>
      </c>
      <c r="C2794" s="1" t="n">
        <v>45627</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47005-2024</t>
        </is>
      </c>
      <c r="B2795" s="1" t="n">
        <v>45586</v>
      </c>
      <c r="C2795" s="1" t="n">
        <v>45627</v>
      </c>
      <c r="D2795" t="inlineStr">
        <is>
          <t>VÄRMLANDS LÄN</t>
        </is>
      </c>
      <c r="E2795" t="inlineStr">
        <is>
          <t>TORSBY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47006-2024</t>
        </is>
      </c>
      <c r="B2796" s="1" t="n">
        <v>45586</v>
      </c>
      <c r="C2796" s="1" t="n">
        <v>45627</v>
      </c>
      <c r="D2796" t="inlineStr">
        <is>
          <t>VÄRMLANDS LÄN</t>
        </is>
      </c>
      <c r="E2796" t="inlineStr">
        <is>
          <t>TORSBY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47553-2024</t>
        </is>
      </c>
      <c r="B2797" s="1" t="n">
        <v>45587</v>
      </c>
      <c r="C2797" s="1" t="n">
        <v>45627</v>
      </c>
      <c r="D2797" t="inlineStr">
        <is>
          <t>VÄRMLANDS LÄN</t>
        </is>
      </c>
      <c r="E2797" t="inlineStr">
        <is>
          <t>TORSBY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47465-2024</t>
        </is>
      </c>
      <c r="B2798" s="1" t="n">
        <v>45587</v>
      </c>
      <c r="C2798" s="1" t="n">
        <v>45627</v>
      </c>
      <c r="D2798" t="inlineStr">
        <is>
          <t>VÄRMLANDS LÄN</t>
        </is>
      </c>
      <c r="E2798" t="inlineStr">
        <is>
          <t>TORSBY</t>
        </is>
      </c>
      <c r="F2798" t="inlineStr">
        <is>
          <t>Övriga Aktiebolag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47316-2024</t>
        </is>
      </c>
      <c r="B2799" s="1" t="n">
        <v>45587</v>
      </c>
      <c r="C2799" s="1" t="n">
        <v>45627</v>
      </c>
      <c r="D2799" t="inlineStr">
        <is>
          <t>VÄRMLANDS LÄN</t>
        </is>
      </c>
      <c r="E2799" t="inlineStr">
        <is>
          <t>TORSBY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47452-2024</t>
        </is>
      </c>
      <c r="B2800" s="1" t="n">
        <v>45587</v>
      </c>
      <c r="C2800" s="1" t="n">
        <v>45627</v>
      </c>
      <c r="D2800" t="inlineStr">
        <is>
          <t>VÄRMLANDS LÄN</t>
        </is>
      </c>
      <c r="E2800" t="inlineStr">
        <is>
          <t>TORSBY</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47755-2024</t>
        </is>
      </c>
      <c r="B2801" s="1" t="n">
        <v>45588</v>
      </c>
      <c r="C2801" s="1" t="n">
        <v>45627</v>
      </c>
      <c r="D2801" t="inlineStr">
        <is>
          <t>VÄRMLANDS LÄN</t>
        </is>
      </c>
      <c r="E2801" t="inlineStr">
        <is>
          <t>TORSBY</t>
        </is>
      </c>
      <c r="F2801" t="inlineStr">
        <is>
          <t>Bergvik skog väst AB</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47651-2024</t>
        </is>
      </c>
      <c r="B2802" s="1" t="n">
        <v>45588</v>
      </c>
      <c r="C2802" s="1" t="n">
        <v>45627</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47619-2024</t>
        </is>
      </c>
      <c r="B2803" s="1" t="n">
        <v>45588</v>
      </c>
      <c r="C2803" s="1" t="n">
        <v>45627</v>
      </c>
      <c r="D2803" t="inlineStr">
        <is>
          <t>VÄRMLANDS LÄN</t>
        </is>
      </c>
      <c r="E2803" t="inlineStr">
        <is>
          <t>TORSBY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47835-2024</t>
        </is>
      </c>
      <c r="B2804" s="1" t="n">
        <v>45588</v>
      </c>
      <c r="C2804" s="1" t="n">
        <v>45627</v>
      </c>
      <c r="D2804" t="inlineStr">
        <is>
          <t>VÄRMLANDS LÄN</t>
        </is>
      </c>
      <c r="E2804" t="inlineStr">
        <is>
          <t>TORSBY</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47839-2024</t>
        </is>
      </c>
      <c r="B2805" s="1" t="n">
        <v>45588</v>
      </c>
      <c r="C2805" s="1" t="n">
        <v>45627</v>
      </c>
      <c r="D2805" t="inlineStr">
        <is>
          <t>VÄRMLANDS LÄN</t>
        </is>
      </c>
      <c r="E2805" t="inlineStr">
        <is>
          <t>TORSBY</t>
        </is>
      </c>
      <c r="F2805" t="inlineStr">
        <is>
          <t>Bergvik skog väst AB</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47863-2024</t>
        </is>
      </c>
      <c r="B2806" s="1" t="n">
        <v>45588</v>
      </c>
      <c r="C2806" s="1" t="n">
        <v>45627</v>
      </c>
      <c r="D2806" t="inlineStr">
        <is>
          <t>VÄRMLANDS LÄN</t>
        </is>
      </c>
      <c r="E2806" t="inlineStr">
        <is>
          <t>TORSBY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48185-2024</t>
        </is>
      </c>
      <c r="B2807" s="1" t="n">
        <v>45589</v>
      </c>
      <c r="C2807" s="1" t="n">
        <v>45627</v>
      </c>
      <c r="D2807" t="inlineStr">
        <is>
          <t>VÄRMLANDS LÄN</t>
        </is>
      </c>
      <c r="E2807" t="inlineStr">
        <is>
          <t>TORSBY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48160-2024</t>
        </is>
      </c>
      <c r="B2808" s="1" t="n">
        <v>45589</v>
      </c>
      <c r="C2808" s="1" t="n">
        <v>45627</v>
      </c>
      <c r="D2808" t="inlineStr">
        <is>
          <t>VÄRMLANDS LÄN</t>
        </is>
      </c>
      <c r="E2808" t="inlineStr">
        <is>
          <t>TORSBY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48305-2024</t>
        </is>
      </c>
      <c r="B2809" s="1" t="n">
        <v>45590</v>
      </c>
      <c r="C2809" s="1" t="n">
        <v>45627</v>
      </c>
      <c r="D2809" t="inlineStr">
        <is>
          <t>VÄRMLANDS LÄN</t>
        </is>
      </c>
      <c r="E2809" t="inlineStr">
        <is>
          <t>TORSBY</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48253-2024</t>
        </is>
      </c>
      <c r="B2810" s="1" t="n">
        <v>45590</v>
      </c>
      <c r="C2810" s="1" t="n">
        <v>45627</v>
      </c>
      <c r="D2810" t="inlineStr">
        <is>
          <t>VÄRMLANDS LÄN</t>
        </is>
      </c>
      <c r="E2810" t="inlineStr">
        <is>
          <t>TORSBY</t>
        </is>
      </c>
      <c r="F2810" t="inlineStr">
        <is>
          <t>Bergvik skog väst AB</t>
        </is>
      </c>
      <c r="G2810" t="n">
        <v>20.7</v>
      </c>
      <c r="H2810" t="n">
        <v>0</v>
      </c>
      <c r="I2810" t="n">
        <v>0</v>
      </c>
      <c r="J2810" t="n">
        <v>0</v>
      </c>
      <c r="K2810" t="n">
        <v>0</v>
      </c>
      <c r="L2810" t="n">
        <v>0</v>
      </c>
      <c r="M2810" t="n">
        <v>0</v>
      </c>
      <c r="N2810" t="n">
        <v>0</v>
      </c>
      <c r="O2810" t="n">
        <v>0</v>
      </c>
      <c r="P2810" t="n">
        <v>0</v>
      </c>
      <c r="Q2810" t="n">
        <v>0</v>
      </c>
      <c r="R2810" s="2" t="inlineStr"/>
    </row>
    <row r="2811" ht="15" customHeight="1">
      <c r="A2811" t="inlineStr">
        <is>
          <t>A 48629-2024</t>
        </is>
      </c>
      <c r="B2811" s="1" t="n">
        <v>45593</v>
      </c>
      <c r="C2811" s="1" t="n">
        <v>45627</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48540-2024</t>
        </is>
      </c>
      <c r="B2812" s="1" t="n">
        <v>45593</v>
      </c>
      <c r="C2812" s="1" t="n">
        <v>45627</v>
      </c>
      <c r="D2812" t="inlineStr">
        <is>
          <t>VÄRMLANDS LÄN</t>
        </is>
      </c>
      <c r="E2812" t="inlineStr">
        <is>
          <t>TORSBY</t>
        </is>
      </c>
      <c r="G2812" t="n">
        <v>16.5</v>
      </c>
      <c r="H2812" t="n">
        <v>0</v>
      </c>
      <c r="I2812" t="n">
        <v>0</v>
      </c>
      <c r="J2812" t="n">
        <v>0</v>
      </c>
      <c r="K2812" t="n">
        <v>0</v>
      </c>
      <c r="L2812" t="n">
        <v>0</v>
      </c>
      <c r="M2812" t="n">
        <v>0</v>
      </c>
      <c r="N2812" t="n">
        <v>0</v>
      </c>
      <c r="O2812" t="n">
        <v>0</v>
      </c>
      <c r="P2812" t="n">
        <v>0</v>
      </c>
      <c r="Q2812" t="n">
        <v>0</v>
      </c>
      <c r="R2812" s="2" t="inlineStr"/>
    </row>
    <row r="2813" ht="15" customHeight="1">
      <c r="A2813" t="inlineStr">
        <is>
          <t>A 48721-2024</t>
        </is>
      </c>
      <c r="B2813" s="1" t="n">
        <v>45593</v>
      </c>
      <c r="C2813" s="1" t="n">
        <v>45627</v>
      </c>
      <c r="D2813" t="inlineStr">
        <is>
          <t>VÄRMLANDS LÄN</t>
        </is>
      </c>
      <c r="E2813" t="inlineStr">
        <is>
          <t>TORSBY</t>
        </is>
      </c>
      <c r="F2813" t="inlineStr">
        <is>
          <t>Bergvik skog väst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48840-2024</t>
        </is>
      </c>
      <c r="B2814" s="1" t="n">
        <v>45593</v>
      </c>
      <c r="C2814" s="1" t="n">
        <v>45627</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48627-2024</t>
        </is>
      </c>
      <c r="B2815" s="1" t="n">
        <v>45593</v>
      </c>
      <c r="C2815" s="1" t="n">
        <v>45627</v>
      </c>
      <c r="D2815" t="inlineStr">
        <is>
          <t>VÄRMLANDS LÄN</t>
        </is>
      </c>
      <c r="E2815" t="inlineStr">
        <is>
          <t>TORSBY</t>
        </is>
      </c>
      <c r="F2815" t="inlineStr">
        <is>
          <t>Bergvik skog väst AB</t>
        </is>
      </c>
      <c r="G2815" t="n">
        <v>42.6</v>
      </c>
      <c r="H2815" t="n">
        <v>0</v>
      </c>
      <c r="I2815" t="n">
        <v>0</v>
      </c>
      <c r="J2815" t="n">
        <v>0</v>
      </c>
      <c r="K2815" t="n">
        <v>0</v>
      </c>
      <c r="L2815" t="n">
        <v>0</v>
      </c>
      <c r="M2815" t="n">
        <v>0</v>
      </c>
      <c r="N2815" t="n">
        <v>0</v>
      </c>
      <c r="O2815" t="n">
        <v>0</v>
      </c>
      <c r="P2815" t="n">
        <v>0</v>
      </c>
      <c r="Q2815" t="n">
        <v>0</v>
      </c>
      <c r="R2815" s="2" t="inlineStr"/>
    </row>
    <row r="2816" ht="15" customHeight="1">
      <c r="A2816" t="inlineStr">
        <is>
          <t>A 48558-2024</t>
        </is>
      </c>
      <c r="B2816" s="1" t="n">
        <v>45593</v>
      </c>
      <c r="C2816" s="1" t="n">
        <v>45627</v>
      </c>
      <c r="D2816" t="inlineStr">
        <is>
          <t>VÄRMLANDS LÄN</t>
        </is>
      </c>
      <c r="E2816" t="inlineStr">
        <is>
          <t>TORSBY</t>
        </is>
      </c>
      <c r="F2816" t="inlineStr">
        <is>
          <t>Bergvik skog väst AB</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48874-2024</t>
        </is>
      </c>
      <c r="B2817" s="1" t="n">
        <v>45594</v>
      </c>
      <c r="C2817" s="1" t="n">
        <v>45627</v>
      </c>
      <c r="D2817" t="inlineStr">
        <is>
          <t>VÄRMLANDS LÄN</t>
        </is>
      </c>
      <c r="E2817" t="inlineStr">
        <is>
          <t>TORSBY</t>
        </is>
      </c>
      <c r="F2817" t="inlineStr">
        <is>
          <t>Bergvik skog väst AB</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48963-2024</t>
        </is>
      </c>
      <c r="B2818" s="1" t="n">
        <v>45594</v>
      </c>
      <c r="C2818" s="1" t="n">
        <v>45627</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48903-2024</t>
        </is>
      </c>
      <c r="B2819" s="1" t="n">
        <v>45594</v>
      </c>
      <c r="C2819" s="1" t="n">
        <v>45627</v>
      </c>
      <c r="D2819" t="inlineStr">
        <is>
          <t>VÄRMLANDS LÄN</t>
        </is>
      </c>
      <c r="E2819" t="inlineStr">
        <is>
          <t>TORSBY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49163-2024</t>
        </is>
      </c>
      <c r="B2820" s="1" t="n">
        <v>45594</v>
      </c>
      <c r="C2820" s="1" t="n">
        <v>45627</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49195-2024</t>
        </is>
      </c>
      <c r="B2821" s="1" t="n">
        <v>45595</v>
      </c>
      <c r="C2821" s="1" t="n">
        <v>45627</v>
      </c>
      <c r="D2821" t="inlineStr">
        <is>
          <t>VÄRMLANDS LÄN</t>
        </is>
      </c>
      <c r="E2821" t="inlineStr">
        <is>
          <t>TORSBY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49383-2024</t>
        </is>
      </c>
      <c r="B2822" s="1" t="n">
        <v>45595</v>
      </c>
      <c r="C2822" s="1" t="n">
        <v>45627</v>
      </c>
      <c r="D2822" t="inlineStr">
        <is>
          <t>VÄRMLANDS LÄN</t>
        </is>
      </c>
      <c r="E2822" t="inlineStr">
        <is>
          <t>TORSBY</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49298-2024</t>
        </is>
      </c>
      <c r="B2823" s="1" t="n">
        <v>45595</v>
      </c>
      <c r="C2823" s="1" t="n">
        <v>45627</v>
      </c>
      <c r="D2823" t="inlineStr">
        <is>
          <t>VÄRMLANDS LÄN</t>
        </is>
      </c>
      <c r="E2823" t="inlineStr">
        <is>
          <t>TORSBY</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49524-2024</t>
        </is>
      </c>
      <c r="B2824" s="1" t="n">
        <v>45596</v>
      </c>
      <c r="C2824" s="1" t="n">
        <v>45627</v>
      </c>
      <c r="D2824" t="inlineStr">
        <is>
          <t>VÄRMLANDS LÄN</t>
        </is>
      </c>
      <c r="E2824" t="inlineStr">
        <is>
          <t>TORSBY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49912-2024</t>
        </is>
      </c>
      <c r="B2825" s="1" t="n">
        <v>45597</v>
      </c>
      <c r="C2825" s="1" t="n">
        <v>45627</v>
      </c>
      <c r="D2825" t="inlineStr">
        <is>
          <t>VÄRMLANDS LÄN</t>
        </is>
      </c>
      <c r="E2825" t="inlineStr">
        <is>
          <t>TORSBY</t>
        </is>
      </c>
      <c r="F2825" t="inlineStr">
        <is>
          <t>Bergvik skog väst AB</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49845-2024</t>
        </is>
      </c>
      <c r="B2826" s="1" t="n">
        <v>45597</v>
      </c>
      <c r="C2826" s="1" t="n">
        <v>45627</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49936-2024</t>
        </is>
      </c>
      <c r="B2827" s="1" t="n">
        <v>45597</v>
      </c>
      <c r="C2827" s="1" t="n">
        <v>45627</v>
      </c>
      <c r="D2827" t="inlineStr">
        <is>
          <t>VÄRMLANDS LÄN</t>
        </is>
      </c>
      <c r="E2827" t="inlineStr">
        <is>
          <t>TORSBY</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49840-2024</t>
        </is>
      </c>
      <c r="B2828" s="1" t="n">
        <v>45597</v>
      </c>
      <c r="C2828" s="1" t="n">
        <v>45627</v>
      </c>
      <c r="D2828" t="inlineStr">
        <is>
          <t>VÄRMLANDS LÄN</t>
        </is>
      </c>
      <c r="E2828" t="inlineStr">
        <is>
          <t>TORSBY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50318-2024</t>
        </is>
      </c>
      <c r="B2829" s="1" t="n">
        <v>45600</v>
      </c>
      <c r="C2829" s="1" t="n">
        <v>45627</v>
      </c>
      <c r="D2829" t="inlineStr">
        <is>
          <t>VÄRMLANDS LÄN</t>
        </is>
      </c>
      <c r="E2829" t="inlineStr">
        <is>
          <t>TORSBY</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50235-2024</t>
        </is>
      </c>
      <c r="B2830" s="1" t="n">
        <v>45600</v>
      </c>
      <c r="C2830" s="1" t="n">
        <v>45627</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50147-2024</t>
        </is>
      </c>
      <c r="B2831" s="1" t="n">
        <v>45600</v>
      </c>
      <c r="C2831" s="1" t="n">
        <v>45627</v>
      </c>
      <c r="D2831" t="inlineStr">
        <is>
          <t>VÄRMLANDS LÄN</t>
        </is>
      </c>
      <c r="E2831" t="inlineStr">
        <is>
          <t>TORSBY</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50372-2024</t>
        </is>
      </c>
      <c r="B2832" s="1" t="n">
        <v>45601</v>
      </c>
      <c r="C2832" s="1" t="n">
        <v>45627</v>
      </c>
      <c r="D2832" t="inlineStr">
        <is>
          <t>VÄRMLANDS LÄN</t>
        </is>
      </c>
      <c r="E2832" t="inlineStr">
        <is>
          <t>TORSBY</t>
        </is>
      </c>
      <c r="F2832" t="inlineStr">
        <is>
          <t>Övriga Aktiebolag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50376-2024</t>
        </is>
      </c>
      <c r="B2833" s="1" t="n">
        <v>45601</v>
      </c>
      <c r="C2833" s="1" t="n">
        <v>45627</v>
      </c>
      <c r="D2833" t="inlineStr">
        <is>
          <t>VÄRMLANDS LÄN</t>
        </is>
      </c>
      <c r="E2833" t="inlineStr">
        <is>
          <t>TORSBY</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50380-2024</t>
        </is>
      </c>
      <c r="B2834" s="1" t="n">
        <v>45601</v>
      </c>
      <c r="C2834" s="1" t="n">
        <v>45627</v>
      </c>
      <c r="D2834" t="inlineStr">
        <is>
          <t>VÄRMLANDS LÄN</t>
        </is>
      </c>
      <c r="E2834" t="inlineStr">
        <is>
          <t>TORSBY</t>
        </is>
      </c>
      <c r="F2834" t="inlineStr">
        <is>
          <t>Bergvik skog väst AB</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50494-2024</t>
        </is>
      </c>
      <c r="B2835" s="1" t="n">
        <v>45601</v>
      </c>
      <c r="C2835" s="1" t="n">
        <v>45627</v>
      </c>
      <c r="D2835" t="inlineStr">
        <is>
          <t>VÄRMLANDS LÄN</t>
        </is>
      </c>
      <c r="E2835" t="inlineStr">
        <is>
          <t>TORSBY</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50373-2024</t>
        </is>
      </c>
      <c r="B2836" s="1" t="n">
        <v>45601</v>
      </c>
      <c r="C2836" s="1" t="n">
        <v>45627</v>
      </c>
      <c r="D2836" t="inlineStr">
        <is>
          <t>VÄRMLANDS LÄN</t>
        </is>
      </c>
      <c r="E2836" t="inlineStr">
        <is>
          <t>TORSBY</t>
        </is>
      </c>
      <c r="F2836" t="inlineStr">
        <is>
          <t>Övriga Aktiebolag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45627</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50568-2024</t>
        </is>
      </c>
      <c r="B2838" s="1" t="n">
        <v>45601</v>
      </c>
      <c r="C2838" s="1" t="n">
        <v>45627</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50832-2024</t>
        </is>
      </c>
      <c r="B2839" s="1" t="n">
        <v>45602</v>
      </c>
      <c r="C2839" s="1" t="n">
        <v>45627</v>
      </c>
      <c r="D2839" t="inlineStr">
        <is>
          <t>VÄRMLANDS LÄN</t>
        </is>
      </c>
      <c r="E2839" t="inlineStr">
        <is>
          <t>TORSBY</t>
        </is>
      </c>
      <c r="F2839" t="inlineStr">
        <is>
          <t>Bergvik skog väst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51271-2024</t>
        </is>
      </c>
      <c r="B2840" s="1" t="n">
        <v>45603</v>
      </c>
      <c r="C2840" s="1" t="n">
        <v>45627</v>
      </c>
      <c r="D2840" t="inlineStr">
        <is>
          <t>VÄRMLANDS LÄN</t>
        </is>
      </c>
      <c r="E2840" t="inlineStr">
        <is>
          <t>TORSBY</t>
        </is>
      </c>
      <c r="F2840" t="inlineStr">
        <is>
          <t>Bergvik skog väst AB</t>
        </is>
      </c>
      <c r="G2840" t="n">
        <v>22.5</v>
      </c>
      <c r="H2840" t="n">
        <v>0</v>
      </c>
      <c r="I2840" t="n">
        <v>0</v>
      </c>
      <c r="J2840" t="n">
        <v>0</v>
      </c>
      <c r="K2840" t="n">
        <v>0</v>
      </c>
      <c r="L2840" t="n">
        <v>0</v>
      </c>
      <c r="M2840" t="n">
        <v>0</v>
      </c>
      <c r="N2840" t="n">
        <v>0</v>
      </c>
      <c r="O2840" t="n">
        <v>0</v>
      </c>
      <c r="P2840" t="n">
        <v>0</v>
      </c>
      <c r="Q2840" t="n">
        <v>0</v>
      </c>
      <c r="R2840" s="2" t="inlineStr"/>
    </row>
    <row r="2841" ht="15" customHeight="1">
      <c r="A2841" t="inlineStr">
        <is>
          <t>A 51469-2024</t>
        </is>
      </c>
      <c r="B2841" s="1" t="n">
        <v>45604</v>
      </c>
      <c r="C2841" s="1" t="n">
        <v>45627</v>
      </c>
      <c r="D2841" t="inlineStr">
        <is>
          <t>VÄRMLANDS LÄN</t>
        </is>
      </c>
      <c r="E2841" t="inlineStr">
        <is>
          <t>TORSBY</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51369-2024</t>
        </is>
      </c>
      <c r="B2842" s="1" t="n">
        <v>45604</v>
      </c>
      <c r="C2842" s="1" t="n">
        <v>45627</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51660-2024</t>
        </is>
      </c>
      <c r="B2843" s="1" t="n">
        <v>45606</v>
      </c>
      <c r="C2843" s="1" t="n">
        <v>45627</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51663-2024</t>
        </is>
      </c>
      <c r="B2844" s="1" t="n">
        <v>45606</v>
      </c>
      <c r="C2844" s="1" t="n">
        <v>45627</v>
      </c>
      <c r="D2844" t="inlineStr">
        <is>
          <t>VÄRMLANDS LÄN</t>
        </is>
      </c>
      <c r="E2844" t="inlineStr">
        <is>
          <t>TORSBY</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51662-2024</t>
        </is>
      </c>
      <c r="B2845" s="1" t="n">
        <v>45606</v>
      </c>
      <c r="C2845" s="1" t="n">
        <v>45627</v>
      </c>
      <c r="D2845" t="inlineStr">
        <is>
          <t>VÄRMLANDS LÄN</t>
        </is>
      </c>
      <c r="E2845" t="inlineStr">
        <is>
          <t>TORSBY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51661-2024</t>
        </is>
      </c>
      <c r="B2846" s="1" t="n">
        <v>45606</v>
      </c>
      <c r="C2846" s="1" t="n">
        <v>45627</v>
      </c>
      <c r="D2846" t="inlineStr">
        <is>
          <t>VÄRMLANDS LÄN</t>
        </is>
      </c>
      <c r="E2846" t="inlineStr">
        <is>
          <t>TORSBY</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51823-2024</t>
        </is>
      </c>
      <c r="B2847" s="1" t="n">
        <v>45607</v>
      </c>
      <c r="C2847" s="1" t="n">
        <v>45627</v>
      </c>
      <c r="D2847" t="inlineStr">
        <is>
          <t>VÄRMLANDS LÄN</t>
        </is>
      </c>
      <c r="E2847" t="inlineStr">
        <is>
          <t>TORSBY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51785-2024</t>
        </is>
      </c>
      <c r="B2848" s="1" t="n">
        <v>45607</v>
      </c>
      <c r="C2848" s="1" t="n">
        <v>45627</v>
      </c>
      <c r="D2848" t="inlineStr">
        <is>
          <t>VÄRMLANDS LÄN</t>
        </is>
      </c>
      <c r="E2848" t="inlineStr">
        <is>
          <t>TORSBY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51987-2024</t>
        </is>
      </c>
      <c r="B2849" s="1" t="n">
        <v>45607</v>
      </c>
      <c r="C2849" s="1" t="n">
        <v>45627</v>
      </c>
      <c r="D2849" t="inlineStr">
        <is>
          <t>VÄRMLANDS LÄN</t>
        </is>
      </c>
      <c r="E2849" t="inlineStr">
        <is>
          <t>TORSBY</t>
        </is>
      </c>
      <c r="G2849" t="n">
        <v>17.7</v>
      </c>
      <c r="H2849" t="n">
        <v>0</v>
      </c>
      <c r="I2849" t="n">
        <v>0</v>
      </c>
      <c r="J2849" t="n">
        <v>0</v>
      </c>
      <c r="K2849" t="n">
        <v>0</v>
      </c>
      <c r="L2849" t="n">
        <v>0</v>
      </c>
      <c r="M2849" t="n">
        <v>0</v>
      </c>
      <c r="N2849" t="n">
        <v>0</v>
      </c>
      <c r="O2849" t="n">
        <v>0</v>
      </c>
      <c r="P2849" t="n">
        <v>0</v>
      </c>
      <c r="Q2849" t="n">
        <v>0</v>
      </c>
      <c r="R2849" s="2" t="inlineStr"/>
    </row>
    <row r="2850" ht="15" customHeight="1">
      <c r="A2850" t="inlineStr">
        <is>
          <t>A 51836-2024</t>
        </is>
      </c>
      <c r="B2850" s="1" t="n">
        <v>45607</v>
      </c>
      <c r="C2850" s="1" t="n">
        <v>45627</v>
      </c>
      <c r="D2850" t="inlineStr">
        <is>
          <t>VÄRMLANDS LÄN</t>
        </is>
      </c>
      <c r="E2850" t="inlineStr">
        <is>
          <t>TORSBY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52051-2024</t>
        </is>
      </c>
      <c r="B2851" s="1" t="n">
        <v>45608</v>
      </c>
      <c r="C2851" s="1" t="n">
        <v>45627</v>
      </c>
      <c r="D2851" t="inlineStr">
        <is>
          <t>VÄRMLANDS LÄN</t>
        </is>
      </c>
      <c r="E2851" t="inlineStr">
        <is>
          <t>TORSBY</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52057-2024</t>
        </is>
      </c>
      <c r="B2852" s="1" t="n">
        <v>45608</v>
      </c>
      <c r="C2852" s="1" t="n">
        <v>45627</v>
      </c>
      <c r="D2852" t="inlineStr">
        <is>
          <t>VÄRMLANDS LÄN</t>
        </is>
      </c>
      <c r="E2852" t="inlineStr">
        <is>
          <t>TORSBY</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52062-2024</t>
        </is>
      </c>
      <c r="B2853" s="1" t="n">
        <v>45608</v>
      </c>
      <c r="C2853" s="1" t="n">
        <v>45627</v>
      </c>
      <c r="D2853" t="inlineStr">
        <is>
          <t>VÄRMLANDS LÄN</t>
        </is>
      </c>
      <c r="E2853" t="inlineStr">
        <is>
          <t>TORSBY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52223-2024</t>
        </is>
      </c>
      <c r="B2854" s="1" t="n">
        <v>45608</v>
      </c>
      <c r="C2854" s="1" t="n">
        <v>45627</v>
      </c>
      <c r="D2854" t="inlineStr">
        <is>
          <t>VÄRMLANDS LÄN</t>
        </is>
      </c>
      <c r="E2854" t="inlineStr">
        <is>
          <t>TORSBY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52239-2024</t>
        </is>
      </c>
      <c r="B2855" s="1" t="n">
        <v>45608</v>
      </c>
      <c r="C2855" s="1" t="n">
        <v>45627</v>
      </c>
      <c r="D2855" t="inlineStr">
        <is>
          <t>VÄRMLANDS LÄN</t>
        </is>
      </c>
      <c r="E2855" t="inlineStr">
        <is>
          <t>TORSBY</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52257-2024</t>
        </is>
      </c>
      <c r="B2856" s="1" t="n">
        <v>45608</v>
      </c>
      <c r="C2856" s="1" t="n">
        <v>45627</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52314-2024</t>
        </is>
      </c>
      <c r="B2857" s="1" t="n">
        <v>45608</v>
      </c>
      <c r="C2857" s="1" t="n">
        <v>45627</v>
      </c>
      <c r="D2857" t="inlineStr">
        <is>
          <t>VÄRMLANDS LÄN</t>
        </is>
      </c>
      <c r="E2857" t="inlineStr">
        <is>
          <t>TORSBY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52262-2024</t>
        </is>
      </c>
      <c r="B2858" s="1" t="n">
        <v>45608</v>
      </c>
      <c r="C2858" s="1" t="n">
        <v>45627</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52334-2024</t>
        </is>
      </c>
      <c r="B2859" s="1" t="n">
        <v>45609</v>
      </c>
      <c r="C2859" s="1" t="n">
        <v>45627</v>
      </c>
      <c r="D2859" t="inlineStr">
        <is>
          <t>VÄRMLANDS LÄN</t>
        </is>
      </c>
      <c r="E2859" t="inlineStr">
        <is>
          <t>TORSBY</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52386-2024</t>
        </is>
      </c>
      <c r="B2860" s="1" t="n">
        <v>45609</v>
      </c>
      <c r="C2860" s="1" t="n">
        <v>45627</v>
      </c>
      <c r="D2860" t="inlineStr">
        <is>
          <t>VÄRMLANDS LÄN</t>
        </is>
      </c>
      <c r="E2860" t="inlineStr">
        <is>
          <t>TORSBY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52592-2024</t>
        </is>
      </c>
      <c r="B2861" s="1" t="n">
        <v>45609</v>
      </c>
      <c r="C2861" s="1" t="n">
        <v>45627</v>
      </c>
      <c r="D2861" t="inlineStr">
        <is>
          <t>VÄRMLANDS LÄN</t>
        </is>
      </c>
      <c r="E2861" t="inlineStr">
        <is>
          <t>TORSBY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52595-2024</t>
        </is>
      </c>
      <c r="B2862" s="1" t="n">
        <v>45609</v>
      </c>
      <c r="C2862" s="1" t="n">
        <v>45627</v>
      </c>
      <c r="D2862" t="inlineStr">
        <is>
          <t>VÄRMLANDS LÄN</t>
        </is>
      </c>
      <c r="E2862" t="inlineStr">
        <is>
          <t>TORSBY</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52581-2024</t>
        </is>
      </c>
      <c r="B2863" s="1" t="n">
        <v>45609</v>
      </c>
      <c r="C2863" s="1" t="n">
        <v>45627</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52669-2024</t>
        </is>
      </c>
      <c r="B2864" s="1" t="n">
        <v>45610</v>
      </c>
      <c r="C2864" s="1" t="n">
        <v>45627</v>
      </c>
      <c r="D2864" t="inlineStr">
        <is>
          <t>VÄRMLANDS LÄN</t>
        </is>
      </c>
      <c r="E2864" t="inlineStr">
        <is>
          <t>TORSBY</t>
        </is>
      </c>
      <c r="F2864" t="inlineStr">
        <is>
          <t>Kyrkan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52676-2024</t>
        </is>
      </c>
      <c r="B2865" s="1" t="n">
        <v>45610</v>
      </c>
      <c r="C2865" s="1" t="n">
        <v>45627</v>
      </c>
      <c r="D2865" t="inlineStr">
        <is>
          <t>VÄRMLANDS LÄN</t>
        </is>
      </c>
      <c r="E2865" t="inlineStr">
        <is>
          <t>TORSBY</t>
        </is>
      </c>
      <c r="F2865" t="inlineStr">
        <is>
          <t>Kyrkan</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52689-2024</t>
        </is>
      </c>
      <c r="B2866" s="1" t="n">
        <v>45610</v>
      </c>
      <c r="C2866" s="1" t="n">
        <v>45627</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52750-2024</t>
        </is>
      </c>
      <c r="B2867" s="1" t="n">
        <v>45610</v>
      </c>
      <c r="C2867" s="1" t="n">
        <v>45627</v>
      </c>
      <c r="D2867" t="inlineStr">
        <is>
          <t>VÄRMLANDS LÄN</t>
        </is>
      </c>
      <c r="E2867" t="inlineStr">
        <is>
          <t>TORSBY</t>
        </is>
      </c>
      <c r="F2867" t="inlineStr">
        <is>
          <t>Kyrkan</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52801-2024</t>
        </is>
      </c>
      <c r="B2868" s="1" t="n">
        <v>45610</v>
      </c>
      <c r="C2868" s="1" t="n">
        <v>45627</v>
      </c>
      <c r="D2868" t="inlineStr">
        <is>
          <t>VÄRMLANDS LÄN</t>
        </is>
      </c>
      <c r="E2868" t="inlineStr">
        <is>
          <t>TORSBY</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52809-2024</t>
        </is>
      </c>
      <c r="B2869" s="1" t="n">
        <v>45610</v>
      </c>
      <c r="C2869" s="1" t="n">
        <v>45627</v>
      </c>
      <c r="D2869" t="inlineStr">
        <is>
          <t>VÄRMLANDS LÄN</t>
        </is>
      </c>
      <c r="E2869" t="inlineStr">
        <is>
          <t>TORSBY</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52949-2024</t>
        </is>
      </c>
      <c r="B2870" s="1" t="n">
        <v>45610</v>
      </c>
      <c r="C2870" s="1" t="n">
        <v>45627</v>
      </c>
      <c r="D2870" t="inlineStr">
        <is>
          <t>VÄRMLANDS LÄN</t>
        </is>
      </c>
      <c r="E2870" t="inlineStr">
        <is>
          <t>TORSBY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52957-2024</t>
        </is>
      </c>
      <c r="B2871" s="1" t="n">
        <v>45610</v>
      </c>
      <c r="C2871" s="1" t="n">
        <v>45627</v>
      </c>
      <c r="D2871" t="inlineStr">
        <is>
          <t>VÄRMLANDS LÄN</t>
        </is>
      </c>
      <c r="E2871" t="inlineStr">
        <is>
          <t>TORSBY</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52940-2024</t>
        </is>
      </c>
      <c r="B2872" s="1" t="n">
        <v>45610</v>
      </c>
      <c r="C2872" s="1" t="n">
        <v>45627</v>
      </c>
      <c r="D2872" t="inlineStr">
        <is>
          <t>VÄRMLANDS LÄN</t>
        </is>
      </c>
      <c r="E2872" t="inlineStr">
        <is>
          <t>TORSBY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52956-2024</t>
        </is>
      </c>
      <c r="B2873" s="1" t="n">
        <v>45610</v>
      </c>
      <c r="C2873" s="1" t="n">
        <v>45627</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52947-2024</t>
        </is>
      </c>
      <c r="B2874" s="1" t="n">
        <v>45610</v>
      </c>
      <c r="C2874" s="1" t="n">
        <v>45627</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53025-2024</t>
        </is>
      </c>
      <c r="B2875" s="1" t="n">
        <v>45611</v>
      </c>
      <c r="C2875" s="1" t="n">
        <v>45627</v>
      </c>
      <c r="D2875" t="inlineStr">
        <is>
          <t>VÄRMLANDS LÄN</t>
        </is>
      </c>
      <c r="E2875" t="inlineStr">
        <is>
          <t>TORSBY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53038-2024</t>
        </is>
      </c>
      <c r="B2876" s="1" t="n">
        <v>45611</v>
      </c>
      <c r="C2876" s="1" t="n">
        <v>45627</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53099-2024</t>
        </is>
      </c>
      <c r="B2877" s="1" t="n">
        <v>45611</v>
      </c>
      <c r="C2877" s="1" t="n">
        <v>45627</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53044-2024</t>
        </is>
      </c>
      <c r="B2878" s="1" t="n">
        <v>45611</v>
      </c>
      <c r="C2878" s="1" t="n">
        <v>45627</v>
      </c>
      <c r="D2878" t="inlineStr">
        <is>
          <t>VÄRMLANDS LÄN</t>
        </is>
      </c>
      <c r="E2878" t="inlineStr">
        <is>
          <t>TORSBY</t>
        </is>
      </c>
      <c r="F2878" t="inlineStr">
        <is>
          <t>Kyrkan</t>
        </is>
      </c>
      <c r="G2878" t="n">
        <v>25.8</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45627</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45627</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45627</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53211-2024</t>
        </is>
      </c>
      <c r="B2882" s="1" t="n">
        <v>45612</v>
      </c>
      <c r="C2882" s="1" t="n">
        <v>45627</v>
      </c>
      <c r="D2882" t="inlineStr">
        <is>
          <t>VÄRMLANDS LÄN</t>
        </is>
      </c>
      <c r="E2882" t="inlineStr">
        <is>
          <t>TORSBY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53297-2024</t>
        </is>
      </c>
      <c r="B2883" s="1" t="n">
        <v>45614</v>
      </c>
      <c r="C2883" s="1" t="n">
        <v>45627</v>
      </c>
      <c r="D2883" t="inlineStr">
        <is>
          <t>VÄRMLANDS LÄN</t>
        </is>
      </c>
      <c r="E2883" t="inlineStr">
        <is>
          <t>TORSBY</t>
        </is>
      </c>
      <c r="F2883" t="inlineStr">
        <is>
          <t>Bergvik skog väst AB</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53358-2024</t>
        </is>
      </c>
      <c r="B2884" s="1" t="n">
        <v>45614</v>
      </c>
      <c r="C2884" s="1" t="n">
        <v>45627</v>
      </c>
      <c r="D2884" t="inlineStr">
        <is>
          <t>VÄRMLANDS LÄN</t>
        </is>
      </c>
      <c r="E2884" t="inlineStr">
        <is>
          <t>TORSBY</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53368-2024</t>
        </is>
      </c>
      <c r="B2885" s="1" t="n">
        <v>45614</v>
      </c>
      <c r="C2885" s="1" t="n">
        <v>45627</v>
      </c>
      <c r="D2885" t="inlineStr">
        <is>
          <t>VÄRMLANDS LÄN</t>
        </is>
      </c>
      <c r="E2885" t="inlineStr">
        <is>
          <t>TORSBY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53593-2024</t>
        </is>
      </c>
      <c r="B2886" s="1" t="n">
        <v>45614</v>
      </c>
      <c r="C2886" s="1" t="n">
        <v>45627</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53396-2024</t>
        </is>
      </c>
      <c r="B2887" s="1" t="n">
        <v>45614</v>
      </c>
      <c r="C2887" s="1" t="n">
        <v>45627</v>
      </c>
      <c r="D2887" t="inlineStr">
        <is>
          <t>VÄRMLANDS LÄN</t>
        </is>
      </c>
      <c r="E2887" t="inlineStr">
        <is>
          <t>TORSBY</t>
        </is>
      </c>
      <c r="F2887" t="inlineStr">
        <is>
          <t>Bergvik skog väst AB</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53506-2024</t>
        </is>
      </c>
      <c r="B2888" s="1" t="n">
        <v>45614</v>
      </c>
      <c r="C2888" s="1" t="n">
        <v>45627</v>
      </c>
      <c r="D2888" t="inlineStr">
        <is>
          <t>VÄRMLANDS LÄN</t>
        </is>
      </c>
      <c r="E2888" t="inlineStr">
        <is>
          <t>TORSBY</t>
        </is>
      </c>
      <c r="F2888" t="inlineStr">
        <is>
          <t>Bergvik skog väst AB</t>
        </is>
      </c>
      <c r="G2888" t="n">
        <v>12.2</v>
      </c>
      <c r="H2888" t="n">
        <v>0</v>
      </c>
      <c r="I2888" t="n">
        <v>0</v>
      </c>
      <c r="J2888" t="n">
        <v>0</v>
      </c>
      <c r="K2888" t="n">
        <v>0</v>
      </c>
      <c r="L2888" t="n">
        <v>0</v>
      </c>
      <c r="M2888" t="n">
        <v>0</v>
      </c>
      <c r="N2888" t="n">
        <v>0</v>
      </c>
      <c r="O2888" t="n">
        <v>0</v>
      </c>
      <c r="P2888" t="n">
        <v>0</v>
      </c>
      <c r="Q2888" t="n">
        <v>0</v>
      </c>
      <c r="R2888" s="2" t="inlineStr"/>
    </row>
    <row r="2889" ht="15" customHeight="1">
      <c r="A2889" t="inlineStr">
        <is>
          <t>A 53627-2024</t>
        </is>
      </c>
      <c r="B2889" s="1" t="n">
        <v>45614</v>
      </c>
      <c r="C2889" s="1" t="n">
        <v>45627</v>
      </c>
      <c r="D2889" t="inlineStr">
        <is>
          <t>VÄRMLANDS LÄN</t>
        </is>
      </c>
      <c r="E2889" t="inlineStr">
        <is>
          <t>TORSBY</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53253-2024</t>
        </is>
      </c>
      <c r="B2890" s="1" t="n">
        <v>45614</v>
      </c>
      <c r="C2890" s="1" t="n">
        <v>45627</v>
      </c>
      <c r="D2890" t="inlineStr">
        <is>
          <t>VÄRMLANDS LÄN</t>
        </is>
      </c>
      <c r="E2890" t="inlineStr">
        <is>
          <t>TORSBY</t>
        </is>
      </c>
      <c r="F2890" t="inlineStr">
        <is>
          <t>Bergvik skog väst AB</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45627</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45627</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45627</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45627</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53667-2024</t>
        </is>
      </c>
      <c r="B2895" s="1" t="n">
        <v>45615</v>
      </c>
      <c r="C2895" s="1" t="n">
        <v>45627</v>
      </c>
      <c r="D2895" t="inlineStr">
        <is>
          <t>VÄRMLANDS LÄN</t>
        </is>
      </c>
      <c r="E2895" t="inlineStr">
        <is>
          <t>TORSBY</t>
        </is>
      </c>
      <c r="F2895" t="inlineStr">
        <is>
          <t>Bergvik skog väst AB</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53744-2024</t>
        </is>
      </c>
      <c r="B2896" s="1" t="n">
        <v>45615</v>
      </c>
      <c r="C2896" s="1" t="n">
        <v>45627</v>
      </c>
      <c r="D2896" t="inlineStr">
        <is>
          <t>VÄRMLANDS LÄN</t>
        </is>
      </c>
      <c r="E2896" t="inlineStr">
        <is>
          <t>TORSBY</t>
        </is>
      </c>
      <c r="G2896" t="n">
        <v>16.9</v>
      </c>
      <c r="H2896" t="n">
        <v>0</v>
      </c>
      <c r="I2896" t="n">
        <v>0</v>
      </c>
      <c r="J2896" t="n">
        <v>0</v>
      </c>
      <c r="K2896" t="n">
        <v>0</v>
      </c>
      <c r="L2896" t="n">
        <v>0</v>
      </c>
      <c r="M2896" t="n">
        <v>0</v>
      </c>
      <c r="N2896" t="n">
        <v>0</v>
      </c>
      <c r="O2896" t="n">
        <v>0</v>
      </c>
      <c r="P2896" t="n">
        <v>0</v>
      </c>
      <c r="Q2896" t="n">
        <v>0</v>
      </c>
      <c r="R2896" s="2" t="inlineStr"/>
    </row>
    <row r="2897" ht="15" customHeight="1">
      <c r="A2897" t="inlineStr">
        <is>
          <t>A 53748-2024</t>
        </is>
      </c>
      <c r="B2897" s="1" t="n">
        <v>45615</v>
      </c>
      <c r="C2897" s="1" t="n">
        <v>45627</v>
      </c>
      <c r="D2897" t="inlineStr">
        <is>
          <t>VÄRMLANDS LÄN</t>
        </is>
      </c>
      <c r="E2897" t="inlineStr">
        <is>
          <t>TORSBY</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54023-2024</t>
        </is>
      </c>
      <c r="B2898" s="1" t="n">
        <v>45616</v>
      </c>
      <c r="C2898" s="1" t="n">
        <v>45627</v>
      </c>
      <c r="D2898" t="inlineStr">
        <is>
          <t>VÄRMLANDS LÄN</t>
        </is>
      </c>
      <c r="E2898" t="inlineStr">
        <is>
          <t>TORSBY</t>
        </is>
      </c>
      <c r="F2898" t="inlineStr">
        <is>
          <t>Kommuner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54004-2024</t>
        </is>
      </c>
      <c r="B2899" s="1" t="n">
        <v>45616</v>
      </c>
      <c r="C2899" s="1" t="n">
        <v>45627</v>
      </c>
      <c r="D2899" t="inlineStr">
        <is>
          <t>VÄRMLANDS LÄN</t>
        </is>
      </c>
      <c r="E2899" t="inlineStr">
        <is>
          <t>TORSBY</t>
        </is>
      </c>
      <c r="F2899" t="inlineStr">
        <is>
          <t>Kommuner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54011-2024</t>
        </is>
      </c>
      <c r="B2900" s="1" t="n">
        <v>45616</v>
      </c>
      <c r="C2900" s="1" t="n">
        <v>45627</v>
      </c>
      <c r="D2900" t="inlineStr">
        <is>
          <t>VÄRMLANDS LÄN</t>
        </is>
      </c>
      <c r="E2900" t="inlineStr">
        <is>
          <t>TORSBY</t>
        </is>
      </c>
      <c r="F2900" t="inlineStr">
        <is>
          <t>Kommuner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54026-2024</t>
        </is>
      </c>
      <c r="B2901" s="1" t="n">
        <v>45616</v>
      </c>
      <c r="C2901" s="1" t="n">
        <v>45627</v>
      </c>
      <c r="D2901" t="inlineStr">
        <is>
          <t>VÄRMLANDS LÄN</t>
        </is>
      </c>
      <c r="E2901" t="inlineStr">
        <is>
          <t>TORSBY</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54265-2024</t>
        </is>
      </c>
      <c r="B2902" s="1" t="n">
        <v>45616</v>
      </c>
      <c r="C2902" s="1" t="n">
        <v>45627</v>
      </c>
      <c r="D2902" t="inlineStr">
        <is>
          <t>VÄRMLANDS LÄN</t>
        </is>
      </c>
      <c r="E2902" t="inlineStr">
        <is>
          <t>TORSBY</t>
        </is>
      </c>
      <c r="F2902" t="inlineStr">
        <is>
          <t>Kommuner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54006-2024</t>
        </is>
      </c>
      <c r="B2903" s="1" t="n">
        <v>45616</v>
      </c>
      <c r="C2903" s="1" t="n">
        <v>45627</v>
      </c>
      <c r="D2903" t="inlineStr">
        <is>
          <t>VÄRMLANDS LÄN</t>
        </is>
      </c>
      <c r="E2903" t="inlineStr">
        <is>
          <t>TORSBY</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54014-2024</t>
        </is>
      </c>
      <c r="B2904" s="1" t="n">
        <v>45616</v>
      </c>
      <c r="C2904" s="1" t="n">
        <v>45627</v>
      </c>
      <c r="D2904" t="inlineStr">
        <is>
          <t>VÄRMLANDS LÄN</t>
        </is>
      </c>
      <c r="E2904" t="inlineStr">
        <is>
          <t>TORSBY</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54027-2024</t>
        </is>
      </c>
      <c r="B2905" s="1" t="n">
        <v>45616</v>
      </c>
      <c r="C2905" s="1" t="n">
        <v>45627</v>
      </c>
      <c r="D2905" t="inlineStr">
        <is>
          <t>VÄRMLANDS LÄN</t>
        </is>
      </c>
      <c r="E2905" t="inlineStr">
        <is>
          <t>TORSBY</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45627</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54328-2024</t>
        </is>
      </c>
      <c r="B2907" s="1" t="n">
        <v>45617</v>
      </c>
      <c r="C2907" s="1" t="n">
        <v>45627</v>
      </c>
      <c r="D2907" t="inlineStr">
        <is>
          <t>VÄRMLANDS LÄN</t>
        </is>
      </c>
      <c r="E2907" t="inlineStr">
        <is>
          <t>TORSBY</t>
        </is>
      </c>
      <c r="F2907" t="inlineStr">
        <is>
          <t>Bergvik skog väst AB</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54374-2024</t>
        </is>
      </c>
      <c r="B2908" s="1" t="n">
        <v>45617</v>
      </c>
      <c r="C2908" s="1" t="n">
        <v>45627</v>
      </c>
      <c r="D2908" t="inlineStr">
        <is>
          <t>VÄRMLANDS LÄN</t>
        </is>
      </c>
      <c r="E2908" t="inlineStr">
        <is>
          <t>TORSBY</t>
        </is>
      </c>
      <c r="F2908" t="inlineStr">
        <is>
          <t>Bergvik skog väst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54618-2024</t>
        </is>
      </c>
      <c r="B2909" s="1" t="n">
        <v>45617</v>
      </c>
      <c r="C2909" s="1" t="n">
        <v>45627</v>
      </c>
      <c r="D2909" t="inlineStr">
        <is>
          <t>VÄRMLANDS LÄN</t>
        </is>
      </c>
      <c r="E2909" t="inlineStr">
        <is>
          <t>TORSBY</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54609-2024</t>
        </is>
      </c>
      <c r="B2910" s="1" t="n">
        <v>45617</v>
      </c>
      <c r="C2910" s="1" t="n">
        <v>45627</v>
      </c>
      <c r="D2910" t="inlineStr">
        <is>
          <t>VÄRMLANDS LÄN</t>
        </is>
      </c>
      <c r="E2910" t="inlineStr">
        <is>
          <t>TORSBY</t>
        </is>
      </c>
      <c r="F2910" t="inlineStr">
        <is>
          <t>Kommuner</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54306-2024</t>
        </is>
      </c>
      <c r="B2911" s="1" t="n">
        <v>45617</v>
      </c>
      <c r="C2911" s="1" t="n">
        <v>45627</v>
      </c>
      <c r="D2911" t="inlineStr">
        <is>
          <t>VÄRMLANDS LÄN</t>
        </is>
      </c>
      <c r="E2911" t="inlineStr">
        <is>
          <t>TORSBY</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54646-2024</t>
        </is>
      </c>
      <c r="B2912" s="1" t="n">
        <v>45617</v>
      </c>
      <c r="C2912" s="1" t="n">
        <v>45627</v>
      </c>
      <c r="D2912" t="inlineStr">
        <is>
          <t>VÄRMLANDS LÄN</t>
        </is>
      </c>
      <c r="E2912" t="inlineStr">
        <is>
          <t>TORSBY</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54489-2024</t>
        </is>
      </c>
      <c r="B2913" s="1" t="n">
        <v>45617</v>
      </c>
      <c r="C2913" s="1" t="n">
        <v>45627</v>
      </c>
      <c r="D2913" t="inlineStr">
        <is>
          <t>VÄRMLANDS LÄN</t>
        </is>
      </c>
      <c r="E2913" t="inlineStr">
        <is>
          <t>TORSBY</t>
        </is>
      </c>
      <c r="F2913" t="inlineStr">
        <is>
          <t>Bergvik skog väst AB</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54664-2024</t>
        </is>
      </c>
      <c r="B2914" s="1" t="n">
        <v>45618</v>
      </c>
      <c r="C2914" s="1" t="n">
        <v>45627</v>
      </c>
      <c r="D2914" t="inlineStr">
        <is>
          <t>VÄRMLANDS LÄN</t>
        </is>
      </c>
      <c r="E2914" t="inlineStr">
        <is>
          <t>TORSBY</t>
        </is>
      </c>
      <c r="F2914" t="inlineStr">
        <is>
          <t>Bergvik skog väst AB</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54790-2024</t>
        </is>
      </c>
      <c r="B2915" s="1" t="n">
        <v>45618</v>
      </c>
      <c r="C2915" s="1" t="n">
        <v>45627</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54891-2024</t>
        </is>
      </c>
      <c r="B2916" s="1" t="n">
        <v>45618</v>
      </c>
      <c r="C2916" s="1" t="n">
        <v>45627</v>
      </c>
      <c r="D2916" t="inlineStr">
        <is>
          <t>VÄRMLANDS LÄN</t>
        </is>
      </c>
      <c r="E2916" t="inlineStr">
        <is>
          <t>TORSBY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54796-2024</t>
        </is>
      </c>
      <c r="B2917" s="1" t="n">
        <v>45618</v>
      </c>
      <c r="C2917" s="1" t="n">
        <v>45627</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54813-2024</t>
        </is>
      </c>
      <c r="B2918" s="1" t="n">
        <v>45618</v>
      </c>
      <c r="C2918" s="1" t="n">
        <v>45627</v>
      </c>
      <c r="D2918" t="inlineStr">
        <is>
          <t>VÄRMLANDS LÄN</t>
        </is>
      </c>
      <c r="E2918" t="inlineStr">
        <is>
          <t>TORSBY</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55072-2024</t>
        </is>
      </c>
      <c r="B2919" s="1" t="n">
        <v>45621</v>
      </c>
      <c r="C2919" s="1" t="n">
        <v>45627</v>
      </c>
      <c r="D2919" t="inlineStr">
        <is>
          <t>VÄRMLANDS LÄN</t>
        </is>
      </c>
      <c r="E2919" t="inlineStr">
        <is>
          <t>TORSBY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55036-2024</t>
        </is>
      </c>
      <c r="B2920" s="1" t="n">
        <v>45621</v>
      </c>
      <c r="C2920" s="1" t="n">
        <v>45627</v>
      </c>
      <c r="D2920" t="inlineStr">
        <is>
          <t>VÄRMLANDS LÄN</t>
        </is>
      </c>
      <c r="E2920" t="inlineStr">
        <is>
          <t>TORSBY</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55546-2024</t>
        </is>
      </c>
      <c r="B2921" s="1" t="n">
        <v>45622</v>
      </c>
      <c r="C2921" s="1" t="n">
        <v>45627</v>
      </c>
      <c r="D2921" t="inlineStr">
        <is>
          <t>VÄRMLANDS LÄN</t>
        </is>
      </c>
      <c r="E2921" t="inlineStr">
        <is>
          <t>TORSBY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55386-2024</t>
        </is>
      </c>
      <c r="B2922" s="1" t="n">
        <v>45622</v>
      </c>
      <c r="C2922" s="1" t="n">
        <v>45627</v>
      </c>
      <c r="D2922" t="inlineStr">
        <is>
          <t>VÄRMLANDS LÄN</t>
        </is>
      </c>
      <c r="E2922" t="inlineStr">
        <is>
          <t>TORSBY</t>
        </is>
      </c>
      <c r="F2922" t="inlineStr">
        <is>
          <t>Bergvik skog väst AB</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55430-2024</t>
        </is>
      </c>
      <c r="B2923" s="1" t="n">
        <v>45622</v>
      </c>
      <c r="C2923" s="1" t="n">
        <v>45627</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55543-2024</t>
        </is>
      </c>
      <c r="B2924" s="1" t="n">
        <v>45622</v>
      </c>
      <c r="C2924" s="1" t="n">
        <v>45627</v>
      </c>
      <c r="D2924" t="inlineStr">
        <is>
          <t>VÄRMLANDS LÄN</t>
        </is>
      </c>
      <c r="E2924" t="inlineStr">
        <is>
          <t>TORSBY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55808-2024</t>
        </is>
      </c>
      <c r="B2925" s="1" t="n">
        <v>45622</v>
      </c>
      <c r="C2925" s="1" t="n">
        <v>45627</v>
      </c>
      <c r="D2925" t="inlineStr">
        <is>
          <t>VÄRMLANDS LÄN</t>
        </is>
      </c>
      <c r="E2925" t="inlineStr">
        <is>
          <t>TORSBY</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55750-2024</t>
        </is>
      </c>
      <c r="B2926" s="1" t="n">
        <v>45623</v>
      </c>
      <c r="C2926" s="1" t="n">
        <v>45627</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55814-2024</t>
        </is>
      </c>
      <c r="B2927" s="1" t="n">
        <v>45623</v>
      </c>
      <c r="C2927" s="1" t="n">
        <v>45627</v>
      </c>
      <c r="D2927" t="inlineStr">
        <is>
          <t>VÄRMLANDS LÄN</t>
        </is>
      </c>
      <c r="E2927" t="inlineStr">
        <is>
          <t>TORSBY</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55836-2024</t>
        </is>
      </c>
      <c r="B2928" s="1" t="n">
        <v>45623</v>
      </c>
      <c r="C2928" s="1" t="n">
        <v>45627</v>
      </c>
      <c r="D2928" t="inlineStr">
        <is>
          <t>VÄRMLANDS LÄN</t>
        </is>
      </c>
      <c r="E2928" t="inlineStr">
        <is>
          <t>TORSBY</t>
        </is>
      </c>
      <c r="F2928" t="inlineStr">
        <is>
          <t>Kommuner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55837-2024</t>
        </is>
      </c>
      <c r="B2929" s="1" t="n">
        <v>45623</v>
      </c>
      <c r="C2929" s="1" t="n">
        <v>45627</v>
      </c>
      <c r="D2929" t="inlineStr">
        <is>
          <t>VÄRMLANDS LÄN</t>
        </is>
      </c>
      <c r="E2929" t="inlineStr">
        <is>
          <t>TORSBY</t>
        </is>
      </c>
      <c r="F2929" t="inlineStr">
        <is>
          <t>Kommuner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55842-2024</t>
        </is>
      </c>
      <c r="B2930" s="1" t="n">
        <v>45623</v>
      </c>
      <c r="C2930" s="1" t="n">
        <v>45627</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55845-2024</t>
        </is>
      </c>
      <c r="B2931" s="1" t="n">
        <v>45623</v>
      </c>
      <c r="C2931" s="1" t="n">
        <v>45627</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55987-2024</t>
        </is>
      </c>
      <c r="B2932" s="1" t="n">
        <v>45623</v>
      </c>
      <c r="C2932" s="1" t="n">
        <v>45627</v>
      </c>
      <c r="D2932" t="inlineStr">
        <is>
          <t>VÄRMLANDS LÄN</t>
        </is>
      </c>
      <c r="E2932" t="inlineStr">
        <is>
          <t>TORSBY</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45627</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55839-2024</t>
        </is>
      </c>
      <c r="B2934" s="1" t="n">
        <v>45623</v>
      </c>
      <c r="C2934" s="1" t="n">
        <v>45627</v>
      </c>
      <c r="D2934" t="inlineStr">
        <is>
          <t>VÄRMLANDS LÄN</t>
        </is>
      </c>
      <c r="E2934" t="inlineStr">
        <is>
          <t>TORSBY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56101-2024</t>
        </is>
      </c>
      <c r="B2935" s="1" t="n">
        <v>45624</v>
      </c>
      <c r="C2935" s="1" t="n">
        <v>45627</v>
      </c>
      <c r="D2935" t="inlineStr">
        <is>
          <t>VÄRMLANDS LÄN</t>
        </is>
      </c>
      <c r="E2935" t="inlineStr">
        <is>
          <t>TORSBY</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56240-2024</t>
        </is>
      </c>
      <c r="B2936" s="1" t="n">
        <v>45624</v>
      </c>
      <c r="C2936" s="1" t="n">
        <v>45627</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56098-2024</t>
        </is>
      </c>
      <c r="B2937" s="1" t="n">
        <v>45624</v>
      </c>
      <c r="C2937" s="1" t="n">
        <v>45627</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56107-2024</t>
        </is>
      </c>
      <c r="B2938" s="1" t="n">
        <v>45624</v>
      </c>
      <c r="C2938" s="1" t="n">
        <v>45627</v>
      </c>
      <c r="D2938" t="inlineStr">
        <is>
          <t>VÄRMLANDS LÄN</t>
        </is>
      </c>
      <c r="E2938" t="inlineStr">
        <is>
          <t>TORSBY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56509-2024</t>
        </is>
      </c>
      <c r="B2939" s="1" t="n">
        <v>45625</v>
      </c>
      <c r="C2939" s="1" t="n">
        <v>45627</v>
      </c>
      <c r="D2939" t="inlineStr">
        <is>
          <t>VÄRMLANDS LÄN</t>
        </is>
      </c>
      <c r="E2939" t="inlineStr">
        <is>
          <t>TORSBY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56571-2024</t>
        </is>
      </c>
      <c r="B2940" s="1" t="n">
        <v>45625</v>
      </c>
      <c r="C2940" s="1" t="n">
        <v>45627</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56611-2024</t>
        </is>
      </c>
      <c r="B2941" s="1" t="n">
        <v>45625</v>
      </c>
      <c r="C2941" s="1" t="n">
        <v>45627</v>
      </c>
      <c r="D2941" t="inlineStr">
        <is>
          <t>VÄRMLANDS LÄN</t>
        </is>
      </c>
      <c r="E2941" t="inlineStr">
        <is>
          <t>TORSBY</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56634-2024</t>
        </is>
      </c>
      <c r="B2942" s="1" t="n">
        <v>45625</v>
      </c>
      <c r="C2942" s="1" t="n">
        <v>45627</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56534-2024</t>
        </is>
      </c>
      <c r="B2943" s="1" t="n">
        <v>45625</v>
      </c>
      <c r="C2943" s="1" t="n">
        <v>45627</v>
      </c>
      <c r="D2943" t="inlineStr">
        <is>
          <t>VÄRMLANDS LÄN</t>
        </is>
      </c>
      <c r="E2943" t="inlineStr">
        <is>
          <t>TORSBY</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45627</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56630-2024</t>
        </is>
      </c>
      <c r="B2945" s="1" t="n">
        <v>45625</v>
      </c>
      <c r="C2945" s="1" t="n">
        <v>45627</v>
      </c>
      <c r="D2945" t="inlineStr">
        <is>
          <t>VÄRMLANDS LÄN</t>
        </is>
      </c>
      <c r="E2945" t="inlineStr">
        <is>
          <t>TORSBY</t>
        </is>
      </c>
      <c r="G2945" t="n">
        <v>6.6</v>
      </c>
      <c r="H2945" t="n">
        <v>0</v>
      </c>
      <c r="I2945" t="n">
        <v>0</v>
      </c>
      <c r="J2945" t="n">
        <v>0</v>
      </c>
      <c r="K2945" t="n">
        <v>0</v>
      </c>
      <c r="L2945" t="n">
        <v>0</v>
      </c>
      <c r="M2945" t="n">
        <v>0</v>
      </c>
      <c r="N2945" t="n">
        <v>0</v>
      </c>
      <c r="O2945" t="n">
        <v>0</v>
      </c>
      <c r="P2945" t="n">
        <v>0</v>
      </c>
      <c r="Q2945" t="n">
        <v>0</v>
      </c>
      <c r="R2945" s="2" t="inlineStr"/>
    </row>
    <row r="2946">
      <c r="A2946" t="inlineStr">
        <is>
          <t>A 56635-2024</t>
        </is>
      </c>
      <c r="B2946" s="1" t="n">
        <v>45625</v>
      </c>
      <c r="C2946" s="1" t="n">
        <v>45627</v>
      </c>
      <c r="D2946" t="inlineStr">
        <is>
          <t>VÄRMLANDS LÄN</t>
        </is>
      </c>
      <c r="E2946" t="inlineStr">
        <is>
          <t>TORSBY</t>
        </is>
      </c>
      <c r="G2946" t="n">
        <v>2.5</v>
      </c>
      <c r="H2946" t="n">
        <v>0</v>
      </c>
      <c r="I2946" t="n">
        <v>0</v>
      </c>
      <c r="J2946" t="n">
        <v>0</v>
      </c>
      <c r="K2946" t="n">
        <v>0</v>
      </c>
      <c r="L2946" t="n">
        <v>0</v>
      </c>
      <c r="M2946" t="n">
        <v>0</v>
      </c>
      <c r="N2946" t="n">
        <v>0</v>
      </c>
      <c r="O2946" t="n">
        <v>0</v>
      </c>
      <c r="P2946" t="n">
        <v>0</v>
      </c>
      <c r="Q2946" t="n">
        <v>0</v>
      </c>
      <c r="R2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2024-12-01T15:31:56Z</dcterms:created>
  <dcterms:modified xmlns:dcterms="http://purl.org/dc/terms/" xmlns:xsi="http://www.w3.org/2001/XMLSchema-instance" xsi:type="dcterms:W3CDTF">2024-12-01T15:31:59Z</dcterms:modified>
</cp:coreProperties>
</file>