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46204</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46204</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46204</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46204</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46204</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16074-2026</t>
        </is>
      </c>
      <c r="B7" s="1" t="n">
        <v>46108</v>
      </c>
      <c r="C7" s="1" t="n">
        <v>46204</v>
      </c>
      <c r="D7" t="inlineStr">
        <is>
          <t>VÄRMLANDS LÄN</t>
        </is>
      </c>
      <c r="E7" t="inlineStr">
        <is>
          <t>TORSBY</t>
        </is>
      </c>
      <c r="G7" t="n">
        <v>1.9</v>
      </c>
      <c r="H7" t="n">
        <v>1</v>
      </c>
      <c r="I7" t="n">
        <v>6</v>
      </c>
      <c r="J7" t="n">
        <v>11</v>
      </c>
      <c r="K7" t="n">
        <v>1</v>
      </c>
      <c r="L7" t="n">
        <v>0</v>
      </c>
      <c r="M7" t="n">
        <v>0</v>
      </c>
      <c r="N7" t="n">
        <v>0</v>
      </c>
      <c r="O7" t="n">
        <v>12</v>
      </c>
      <c r="P7" t="n">
        <v>1</v>
      </c>
      <c r="Q7" t="n">
        <v>19</v>
      </c>
      <c r="R7" s="2" t="inlineStr">
        <is>
          <t>Garnlav
Brunpudrad nållav
Doftskinn
Dvärgbägarlav
Kattfotslav
Kolflarnlav
Lunglav
Mörk kolflarnlav
Rynkskinn
Ullticka
Vedskivlav
Vedtrappmossa
Bårdlav
Gytterlav
Korallblylav
Skogshakmossa
Stuplav
Vedticka
Revlummer</t>
        </is>
      </c>
      <c r="S7">
        <f>HYPERLINK("https://klasma.github.io/Logging_1737/artfynd/A 16074-2026 artfynd.xlsx", "A 16074-2026")</f>
        <v/>
      </c>
      <c r="T7">
        <f>HYPERLINK("https://klasma.github.io/Logging_1737/kartor/A 16074-2026 karta.png", "A 16074-2026")</f>
        <v/>
      </c>
      <c r="V7">
        <f>HYPERLINK("https://klasma.github.io/Logging_1737/klagomål/A 16074-2026 FSC-klagomål.docx", "A 16074-2026")</f>
        <v/>
      </c>
      <c r="W7">
        <f>HYPERLINK("https://klasma.github.io/Logging_1737/klagomålsmail/A 16074-2026 FSC-klagomål mail.docx", "A 16074-2026")</f>
        <v/>
      </c>
      <c r="X7">
        <f>HYPERLINK("https://klasma.github.io/Logging_1737/tillsyn/A 16074-2026 tillsynsbegäran.docx", "A 16074-2026")</f>
        <v/>
      </c>
      <c r="Y7">
        <f>HYPERLINK("https://klasma.github.io/Logging_1737/tillsynsmail/A 16074-2026 tillsynsbegäran mail.docx", "A 16074-2026")</f>
        <v/>
      </c>
    </row>
    <row r="8" ht="15" customHeight="1">
      <c r="A8" t="inlineStr">
        <is>
          <t>A 28033-2024</t>
        </is>
      </c>
      <c r="B8" s="1" t="n">
        <v>45476</v>
      </c>
      <c r="C8" s="1" t="n">
        <v>46204</v>
      </c>
      <c r="D8" t="inlineStr">
        <is>
          <t>VÄRMLANDS LÄN</t>
        </is>
      </c>
      <c r="E8" t="inlineStr">
        <is>
          <t>TORSBY</t>
        </is>
      </c>
      <c r="G8" t="n">
        <v>17.7</v>
      </c>
      <c r="H8" t="n">
        <v>1</v>
      </c>
      <c r="I8" t="n">
        <v>4</v>
      </c>
      <c r="J8" t="n">
        <v>13</v>
      </c>
      <c r="K8" t="n">
        <v>2</v>
      </c>
      <c r="L8" t="n">
        <v>0</v>
      </c>
      <c r="M8" t="n">
        <v>0</v>
      </c>
      <c r="N8" t="n">
        <v>0</v>
      </c>
      <c r="O8" t="n">
        <v>15</v>
      </c>
      <c r="P8" t="n">
        <v>2</v>
      </c>
      <c r="Q8" t="n">
        <v>19</v>
      </c>
      <c r="R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6315-2025</t>
        </is>
      </c>
      <c r="B9" s="1" t="n">
        <v>45698</v>
      </c>
      <c r="C9" s="1" t="n">
        <v>46204</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46204</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46204</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46204</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46204</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46204</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44562-2023</t>
        </is>
      </c>
      <c r="B15" s="1" t="n">
        <v>45189</v>
      </c>
      <c r="C15" s="1" t="n">
        <v>46204</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12370-2022</t>
        </is>
      </c>
      <c r="B16" s="1" t="n">
        <v>44637</v>
      </c>
      <c r="C16" s="1" t="n">
        <v>46204</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46204</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22621-2025</t>
        </is>
      </c>
      <c r="B18" s="1" t="n">
        <v>45789</v>
      </c>
      <c r="C18" s="1" t="n">
        <v>46204</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46204</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46204</v>
      </c>
      <c r="D20" t="inlineStr">
        <is>
          <t>VÄRMLANDS LÄN</t>
        </is>
      </c>
      <c r="E20" t="inlineStr">
        <is>
          <t>TORSBY</t>
        </is>
      </c>
      <c r="F20" t="inlineStr">
        <is>
          <t>Kommuner</t>
        </is>
      </c>
      <c r="G20" t="n">
        <v>2.7</v>
      </c>
      <c r="H20" t="n">
        <v>2</v>
      </c>
      <c r="I20" t="n">
        <v>5</v>
      </c>
      <c r="J20" t="n">
        <v>4</v>
      </c>
      <c r="K20" t="n">
        <v>2</v>
      </c>
      <c r="L20" t="n">
        <v>0</v>
      </c>
      <c r="M20" t="n">
        <v>0</v>
      </c>
      <c r="N20" t="n">
        <v>0</v>
      </c>
      <c r="O20" t="n">
        <v>6</v>
      </c>
      <c r="P20" t="n">
        <v>2</v>
      </c>
      <c r="Q20" t="n">
        <v>11</v>
      </c>
      <c r="R20" s="2" t="inlineStr">
        <is>
          <t>Garnlav
Knärot
Lunglav
Rynkskinn
Skuggblåslav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22006-2026</t>
        </is>
      </c>
      <c r="B21" s="1" t="n">
        <v>46153</v>
      </c>
      <c r="C21" s="1" t="n">
        <v>46204</v>
      </c>
      <c r="D21" t="inlineStr">
        <is>
          <t>VÄRMLANDS LÄN</t>
        </is>
      </c>
      <c r="E21" t="inlineStr">
        <is>
          <t>TORSBY</t>
        </is>
      </c>
      <c r="G21" t="n">
        <v>5.3</v>
      </c>
      <c r="H21" t="n">
        <v>0</v>
      </c>
      <c r="I21" t="n">
        <v>4</v>
      </c>
      <c r="J21" t="n">
        <v>5</v>
      </c>
      <c r="K21" t="n">
        <v>2</v>
      </c>
      <c r="L21" t="n">
        <v>0</v>
      </c>
      <c r="M21" t="n">
        <v>0</v>
      </c>
      <c r="N21" t="n">
        <v>0</v>
      </c>
      <c r="O21" t="n">
        <v>7</v>
      </c>
      <c r="P21" t="n">
        <v>2</v>
      </c>
      <c r="Q21" t="n">
        <v>11</v>
      </c>
      <c r="R21" s="2" t="inlineStr">
        <is>
          <t>Garnlav
Gräddporing
Lunglav
Mörk kolflarnlav
Vedskivlav
Vedtrappmossa
Violettgrå tagellav
Bårdlav
Gytterlav
Korallblylav
Stuplav</t>
        </is>
      </c>
      <c r="S21">
        <f>HYPERLINK("https://klasma.github.io/Logging_1737/artfynd/A 22006-2026 artfynd.xlsx", "A 22006-2026")</f>
        <v/>
      </c>
      <c r="T21">
        <f>HYPERLINK("https://klasma.github.io/Logging_1737/kartor/A 22006-2026 karta.png", "A 22006-2026")</f>
        <v/>
      </c>
      <c r="V21">
        <f>HYPERLINK("https://klasma.github.io/Logging_1737/klagomål/A 22006-2026 FSC-klagomål.docx", "A 22006-2026")</f>
        <v/>
      </c>
      <c r="W21">
        <f>HYPERLINK("https://klasma.github.io/Logging_1737/klagomålsmail/A 22006-2026 FSC-klagomål mail.docx", "A 22006-2026")</f>
        <v/>
      </c>
      <c r="X21">
        <f>HYPERLINK("https://klasma.github.io/Logging_1737/tillsyn/A 22006-2026 tillsynsbegäran.docx", "A 22006-2026")</f>
        <v/>
      </c>
      <c r="Y21">
        <f>HYPERLINK("https://klasma.github.io/Logging_1737/tillsynsmail/A 22006-2026 tillsynsbegäran mail.docx", "A 22006-2026")</f>
        <v/>
      </c>
    </row>
    <row r="22" ht="15" customHeight="1">
      <c r="A22" t="inlineStr">
        <is>
          <t>A 22230-2022</t>
        </is>
      </c>
      <c r="B22" s="1" t="n">
        <v>44712</v>
      </c>
      <c r="C22" s="1" t="n">
        <v>46204</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46204</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46204</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13525-2026</t>
        </is>
      </c>
      <c r="B25" s="1" t="n">
        <v>46094</v>
      </c>
      <c r="C25" s="1" t="n">
        <v>46204</v>
      </c>
      <c r="D25" t="inlineStr">
        <is>
          <t>VÄRMLANDS LÄN</t>
        </is>
      </c>
      <c r="E25" t="inlineStr">
        <is>
          <t>TORSBY</t>
        </is>
      </c>
      <c r="G25" t="n">
        <v>4.3</v>
      </c>
      <c r="H25" t="n">
        <v>0</v>
      </c>
      <c r="I25" t="n">
        <v>1</v>
      </c>
      <c r="J25" t="n">
        <v>7</v>
      </c>
      <c r="K25" t="n">
        <v>1</v>
      </c>
      <c r="L25" t="n">
        <v>0</v>
      </c>
      <c r="M25" t="n">
        <v>0</v>
      </c>
      <c r="N25" t="n">
        <v>0</v>
      </c>
      <c r="O25" t="n">
        <v>8</v>
      </c>
      <c r="P25" t="n">
        <v>1</v>
      </c>
      <c r="Q25" t="n">
        <v>9</v>
      </c>
      <c r="R25" s="2" t="inlineStr">
        <is>
          <t>Garnlav
Dvärgbägarlav
Kolflarnlav
Kortskaftad ärgspik
Mörk kolflarnlav
Skuggblåslav
Vedflamlav
Vedskivlav
Nästlav</t>
        </is>
      </c>
      <c r="S25">
        <f>HYPERLINK("https://klasma.github.io/Logging_1737/artfynd/A 13525-2026 artfynd.xlsx", "A 13525-2026")</f>
        <v/>
      </c>
      <c r="T25">
        <f>HYPERLINK("https://klasma.github.io/Logging_1737/kartor/A 13525-2026 karta.png", "A 13525-2026")</f>
        <v/>
      </c>
      <c r="V25">
        <f>HYPERLINK("https://klasma.github.io/Logging_1737/klagomål/A 13525-2026 FSC-klagomål.docx", "A 13525-2026")</f>
        <v/>
      </c>
      <c r="W25">
        <f>HYPERLINK("https://klasma.github.io/Logging_1737/klagomålsmail/A 13525-2026 FSC-klagomål mail.docx", "A 13525-2026")</f>
        <v/>
      </c>
      <c r="X25">
        <f>HYPERLINK("https://klasma.github.io/Logging_1737/tillsyn/A 13525-2026 tillsynsbegäran.docx", "A 13525-2026")</f>
        <v/>
      </c>
      <c r="Y25">
        <f>HYPERLINK("https://klasma.github.io/Logging_1737/tillsynsmail/A 13525-2026 tillsynsbegäran mail.docx", "A 13525-2026")</f>
        <v/>
      </c>
    </row>
    <row r="26" ht="15" customHeight="1">
      <c r="A26" t="inlineStr">
        <is>
          <t>A 58856-2025</t>
        </is>
      </c>
      <c r="B26" s="1" t="n">
        <v>45987</v>
      </c>
      <c r="C26" s="1" t="n">
        <v>46204</v>
      </c>
      <c r="D26" t="inlineStr">
        <is>
          <t>VÄRMLANDS LÄN</t>
        </is>
      </c>
      <c r="E26" t="inlineStr">
        <is>
          <t>TORSBY</t>
        </is>
      </c>
      <c r="G26" t="n">
        <v>4.6</v>
      </c>
      <c r="H26" t="n">
        <v>0</v>
      </c>
      <c r="I26" t="n">
        <v>1</v>
      </c>
      <c r="J26" t="n">
        <v>7</v>
      </c>
      <c r="K26" t="n">
        <v>1</v>
      </c>
      <c r="L26" t="n">
        <v>0</v>
      </c>
      <c r="M26" t="n">
        <v>0</v>
      </c>
      <c r="N26" t="n">
        <v>0</v>
      </c>
      <c r="O26" t="n">
        <v>8</v>
      </c>
      <c r="P26" t="n">
        <v>1</v>
      </c>
      <c r="Q26" t="n">
        <v>9</v>
      </c>
      <c r="R26" s="2" t="inlineStr">
        <is>
          <t>Garnlav
Brunpudrad nållav
Dvärgbägarlav
Kortskaftad ärgspik
Lunglav
Motaggsvamp
Skuggblåslav
Vedskivlav
Korallblylav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41096-2025</t>
        </is>
      </c>
      <c r="B27" s="1" t="n">
        <v>45898</v>
      </c>
      <c r="C27" s="1" t="n">
        <v>46204</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46204</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14968-2026</t>
        </is>
      </c>
      <c r="B29" s="1" t="n">
        <v>46104</v>
      </c>
      <c r="C29" s="1" t="n">
        <v>46204</v>
      </c>
      <c r="D29" t="inlineStr">
        <is>
          <t>VÄRMLANDS LÄN</t>
        </is>
      </c>
      <c r="E29" t="inlineStr">
        <is>
          <t>TORSBY</t>
        </is>
      </c>
      <c r="F29" t="inlineStr">
        <is>
          <t>Bergvik skog väst AB</t>
        </is>
      </c>
      <c r="G29" t="n">
        <v>12</v>
      </c>
      <c r="H29" t="n">
        <v>2</v>
      </c>
      <c r="I29" t="n">
        <v>2</v>
      </c>
      <c r="J29" t="n">
        <v>5</v>
      </c>
      <c r="K29" t="n">
        <v>0</v>
      </c>
      <c r="L29" t="n">
        <v>0</v>
      </c>
      <c r="M29" t="n">
        <v>0</v>
      </c>
      <c r="N29" t="n">
        <v>0</v>
      </c>
      <c r="O29" t="n">
        <v>5</v>
      </c>
      <c r="P29" t="n">
        <v>0</v>
      </c>
      <c r="Q29" t="n">
        <v>8</v>
      </c>
      <c r="R29" s="2" t="inlineStr">
        <is>
          <t>Blanksvart spiklav
Lunglav
Skrovellav
Tretåig hackspett
Vitgrynig nållav
Luddlav
Stuplav
Utter</t>
        </is>
      </c>
      <c r="S29">
        <f>HYPERLINK("https://klasma.github.io/Logging_1737/artfynd/A 14968-2026 artfynd.xlsx", "A 14968-2026")</f>
        <v/>
      </c>
      <c r="T29">
        <f>HYPERLINK("https://klasma.github.io/Logging_1737/kartor/A 14968-2026 karta.png", "A 14968-2026")</f>
        <v/>
      </c>
      <c r="V29">
        <f>HYPERLINK("https://klasma.github.io/Logging_1737/klagomål/A 14968-2026 FSC-klagomål.docx", "A 14968-2026")</f>
        <v/>
      </c>
      <c r="W29">
        <f>HYPERLINK("https://klasma.github.io/Logging_1737/klagomålsmail/A 14968-2026 FSC-klagomål mail.docx", "A 14968-2026")</f>
        <v/>
      </c>
      <c r="X29">
        <f>HYPERLINK("https://klasma.github.io/Logging_1737/tillsyn/A 14968-2026 tillsynsbegäran.docx", "A 14968-2026")</f>
        <v/>
      </c>
      <c r="Y29">
        <f>HYPERLINK("https://klasma.github.io/Logging_1737/tillsynsmail/A 14968-2026 tillsynsbegäran mail.docx", "A 14968-2026")</f>
        <v/>
      </c>
      <c r="Z29">
        <f>HYPERLINK("https://klasma.github.io/Logging_1737/fåglar/A 14968-2026 prioriterade fågelarter.docx", "A 14968-2026")</f>
        <v/>
      </c>
    </row>
    <row r="30" ht="15" customHeight="1">
      <c r="A30" t="inlineStr">
        <is>
          <t>A 41346-2024</t>
        </is>
      </c>
      <c r="B30" s="1" t="n">
        <v>45559</v>
      </c>
      <c r="C30" s="1" t="n">
        <v>46204</v>
      </c>
      <c r="D30" t="inlineStr">
        <is>
          <t>VÄRMLANDS LÄN</t>
        </is>
      </c>
      <c r="E30" t="inlineStr">
        <is>
          <t>TORSBY</t>
        </is>
      </c>
      <c r="G30" t="n">
        <v>4.1</v>
      </c>
      <c r="H30" t="n">
        <v>0</v>
      </c>
      <c r="I30" t="n">
        <v>0</v>
      </c>
      <c r="J30" t="n">
        <v>7</v>
      </c>
      <c r="K30" t="n">
        <v>1</v>
      </c>
      <c r="L30" t="n">
        <v>0</v>
      </c>
      <c r="M30" t="n">
        <v>0</v>
      </c>
      <c r="N30" t="n">
        <v>0</v>
      </c>
      <c r="O30" t="n">
        <v>8</v>
      </c>
      <c r="P30" t="n">
        <v>1</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43822-2023</t>
        </is>
      </c>
      <c r="B31" s="1" t="n">
        <v>45182</v>
      </c>
      <c r="C31" s="1" t="n">
        <v>46204</v>
      </c>
      <c r="D31" t="inlineStr">
        <is>
          <t>VÄRMLANDS LÄN</t>
        </is>
      </c>
      <c r="E31" t="inlineStr">
        <is>
          <t>TORSBY</t>
        </is>
      </c>
      <c r="G31" t="n">
        <v>17.9</v>
      </c>
      <c r="H31" t="n">
        <v>2</v>
      </c>
      <c r="I31" t="n">
        <v>0</v>
      </c>
      <c r="J31" t="n">
        <v>6</v>
      </c>
      <c r="K31" t="n">
        <v>1</v>
      </c>
      <c r="L31" t="n">
        <v>0</v>
      </c>
      <c r="M31" t="n">
        <v>0</v>
      </c>
      <c r="N31" t="n">
        <v>0</v>
      </c>
      <c r="O31" t="n">
        <v>7</v>
      </c>
      <c r="P31" t="n">
        <v>1</v>
      </c>
      <c r="Q31" t="n">
        <v>8</v>
      </c>
      <c r="R31" s="2" t="inlineStr">
        <is>
          <t>Garnlav
Gammelgransskål
Kolflarnlav
Motaggsvamp
Mörk kolflarnlav
Skrovellav
Tretåig hackspett
Tjäder</t>
        </is>
      </c>
      <c r="S31">
        <f>HYPERLINK("https://klasma.github.io/Logging_1737/artfynd/A 43822-2023 artfynd.xlsx", "A 43822-2023")</f>
        <v/>
      </c>
      <c r="T31">
        <f>HYPERLINK("https://klasma.github.io/Logging_1737/kartor/A 43822-2023 karta.png", "A 43822-2023")</f>
        <v/>
      </c>
      <c r="V31">
        <f>HYPERLINK("https://klasma.github.io/Logging_1737/klagomål/A 43822-2023 FSC-klagomål.docx", "A 43822-2023")</f>
        <v/>
      </c>
      <c r="W31">
        <f>HYPERLINK("https://klasma.github.io/Logging_1737/klagomålsmail/A 43822-2023 FSC-klagomål mail.docx", "A 43822-2023")</f>
        <v/>
      </c>
      <c r="X31">
        <f>HYPERLINK("https://klasma.github.io/Logging_1737/tillsyn/A 43822-2023 tillsynsbegäran.docx", "A 43822-2023")</f>
        <v/>
      </c>
      <c r="Y31">
        <f>HYPERLINK("https://klasma.github.io/Logging_1737/tillsynsmail/A 43822-2023 tillsynsbegäran mail.docx", "A 43822-2023")</f>
        <v/>
      </c>
      <c r="Z31">
        <f>HYPERLINK("https://klasma.github.io/Logging_1737/fåglar/A 43822-2023 prioriterade fågelarter.docx", "A 43822-2023")</f>
        <v/>
      </c>
    </row>
    <row r="32" ht="15" customHeight="1">
      <c r="A32" t="inlineStr">
        <is>
          <t>A 22604-2025</t>
        </is>
      </c>
      <c r="B32" s="1" t="n">
        <v>45789</v>
      </c>
      <c r="C32" s="1" t="n">
        <v>46204</v>
      </c>
      <c r="D32" t="inlineStr">
        <is>
          <t>VÄRMLANDS LÄN</t>
        </is>
      </c>
      <c r="E32" t="inlineStr">
        <is>
          <t>TORSBY</t>
        </is>
      </c>
      <c r="G32" t="n">
        <v>13.3</v>
      </c>
      <c r="H32" t="n">
        <v>0</v>
      </c>
      <c r="I32" t="n">
        <v>0</v>
      </c>
      <c r="J32" t="n">
        <v>7</v>
      </c>
      <c r="K32" t="n">
        <v>1</v>
      </c>
      <c r="L32" t="n">
        <v>0</v>
      </c>
      <c r="M32" t="n">
        <v>0</v>
      </c>
      <c r="N32" t="n">
        <v>0</v>
      </c>
      <c r="O32" t="n">
        <v>8</v>
      </c>
      <c r="P32" t="n">
        <v>1</v>
      </c>
      <c r="Q32" t="n">
        <v>8</v>
      </c>
      <c r="R32" s="2" t="inlineStr">
        <is>
          <t>Garnlav
Dvärgbägarlav
Kolflarnlav
Lunglav
Mörk kolflarnlav
Skrovellav
Vedskivlav
Violettgrå tagellav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17057-2025</t>
        </is>
      </c>
      <c r="B33" s="1" t="n">
        <v>45754</v>
      </c>
      <c r="C33" s="1" t="n">
        <v>46204</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32986-2025</t>
        </is>
      </c>
      <c r="B34" s="1" t="n">
        <v>45839</v>
      </c>
      <c r="C34" s="1" t="n">
        <v>46204</v>
      </c>
      <c r="D34" t="inlineStr">
        <is>
          <t>VÄRMLANDS LÄN</t>
        </is>
      </c>
      <c r="E34" t="inlineStr">
        <is>
          <t>TORSBY</t>
        </is>
      </c>
      <c r="G34" t="n">
        <v>2.9</v>
      </c>
      <c r="H34" t="n">
        <v>0</v>
      </c>
      <c r="I34" t="n">
        <v>0</v>
      </c>
      <c r="J34" t="n">
        <v>5</v>
      </c>
      <c r="K34" t="n">
        <v>2</v>
      </c>
      <c r="L34" t="n">
        <v>0</v>
      </c>
      <c r="M34" t="n">
        <v>0</v>
      </c>
      <c r="N34" t="n">
        <v>0</v>
      </c>
      <c r="O34" t="n">
        <v>7</v>
      </c>
      <c r="P34" t="n">
        <v>2</v>
      </c>
      <c r="Q34" t="n">
        <v>7</v>
      </c>
      <c r="R34" s="2" t="inlineStr">
        <is>
          <t>Garnlav
Gräddporing
Dropptaggsvamp
Dvärgbägarlav
Kolflarnlav
Mörk kolflarnlav
Skarp dropptaggsvamp</t>
        </is>
      </c>
      <c r="S34">
        <f>HYPERLINK("https://klasma.github.io/Logging_1737/artfynd/A 32986-2025 artfynd.xlsx", "A 32986-2025")</f>
        <v/>
      </c>
      <c r="T34">
        <f>HYPERLINK("https://klasma.github.io/Logging_1737/kartor/A 32986-2025 karta.png", "A 32986-2025")</f>
        <v/>
      </c>
      <c r="V34">
        <f>HYPERLINK("https://klasma.github.io/Logging_1737/klagomål/A 32986-2025 FSC-klagomål.docx", "A 32986-2025")</f>
        <v/>
      </c>
      <c r="W34">
        <f>HYPERLINK("https://klasma.github.io/Logging_1737/klagomålsmail/A 32986-2025 FSC-klagomål mail.docx", "A 32986-2025")</f>
        <v/>
      </c>
      <c r="X34">
        <f>HYPERLINK("https://klasma.github.io/Logging_1737/tillsyn/A 32986-2025 tillsynsbegäran.docx", "A 32986-2025")</f>
        <v/>
      </c>
      <c r="Y34">
        <f>HYPERLINK("https://klasma.github.io/Logging_1737/tillsynsmail/A 32986-2025 tillsynsbegäran mail.docx", "A 32986-2025")</f>
        <v/>
      </c>
    </row>
    <row r="35" ht="15" customHeight="1">
      <c r="A35" t="inlineStr">
        <is>
          <t>A 8979-2025</t>
        </is>
      </c>
      <c r="B35" s="1" t="n">
        <v>45713</v>
      </c>
      <c r="C35" s="1" t="n">
        <v>46204</v>
      </c>
      <c r="D35" t="inlineStr">
        <is>
          <t>VÄRMLANDS LÄN</t>
        </is>
      </c>
      <c r="E35" t="inlineStr">
        <is>
          <t>TORSBY</t>
        </is>
      </c>
      <c r="G35" t="n">
        <v>6.5</v>
      </c>
      <c r="H35" t="n">
        <v>1</v>
      </c>
      <c r="I35" t="n">
        <v>5</v>
      </c>
      <c r="J35" t="n">
        <v>1</v>
      </c>
      <c r="K35" t="n">
        <v>0</v>
      </c>
      <c r="L35" t="n">
        <v>0</v>
      </c>
      <c r="M35" t="n">
        <v>0</v>
      </c>
      <c r="N35" t="n">
        <v>0</v>
      </c>
      <c r="O35" t="n">
        <v>1</v>
      </c>
      <c r="P35" t="n">
        <v>0</v>
      </c>
      <c r="Q35" t="n">
        <v>7</v>
      </c>
      <c r="R35" s="2" t="inlineStr">
        <is>
          <t>Veckticka
Bårdlav
Korallblylav
Platt fjädermossa
Rävticka
Svart trolldruva
Blåsippa</t>
        </is>
      </c>
      <c r="S35">
        <f>HYPERLINK("https://klasma.github.io/Logging_1737/artfynd/A 8979-2025 artfynd.xlsx", "A 8979-2025")</f>
        <v/>
      </c>
      <c r="T35">
        <f>HYPERLINK("https://klasma.github.io/Logging_1737/kartor/A 8979-2025 karta.png", "A 8979-2025")</f>
        <v/>
      </c>
      <c r="V35">
        <f>HYPERLINK("https://klasma.github.io/Logging_1737/klagomål/A 8979-2025 FSC-klagomål.docx", "A 8979-2025")</f>
        <v/>
      </c>
      <c r="W35">
        <f>HYPERLINK("https://klasma.github.io/Logging_1737/klagomålsmail/A 8979-2025 FSC-klagomål mail.docx", "A 8979-2025")</f>
        <v/>
      </c>
      <c r="X35">
        <f>HYPERLINK("https://klasma.github.io/Logging_1737/tillsyn/A 8979-2025 tillsynsbegäran.docx", "A 8979-2025")</f>
        <v/>
      </c>
      <c r="Y35">
        <f>HYPERLINK("https://klasma.github.io/Logging_1737/tillsynsmail/A 8979-2025 tillsynsbegäran mail.docx", "A 8979-2025")</f>
        <v/>
      </c>
    </row>
    <row r="36" ht="15" customHeight="1">
      <c r="A36" t="inlineStr">
        <is>
          <t>A 54297-2022</t>
        </is>
      </c>
      <c r="B36" s="1" t="n">
        <v>44882</v>
      </c>
      <c r="C36" s="1" t="n">
        <v>46204</v>
      </c>
      <c r="D36" t="inlineStr">
        <is>
          <t>VÄRMLANDS LÄN</t>
        </is>
      </c>
      <c r="E36" t="inlineStr">
        <is>
          <t>TORSBY</t>
        </is>
      </c>
      <c r="G36" t="n">
        <v>10.2</v>
      </c>
      <c r="H36" t="n">
        <v>1</v>
      </c>
      <c r="I36" t="n">
        <v>5</v>
      </c>
      <c r="J36" t="n">
        <v>1</v>
      </c>
      <c r="K36" t="n">
        <v>1</v>
      </c>
      <c r="L36" t="n">
        <v>0</v>
      </c>
      <c r="M36" t="n">
        <v>0</v>
      </c>
      <c r="N36" t="n">
        <v>0</v>
      </c>
      <c r="O36" t="n">
        <v>2</v>
      </c>
      <c r="P36" t="n">
        <v>1</v>
      </c>
      <c r="Q36" t="n">
        <v>7</v>
      </c>
      <c r="R36" s="2" t="inlineStr">
        <is>
          <t>Garnlav
Tretåig hackspett
Bronshjon
Bårdlav
Stuplav
Thomsons trägnagare
Vedticka</t>
        </is>
      </c>
      <c r="S36">
        <f>HYPERLINK("https://klasma.github.io/Logging_1737/artfynd/A 54297-2022 artfynd.xlsx", "A 54297-2022")</f>
        <v/>
      </c>
      <c r="T36">
        <f>HYPERLINK("https://klasma.github.io/Logging_1737/kartor/A 54297-2022 karta.png", "A 54297-2022")</f>
        <v/>
      </c>
      <c r="V36">
        <f>HYPERLINK("https://klasma.github.io/Logging_1737/klagomål/A 54297-2022 FSC-klagomål.docx", "A 54297-2022")</f>
        <v/>
      </c>
      <c r="W36">
        <f>HYPERLINK("https://klasma.github.io/Logging_1737/klagomålsmail/A 54297-2022 FSC-klagomål mail.docx", "A 54297-2022")</f>
        <v/>
      </c>
      <c r="X36">
        <f>HYPERLINK("https://klasma.github.io/Logging_1737/tillsyn/A 54297-2022 tillsynsbegäran.docx", "A 54297-2022")</f>
        <v/>
      </c>
      <c r="Y36">
        <f>HYPERLINK("https://klasma.github.io/Logging_1737/tillsynsmail/A 54297-2022 tillsynsbegäran mail.docx", "A 54297-2022")</f>
        <v/>
      </c>
      <c r="Z36">
        <f>HYPERLINK("https://klasma.github.io/Logging_1737/fåglar/A 54297-2022 prioriterade fågelarter.docx", "A 54297-2022")</f>
        <v/>
      </c>
    </row>
    <row r="37" ht="15" customHeight="1">
      <c r="A37" t="inlineStr">
        <is>
          <t>A 73921-2021</t>
        </is>
      </c>
      <c r="B37" s="1" t="n">
        <v>44553</v>
      </c>
      <c r="C37" s="1" t="n">
        <v>46204</v>
      </c>
      <c r="D37" t="inlineStr">
        <is>
          <t>VÄRMLANDS LÄN</t>
        </is>
      </c>
      <c r="E37" t="inlineStr">
        <is>
          <t>TORSBY</t>
        </is>
      </c>
      <c r="G37" t="n">
        <v>15.3</v>
      </c>
      <c r="H37" t="n">
        <v>0</v>
      </c>
      <c r="I37" t="n">
        <v>0</v>
      </c>
      <c r="J37" t="n">
        <v>6</v>
      </c>
      <c r="K37" t="n">
        <v>1</v>
      </c>
      <c r="L37" t="n">
        <v>0</v>
      </c>
      <c r="M37" t="n">
        <v>0</v>
      </c>
      <c r="N37" t="n">
        <v>0</v>
      </c>
      <c r="O37" t="n">
        <v>7</v>
      </c>
      <c r="P37" t="n">
        <v>1</v>
      </c>
      <c r="Q37" t="n">
        <v>7</v>
      </c>
      <c r="R37" s="2" t="inlineStr">
        <is>
          <t>Garnlav
Dropptaggsvamp
Gammelgransskål
Kolflarnlav
Motaggsvamp
Mörk kolflarnlav
Vedskivlav</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12294-2025</t>
        </is>
      </c>
      <c r="B38" s="1" t="n">
        <v>45729</v>
      </c>
      <c r="C38" s="1" t="n">
        <v>46204</v>
      </c>
      <c r="D38" t="inlineStr">
        <is>
          <t>VÄRMLANDS LÄN</t>
        </is>
      </c>
      <c r="E38" t="inlineStr">
        <is>
          <t>TORSBY</t>
        </is>
      </c>
      <c r="G38" t="n">
        <v>2.4</v>
      </c>
      <c r="H38" t="n">
        <v>1</v>
      </c>
      <c r="I38" t="n">
        <v>4</v>
      </c>
      <c r="J38" t="n">
        <v>2</v>
      </c>
      <c r="K38" t="n">
        <v>0</v>
      </c>
      <c r="L38" t="n">
        <v>0</v>
      </c>
      <c r="M38" t="n">
        <v>0</v>
      </c>
      <c r="N38" t="n">
        <v>0</v>
      </c>
      <c r="O38" t="n">
        <v>2</v>
      </c>
      <c r="P38" t="n">
        <v>0</v>
      </c>
      <c r="Q38" t="n">
        <v>7</v>
      </c>
      <c r="R38" s="2" t="inlineStr">
        <is>
          <t>Gullpudra
Vårärt
Dvärghäxört
Svart trolldruva
Tibast
Underviol
Blåsippa</t>
        </is>
      </c>
      <c r="S38">
        <f>HYPERLINK("https://klasma.github.io/Logging_1737/artfynd/A 12294-2025 artfynd.xlsx", "A 12294-2025")</f>
        <v/>
      </c>
      <c r="T38">
        <f>HYPERLINK("https://klasma.github.io/Logging_1737/kartor/A 12294-2025 karta.png", "A 12294-2025")</f>
        <v/>
      </c>
      <c r="V38">
        <f>HYPERLINK("https://klasma.github.io/Logging_1737/klagomål/A 12294-2025 FSC-klagomål.docx", "A 12294-2025")</f>
        <v/>
      </c>
      <c r="W38">
        <f>HYPERLINK("https://klasma.github.io/Logging_1737/klagomålsmail/A 12294-2025 FSC-klagomål mail.docx", "A 12294-2025")</f>
        <v/>
      </c>
      <c r="X38">
        <f>HYPERLINK("https://klasma.github.io/Logging_1737/tillsyn/A 12294-2025 tillsynsbegäran.docx", "A 12294-2025")</f>
        <v/>
      </c>
      <c r="Y38">
        <f>HYPERLINK("https://klasma.github.io/Logging_1737/tillsynsmail/A 12294-2025 tillsynsbegäran mail.docx", "A 12294-2025")</f>
        <v/>
      </c>
    </row>
    <row r="39" ht="15" customHeight="1">
      <c r="A39" t="inlineStr">
        <is>
          <t>A 44477-2024</t>
        </is>
      </c>
      <c r="B39" s="1" t="n">
        <v>45574</v>
      </c>
      <c r="C39" s="1" t="n">
        <v>46204</v>
      </c>
      <c r="D39" t="inlineStr">
        <is>
          <t>VÄRMLANDS LÄN</t>
        </is>
      </c>
      <c r="E39" t="inlineStr">
        <is>
          <t>TORSBY</t>
        </is>
      </c>
      <c r="G39" t="n">
        <v>3</v>
      </c>
      <c r="H39" t="n">
        <v>0</v>
      </c>
      <c r="I39" t="n">
        <v>4</v>
      </c>
      <c r="J39" t="n">
        <v>2</v>
      </c>
      <c r="K39" t="n">
        <v>1</v>
      </c>
      <c r="L39" t="n">
        <v>0</v>
      </c>
      <c r="M39" t="n">
        <v>0</v>
      </c>
      <c r="N39" t="n">
        <v>0</v>
      </c>
      <c r="O39" t="n">
        <v>3</v>
      </c>
      <c r="P39" t="n">
        <v>1</v>
      </c>
      <c r="Q39" t="n">
        <v>7</v>
      </c>
      <c r="R39" s="2" t="inlineStr">
        <is>
          <t>Garnlav
Lunglav
Ullticka
Gulnål
Korallblylav
Luddlav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20012-2026</t>
        </is>
      </c>
      <c r="B40" s="1" t="n">
        <v>46136</v>
      </c>
      <c r="C40" s="1" t="n">
        <v>46204</v>
      </c>
      <c r="D40" t="inlineStr">
        <is>
          <t>VÄRMLANDS LÄN</t>
        </is>
      </c>
      <c r="E40" t="inlineStr">
        <is>
          <t>TORSBY</t>
        </is>
      </c>
      <c r="G40" t="n">
        <v>4.9</v>
      </c>
      <c r="H40" t="n">
        <v>1</v>
      </c>
      <c r="I40" t="n">
        <v>2</v>
      </c>
      <c r="J40" t="n">
        <v>2</v>
      </c>
      <c r="K40" t="n">
        <v>2</v>
      </c>
      <c r="L40" t="n">
        <v>0</v>
      </c>
      <c r="M40" t="n">
        <v>0</v>
      </c>
      <c r="N40" t="n">
        <v>0</v>
      </c>
      <c r="O40" t="n">
        <v>4</v>
      </c>
      <c r="P40" t="n">
        <v>2</v>
      </c>
      <c r="Q40" t="n">
        <v>7</v>
      </c>
      <c r="R40" s="2" t="inlineStr">
        <is>
          <t>Citronporing
Gränsticka
Gransotdyna
Vedtrappmossa
Trådticka
Vedticka
Revlummer</t>
        </is>
      </c>
      <c r="S40">
        <f>HYPERLINK("https://klasma.github.io/Logging_1737/artfynd/A 20012-2026 artfynd.xlsx", "A 20012-2026")</f>
        <v/>
      </c>
      <c r="T40">
        <f>HYPERLINK("https://klasma.github.io/Logging_1737/kartor/A 20012-2026 karta.png", "A 20012-2026")</f>
        <v/>
      </c>
      <c r="V40">
        <f>HYPERLINK("https://klasma.github.io/Logging_1737/klagomål/A 20012-2026 FSC-klagomål.docx", "A 20012-2026")</f>
        <v/>
      </c>
      <c r="W40">
        <f>HYPERLINK("https://klasma.github.io/Logging_1737/klagomålsmail/A 20012-2026 FSC-klagomål mail.docx", "A 20012-2026")</f>
        <v/>
      </c>
      <c r="X40">
        <f>HYPERLINK("https://klasma.github.io/Logging_1737/tillsyn/A 20012-2026 tillsynsbegäran.docx", "A 20012-2026")</f>
        <v/>
      </c>
      <c r="Y40">
        <f>HYPERLINK("https://klasma.github.io/Logging_1737/tillsynsmail/A 20012-2026 tillsynsbegäran mail.docx", "A 20012-2026")</f>
        <v/>
      </c>
    </row>
    <row r="41" ht="15" customHeight="1">
      <c r="A41" t="inlineStr">
        <is>
          <t>A 26488-2025</t>
        </is>
      </c>
      <c r="B41" s="1" t="n">
        <v>45807</v>
      </c>
      <c r="C41" s="1" t="n">
        <v>46204</v>
      </c>
      <c r="D41" t="inlineStr">
        <is>
          <t>VÄRMLANDS LÄN</t>
        </is>
      </c>
      <c r="E41" t="inlineStr">
        <is>
          <t>TORSBY</t>
        </is>
      </c>
      <c r="G41" t="n">
        <v>1.6</v>
      </c>
      <c r="H41" t="n">
        <v>2</v>
      </c>
      <c r="I41" t="n">
        <v>2</v>
      </c>
      <c r="J41" t="n">
        <v>3</v>
      </c>
      <c r="K41" t="n">
        <v>1</v>
      </c>
      <c r="L41" t="n">
        <v>0</v>
      </c>
      <c r="M41" t="n">
        <v>0</v>
      </c>
      <c r="N41" t="n">
        <v>0</v>
      </c>
      <c r="O41" t="n">
        <v>4</v>
      </c>
      <c r="P41" t="n">
        <v>1</v>
      </c>
      <c r="Q41" t="n">
        <v>7</v>
      </c>
      <c r="R41" s="2" t="inlineStr">
        <is>
          <t>Garnlav
Motaggsvamp
Skuggblåslav
Talltita
Gullgröppa
Nästlav
Kungsfågel</t>
        </is>
      </c>
      <c r="S41">
        <f>HYPERLINK("https://klasma.github.io/Logging_1737/artfynd/A 26488-2025 artfynd.xlsx", "A 26488-2025")</f>
        <v/>
      </c>
      <c r="T41">
        <f>HYPERLINK("https://klasma.github.io/Logging_1737/kartor/A 26488-2025 karta.png", "A 26488-2025")</f>
        <v/>
      </c>
      <c r="V41">
        <f>HYPERLINK("https://klasma.github.io/Logging_1737/klagomål/A 26488-2025 FSC-klagomål.docx", "A 26488-2025")</f>
        <v/>
      </c>
      <c r="W41">
        <f>HYPERLINK("https://klasma.github.io/Logging_1737/klagomålsmail/A 26488-2025 FSC-klagomål mail.docx", "A 26488-2025")</f>
        <v/>
      </c>
      <c r="X41">
        <f>HYPERLINK("https://klasma.github.io/Logging_1737/tillsyn/A 26488-2025 tillsynsbegäran.docx", "A 26488-2025")</f>
        <v/>
      </c>
      <c r="Y41">
        <f>HYPERLINK("https://klasma.github.io/Logging_1737/tillsynsmail/A 26488-2025 tillsynsbegäran mail.docx", "A 26488-2025")</f>
        <v/>
      </c>
      <c r="Z41">
        <f>HYPERLINK("https://klasma.github.io/Logging_1737/fåglar/A 26488-2025 prioriterade fågelarter.docx", "A 26488-2025")</f>
        <v/>
      </c>
    </row>
    <row r="42" ht="15" customHeight="1">
      <c r="A42" t="inlineStr">
        <is>
          <t>A 49109-2021</t>
        </is>
      </c>
      <c r="B42" s="1" t="n">
        <v>44453</v>
      </c>
      <c r="C42" s="1" t="n">
        <v>46204</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8514-2022</t>
        </is>
      </c>
      <c r="B43" s="1" t="n">
        <v>44613</v>
      </c>
      <c r="C43" s="1" t="n">
        <v>46204</v>
      </c>
      <c r="D43" t="inlineStr">
        <is>
          <t>VÄRMLANDS LÄN</t>
        </is>
      </c>
      <c r="E43" t="inlineStr">
        <is>
          <t>TORSBY</t>
        </is>
      </c>
      <c r="G43" t="n">
        <v>4.4</v>
      </c>
      <c r="H43" t="n">
        <v>2</v>
      </c>
      <c r="I43" t="n">
        <v>0</v>
      </c>
      <c r="J43" t="n">
        <v>4</v>
      </c>
      <c r="K43" t="n">
        <v>1</v>
      </c>
      <c r="L43" t="n">
        <v>0</v>
      </c>
      <c r="M43" t="n">
        <v>0</v>
      </c>
      <c r="N43" t="n">
        <v>0</v>
      </c>
      <c r="O43" t="n">
        <v>5</v>
      </c>
      <c r="P43" t="n">
        <v>1</v>
      </c>
      <c r="Q43" t="n">
        <v>6</v>
      </c>
      <c r="R43" s="2" t="inlineStr">
        <is>
          <t>Garnlav
Kolflarnlav
Mörk kolflarnlav
Talltita
Vedskivlav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62250-2025</t>
        </is>
      </c>
      <c r="B44" s="1" t="n">
        <v>46006</v>
      </c>
      <c r="C44" s="1" t="n">
        <v>46204</v>
      </c>
      <c r="D44" t="inlineStr">
        <is>
          <t>VÄRMLANDS LÄN</t>
        </is>
      </c>
      <c r="E44" t="inlineStr">
        <is>
          <t>TORSBY</t>
        </is>
      </c>
      <c r="F44" t="inlineStr">
        <is>
          <t>Bergvik skog väst AB</t>
        </is>
      </c>
      <c r="G44" t="n">
        <v>1.3</v>
      </c>
      <c r="H44" t="n">
        <v>0</v>
      </c>
      <c r="I44" t="n">
        <v>1</v>
      </c>
      <c r="J44" t="n">
        <v>4</v>
      </c>
      <c r="K44" t="n">
        <v>1</v>
      </c>
      <c r="L44" t="n">
        <v>0</v>
      </c>
      <c r="M44" t="n">
        <v>0</v>
      </c>
      <c r="N44" t="n">
        <v>0</v>
      </c>
      <c r="O44" t="n">
        <v>5</v>
      </c>
      <c r="P44" t="n">
        <v>1</v>
      </c>
      <c r="Q44" t="n">
        <v>6</v>
      </c>
      <c r="R44" s="2" t="inlineStr">
        <is>
          <t>Garnlav
Dvärgbägarlav
Mörk kolflarnlav
Skuggblåslav
Vedskivlav
Vedticka</t>
        </is>
      </c>
      <c r="S44">
        <f>HYPERLINK("https://klasma.github.io/Logging_1737/artfynd/A 62250-2025 artfynd.xlsx", "A 62250-2025")</f>
        <v/>
      </c>
      <c r="T44">
        <f>HYPERLINK("https://klasma.github.io/Logging_1737/kartor/A 62250-2025 karta.png", "A 62250-2025")</f>
        <v/>
      </c>
      <c r="V44">
        <f>HYPERLINK("https://klasma.github.io/Logging_1737/klagomål/A 62250-2025 FSC-klagomål.docx", "A 62250-2025")</f>
        <v/>
      </c>
      <c r="W44">
        <f>HYPERLINK("https://klasma.github.io/Logging_1737/klagomålsmail/A 62250-2025 FSC-klagomål mail.docx", "A 62250-2025")</f>
        <v/>
      </c>
      <c r="X44">
        <f>HYPERLINK("https://klasma.github.io/Logging_1737/tillsyn/A 62250-2025 tillsynsbegäran.docx", "A 62250-2025")</f>
        <v/>
      </c>
      <c r="Y44">
        <f>HYPERLINK("https://klasma.github.io/Logging_1737/tillsynsmail/A 62250-2025 tillsynsbegäran mail.docx", "A 62250-2025")</f>
        <v/>
      </c>
    </row>
    <row r="45" ht="15" customHeight="1">
      <c r="A45" t="inlineStr">
        <is>
          <t>A 19224-2026</t>
        </is>
      </c>
      <c r="B45" s="1" t="n">
        <v>46132</v>
      </c>
      <c r="C45" s="1" t="n">
        <v>46204</v>
      </c>
      <c r="D45" t="inlineStr">
        <is>
          <t>VÄRMLANDS LÄN</t>
        </is>
      </c>
      <c r="E45" t="inlineStr">
        <is>
          <t>TORSBY</t>
        </is>
      </c>
      <c r="G45" t="n">
        <v>2.5</v>
      </c>
      <c r="H45" t="n">
        <v>2</v>
      </c>
      <c r="I45" t="n">
        <v>2</v>
      </c>
      <c r="J45" t="n">
        <v>1</v>
      </c>
      <c r="K45" t="n">
        <v>1</v>
      </c>
      <c r="L45" t="n">
        <v>0</v>
      </c>
      <c r="M45" t="n">
        <v>0</v>
      </c>
      <c r="N45" t="n">
        <v>0</v>
      </c>
      <c r="O45" t="n">
        <v>2</v>
      </c>
      <c r="P45" t="n">
        <v>1</v>
      </c>
      <c r="Q45" t="n">
        <v>6</v>
      </c>
      <c r="R45" s="2" t="inlineStr">
        <is>
          <t>Garnlav
Violettgrå tagellav
Nästlav
Sotlav
Kungsfågel
Kopparödla</t>
        </is>
      </c>
      <c r="S45">
        <f>HYPERLINK("https://klasma.github.io/Logging_1737/artfynd/A 19224-2026 artfynd.xlsx", "A 19224-2026")</f>
        <v/>
      </c>
      <c r="T45">
        <f>HYPERLINK("https://klasma.github.io/Logging_1737/kartor/A 19224-2026 karta.png", "A 19224-2026")</f>
        <v/>
      </c>
      <c r="V45">
        <f>HYPERLINK("https://klasma.github.io/Logging_1737/klagomål/A 19224-2026 FSC-klagomål.docx", "A 19224-2026")</f>
        <v/>
      </c>
      <c r="W45">
        <f>HYPERLINK("https://klasma.github.io/Logging_1737/klagomålsmail/A 19224-2026 FSC-klagomål mail.docx", "A 19224-2026")</f>
        <v/>
      </c>
      <c r="X45">
        <f>HYPERLINK("https://klasma.github.io/Logging_1737/tillsyn/A 19224-2026 tillsynsbegäran.docx", "A 19224-2026")</f>
        <v/>
      </c>
      <c r="Y45">
        <f>HYPERLINK("https://klasma.github.io/Logging_1737/tillsynsmail/A 19224-2026 tillsynsbegäran mail.docx", "A 19224-2026")</f>
        <v/>
      </c>
    </row>
    <row r="46" ht="15" customHeight="1">
      <c r="A46" t="inlineStr">
        <is>
          <t>A 9573-2023</t>
        </is>
      </c>
      <c r="B46" s="1" t="n">
        <v>44982</v>
      </c>
      <c r="C46" s="1" t="n">
        <v>46204</v>
      </c>
      <c r="D46" t="inlineStr">
        <is>
          <t>VÄRMLANDS LÄN</t>
        </is>
      </c>
      <c r="E46" t="inlineStr">
        <is>
          <t>TORSBY</t>
        </is>
      </c>
      <c r="F46" t="inlineStr">
        <is>
          <t>Övriga statliga verk och myndigheter</t>
        </is>
      </c>
      <c r="G46" t="n">
        <v>4.4</v>
      </c>
      <c r="H46" t="n">
        <v>0</v>
      </c>
      <c r="I46" t="n">
        <v>0</v>
      </c>
      <c r="J46" t="n">
        <v>5</v>
      </c>
      <c r="K46" t="n">
        <v>1</v>
      </c>
      <c r="L46" t="n">
        <v>0</v>
      </c>
      <c r="M46" t="n">
        <v>0</v>
      </c>
      <c r="N46" t="n">
        <v>0</v>
      </c>
      <c r="O46" t="n">
        <v>6</v>
      </c>
      <c r="P46" t="n">
        <v>1</v>
      </c>
      <c r="Q46" t="n">
        <v>6</v>
      </c>
      <c r="R46" s="2" t="inlineStr">
        <is>
          <t>Garnlav
Dropptaggsvamp
Mörk kolflarnlav
Tallticka
Vedskivlav
Violettgrå tagellav</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72312-2021</t>
        </is>
      </c>
      <c r="B47" s="1" t="n">
        <v>44545</v>
      </c>
      <c r="C47" s="1" t="n">
        <v>46204</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46204</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42480-2022</t>
        </is>
      </c>
      <c r="B49" s="1" t="n">
        <v>44831</v>
      </c>
      <c r="C49" s="1" t="n">
        <v>46204</v>
      </c>
      <c r="D49" t="inlineStr">
        <is>
          <t>VÄRMLANDS LÄN</t>
        </is>
      </c>
      <c r="E49" t="inlineStr">
        <is>
          <t>TORSBY</t>
        </is>
      </c>
      <c r="F49" t="inlineStr">
        <is>
          <t>Kommuner</t>
        </is>
      </c>
      <c r="G49" t="n">
        <v>3.7</v>
      </c>
      <c r="H49" t="n">
        <v>2</v>
      </c>
      <c r="I49" t="n">
        <v>0</v>
      </c>
      <c r="J49" t="n">
        <v>2</v>
      </c>
      <c r="K49" t="n">
        <v>2</v>
      </c>
      <c r="L49" t="n">
        <v>0</v>
      </c>
      <c r="M49" t="n">
        <v>0</v>
      </c>
      <c r="N49" t="n">
        <v>0</v>
      </c>
      <c r="O49" t="n">
        <v>4</v>
      </c>
      <c r="P49" t="n">
        <v>2</v>
      </c>
      <c r="Q49" t="n">
        <v>5</v>
      </c>
      <c r="R49" s="2" t="inlineStr">
        <is>
          <t>Garnlav
Knärot
Vedskivlav
Violettgrå tagellav
Tjäder</t>
        </is>
      </c>
      <c r="S49">
        <f>HYPERLINK("https://klasma.github.io/Logging_1737/artfynd/A 42480-2022 artfynd.xlsx", "A 42480-2022")</f>
        <v/>
      </c>
      <c r="T49">
        <f>HYPERLINK("https://klasma.github.io/Logging_1737/kartor/A 42480-2022 karta.png", "A 42480-2022")</f>
        <v/>
      </c>
      <c r="U49">
        <f>HYPERLINK("https://klasma.github.io/Logging_1737/knärot/A 42480-2022 karta knärot.png", "A 42480-2022")</f>
        <v/>
      </c>
      <c r="V49">
        <f>HYPERLINK("https://klasma.github.io/Logging_1737/klagomål/A 42480-2022 FSC-klagomål.docx", "A 42480-2022")</f>
        <v/>
      </c>
      <c r="W49">
        <f>HYPERLINK("https://klasma.github.io/Logging_1737/klagomålsmail/A 42480-2022 FSC-klagomål mail.docx", "A 42480-2022")</f>
        <v/>
      </c>
      <c r="X49">
        <f>HYPERLINK("https://klasma.github.io/Logging_1737/tillsyn/A 42480-2022 tillsynsbegäran.docx", "A 42480-2022")</f>
        <v/>
      </c>
      <c r="Y49">
        <f>HYPERLINK("https://klasma.github.io/Logging_1737/tillsynsmail/A 42480-2022 tillsynsbegäran mail.docx", "A 42480-2022")</f>
        <v/>
      </c>
      <c r="Z49">
        <f>HYPERLINK("https://klasma.github.io/Logging_1737/fåglar/A 42480-2022 prioriterade fågelarter.docx", "A 42480-2022")</f>
        <v/>
      </c>
    </row>
    <row r="50" ht="15" customHeight="1">
      <c r="A50" t="inlineStr">
        <is>
          <t>A 9226-2025</t>
        </is>
      </c>
      <c r="B50" s="1" t="n">
        <v>45714</v>
      </c>
      <c r="C50" s="1" t="n">
        <v>46204</v>
      </c>
      <c r="D50" t="inlineStr">
        <is>
          <t>VÄRMLANDS LÄN</t>
        </is>
      </c>
      <c r="E50" t="inlineStr">
        <is>
          <t>TORSBY</t>
        </is>
      </c>
      <c r="G50" t="n">
        <v>0.8</v>
      </c>
      <c r="H50" t="n">
        <v>1</v>
      </c>
      <c r="I50" t="n">
        <v>3</v>
      </c>
      <c r="J50" t="n">
        <v>1</v>
      </c>
      <c r="K50" t="n">
        <v>0</v>
      </c>
      <c r="L50" t="n">
        <v>1</v>
      </c>
      <c r="M50" t="n">
        <v>0</v>
      </c>
      <c r="N50" t="n">
        <v>0</v>
      </c>
      <c r="O50" t="n">
        <v>2</v>
      </c>
      <c r="P50" t="n">
        <v>1</v>
      </c>
      <c r="Q50" t="n">
        <v>5</v>
      </c>
      <c r="R50" s="2" t="inlineStr">
        <is>
          <t>Bombmurkla
Späd bäckmossa
Blanksvart trämyra
Mörk husmossa
Skogshakmossa</t>
        </is>
      </c>
      <c r="S50">
        <f>HYPERLINK("https://klasma.github.io/Logging_1737/artfynd/A 9226-2025 artfynd.xlsx", "A 9226-2025")</f>
        <v/>
      </c>
      <c r="T50">
        <f>HYPERLINK("https://klasma.github.io/Logging_1737/kartor/A 9226-2025 karta.png", "A 9226-2025")</f>
        <v/>
      </c>
      <c r="V50">
        <f>HYPERLINK("https://klasma.github.io/Logging_1737/klagomål/A 9226-2025 FSC-klagomål.docx", "A 9226-2025")</f>
        <v/>
      </c>
      <c r="W50">
        <f>HYPERLINK("https://klasma.github.io/Logging_1737/klagomålsmail/A 9226-2025 FSC-klagomål mail.docx", "A 9226-2025")</f>
        <v/>
      </c>
      <c r="X50">
        <f>HYPERLINK("https://klasma.github.io/Logging_1737/tillsyn/A 9226-2025 tillsynsbegäran.docx", "A 9226-2025")</f>
        <v/>
      </c>
      <c r="Y50">
        <f>HYPERLINK("https://klasma.github.io/Logging_1737/tillsynsmail/A 9226-2025 tillsynsbegäran mail.docx", "A 9226-2025")</f>
        <v/>
      </c>
    </row>
    <row r="51" ht="15" customHeight="1">
      <c r="A51" t="inlineStr">
        <is>
          <t>A 54982-2021</t>
        </is>
      </c>
      <c r="B51" s="1" t="n">
        <v>44469</v>
      </c>
      <c r="C51" s="1" t="n">
        <v>46204</v>
      </c>
      <c r="D51" t="inlineStr">
        <is>
          <t>VÄRMLANDS LÄN</t>
        </is>
      </c>
      <c r="E51" t="inlineStr">
        <is>
          <t>TORSBY</t>
        </is>
      </c>
      <c r="G51" t="n">
        <v>4.1</v>
      </c>
      <c r="H51" t="n">
        <v>2</v>
      </c>
      <c r="I51" t="n">
        <v>3</v>
      </c>
      <c r="J51" t="n">
        <v>0</v>
      </c>
      <c r="K51" t="n">
        <v>0</v>
      </c>
      <c r="L51" t="n">
        <v>0</v>
      </c>
      <c r="M51" t="n">
        <v>0</v>
      </c>
      <c r="N51" t="n">
        <v>0</v>
      </c>
      <c r="O51" t="n">
        <v>0</v>
      </c>
      <c r="P51" t="n">
        <v>0</v>
      </c>
      <c r="Q51" t="n">
        <v>5</v>
      </c>
      <c r="R51" s="2" t="inlineStr">
        <is>
          <t>Hässleklocka
Svart trolldruva
Tibast
Blåsippa
Tjäder</t>
        </is>
      </c>
      <c r="S51">
        <f>HYPERLINK("https://klasma.github.io/Logging_1737/artfynd/A 54982-2021 artfynd.xlsx", "A 54982-2021")</f>
        <v/>
      </c>
      <c r="T51">
        <f>HYPERLINK("https://klasma.github.io/Logging_1737/kartor/A 54982-2021 karta.png", "A 54982-2021")</f>
        <v/>
      </c>
      <c r="V51">
        <f>HYPERLINK("https://klasma.github.io/Logging_1737/klagomål/A 54982-2021 FSC-klagomål.docx", "A 54982-2021")</f>
        <v/>
      </c>
      <c r="W51">
        <f>HYPERLINK("https://klasma.github.io/Logging_1737/klagomålsmail/A 54982-2021 FSC-klagomål mail.docx", "A 54982-2021")</f>
        <v/>
      </c>
      <c r="X51">
        <f>HYPERLINK("https://klasma.github.io/Logging_1737/tillsyn/A 54982-2021 tillsynsbegäran.docx", "A 54982-2021")</f>
        <v/>
      </c>
      <c r="Y51">
        <f>HYPERLINK("https://klasma.github.io/Logging_1737/tillsynsmail/A 54982-2021 tillsynsbegäran mail.docx", "A 54982-2021")</f>
        <v/>
      </c>
      <c r="Z51">
        <f>HYPERLINK("https://klasma.github.io/Logging_1737/fåglar/A 54982-2021 prioriterade fågelarter.docx", "A 54982-2021")</f>
        <v/>
      </c>
    </row>
    <row r="52" ht="15" customHeight="1">
      <c r="A52" t="inlineStr">
        <is>
          <t>A 16164-2025</t>
        </is>
      </c>
      <c r="B52" s="1" t="n">
        <v>45750</v>
      </c>
      <c r="C52" s="1" t="n">
        <v>46204</v>
      </c>
      <c r="D52" t="inlineStr">
        <is>
          <t>VÄRMLANDS LÄN</t>
        </is>
      </c>
      <c r="E52" t="inlineStr">
        <is>
          <t>TORSBY</t>
        </is>
      </c>
      <c r="G52" t="n">
        <v>1.4</v>
      </c>
      <c r="H52" t="n">
        <v>0</v>
      </c>
      <c r="I52" t="n">
        <v>0</v>
      </c>
      <c r="J52" t="n">
        <v>4</v>
      </c>
      <c r="K52" t="n">
        <v>1</v>
      </c>
      <c r="L52" t="n">
        <v>0</v>
      </c>
      <c r="M52" t="n">
        <v>0</v>
      </c>
      <c r="N52" t="n">
        <v>0</v>
      </c>
      <c r="O52" t="n">
        <v>5</v>
      </c>
      <c r="P52" t="n">
        <v>1</v>
      </c>
      <c r="Q52" t="n">
        <v>5</v>
      </c>
      <c r="R52" s="2" t="inlineStr">
        <is>
          <t>Garnlav
Kattfotslav
Kolflarnlav
Mörk kolflarnlav
Tallriska</t>
        </is>
      </c>
      <c r="S52">
        <f>HYPERLINK("https://klasma.github.io/Logging_1737/artfynd/A 16164-2025 artfynd.xlsx", "A 16164-2025")</f>
        <v/>
      </c>
      <c r="T52">
        <f>HYPERLINK("https://klasma.github.io/Logging_1737/kartor/A 16164-2025 karta.png", "A 16164-2025")</f>
        <v/>
      </c>
      <c r="V52">
        <f>HYPERLINK("https://klasma.github.io/Logging_1737/klagomål/A 16164-2025 FSC-klagomål.docx", "A 16164-2025")</f>
        <v/>
      </c>
      <c r="W52">
        <f>HYPERLINK("https://klasma.github.io/Logging_1737/klagomålsmail/A 16164-2025 FSC-klagomål mail.docx", "A 16164-2025")</f>
        <v/>
      </c>
      <c r="X52">
        <f>HYPERLINK("https://klasma.github.io/Logging_1737/tillsyn/A 16164-2025 tillsynsbegäran.docx", "A 16164-2025")</f>
        <v/>
      </c>
      <c r="Y52">
        <f>HYPERLINK("https://klasma.github.io/Logging_1737/tillsynsmail/A 16164-2025 tillsynsbegäran mail.docx", "A 16164-2025")</f>
        <v/>
      </c>
    </row>
    <row r="53" ht="15" customHeight="1">
      <c r="A53" t="inlineStr">
        <is>
          <t>A 25899-2024</t>
        </is>
      </c>
      <c r="B53" s="1" t="n">
        <v>45467</v>
      </c>
      <c r="C53" s="1" t="n">
        <v>46204</v>
      </c>
      <c r="D53" t="inlineStr">
        <is>
          <t>VÄRMLANDS LÄN</t>
        </is>
      </c>
      <c r="E53" t="inlineStr">
        <is>
          <t>TORSBY</t>
        </is>
      </c>
      <c r="G53" t="n">
        <v>28.3</v>
      </c>
      <c r="H53" t="n">
        <v>1</v>
      </c>
      <c r="I53" t="n">
        <v>2</v>
      </c>
      <c r="J53" t="n">
        <v>1</v>
      </c>
      <c r="K53" t="n">
        <v>1</v>
      </c>
      <c r="L53" t="n">
        <v>0</v>
      </c>
      <c r="M53" t="n">
        <v>0</v>
      </c>
      <c r="N53" t="n">
        <v>0</v>
      </c>
      <c r="O53" t="n">
        <v>2</v>
      </c>
      <c r="P53" t="n">
        <v>1</v>
      </c>
      <c r="Q53" t="n">
        <v>5</v>
      </c>
      <c r="R53" s="2" t="inlineStr">
        <is>
          <t>Garnlav
Lunglav
Korallblylav
Vedticka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36543-2025</t>
        </is>
      </c>
      <c r="B54" s="1" t="n">
        <v>45869</v>
      </c>
      <c r="C54" s="1" t="n">
        <v>46204</v>
      </c>
      <c r="D54" t="inlineStr">
        <is>
          <t>VÄRMLANDS LÄN</t>
        </is>
      </c>
      <c r="E54" t="inlineStr">
        <is>
          <t>TORSBY</t>
        </is>
      </c>
      <c r="G54" t="n">
        <v>7.4</v>
      </c>
      <c r="H54" t="n">
        <v>0</v>
      </c>
      <c r="I54" t="n">
        <v>0</v>
      </c>
      <c r="J54" t="n">
        <v>4</v>
      </c>
      <c r="K54" t="n">
        <v>1</v>
      </c>
      <c r="L54" t="n">
        <v>0</v>
      </c>
      <c r="M54" t="n">
        <v>0</v>
      </c>
      <c r="N54" t="n">
        <v>0</v>
      </c>
      <c r="O54" t="n">
        <v>5</v>
      </c>
      <c r="P54" t="n">
        <v>1</v>
      </c>
      <c r="Q54" t="n">
        <v>5</v>
      </c>
      <c r="R54" s="2" t="inlineStr">
        <is>
          <t>Garnlav
Dvärgbägarlav
Kolflarnlav
Mörk kolflarnlav
Vedskivlav</t>
        </is>
      </c>
      <c r="S54">
        <f>HYPERLINK("https://klasma.github.io/Logging_1737/artfynd/A 36543-2025 artfynd.xlsx", "A 36543-2025")</f>
        <v/>
      </c>
      <c r="T54">
        <f>HYPERLINK("https://klasma.github.io/Logging_1737/kartor/A 36543-2025 karta.png", "A 36543-2025")</f>
        <v/>
      </c>
      <c r="V54">
        <f>HYPERLINK("https://klasma.github.io/Logging_1737/klagomål/A 36543-2025 FSC-klagomål.docx", "A 36543-2025")</f>
        <v/>
      </c>
      <c r="W54">
        <f>HYPERLINK("https://klasma.github.io/Logging_1737/klagomålsmail/A 36543-2025 FSC-klagomål mail.docx", "A 36543-2025")</f>
        <v/>
      </c>
      <c r="X54">
        <f>HYPERLINK("https://klasma.github.io/Logging_1737/tillsyn/A 36543-2025 tillsynsbegäran.docx", "A 36543-2025")</f>
        <v/>
      </c>
      <c r="Y54">
        <f>HYPERLINK("https://klasma.github.io/Logging_1737/tillsynsmail/A 36543-2025 tillsynsbegäran mail.docx", "A 36543-2025")</f>
        <v/>
      </c>
    </row>
    <row r="55" ht="15" customHeight="1">
      <c r="A55" t="inlineStr">
        <is>
          <t>A 15086-2025</t>
        </is>
      </c>
      <c r="B55" s="1" t="n">
        <v>45743</v>
      </c>
      <c r="C55" s="1" t="n">
        <v>46204</v>
      </c>
      <c r="D55" t="inlineStr">
        <is>
          <t>VÄRMLANDS LÄN</t>
        </is>
      </c>
      <c r="E55" t="inlineStr">
        <is>
          <t>TORSBY</t>
        </is>
      </c>
      <c r="G55" t="n">
        <v>4.5</v>
      </c>
      <c r="H55" t="n">
        <v>0</v>
      </c>
      <c r="I55" t="n">
        <v>0</v>
      </c>
      <c r="J55" t="n">
        <v>5</v>
      </c>
      <c r="K55" t="n">
        <v>0</v>
      </c>
      <c r="L55" t="n">
        <v>0</v>
      </c>
      <c r="M55" t="n">
        <v>0</v>
      </c>
      <c r="N55" t="n">
        <v>0</v>
      </c>
      <c r="O55" t="n">
        <v>5</v>
      </c>
      <c r="P55" t="n">
        <v>0</v>
      </c>
      <c r="Q55" t="n">
        <v>5</v>
      </c>
      <c r="R55" s="2" t="inlineStr">
        <is>
          <t>Brunpudrad nållav
Doftskinn
Gammelgransskål
Kattfotslav
Vedskivlav</t>
        </is>
      </c>
      <c r="S55">
        <f>HYPERLINK("https://klasma.github.io/Logging_1737/artfynd/A 15086-2025 artfynd.xlsx", "A 15086-2025")</f>
        <v/>
      </c>
      <c r="T55">
        <f>HYPERLINK("https://klasma.github.io/Logging_1737/kartor/A 15086-2025 karta.png", "A 15086-2025")</f>
        <v/>
      </c>
      <c r="V55">
        <f>HYPERLINK("https://klasma.github.io/Logging_1737/klagomål/A 15086-2025 FSC-klagomål.docx", "A 15086-2025")</f>
        <v/>
      </c>
      <c r="W55">
        <f>HYPERLINK("https://klasma.github.io/Logging_1737/klagomålsmail/A 15086-2025 FSC-klagomål mail.docx", "A 15086-2025")</f>
        <v/>
      </c>
      <c r="X55">
        <f>HYPERLINK("https://klasma.github.io/Logging_1737/tillsyn/A 15086-2025 tillsynsbegäran.docx", "A 15086-2025")</f>
        <v/>
      </c>
      <c r="Y55">
        <f>HYPERLINK("https://klasma.github.io/Logging_1737/tillsynsmail/A 15086-2025 tillsynsbegäran mail.docx", "A 15086-2025")</f>
        <v/>
      </c>
    </row>
    <row r="56" ht="15" customHeight="1">
      <c r="A56" t="inlineStr">
        <is>
          <t>A 37388-2025</t>
        </is>
      </c>
      <c r="B56" s="1" t="n">
        <v>45877</v>
      </c>
      <c r="C56" s="1" t="n">
        <v>46204</v>
      </c>
      <c r="D56" t="inlineStr">
        <is>
          <t>VÄRMLANDS LÄN</t>
        </is>
      </c>
      <c r="E56" t="inlineStr">
        <is>
          <t>TORSBY</t>
        </is>
      </c>
      <c r="G56" t="n">
        <v>14.1</v>
      </c>
      <c r="H56" t="n">
        <v>1</v>
      </c>
      <c r="I56" t="n">
        <v>2</v>
      </c>
      <c r="J56" t="n">
        <v>2</v>
      </c>
      <c r="K56" t="n">
        <v>0</v>
      </c>
      <c r="L56" t="n">
        <v>0</v>
      </c>
      <c r="M56" t="n">
        <v>0</v>
      </c>
      <c r="N56" t="n">
        <v>0</v>
      </c>
      <c r="O56" t="n">
        <v>2</v>
      </c>
      <c r="P56" t="n">
        <v>0</v>
      </c>
      <c r="Q56" t="n">
        <v>5</v>
      </c>
      <c r="R56" s="2" t="inlineStr">
        <is>
          <t>Doftskinn
Violettgrå tagellav
Mörk husmossa
Vedticka
Tjäder</t>
        </is>
      </c>
      <c r="S56">
        <f>HYPERLINK("https://klasma.github.io/Logging_1737/artfynd/A 37388-2025 artfynd.xlsx", "A 37388-2025")</f>
        <v/>
      </c>
      <c r="T56">
        <f>HYPERLINK("https://klasma.github.io/Logging_1737/kartor/A 37388-2025 karta.png", "A 37388-2025")</f>
        <v/>
      </c>
      <c r="V56">
        <f>HYPERLINK("https://klasma.github.io/Logging_1737/klagomål/A 37388-2025 FSC-klagomål.docx", "A 37388-2025")</f>
        <v/>
      </c>
      <c r="W56">
        <f>HYPERLINK("https://klasma.github.io/Logging_1737/klagomålsmail/A 37388-2025 FSC-klagomål mail.docx", "A 37388-2025")</f>
        <v/>
      </c>
      <c r="X56">
        <f>HYPERLINK("https://klasma.github.io/Logging_1737/tillsyn/A 37388-2025 tillsynsbegäran.docx", "A 37388-2025")</f>
        <v/>
      </c>
      <c r="Y56">
        <f>HYPERLINK("https://klasma.github.io/Logging_1737/tillsynsmail/A 37388-2025 tillsynsbegäran mail.docx", "A 37388-2025")</f>
        <v/>
      </c>
      <c r="Z56">
        <f>HYPERLINK("https://klasma.github.io/Logging_1737/fåglar/A 37388-2025 prioriterade fågelarter.docx", "A 37388-2025")</f>
        <v/>
      </c>
    </row>
    <row r="57" ht="15" customHeight="1">
      <c r="A57" t="inlineStr">
        <is>
          <t>A 62275-2023</t>
        </is>
      </c>
      <c r="B57" s="1" t="n">
        <v>45267</v>
      </c>
      <c r="C57" s="1" t="n">
        <v>46204</v>
      </c>
      <c r="D57" t="inlineStr">
        <is>
          <t>VÄRMLANDS LÄN</t>
        </is>
      </c>
      <c r="E57" t="inlineStr">
        <is>
          <t>TORSBY</t>
        </is>
      </c>
      <c r="G57" t="n">
        <v>3.9</v>
      </c>
      <c r="H57" t="n">
        <v>0</v>
      </c>
      <c r="I57" t="n">
        <v>2</v>
      </c>
      <c r="J57" t="n">
        <v>3</v>
      </c>
      <c r="K57" t="n">
        <v>0</v>
      </c>
      <c r="L57" t="n">
        <v>0</v>
      </c>
      <c r="M57" t="n">
        <v>0</v>
      </c>
      <c r="N57" t="n">
        <v>0</v>
      </c>
      <c r="O57" t="n">
        <v>3</v>
      </c>
      <c r="P57" t="n">
        <v>0</v>
      </c>
      <c r="Q57" t="n">
        <v>5</v>
      </c>
      <c r="R57" s="2" t="inlineStr">
        <is>
          <t>Ullticka
Veckticka
Vedtrappmossa
Jättesvampmal
Stor aspticka</t>
        </is>
      </c>
      <c r="S57">
        <f>HYPERLINK("https://klasma.github.io/Logging_1737/artfynd/A 62275-2023 artfynd.xlsx", "A 62275-2023")</f>
        <v/>
      </c>
      <c r="T57">
        <f>HYPERLINK("https://klasma.github.io/Logging_1737/kartor/A 62275-2023 karta.png", "A 62275-2023")</f>
        <v/>
      </c>
      <c r="V57">
        <f>HYPERLINK("https://klasma.github.io/Logging_1737/klagomål/A 62275-2023 FSC-klagomål.docx", "A 62275-2023")</f>
        <v/>
      </c>
      <c r="W57">
        <f>HYPERLINK("https://klasma.github.io/Logging_1737/klagomålsmail/A 62275-2023 FSC-klagomål mail.docx", "A 62275-2023")</f>
        <v/>
      </c>
      <c r="X57">
        <f>HYPERLINK("https://klasma.github.io/Logging_1737/tillsyn/A 62275-2023 tillsynsbegäran.docx", "A 62275-2023")</f>
        <v/>
      </c>
      <c r="Y57">
        <f>HYPERLINK("https://klasma.github.io/Logging_1737/tillsynsmail/A 62275-2023 tillsynsbegäran mail.docx", "A 62275-2023")</f>
        <v/>
      </c>
    </row>
    <row r="58" ht="15" customHeight="1">
      <c r="A58" t="inlineStr">
        <is>
          <t>A 4972-2022</t>
        </is>
      </c>
      <c r="B58" s="1" t="n">
        <v>44593</v>
      </c>
      <c r="C58" s="1" t="n">
        <v>46204</v>
      </c>
      <c r="D58" t="inlineStr">
        <is>
          <t>VÄRMLANDS LÄN</t>
        </is>
      </c>
      <c r="E58" t="inlineStr">
        <is>
          <t>TORSBY</t>
        </is>
      </c>
      <c r="G58" t="n">
        <v>10.7</v>
      </c>
      <c r="H58" t="n">
        <v>0</v>
      </c>
      <c r="I58" t="n">
        <v>0</v>
      </c>
      <c r="J58" t="n">
        <v>4</v>
      </c>
      <c r="K58" t="n">
        <v>1</v>
      </c>
      <c r="L58" t="n">
        <v>0</v>
      </c>
      <c r="M58" t="n">
        <v>0</v>
      </c>
      <c r="N58" t="n">
        <v>0</v>
      </c>
      <c r="O58" t="n">
        <v>5</v>
      </c>
      <c r="P58" t="n">
        <v>1</v>
      </c>
      <c r="Q58" t="n">
        <v>5</v>
      </c>
      <c r="R58" s="2" t="inlineStr">
        <is>
          <t>Garnlav
Dvärgbägarlav
Kolflarnlav
Mörk kolflarnlav
Vedskivlav</t>
        </is>
      </c>
      <c r="S58">
        <f>HYPERLINK("https://klasma.github.io/Logging_1737/artfynd/A 4972-2022 artfynd.xlsx", "A 4972-2022")</f>
        <v/>
      </c>
      <c r="T58">
        <f>HYPERLINK("https://klasma.github.io/Logging_1737/kartor/A 4972-2022 karta.png", "A 4972-2022")</f>
        <v/>
      </c>
      <c r="V58">
        <f>HYPERLINK("https://klasma.github.io/Logging_1737/klagomål/A 4972-2022 FSC-klagomål.docx", "A 4972-2022")</f>
        <v/>
      </c>
      <c r="W58">
        <f>HYPERLINK("https://klasma.github.io/Logging_1737/klagomålsmail/A 4972-2022 FSC-klagomål mail.docx", "A 4972-2022")</f>
        <v/>
      </c>
      <c r="X58">
        <f>HYPERLINK("https://klasma.github.io/Logging_1737/tillsyn/A 4972-2022 tillsynsbegäran.docx", "A 4972-2022")</f>
        <v/>
      </c>
      <c r="Y58">
        <f>HYPERLINK("https://klasma.github.io/Logging_1737/tillsynsmail/A 4972-2022 tillsynsbegäran mail.docx", "A 4972-2022")</f>
        <v/>
      </c>
    </row>
    <row r="59" ht="15" customHeight="1">
      <c r="A59" t="inlineStr">
        <is>
          <t>A 50318-2024</t>
        </is>
      </c>
      <c r="B59" s="1" t="n">
        <v>45600</v>
      </c>
      <c r="C59" s="1" t="n">
        <v>46204</v>
      </c>
      <c r="D59" t="inlineStr">
        <is>
          <t>VÄRMLANDS LÄN</t>
        </is>
      </c>
      <c r="E59" t="inlineStr">
        <is>
          <t>TORSBY</t>
        </is>
      </c>
      <c r="F59" t="inlineStr">
        <is>
          <t>Bergvik skog väst AB</t>
        </is>
      </c>
      <c r="G59" t="n">
        <v>3.5</v>
      </c>
      <c r="H59" t="n">
        <v>1</v>
      </c>
      <c r="I59" t="n">
        <v>1</v>
      </c>
      <c r="J59" t="n">
        <v>3</v>
      </c>
      <c r="K59" t="n">
        <v>1</v>
      </c>
      <c r="L59" t="n">
        <v>0</v>
      </c>
      <c r="M59" t="n">
        <v>0</v>
      </c>
      <c r="N59" t="n">
        <v>0</v>
      </c>
      <c r="O59" t="n">
        <v>4</v>
      </c>
      <c r="P59" t="n">
        <v>1</v>
      </c>
      <c r="Q59" t="n">
        <v>5</v>
      </c>
      <c r="R59" s="2" t="inlineStr">
        <is>
          <t>Garnlav
Hornvaxskinn
Mörk kolflarnlav
Tretåig hackspett
Vedticka</t>
        </is>
      </c>
      <c r="S59">
        <f>HYPERLINK("https://klasma.github.io/Logging_1737/artfynd/A 50318-2024 artfynd.xlsx", "A 50318-2024")</f>
        <v/>
      </c>
      <c r="T59">
        <f>HYPERLINK("https://klasma.github.io/Logging_1737/kartor/A 50318-2024 karta.png", "A 50318-2024")</f>
        <v/>
      </c>
      <c r="V59">
        <f>HYPERLINK("https://klasma.github.io/Logging_1737/klagomål/A 50318-2024 FSC-klagomål.docx", "A 50318-2024")</f>
        <v/>
      </c>
      <c r="W59">
        <f>HYPERLINK("https://klasma.github.io/Logging_1737/klagomålsmail/A 50318-2024 FSC-klagomål mail.docx", "A 50318-2024")</f>
        <v/>
      </c>
      <c r="X59">
        <f>HYPERLINK("https://klasma.github.io/Logging_1737/tillsyn/A 50318-2024 tillsynsbegäran.docx", "A 50318-2024")</f>
        <v/>
      </c>
      <c r="Y59">
        <f>HYPERLINK("https://klasma.github.io/Logging_1737/tillsynsmail/A 50318-2024 tillsynsbegäran mail.docx", "A 50318-2024")</f>
        <v/>
      </c>
      <c r="Z59">
        <f>HYPERLINK("https://klasma.github.io/Logging_1737/fåglar/A 50318-2024 prioriterade fågelarter.docx", "A 50318-2024")</f>
        <v/>
      </c>
    </row>
    <row r="60" ht="15" customHeight="1">
      <c r="A60" t="inlineStr">
        <is>
          <t>A 70301-2021</t>
        </is>
      </c>
      <c r="B60" s="1" t="n">
        <v>44536</v>
      </c>
      <c r="C60" s="1" t="n">
        <v>46204</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46204</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46204</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23576-2022</t>
        </is>
      </c>
      <c r="B63" s="1" t="n">
        <v>44721</v>
      </c>
      <c r="C63" s="1" t="n">
        <v>46204</v>
      </c>
      <c r="D63" t="inlineStr">
        <is>
          <t>VÄRMLANDS LÄN</t>
        </is>
      </c>
      <c r="E63" t="inlineStr">
        <is>
          <t>TORSBY</t>
        </is>
      </c>
      <c r="G63" t="n">
        <v>8.5</v>
      </c>
      <c r="H63" t="n">
        <v>0</v>
      </c>
      <c r="I63" t="n">
        <v>1</v>
      </c>
      <c r="J63" t="n">
        <v>2</v>
      </c>
      <c r="K63" t="n">
        <v>1</v>
      </c>
      <c r="L63" t="n">
        <v>0</v>
      </c>
      <c r="M63" t="n">
        <v>0</v>
      </c>
      <c r="N63" t="n">
        <v>0</v>
      </c>
      <c r="O63" t="n">
        <v>3</v>
      </c>
      <c r="P63" t="n">
        <v>1</v>
      </c>
      <c r="Q63" t="n">
        <v>4</v>
      </c>
      <c r="R63" s="2" t="inlineStr">
        <is>
          <t>Garnlav
Dropptaggsvamp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34930-2022</t>
        </is>
      </c>
      <c r="B64" s="1" t="n">
        <v>44796</v>
      </c>
      <c r="C64" s="1" t="n">
        <v>46204</v>
      </c>
      <c r="D64" t="inlineStr">
        <is>
          <t>VÄRMLANDS LÄN</t>
        </is>
      </c>
      <c r="E64" t="inlineStr">
        <is>
          <t>TORSBY</t>
        </is>
      </c>
      <c r="G64" t="n">
        <v>3.3</v>
      </c>
      <c r="H64" t="n">
        <v>0</v>
      </c>
      <c r="I64" t="n">
        <v>3</v>
      </c>
      <c r="J64" t="n">
        <v>1</v>
      </c>
      <c r="K64" t="n">
        <v>0</v>
      </c>
      <c r="L64" t="n">
        <v>0</v>
      </c>
      <c r="M64" t="n">
        <v>0</v>
      </c>
      <c r="N64" t="n">
        <v>0</v>
      </c>
      <c r="O64" t="n">
        <v>1</v>
      </c>
      <c r="P64" t="n">
        <v>0</v>
      </c>
      <c r="Q64" t="n">
        <v>4</v>
      </c>
      <c r="R64" s="2" t="inlineStr">
        <is>
          <t>Späd bäckmossa
Mörk husmossa
Strutbräken
Terpentinmossa</t>
        </is>
      </c>
      <c r="S64">
        <f>HYPERLINK("https://klasma.github.io/Logging_1737/artfynd/A 34930-2022 artfynd.xlsx", "A 34930-2022")</f>
        <v/>
      </c>
      <c r="T64">
        <f>HYPERLINK("https://klasma.github.io/Logging_1737/kartor/A 34930-2022 karta.png", "A 34930-2022")</f>
        <v/>
      </c>
      <c r="V64">
        <f>HYPERLINK("https://klasma.github.io/Logging_1737/klagomål/A 34930-2022 FSC-klagomål.docx", "A 34930-2022")</f>
        <v/>
      </c>
      <c r="W64">
        <f>HYPERLINK("https://klasma.github.io/Logging_1737/klagomålsmail/A 34930-2022 FSC-klagomål mail.docx", "A 34930-2022")</f>
        <v/>
      </c>
      <c r="X64">
        <f>HYPERLINK("https://klasma.github.io/Logging_1737/tillsyn/A 34930-2022 tillsynsbegäran.docx", "A 34930-2022")</f>
        <v/>
      </c>
      <c r="Y64">
        <f>HYPERLINK("https://klasma.github.io/Logging_1737/tillsynsmail/A 34930-2022 tillsynsbegäran mail.docx", "A 34930-2022")</f>
        <v/>
      </c>
    </row>
    <row r="65" ht="15" customHeight="1">
      <c r="A65" t="inlineStr">
        <is>
          <t>A 37948-2024</t>
        </is>
      </c>
      <c r="B65" s="1" t="n">
        <v>45544</v>
      </c>
      <c r="C65" s="1" t="n">
        <v>46204</v>
      </c>
      <c r="D65" t="inlineStr">
        <is>
          <t>VÄRMLANDS LÄN</t>
        </is>
      </c>
      <c r="E65" t="inlineStr">
        <is>
          <t>TORSBY</t>
        </is>
      </c>
      <c r="G65" t="n">
        <v>1.6</v>
      </c>
      <c r="H65" t="n">
        <v>0</v>
      </c>
      <c r="I65" t="n">
        <v>0</v>
      </c>
      <c r="J65" t="n">
        <v>3</v>
      </c>
      <c r="K65" t="n">
        <v>1</v>
      </c>
      <c r="L65" t="n">
        <v>0</v>
      </c>
      <c r="M65" t="n">
        <v>0</v>
      </c>
      <c r="N65" t="n">
        <v>0</v>
      </c>
      <c r="O65" t="n">
        <v>4</v>
      </c>
      <c r="P65" t="n">
        <v>1</v>
      </c>
      <c r="Q65" t="n">
        <v>4</v>
      </c>
      <c r="R65" s="2" t="inlineStr">
        <is>
          <t>Garnlav
Gammelgransskål
Skuggblåslav
Violettgrå tagellav</t>
        </is>
      </c>
      <c r="S65">
        <f>HYPERLINK("https://klasma.github.io/Logging_1737/artfynd/A 37948-2024 artfynd.xlsx", "A 37948-2024")</f>
        <v/>
      </c>
      <c r="T65">
        <f>HYPERLINK("https://klasma.github.io/Logging_1737/kartor/A 37948-2024 karta.png", "A 37948-2024")</f>
        <v/>
      </c>
      <c r="V65">
        <f>HYPERLINK("https://klasma.github.io/Logging_1737/klagomål/A 37948-2024 FSC-klagomål.docx", "A 37948-2024")</f>
        <v/>
      </c>
      <c r="W65">
        <f>HYPERLINK("https://klasma.github.io/Logging_1737/klagomålsmail/A 37948-2024 FSC-klagomål mail.docx", "A 37948-2024")</f>
        <v/>
      </c>
      <c r="X65">
        <f>HYPERLINK("https://klasma.github.io/Logging_1737/tillsyn/A 37948-2024 tillsynsbegäran.docx", "A 37948-2024")</f>
        <v/>
      </c>
      <c r="Y65">
        <f>HYPERLINK("https://klasma.github.io/Logging_1737/tillsynsmail/A 37948-2024 tillsynsbegäran mail.docx", "A 37948-2024")</f>
        <v/>
      </c>
    </row>
    <row r="66" ht="15" customHeight="1">
      <c r="A66" t="inlineStr">
        <is>
          <t>A 48970-2025</t>
        </is>
      </c>
      <c r="B66" s="1" t="n">
        <v>45937</v>
      </c>
      <c r="C66" s="1" t="n">
        <v>46204</v>
      </c>
      <c r="D66" t="inlineStr">
        <is>
          <t>VÄRMLANDS LÄN</t>
        </is>
      </c>
      <c r="E66" t="inlineStr">
        <is>
          <t>TORSBY</t>
        </is>
      </c>
      <c r="G66" t="n">
        <v>6.4</v>
      </c>
      <c r="H66" t="n">
        <v>0</v>
      </c>
      <c r="I66" t="n">
        <v>0</v>
      </c>
      <c r="J66" t="n">
        <v>3</v>
      </c>
      <c r="K66" t="n">
        <v>1</v>
      </c>
      <c r="L66" t="n">
        <v>0</v>
      </c>
      <c r="M66" t="n">
        <v>0</v>
      </c>
      <c r="N66" t="n">
        <v>0</v>
      </c>
      <c r="O66" t="n">
        <v>4</v>
      </c>
      <c r="P66" t="n">
        <v>1</v>
      </c>
      <c r="Q66" t="n">
        <v>4</v>
      </c>
      <c r="R66" s="2" t="inlineStr">
        <is>
          <t>Garnlav
Dropptaggsvamp
Lunglav
Violettgrå tagellav</t>
        </is>
      </c>
      <c r="S66">
        <f>HYPERLINK("https://klasma.github.io/Logging_1737/artfynd/A 48970-2025 artfynd.xlsx", "A 48970-2025")</f>
        <v/>
      </c>
      <c r="T66">
        <f>HYPERLINK("https://klasma.github.io/Logging_1737/kartor/A 48970-2025 karta.png", "A 48970-2025")</f>
        <v/>
      </c>
      <c r="V66">
        <f>HYPERLINK("https://klasma.github.io/Logging_1737/klagomål/A 48970-2025 FSC-klagomål.docx", "A 48970-2025")</f>
        <v/>
      </c>
      <c r="W66">
        <f>HYPERLINK("https://klasma.github.io/Logging_1737/klagomålsmail/A 48970-2025 FSC-klagomål mail.docx", "A 48970-2025")</f>
        <v/>
      </c>
      <c r="X66">
        <f>HYPERLINK("https://klasma.github.io/Logging_1737/tillsyn/A 48970-2025 tillsynsbegäran.docx", "A 48970-2025")</f>
        <v/>
      </c>
      <c r="Y66">
        <f>HYPERLINK("https://klasma.github.io/Logging_1737/tillsynsmail/A 48970-2025 tillsynsbegäran mail.docx", "A 48970-2025")</f>
        <v/>
      </c>
    </row>
    <row r="67" ht="15" customHeight="1">
      <c r="A67" t="inlineStr">
        <is>
          <t>A 2938-2025</t>
        </is>
      </c>
      <c r="B67" s="1" t="n">
        <v>45678</v>
      </c>
      <c r="C67" s="1" t="n">
        <v>46204</v>
      </c>
      <c r="D67" t="inlineStr">
        <is>
          <t>VÄRMLANDS LÄN</t>
        </is>
      </c>
      <c r="E67" t="inlineStr">
        <is>
          <t>TORSBY</t>
        </is>
      </c>
      <c r="G67" t="n">
        <v>2</v>
      </c>
      <c r="H67" t="n">
        <v>2</v>
      </c>
      <c r="I67" t="n">
        <v>0</v>
      </c>
      <c r="J67" t="n">
        <v>3</v>
      </c>
      <c r="K67" t="n">
        <v>1</v>
      </c>
      <c r="L67" t="n">
        <v>0</v>
      </c>
      <c r="M67" t="n">
        <v>0</v>
      </c>
      <c r="N67" t="n">
        <v>0</v>
      </c>
      <c r="O67" t="n">
        <v>4</v>
      </c>
      <c r="P67" t="n">
        <v>1</v>
      </c>
      <c r="Q67" t="n">
        <v>4</v>
      </c>
      <c r="R67" s="2" t="inlineStr">
        <is>
          <t>Garnlav
Gammelgransskål
Talltita
Tretåig hackspett</t>
        </is>
      </c>
      <c r="S67">
        <f>HYPERLINK("https://klasma.github.io/Logging_1737/artfynd/A 2938-2025 artfynd.xlsx", "A 2938-2025")</f>
        <v/>
      </c>
      <c r="T67">
        <f>HYPERLINK("https://klasma.github.io/Logging_1737/kartor/A 2938-2025 karta.png", "A 2938-2025")</f>
        <v/>
      </c>
      <c r="V67">
        <f>HYPERLINK("https://klasma.github.io/Logging_1737/klagomål/A 2938-2025 FSC-klagomål.docx", "A 2938-2025")</f>
        <v/>
      </c>
      <c r="W67">
        <f>HYPERLINK("https://klasma.github.io/Logging_1737/klagomålsmail/A 2938-2025 FSC-klagomål mail.docx", "A 2938-2025")</f>
        <v/>
      </c>
      <c r="X67">
        <f>HYPERLINK("https://klasma.github.io/Logging_1737/tillsyn/A 2938-2025 tillsynsbegäran.docx", "A 2938-2025")</f>
        <v/>
      </c>
      <c r="Y67">
        <f>HYPERLINK("https://klasma.github.io/Logging_1737/tillsynsmail/A 2938-2025 tillsynsbegäran mail.docx", "A 2938-2025")</f>
        <v/>
      </c>
      <c r="Z67">
        <f>HYPERLINK("https://klasma.github.io/Logging_1737/fåglar/A 2938-2025 prioriterade fågelarter.docx", "A 2938-2025")</f>
        <v/>
      </c>
    </row>
    <row r="68" ht="15" customHeight="1">
      <c r="A68" t="inlineStr">
        <is>
          <t>A 42500-2022</t>
        </is>
      </c>
      <c r="B68" s="1" t="n">
        <v>44831</v>
      </c>
      <c r="C68" s="1" t="n">
        <v>46204</v>
      </c>
      <c r="D68" t="inlineStr">
        <is>
          <t>VÄRMLANDS LÄN</t>
        </is>
      </c>
      <c r="E68" t="inlineStr">
        <is>
          <t>TORSBY</t>
        </is>
      </c>
      <c r="F68" t="inlineStr">
        <is>
          <t>Kommuner</t>
        </is>
      </c>
      <c r="G68" t="n">
        <v>2.3</v>
      </c>
      <c r="H68" t="n">
        <v>0</v>
      </c>
      <c r="I68" t="n">
        <v>0</v>
      </c>
      <c r="J68" t="n">
        <v>3</v>
      </c>
      <c r="K68" t="n">
        <v>1</v>
      </c>
      <c r="L68" t="n">
        <v>0</v>
      </c>
      <c r="M68" t="n">
        <v>0</v>
      </c>
      <c r="N68" t="n">
        <v>0</v>
      </c>
      <c r="O68" t="n">
        <v>4</v>
      </c>
      <c r="P68" t="n">
        <v>1</v>
      </c>
      <c r="Q68" t="n">
        <v>4</v>
      </c>
      <c r="R68" s="2" t="inlineStr">
        <is>
          <t>Garnlav
Dvärgbägarlav
Vedskivlav
Violettgrå tagellav</t>
        </is>
      </c>
      <c r="S68">
        <f>HYPERLINK("https://klasma.github.io/Logging_1737/artfynd/A 42500-2022 artfynd.xlsx", "A 42500-2022")</f>
        <v/>
      </c>
      <c r="T68">
        <f>HYPERLINK("https://klasma.github.io/Logging_1737/kartor/A 42500-2022 karta.png", "A 42500-2022")</f>
        <v/>
      </c>
      <c r="U68">
        <f>HYPERLINK("https://klasma.github.io/Logging_1737/knärot/A 42500-2022 karta knärot.png", "A 42500-2022")</f>
        <v/>
      </c>
      <c r="V68">
        <f>HYPERLINK("https://klasma.github.io/Logging_1737/klagomål/A 42500-2022 FSC-klagomål.docx", "A 42500-2022")</f>
        <v/>
      </c>
      <c r="W68">
        <f>HYPERLINK("https://klasma.github.io/Logging_1737/klagomålsmail/A 42500-2022 FSC-klagomål mail.docx", "A 42500-2022")</f>
        <v/>
      </c>
      <c r="X68">
        <f>HYPERLINK("https://klasma.github.io/Logging_1737/tillsyn/A 42500-2022 tillsynsbegäran.docx", "A 42500-2022")</f>
        <v/>
      </c>
      <c r="Y68">
        <f>HYPERLINK("https://klasma.github.io/Logging_1737/tillsynsmail/A 42500-2022 tillsynsbegäran mail.docx", "A 42500-2022")</f>
        <v/>
      </c>
    </row>
    <row r="69" ht="15" customHeight="1">
      <c r="A69" t="inlineStr">
        <is>
          <t>A 17149-2026</t>
        </is>
      </c>
      <c r="B69" s="1" t="n">
        <v>46114</v>
      </c>
      <c r="C69" s="1" t="n">
        <v>46204</v>
      </c>
      <c r="D69" t="inlineStr">
        <is>
          <t>VÄRMLANDS LÄN</t>
        </is>
      </c>
      <c r="E69" t="inlineStr">
        <is>
          <t>TORSBY</t>
        </is>
      </c>
      <c r="G69" t="n">
        <v>1.8</v>
      </c>
      <c r="H69" t="n">
        <v>0</v>
      </c>
      <c r="I69" t="n">
        <v>0</v>
      </c>
      <c r="J69" t="n">
        <v>3</v>
      </c>
      <c r="K69" t="n">
        <v>1</v>
      </c>
      <c r="L69" t="n">
        <v>0</v>
      </c>
      <c r="M69" t="n">
        <v>0</v>
      </c>
      <c r="N69" t="n">
        <v>0</v>
      </c>
      <c r="O69" t="n">
        <v>4</v>
      </c>
      <c r="P69" t="n">
        <v>1</v>
      </c>
      <c r="Q69" t="n">
        <v>4</v>
      </c>
      <c r="R69" s="2" t="inlineStr">
        <is>
          <t>Garnlav
Dvärgbägarlav
Kandelabersvamp
Kortskaftad ärgspik</t>
        </is>
      </c>
      <c r="S69">
        <f>HYPERLINK("https://klasma.github.io/Logging_1737/artfynd/A 17149-2026 artfynd.xlsx", "A 17149-2026")</f>
        <v/>
      </c>
      <c r="T69">
        <f>HYPERLINK("https://klasma.github.io/Logging_1737/kartor/A 17149-2026 karta.png", "A 17149-2026")</f>
        <v/>
      </c>
      <c r="V69">
        <f>HYPERLINK("https://klasma.github.io/Logging_1737/klagomål/A 17149-2026 FSC-klagomål.docx", "A 17149-2026")</f>
        <v/>
      </c>
      <c r="W69">
        <f>HYPERLINK("https://klasma.github.io/Logging_1737/klagomålsmail/A 17149-2026 FSC-klagomål mail.docx", "A 17149-2026")</f>
        <v/>
      </c>
      <c r="X69">
        <f>HYPERLINK("https://klasma.github.io/Logging_1737/tillsyn/A 17149-2026 tillsynsbegäran.docx", "A 17149-2026")</f>
        <v/>
      </c>
      <c r="Y69">
        <f>HYPERLINK("https://klasma.github.io/Logging_1737/tillsynsmail/A 17149-2026 tillsynsbegäran mail.docx", "A 17149-2026")</f>
        <v/>
      </c>
    </row>
    <row r="70" ht="15" customHeight="1">
      <c r="A70" t="inlineStr">
        <is>
          <t>A 42501-2022</t>
        </is>
      </c>
      <c r="B70" s="1" t="n">
        <v>44831</v>
      </c>
      <c r="C70" s="1" t="n">
        <v>46204</v>
      </c>
      <c r="D70" t="inlineStr">
        <is>
          <t>VÄRMLANDS LÄN</t>
        </is>
      </c>
      <c r="E70" t="inlineStr">
        <is>
          <t>TORSBY</t>
        </is>
      </c>
      <c r="F70" t="inlineStr">
        <is>
          <t>Kommuner</t>
        </is>
      </c>
      <c r="G70" t="n">
        <v>2.4</v>
      </c>
      <c r="H70" t="n">
        <v>0</v>
      </c>
      <c r="I70" t="n">
        <v>0</v>
      </c>
      <c r="J70" t="n">
        <v>3</v>
      </c>
      <c r="K70" t="n">
        <v>1</v>
      </c>
      <c r="L70" t="n">
        <v>0</v>
      </c>
      <c r="M70" t="n">
        <v>0</v>
      </c>
      <c r="N70" t="n">
        <v>0</v>
      </c>
      <c r="O70" t="n">
        <v>4</v>
      </c>
      <c r="P70" t="n">
        <v>1</v>
      </c>
      <c r="Q70" t="n">
        <v>4</v>
      </c>
      <c r="R70" s="2" t="inlineStr">
        <is>
          <t>Garnlav
Mörk kolflarnlav
Skuggblåslav
Vedtrappmossa</t>
        </is>
      </c>
      <c r="S70">
        <f>HYPERLINK("https://klasma.github.io/Logging_1737/artfynd/A 42501-2022 artfynd.xlsx", "A 42501-2022")</f>
        <v/>
      </c>
      <c r="T70">
        <f>HYPERLINK("https://klasma.github.io/Logging_1737/kartor/A 42501-2022 karta.png", "A 42501-2022")</f>
        <v/>
      </c>
      <c r="V70">
        <f>HYPERLINK("https://klasma.github.io/Logging_1737/klagomål/A 42501-2022 FSC-klagomål.docx", "A 42501-2022")</f>
        <v/>
      </c>
      <c r="W70">
        <f>HYPERLINK("https://klasma.github.io/Logging_1737/klagomålsmail/A 42501-2022 FSC-klagomål mail.docx", "A 42501-2022")</f>
        <v/>
      </c>
      <c r="X70">
        <f>HYPERLINK("https://klasma.github.io/Logging_1737/tillsyn/A 42501-2022 tillsynsbegäran.docx", "A 42501-2022")</f>
        <v/>
      </c>
      <c r="Y70">
        <f>HYPERLINK("https://klasma.github.io/Logging_1737/tillsynsmail/A 42501-2022 tillsynsbegäran mail.docx", "A 42501-2022")</f>
        <v/>
      </c>
    </row>
    <row r="71" ht="15" customHeight="1">
      <c r="A71" t="inlineStr">
        <is>
          <t>A 20226-2026</t>
        </is>
      </c>
      <c r="B71" s="1" t="n">
        <v>46139</v>
      </c>
      <c r="C71" s="1" t="n">
        <v>46204</v>
      </c>
      <c r="D71" t="inlineStr">
        <is>
          <t>VÄRMLANDS LÄN</t>
        </is>
      </c>
      <c r="E71" t="inlineStr">
        <is>
          <t>TORSBY</t>
        </is>
      </c>
      <c r="G71" t="n">
        <v>4.6</v>
      </c>
      <c r="H71" t="n">
        <v>1</v>
      </c>
      <c r="I71" t="n">
        <v>0</v>
      </c>
      <c r="J71" t="n">
        <v>2</v>
      </c>
      <c r="K71" t="n">
        <v>1</v>
      </c>
      <c r="L71" t="n">
        <v>0</v>
      </c>
      <c r="M71" t="n">
        <v>0</v>
      </c>
      <c r="N71" t="n">
        <v>0</v>
      </c>
      <c r="O71" t="n">
        <v>3</v>
      </c>
      <c r="P71" t="n">
        <v>1</v>
      </c>
      <c r="Q71" t="n">
        <v>4</v>
      </c>
      <c r="R71" s="2" t="inlineStr">
        <is>
          <t>Garnlav
Lunglav
Violettgrå tagellav
Fläcknycklar</t>
        </is>
      </c>
      <c r="S71">
        <f>HYPERLINK("https://klasma.github.io/Logging_1737/artfynd/A 20226-2026 artfynd.xlsx", "A 20226-2026")</f>
        <v/>
      </c>
      <c r="T71">
        <f>HYPERLINK("https://klasma.github.io/Logging_1737/kartor/A 20226-2026 karta.png", "A 20226-2026")</f>
        <v/>
      </c>
      <c r="V71">
        <f>HYPERLINK("https://klasma.github.io/Logging_1737/klagomål/A 20226-2026 FSC-klagomål.docx", "A 20226-2026")</f>
        <v/>
      </c>
      <c r="W71">
        <f>HYPERLINK("https://klasma.github.io/Logging_1737/klagomålsmail/A 20226-2026 FSC-klagomål mail.docx", "A 20226-2026")</f>
        <v/>
      </c>
      <c r="X71">
        <f>HYPERLINK("https://klasma.github.io/Logging_1737/tillsyn/A 20226-2026 tillsynsbegäran.docx", "A 20226-2026")</f>
        <v/>
      </c>
      <c r="Y71">
        <f>HYPERLINK("https://klasma.github.io/Logging_1737/tillsynsmail/A 20226-2026 tillsynsbegäran mail.docx", "A 20226-2026")</f>
        <v/>
      </c>
    </row>
    <row r="72" ht="15" customHeight="1">
      <c r="A72" t="inlineStr">
        <is>
          <t>A 22174-2022</t>
        </is>
      </c>
      <c r="B72" s="1" t="n">
        <v>44712</v>
      </c>
      <c r="C72" s="1" t="n">
        <v>46204</v>
      </c>
      <c r="D72" t="inlineStr">
        <is>
          <t>VÄRMLANDS LÄN</t>
        </is>
      </c>
      <c r="E72" t="inlineStr">
        <is>
          <t>TORSBY</t>
        </is>
      </c>
      <c r="G72" t="n">
        <v>11</v>
      </c>
      <c r="H72" t="n">
        <v>2</v>
      </c>
      <c r="I72" t="n">
        <v>1</v>
      </c>
      <c r="J72" t="n">
        <v>1</v>
      </c>
      <c r="K72" t="n">
        <v>0</v>
      </c>
      <c r="L72" t="n">
        <v>0</v>
      </c>
      <c r="M72" t="n">
        <v>0</v>
      </c>
      <c r="N72" t="n">
        <v>0</v>
      </c>
      <c r="O72" t="n">
        <v>1</v>
      </c>
      <c r="P72" t="n">
        <v>0</v>
      </c>
      <c r="Q72" t="n">
        <v>4</v>
      </c>
      <c r="R72" s="2" t="inlineStr">
        <is>
          <t>Gullpudra
Svart trolldruva
Tjäder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c r="Z72">
        <f>HYPERLINK("https://klasma.github.io/Logging_1737/fåglar/A 22174-2022 prioriterade fågelarter.docx", "A 22174-2022")</f>
        <v/>
      </c>
    </row>
    <row r="73" ht="15" customHeight="1">
      <c r="A73" t="inlineStr">
        <is>
          <t>A 43385-2024</t>
        </is>
      </c>
      <c r="B73" s="1" t="n">
        <v>45568</v>
      </c>
      <c r="C73" s="1" t="n">
        <v>46204</v>
      </c>
      <c r="D73" t="inlineStr">
        <is>
          <t>VÄRMLANDS LÄN</t>
        </is>
      </c>
      <c r="E73" t="inlineStr">
        <is>
          <t>TORSBY</t>
        </is>
      </c>
      <c r="G73" t="n">
        <v>3.7</v>
      </c>
      <c r="H73" t="n">
        <v>0</v>
      </c>
      <c r="I73" t="n">
        <v>0</v>
      </c>
      <c r="J73" t="n">
        <v>3</v>
      </c>
      <c r="K73" t="n">
        <v>1</v>
      </c>
      <c r="L73" t="n">
        <v>0</v>
      </c>
      <c r="M73" t="n">
        <v>0</v>
      </c>
      <c r="N73" t="n">
        <v>0</v>
      </c>
      <c r="O73" t="n">
        <v>4</v>
      </c>
      <c r="P73" t="n">
        <v>1</v>
      </c>
      <c r="Q73" t="n">
        <v>4</v>
      </c>
      <c r="R73" s="2" t="inlineStr">
        <is>
          <t>Garnlav
Dropptaggsvamp
Gammelgransskål
Vedskivlav</t>
        </is>
      </c>
      <c r="S73">
        <f>HYPERLINK("https://klasma.github.io/Logging_1737/artfynd/A 43385-2024 artfynd.xlsx", "A 43385-2024")</f>
        <v/>
      </c>
      <c r="T73">
        <f>HYPERLINK("https://klasma.github.io/Logging_1737/kartor/A 43385-2024 karta.png", "A 43385-2024")</f>
        <v/>
      </c>
      <c r="V73">
        <f>HYPERLINK("https://klasma.github.io/Logging_1737/klagomål/A 43385-2024 FSC-klagomål.docx", "A 43385-2024")</f>
        <v/>
      </c>
      <c r="W73">
        <f>HYPERLINK("https://klasma.github.io/Logging_1737/klagomålsmail/A 43385-2024 FSC-klagomål mail.docx", "A 43385-2024")</f>
        <v/>
      </c>
      <c r="X73">
        <f>HYPERLINK("https://klasma.github.io/Logging_1737/tillsyn/A 43385-2024 tillsynsbegäran.docx", "A 43385-2024")</f>
        <v/>
      </c>
      <c r="Y73">
        <f>HYPERLINK("https://klasma.github.io/Logging_1737/tillsynsmail/A 43385-2024 tillsynsbegäran mail.docx", "A 43385-2024")</f>
        <v/>
      </c>
    </row>
    <row r="74" ht="15" customHeight="1">
      <c r="A74" t="inlineStr">
        <is>
          <t>A 57190-2024</t>
        </is>
      </c>
      <c r="B74" s="1" t="n">
        <v>45629</v>
      </c>
      <c r="C74" s="1" t="n">
        <v>46204</v>
      </c>
      <c r="D74" t="inlineStr">
        <is>
          <t>VÄRMLANDS LÄN</t>
        </is>
      </c>
      <c r="E74" t="inlineStr">
        <is>
          <t>TORSBY</t>
        </is>
      </c>
      <c r="G74" t="n">
        <v>0.8</v>
      </c>
      <c r="H74" t="n">
        <v>0</v>
      </c>
      <c r="I74" t="n">
        <v>0</v>
      </c>
      <c r="J74" t="n">
        <v>3</v>
      </c>
      <c r="K74" t="n">
        <v>1</v>
      </c>
      <c r="L74" t="n">
        <v>0</v>
      </c>
      <c r="M74" t="n">
        <v>0</v>
      </c>
      <c r="N74" t="n">
        <v>0</v>
      </c>
      <c r="O74" t="n">
        <v>4</v>
      </c>
      <c r="P74" t="n">
        <v>1</v>
      </c>
      <c r="Q74" t="n">
        <v>4</v>
      </c>
      <c r="R74" s="2" t="inlineStr">
        <is>
          <t>Garnlav
Gammelgransskål
Skogstrappmossa
Violettgrå tagellav</t>
        </is>
      </c>
      <c r="S74">
        <f>HYPERLINK("https://klasma.github.io/Logging_1737/artfynd/A 57190-2024 artfynd.xlsx", "A 57190-2024")</f>
        <v/>
      </c>
      <c r="T74">
        <f>HYPERLINK("https://klasma.github.io/Logging_1737/kartor/A 57190-2024 karta.png", "A 57190-2024")</f>
        <v/>
      </c>
      <c r="V74">
        <f>HYPERLINK("https://klasma.github.io/Logging_1737/klagomål/A 57190-2024 FSC-klagomål.docx", "A 57190-2024")</f>
        <v/>
      </c>
      <c r="W74">
        <f>HYPERLINK("https://klasma.github.io/Logging_1737/klagomålsmail/A 57190-2024 FSC-klagomål mail.docx", "A 57190-2024")</f>
        <v/>
      </c>
      <c r="X74">
        <f>HYPERLINK("https://klasma.github.io/Logging_1737/tillsyn/A 57190-2024 tillsynsbegäran.docx", "A 57190-2024")</f>
        <v/>
      </c>
      <c r="Y74">
        <f>HYPERLINK("https://klasma.github.io/Logging_1737/tillsynsmail/A 57190-2024 tillsynsbegäran mail.docx", "A 57190-2024")</f>
        <v/>
      </c>
    </row>
    <row r="75" ht="15" customHeight="1">
      <c r="A75" t="inlineStr">
        <is>
          <t>A 20763-2025</t>
        </is>
      </c>
      <c r="B75" s="1" t="n">
        <v>45776</v>
      </c>
      <c r="C75" s="1" t="n">
        <v>46204</v>
      </c>
      <c r="D75" t="inlineStr">
        <is>
          <t>VÄRMLANDS LÄN</t>
        </is>
      </c>
      <c r="E75" t="inlineStr">
        <is>
          <t>TORSBY</t>
        </is>
      </c>
      <c r="G75" t="n">
        <v>4.9</v>
      </c>
      <c r="H75" t="n">
        <v>0</v>
      </c>
      <c r="I75" t="n">
        <v>0</v>
      </c>
      <c r="J75" t="n">
        <v>3</v>
      </c>
      <c r="K75" t="n">
        <v>1</v>
      </c>
      <c r="L75" t="n">
        <v>0</v>
      </c>
      <c r="M75" t="n">
        <v>0</v>
      </c>
      <c r="N75" t="n">
        <v>0</v>
      </c>
      <c r="O75" t="n">
        <v>4</v>
      </c>
      <c r="P75" t="n">
        <v>1</v>
      </c>
      <c r="Q75" t="n">
        <v>4</v>
      </c>
      <c r="R75" s="2" t="inlineStr">
        <is>
          <t>Garnlav
Kolflarnlav
Mörk kolflarnlav
Vedskivlav</t>
        </is>
      </c>
      <c r="S75">
        <f>HYPERLINK("https://klasma.github.io/Logging_1737/artfynd/A 20763-2025 artfynd.xlsx", "A 20763-2025")</f>
        <v/>
      </c>
      <c r="T75">
        <f>HYPERLINK("https://klasma.github.io/Logging_1737/kartor/A 20763-2025 karta.png", "A 20763-2025")</f>
        <v/>
      </c>
      <c r="V75">
        <f>HYPERLINK("https://klasma.github.io/Logging_1737/klagomål/A 20763-2025 FSC-klagomål.docx", "A 20763-2025")</f>
        <v/>
      </c>
      <c r="W75">
        <f>HYPERLINK("https://klasma.github.io/Logging_1737/klagomålsmail/A 20763-2025 FSC-klagomål mail.docx", "A 20763-2025")</f>
        <v/>
      </c>
      <c r="X75">
        <f>HYPERLINK("https://klasma.github.io/Logging_1737/tillsyn/A 20763-2025 tillsynsbegäran.docx", "A 20763-2025")</f>
        <v/>
      </c>
      <c r="Y75">
        <f>HYPERLINK("https://klasma.github.io/Logging_1737/tillsynsmail/A 20763-2025 tillsynsbegäran mail.docx", "A 20763-2025")</f>
        <v/>
      </c>
    </row>
    <row r="76" ht="15" customHeight="1">
      <c r="A76" t="inlineStr">
        <is>
          <t>A 51144-2023</t>
        </is>
      </c>
      <c r="B76" s="1" t="n">
        <v>45212</v>
      </c>
      <c r="C76" s="1" t="n">
        <v>46204</v>
      </c>
      <c r="D76" t="inlineStr">
        <is>
          <t>VÄRMLANDS LÄN</t>
        </is>
      </c>
      <c r="E76" t="inlineStr">
        <is>
          <t>TORSBY</t>
        </is>
      </c>
      <c r="G76" t="n">
        <v>7.3</v>
      </c>
      <c r="H76" t="n">
        <v>2</v>
      </c>
      <c r="I76" t="n">
        <v>2</v>
      </c>
      <c r="J76" t="n">
        <v>0</v>
      </c>
      <c r="K76" t="n">
        <v>1</v>
      </c>
      <c r="L76" t="n">
        <v>0</v>
      </c>
      <c r="M76" t="n">
        <v>0</v>
      </c>
      <c r="N76" t="n">
        <v>0</v>
      </c>
      <c r="O76" t="n">
        <v>1</v>
      </c>
      <c r="P76" t="n">
        <v>1</v>
      </c>
      <c r="Q76" t="n">
        <v>3</v>
      </c>
      <c r="R76" s="2" t="inlineStr">
        <is>
          <t>Aspgelélav
Korallrot
Spindelblomster</t>
        </is>
      </c>
      <c r="S76">
        <f>HYPERLINK("https://klasma.github.io/Logging_1737/artfynd/A 51144-2023 artfynd.xlsx", "A 51144-2023")</f>
        <v/>
      </c>
      <c r="T76">
        <f>HYPERLINK("https://klasma.github.io/Logging_1737/kartor/A 51144-2023 karta.png", "A 51144-2023")</f>
        <v/>
      </c>
      <c r="V76">
        <f>HYPERLINK("https://klasma.github.io/Logging_1737/klagomål/A 51144-2023 FSC-klagomål.docx", "A 51144-2023")</f>
        <v/>
      </c>
      <c r="W76">
        <f>HYPERLINK("https://klasma.github.io/Logging_1737/klagomålsmail/A 51144-2023 FSC-klagomål mail.docx", "A 51144-2023")</f>
        <v/>
      </c>
      <c r="X76">
        <f>HYPERLINK("https://klasma.github.io/Logging_1737/tillsyn/A 51144-2023 tillsynsbegäran.docx", "A 51144-2023")</f>
        <v/>
      </c>
      <c r="Y76">
        <f>HYPERLINK("https://klasma.github.io/Logging_1737/tillsynsmail/A 51144-2023 tillsynsbegäran mail.docx", "A 51144-2023")</f>
        <v/>
      </c>
    </row>
    <row r="77" ht="15" customHeight="1">
      <c r="A77" t="inlineStr">
        <is>
          <t>A 59789-2024</t>
        </is>
      </c>
      <c r="B77" s="1" t="n">
        <v>45639</v>
      </c>
      <c r="C77" s="1" t="n">
        <v>46204</v>
      </c>
      <c r="D77" t="inlineStr">
        <is>
          <t>VÄRMLANDS LÄN</t>
        </is>
      </c>
      <c r="E77" t="inlineStr">
        <is>
          <t>TORSBY</t>
        </is>
      </c>
      <c r="G77" t="n">
        <v>4.8</v>
      </c>
      <c r="H77" t="n">
        <v>0</v>
      </c>
      <c r="I77" t="n">
        <v>0</v>
      </c>
      <c r="J77" t="n">
        <v>2</v>
      </c>
      <c r="K77" t="n">
        <v>1</v>
      </c>
      <c r="L77" t="n">
        <v>0</v>
      </c>
      <c r="M77" t="n">
        <v>0</v>
      </c>
      <c r="N77" t="n">
        <v>0</v>
      </c>
      <c r="O77" t="n">
        <v>3</v>
      </c>
      <c r="P77" t="n">
        <v>1</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3099-2024</t>
        </is>
      </c>
      <c r="B78" s="1" t="n">
        <v>45316</v>
      </c>
      <c r="C78" s="1" t="n">
        <v>46204</v>
      </c>
      <c r="D78" t="inlineStr">
        <is>
          <t>VÄRMLANDS LÄN</t>
        </is>
      </c>
      <c r="E78" t="inlineStr">
        <is>
          <t>TORSBY</t>
        </is>
      </c>
      <c r="G78" t="n">
        <v>6.3</v>
      </c>
      <c r="H78" t="n">
        <v>0</v>
      </c>
      <c r="I78" t="n">
        <v>1</v>
      </c>
      <c r="J78" t="n">
        <v>1</v>
      </c>
      <c r="K78" t="n">
        <v>1</v>
      </c>
      <c r="L78" t="n">
        <v>0</v>
      </c>
      <c r="M78" t="n">
        <v>0</v>
      </c>
      <c r="N78" t="n">
        <v>0</v>
      </c>
      <c r="O78" t="n">
        <v>2</v>
      </c>
      <c r="P78" t="n">
        <v>1</v>
      </c>
      <c r="Q78" t="n">
        <v>3</v>
      </c>
      <c r="R78" s="2" t="inlineStr">
        <is>
          <t>Garnlav
Dvärgbägarlav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7394-2026</t>
        </is>
      </c>
      <c r="B79" s="1" t="n">
        <v>46059</v>
      </c>
      <c r="C79" s="1" t="n">
        <v>46204</v>
      </c>
      <c r="D79" t="inlineStr">
        <is>
          <t>VÄRMLANDS LÄN</t>
        </is>
      </c>
      <c r="E79" t="inlineStr">
        <is>
          <t>TORSBY</t>
        </is>
      </c>
      <c r="F79" t="inlineStr">
        <is>
          <t>Bergvik skog väst AB</t>
        </is>
      </c>
      <c r="G79" t="n">
        <v>15.3</v>
      </c>
      <c r="H79" t="n">
        <v>0</v>
      </c>
      <c r="I79" t="n">
        <v>0</v>
      </c>
      <c r="J79" t="n">
        <v>3</v>
      </c>
      <c r="K79" t="n">
        <v>0</v>
      </c>
      <c r="L79" t="n">
        <v>0</v>
      </c>
      <c r="M79" t="n">
        <v>0</v>
      </c>
      <c r="N79" t="n">
        <v>0</v>
      </c>
      <c r="O79" t="n">
        <v>3</v>
      </c>
      <c r="P79" t="n">
        <v>0</v>
      </c>
      <c r="Q79" t="n">
        <v>3</v>
      </c>
      <c r="R79" s="2" t="inlineStr">
        <is>
          <t>Dropptaggsvamp
Motaggsvamp
Skarp dropptaggsvamp</t>
        </is>
      </c>
      <c r="S79">
        <f>HYPERLINK("https://klasma.github.io/Logging_1737/artfynd/A 7394-2026 artfynd.xlsx", "A 7394-2026")</f>
        <v/>
      </c>
      <c r="T79">
        <f>HYPERLINK("https://klasma.github.io/Logging_1737/kartor/A 7394-2026 karta.png", "A 7394-2026")</f>
        <v/>
      </c>
      <c r="V79">
        <f>HYPERLINK("https://klasma.github.io/Logging_1737/klagomål/A 7394-2026 FSC-klagomål.docx", "A 7394-2026")</f>
        <v/>
      </c>
      <c r="W79">
        <f>HYPERLINK("https://klasma.github.io/Logging_1737/klagomålsmail/A 7394-2026 FSC-klagomål mail.docx", "A 7394-2026")</f>
        <v/>
      </c>
      <c r="X79">
        <f>HYPERLINK("https://klasma.github.io/Logging_1737/tillsyn/A 7394-2026 tillsynsbegäran.docx", "A 7394-2026")</f>
        <v/>
      </c>
      <c r="Y79">
        <f>HYPERLINK("https://klasma.github.io/Logging_1737/tillsynsmail/A 7394-2026 tillsynsbegäran mail.docx", "A 7394-2026")</f>
        <v/>
      </c>
    </row>
    <row r="80" ht="15" customHeight="1">
      <c r="A80" t="inlineStr">
        <is>
          <t>A 45231-2023</t>
        </is>
      </c>
      <c r="B80" s="1" t="n">
        <v>45191</v>
      </c>
      <c r="C80" s="1" t="n">
        <v>46204</v>
      </c>
      <c r="D80" t="inlineStr">
        <is>
          <t>VÄRMLANDS LÄN</t>
        </is>
      </c>
      <c r="E80" t="inlineStr">
        <is>
          <t>TORSBY</t>
        </is>
      </c>
      <c r="F80" t="inlineStr">
        <is>
          <t>Bergvik skog väst AB</t>
        </is>
      </c>
      <c r="G80" t="n">
        <v>7.8</v>
      </c>
      <c r="H80" t="n">
        <v>2</v>
      </c>
      <c r="I80" t="n">
        <v>0</v>
      </c>
      <c r="J80" t="n">
        <v>2</v>
      </c>
      <c r="K80" t="n">
        <v>0</v>
      </c>
      <c r="L80" t="n">
        <v>1</v>
      </c>
      <c r="M80" t="n">
        <v>0</v>
      </c>
      <c r="N80" t="n">
        <v>0</v>
      </c>
      <c r="O80" t="n">
        <v>3</v>
      </c>
      <c r="P80" t="n">
        <v>1</v>
      </c>
      <c r="Q80" t="n">
        <v>3</v>
      </c>
      <c r="R80" s="2" t="inlineStr">
        <is>
          <t>Pärluggla
Sparvuggla
Vitplätt</t>
        </is>
      </c>
      <c r="S80">
        <f>HYPERLINK("https://klasma.github.io/Logging_1737/artfynd/A 45231-2023 artfynd.xlsx", "A 45231-2023")</f>
        <v/>
      </c>
      <c r="T80">
        <f>HYPERLINK("https://klasma.github.io/Logging_1737/kartor/A 45231-2023 karta.png", "A 45231-2023")</f>
        <v/>
      </c>
      <c r="V80">
        <f>HYPERLINK("https://klasma.github.io/Logging_1737/klagomål/A 45231-2023 FSC-klagomål.docx", "A 45231-2023")</f>
        <v/>
      </c>
      <c r="W80">
        <f>HYPERLINK("https://klasma.github.io/Logging_1737/klagomålsmail/A 45231-2023 FSC-klagomål mail.docx", "A 45231-2023")</f>
        <v/>
      </c>
      <c r="X80">
        <f>HYPERLINK("https://klasma.github.io/Logging_1737/tillsyn/A 45231-2023 tillsynsbegäran.docx", "A 45231-2023")</f>
        <v/>
      </c>
      <c r="Y80">
        <f>HYPERLINK("https://klasma.github.io/Logging_1737/tillsynsmail/A 45231-2023 tillsynsbegäran mail.docx", "A 45231-2023")</f>
        <v/>
      </c>
      <c r="Z80">
        <f>HYPERLINK("https://klasma.github.io/Logging_1737/fåglar/A 45231-2023 prioriterade fågelarter.docx", "A 45231-2023")</f>
        <v/>
      </c>
    </row>
    <row r="81" ht="15" customHeight="1">
      <c r="A81" t="inlineStr">
        <is>
          <t>A 46580-2025</t>
        </is>
      </c>
      <c r="B81" s="1" t="n">
        <v>45926</v>
      </c>
      <c r="C81" s="1" t="n">
        <v>46204</v>
      </c>
      <c r="D81" t="inlineStr">
        <is>
          <t>VÄRMLANDS LÄN</t>
        </is>
      </c>
      <c r="E81" t="inlineStr">
        <is>
          <t>TORSBY</t>
        </is>
      </c>
      <c r="G81" t="n">
        <v>1.4</v>
      </c>
      <c r="H81" t="n">
        <v>0</v>
      </c>
      <c r="I81" t="n">
        <v>0</v>
      </c>
      <c r="J81" t="n">
        <v>2</v>
      </c>
      <c r="K81" t="n">
        <v>1</v>
      </c>
      <c r="L81" t="n">
        <v>0</v>
      </c>
      <c r="M81" t="n">
        <v>0</v>
      </c>
      <c r="N81" t="n">
        <v>0</v>
      </c>
      <c r="O81" t="n">
        <v>3</v>
      </c>
      <c r="P81" t="n">
        <v>1</v>
      </c>
      <c r="Q81" t="n">
        <v>3</v>
      </c>
      <c r="R81" s="2" t="inlineStr">
        <is>
          <t>Garnlav
Kolflarnlav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50712-2025</t>
        </is>
      </c>
      <c r="B82" s="1" t="n">
        <v>45946</v>
      </c>
      <c r="C82" s="1" t="n">
        <v>46204</v>
      </c>
      <c r="D82" t="inlineStr">
        <is>
          <t>VÄRMLANDS LÄN</t>
        </is>
      </c>
      <c r="E82" t="inlineStr">
        <is>
          <t>TORSBY</t>
        </is>
      </c>
      <c r="F82" t="inlineStr">
        <is>
          <t>Bergvik skog väst AB</t>
        </is>
      </c>
      <c r="G82" t="n">
        <v>7.6</v>
      </c>
      <c r="H82" t="n">
        <v>0</v>
      </c>
      <c r="I82" t="n">
        <v>0</v>
      </c>
      <c r="J82" t="n">
        <v>2</v>
      </c>
      <c r="K82" t="n">
        <v>1</v>
      </c>
      <c r="L82" t="n">
        <v>0</v>
      </c>
      <c r="M82" t="n">
        <v>0</v>
      </c>
      <c r="N82" t="n">
        <v>0</v>
      </c>
      <c r="O82" t="n">
        <v>3</v>
      </c>
      <c r="P82" t="n">
        <v>1</v>
      </c>
      <c r="Q82" t="n">
        <v>3</v>
      </c>
      <c r="R82" s="2" t="inlineStr">
        <is>
          <t>Garnlav
Lunglav
Vedskivlav</t>
        </is>
      </c>
      <c r="S82">
        <f>HYPERLINK("https://klasma.github.io/Logging_1737/artfynd/A 50712-2025 artfynd.xlsx", "A 50712-2025")</f>
        <v/>
      </c>
      <c r="T82">
        <f>HYPERLINK("https://klasma.github.io/Logging_1737/kartor/A 50712-2025 karta.png", "A 50712-2025")</f>
        <v/>
      </c>
      <c r="V82">
        <f>HYPERLINK("https://klasma.github.io/Logging_1737/klagomål/A 50712-2025 FSC-klagomål.docx", "A 50712-2025")</f>
        <v/>
      </c>
      <c r="W82">
        <f>HYPERLINK("https://klasma.github.io/Logging_1737/klagomålsmail/A 50712-2025 FSC-klagomål mail.docx", "A 50712-2025")</f>
        <v/>
      </c>
      <c r="X82">
        <f>HYPERLINK("https://klasma.github.io/Logging_1737/tillsyn/A 50712-2025 tillsynsbegäran.docx", "A 50712-2025")</f>
        <v/>
      </c>
      <c r="Y82">
        <f>HYPERLINK("https://klasma.github.io/Logging_1737/tillsynsmail/A 50712-2025 tillsynsbegäran mail.docx", "A 50712-2025")</f>
        <v/>
      </c>
    </row>
    <row r="83" ht="15" customHeight="1">
      <c r="A83" t="inlineStr">
        <is>
          <t>A 67528-2021</t>
        </is>
      </c>
      <c r="B83" s="1" t="n">
        <v>44524</v>
      </c>
      <c r="C83" s="1" t="n">
        <v>46204</v>
      </c>
      <c r="D83" t="inlineStr">
        <is>
          <t>VÄRMLANDS LÄN</t>
        </is>
      </c>
      <c r="E83" t="inlineStr">
        <is>
          <t>TORSBY</t>
        </is>
      </c>
      <c r="G83" t="n">
        <v>47</v>
      </c>
      <c r="H83" t="n">
        <v>1</v>
      </c>
      <c r="I83" t="n">
        <v>1</v>
      </c>
      <c r="J83" t="n">
        <v>0</v>
      </c>
      <c r="K83" t="n">
        <v>1</v>
      </c>
      <c r="L83" t="n">
        <v>0</v>
      </c>
      <c r="M83" t="n">
        <v>0</v>
      </c>
      <c r="N83" t="n">
        <v>0</v>
      </c>
      <c r="O83" t="n">
        <v>1</v>
      </c>
      <c r="P83" t="n">
        <v>1</v>
      </c>
      <c r="Q83" t="n">
        <v>3</v>
      </c>
      <c r="R83" s="2" t="inlineStr">
        <is>
          <t>Garnlav
Vedticka
Tjäder</t>
        </is>
      </c>
      <c r="S83">
        <f>HYPERLINK("https://klasma.github.io/Logging_1737/artfynd/A 67528-2021 artfynd.xlsx", "A 67528-2021")</f>
        <v/>
      </c>
      <c r="T83">
        <f>HYPERLINK("https://klasma.github.io/Logging_1737/kartor/A 67528-2021 karta.png", "A 67528-2021")</f>
        <v/>
      </c>
      <c r="V83">
        <f>HYPERLINK("https://klasma.github.io/Logging_1737/klagomål/A 67528-2021 FSC-klagomål.docx", "A 67528-2021")</f>
        <v/>
      </c>
      <c r="W83">
        <f>HYPERLINK("https://klasma.github.io/Logging_1737/klagomålsmail/A 67528-2021 FSC-klagomål mail.docx", "A 67528-2021")</f>
        <v/>
      </c>
      <c r="X83">
        <f>HYPERLINK("https://klasma.github.io/Logging_1737/tillsyn/A 67528-2021 tillsynsbegäran.docx", "A 67528-2021")</f>
        <v/>
      </c>
      <c r="Y83">
        <f>HYPERLINK("https://klasma.github.io/Logging_1737/tillsynsmail/A 67528-2021 tillsynsbegäran mail.docx", "A 67528-2021")</f>
        <v/>
      </c>
      <c r="Z83">
        <f>HYPERLINK("https://klasma.github.io/Logging_1737/fåglar/A 67528-2021 prioriterade fågelarter.docx", "A 67528-2021")</f>
        <v/>
      </c>
    </row>
    <row r="84" ht="15" customHeight="1">
      <c r="A84" t="inlineStr">
        <is>
          <t>A 42590-2023</t>
        </is>
      </c>
      <c r="B84" s="1" t="n">
        <v>45181</v>
      </c>
      <c r="C84" s="1" t="n">
        <v>46204</v>
      </c>
      <c r="D84" t="inlineStr">
        <is>
          <t>VÄRMLANDS LÄN</t>
        </is>
      </c>
      <c r="E84" t="inlineStr">
        <is>
          <t>TORSBY</t>
        </is>
      </c>
      <c r="G84" t="n">
        <v>12.1</v>
      </c>
      <c r="H84" t="n">
        <v>1</v>
      </c>
      <c r="I84" t="n">
        <v>0</v>
      </c>
      <c r="J84" t="n">
        <v>2</v>
      </c>
      <c r="K84" t="n">
        <v>1</v>
      </c>
      <c r="L84" t="n">
        <v>0</v>
      </c>
      <c r="M84" t="n">
        <v>0</v>
      </c>
      <c r="N84" t="n">
        <v>0</v>
      </c>
      <c r="O84" t="n">
        <v>3</v>
      </c>
      <c r="P84" t="n">
        <v>1</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45468-2025</t>
        </is>
      </c>
      <c r="B85" s="1" t="n">
        <v>45922</v>
      </c>
      <c r="C85" s="1" t="n">
        <v>46204</v>
      </c>
      <c r="D85" t="inlineStr">
        <is>
          <t>VÄRMLANDS LÄN</t>
        </is>
      </c>
      <c r="E85" t="inlineStr">
        <is>
          <t>TORSBY</t>
        </is>
      </c>
      <c r="G85" t="n">
        <v>5.6</v>
      </c>
      <c r="H85" t="n">
        <v>0</v>
      </c>
      <c r="I85" t="n">
        <v>0</v>
      </c>
      <c r="J85" t="n">
        <v>2</v>
      </c>
      <c r="K85" t="n">
        <v>1</v>
      </c>
      <c r="L85" t="n">
        <v>0</v>
      </c>
      <c r="M85" t="n">
        <v>0</v>
      </c>
      <c r="N85" t="n">
        <v>0</v>
      </c>
      <c r="O85" t="n">
        <v>3</v>
      </c>
      <c r="P85" t="n">
        <v>1</v>
      </c>
      <c r="Q85" t="n">
        <v>3</v>
      </c>
      <c r="R85" s="2" t="inlineStr">
        <is>
          <t>Garnlav
Kolflarnlav
Vedskivlav</t>
        </is>
      </c>
      <c r="S85">
        <f>HYPERLINK("https://klasma.github.io/Logging_1737/artfynd/A 45468-2025 artfynd.xlsx", "A 45468-2025")</f>
        <v/>
      </c>
      <c r="T85">
        <f>HYPERLINK("https://klasma.github.io/Logging_1737/kartor/A 45468-2025 karta.png", "A 45468-2025")</f>
        <v/>
      </c>
      <c r="V85">
        <f>HYPERLINK("https://klasma.github.io/Logging_1737/klagomål/A 45468-2025 FSC-klagomål.docx", "A 45468-2025")</f>
        <v/>
      </c>
      <c r="W85">
        <f>HYPERLINK("https://klasma.github.io/Logging_1737/klagomålsmail/A 45468-2025 FSC-klagomål mail.docx", "A 45468-2025")</f>
        <v/>
      </c>
      <c r="X85">
        <f>HYPERLINK("https://klasma.github.io/Logging_1737/tillsyn/A 45468-2025 tillsynsbegäran.docx", "A 45468-2025")</f>
        <v/>
      </c>
      <c r="Y85">
        <f>HYPERLINK("https://klasma.github.io/Logging_1737/tillsynsmail/A 45468-2025 tillsynsbegäran mail.docx", "A 45468-2025")</f>
        <v/>
      </c>
    </row>
    <row r="86" ht="15" customHeight="1">
      <c r="A86" t="inlineStr">
        <is>
          <t>A 16414-2023</t>
        </is>
      </c>
      <c r="B86" s="1" t="n">
        <v>45022</v>
      </c>
      <c r="C86" s="1" t="n">
        <v>46204</v>
      </c>
      <c r="D86" t="inlineStr">
        <is>
          <t>VÄRMLANDS LÄN</t>
        </is>
      </c>
      <c r="E86" t="inlineStr">
        <is>
          <t>TORSBY</t>
        </is>
      </c>
      <c r="G86" t="n">
        <v>8.800000000000001</v>
      </c>
      <c r="H86" t="n">
        <v>3</v>
      </c>
      <c r="I86" t="n">
        <v>0</v>
      </c>
      <c r="J86" t="n">
        <v>2</v>
      </c>
      <c r="K86" t="n">
        <v>0</v>
      </c>
      <c r="L86" t="n">
        <v>0</v>
      </c>
      <c r="M86" t="n">
        <v>0</v>
      </c>
      <c r="N86" t="n">
        <v>0</v>
      </c>
      <c r="O86" t="n">
        <v>2</v>
      </c>
      <c r="P86" t="n">
        <v>0</v>
      </c>
      <c r="Q86" t="n">
        <v>3</v>
      </c>
      <c r="R86" s="2" t="inlineStr">
        <is>
          <t>Sparvuggla
Talltita
Spillkråka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15044-2025</t>
        </is>
      </c>
      <c r="B87" s="1" t="n">
        <v>45743</v>
      </c>
      <c r="C87" s="1" t="n">
        <v>46204</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HYPERLINK("https://klasma.github.io/Logging_1737/artfynd/A 15044-2025 artfynd.xlsx", "A 15044-2025")</f>
        <v/>
      </c>
      <c r="T87">
        <f>HYPERLINK("https://klasma.github.io/Logging_1737/kartor/A 15044-2025 karta.png", "A 15044-2025")</f>
        <v/>
      </c>
      <c r="V87">
        <f>HYPERLINK("https://klasma.github.io/Logging_1737/klagomål/A 15044-2025 FSC-klagomål.docx", "A 15044-2025")</f>
        <v/>
      </c>
      <c r="W87">
        <f>HYPERLINK("https://klasma.github.io/Logging_1737/klagomålsmail/A 15044-2025 FSC-klagomål mail.docx", "A 15044-2025")</f>
        <v/>
      </c>
      <c r="X87">
        <f>HYPERLINK("https://klasma.github.io/Logging_1737/tillsyn/A 15044-2025 tillsynsbegäran.docx", "A 15044-2025")</f>
        <v/>
      </c>
      <c r="Y87">
        <f>HYPERLINK("https://klasma.github.io/Logging_1737/tillsynsmail/A 15044-2025 tillsynsbegäran mail.docx", "A 15044-2025")</f>
        <v/>
      </c>
    </row>
    <row r="88" ht="15" customHeight="1">
      <c r="A88" t="inlineStr">
        <is>
          <t>A 19030-2025</t>
        </is>
      </c>
      <c r="B88" s="1" t="n">
        <v>45764</v>
      </c>
      <c r="C88" s="1" t="n">
        <v>46204</v>
      </c>
      <c r="D88" t="inlineStr">
        <is>
          <t>VÄRMLANDS LÄN</t>
        </is>
      </c>
      <c r="E88" t="inlineStr">
        <is>
          <t>TORSBY</t>
        </is>
      </c>
      <c r="F88" t="inlineStr">
        <is>
          <t>Övriga statliga verk och myndigheter</t>
        </is>
      </c>
      <c r="G88" t="n">
        <v>1.9</v>
      </c>
      <c r="H88" t="n">
        <v>0</v>
      </c>
      <c r="I88" t="n">
        <v>0</v>
      </c>
      <c r="J88" t="n">
        <v>2</v>
      </c>
      <c r="K88" t="n">
        <v>1</v>
      </c>
      <c r="L88" t="n">
        <v>0</v>
      </c>
      <c r="M88" t="n">
        <v>0</v>
      </c>
      <c r="N88" t="n">
        <v>0</v>
      </c>
      <c r="O88" t="n">
        <v>3</v>
      </c>
      <c r="P88" t="n">
        <v>1</v>
      </c>
      <c r="Q88" t="n">
        <v>3</v>
      </c>
      <c r="R88" s="2" t="inlineStr">
        <is>
          <t>Garnlav
Kolflarnlav
Mörk kolflarnlav</t>
        </is>
      </c>
      <c r="S88">
        <f>HYPERLINK("https://klasma.github.io/Logging_1737/artfynd/A 19030-2025 artfynd.xlsx", "A 19030-2025")</f>
        <v/>
      </c>
      <c r="T88">
        <f>HYPERLINK("https://klasma.github.io/Logging_1737/kartor/A 19030-2025 karta.png", "A 19030-2025")</f>
        <v/>
      </c>
      <c r="V88">
        <f>HYPERLINK("https://klasma.github.io/Logging_1737/klagomål/A 19030-2025 FSC-klagomål.docx", "A 19030-2025")</f>
        <v/>
      </c>
      <c r="W88">
        <f>HYPERLINK("https://klasma.github.io/Logging_1737/klagomålsmail/A 19030-2025 FSC-klagomål mail.docx", "A 19030-2025")</f>
        <v/>
      </c>
      <c r="X88">
        <f>HYPERLINK("https://klasma.github.io/Logging_1737/tillsyn/A 19030-2025 tillsynsbegäran.docx", "A 19030-2025")</f>
        <v/>
      </c>
      <c r="Y88">
        <f>HYPERLINK("https://klasma.github.io/Logging_1737/tillsynsmail/A 19030-2025 tillsynsbegäran mail.docx", "A 19030-2025")</f>
        <v/>
      </c>
    </row>
    <row r="89" ht="15" customHeight="1">
      <c r="A89" t="inlineStr">
        <is>
          <t>A 16369-2024</t>
        </is>
      </c>
      <c r="B89" s="1" t="n">
        <v>45407</v>
      </c>
      <c r="C89" s="1" t="n">
        <v>46204</v>
      </c>
      <c r="D89" t="inlineStr">
        <is>
          <t>VÄRMLANDS LÄN</t>
        </is>
      </c>
      <c r="E89" t="inlineStr">
        <is>
          <t>TORSBY</t>
        </is>
      </c>
      <c r="F89" t="inlineStr">
        <is>
          <t>Kommuner</t>
        </is>
      </c>
      <c r="G89" t="n">
        <v>2.2</v>
      </c>
      <c r="H89" t="n">
        <v>0</v>
      </c>
      <c r="I89" t="n">
        <v>0</v>
      </c>
      <c r="J89" t="n">
        <v>2</v>
      </c>
      <c r="K89" t="n">
        <v>1</v>
      </c>
      <c r="L89" t="n">
        <v>0</v>
      </c>
      <c r="M89" t="n">
        <v>0</v>
      </c>
      <c r="N89" t="n">
        <v>0</v>
      </c>
      <c r="O89" t="n">
        <v>3</v>
      </c>
      <c r="P89" t="n">
        <v>1</v>
      </c>
      <c r="Q89" t="n">
        <v>3</v>
      </c>
      <c r="R89" s="2" t="inlineStr">
        <is>
          <t>Fältgentiana
Månlåsbräken
Vitfläckig guldvinge</t>
        </is>
      </c>
      <c r="S89">
        <f>HYPERLINK("https://klasma.github.io/Logging_1737/artfynd/A 16369-2024 artfynd.xlsx", "A 16369-2024")</f>
        <v/>
      </c>
      <c r="T89">
        <f>HYPERLINK("https://klasma.github.io/Logging_1737/kartor/A 16369-2024 karta.png", "A 16369-2024")</f>
        <v/>
      </c>
      <c r="V89">
        <f>HYPERLINK("https://klasma.github.io/Logging_1737/klagomål/A 16369-2024 FSC-klagomål.docx", "A 16369-2024")</f>
        <v/>
      </c>
      <c r="W89">
        <f>HYPERLINK("https://klasma.github.io/Logging_1737/klagomålsmail/A 16369-2024 FSC-klagomål mail.docx", "A 16369-2024")</f>
        <v/>
      </c>
      <c r="X89">
        <f>HYPERLINK("https://klasma.github.io/Logging_1737/tillsyn/A 16369-2024 tillsynsbegäran.docx", "A 16369-2024")</f>
        <v/>
      </c>
      <c r="Y89">
        <f>HYPERLINK("https://klasma.github.io/Logging_1737/tillsynsmail/A 16369-2024 tillsynsbegäran mail.docx", "A 16369-2024")</f>
        <v/>
      </c>
    </row>
    <row r="90" ht="15" customHeight="1">
      <c r="A90" t="inlineStr">
        <is>
          <t>A 2898-2026</t>
        </is>
      </c>
      <c r="B90" s="1" t="n">
        <v>46037</v>
      </c>
      <c r="C90" s="1" t="n">
        <v>46204</v>
      </c>
      <c r="D90" t="inlineStr">
        <is>
          <t>VÄRMLANDS LÄN</t>
        </is>
      </c>
      <c r="E90" t="inlineStr">
        <is>
          <t>TORSBY</t>
        </is>
      </c>
      <c r="G90" t="n">
        <v>2.7</v>
      </c>
      <c r="H90" t="n">
        <v>0</v>
      </c>
      <c r="I90" t="n">
        <v>1</v>
      </c>
      <c r="J90" t="n">
        <v>2</v>
      </c>
      <c r="K90" t="n">
        <v>0</v>
      </c>
      <c r="L90" t="n">
        <v>0</v>
      </c>
      <c r="M90" t="n">
        <v>0</v>
      </c>
      <c r="N90" t="n">
        <v>0</v>
      </c>
      <c r="O90" t="n">
        <v>2</v>
      </c>
      <c r="P90" t="n">
        <v>0</v>
      </c>
      <c r="Q90" t="n">
        <v>3</v>
      </c>
      <c r="R90" s="2" t="inlineStr">
        <is>
          <t>Brunpudrad nållav
Vedtrappmossa
Vedticka</t>
        </is>
      </c>
      <c r="S90">
        <f>HYPERLINK("https://klasma.github.io/Logging_1737/artfynd/A 2898-2026 artfynd.xlsx", "A 2898-2026")</f>
        <v/>
      </c>
      <c r="T90">
        <f>HYPERLINK("https://klasma.github.io/Logging_1737/kartor/A 2898-2026 karta.png", "A 2898-2026")</f>
        <v/>
      </c>
      <c r="V90">
        <f>HYPERLINK("https://klasma.github.io/Logging_1737/klagomål/A 2898-2026 FSC-klagomål.docx", "A 2898-2026")</f>
        <v/>
      </c>
      <c r="W90">
        <f>HYPERLINK("https://klasma.github.io/Logging_1737/klagomålsmail/A 2898-2026 FSC-klagomål mail.docx", "A 2898-2026")</f>
        <v/>
      </c>
      <c r="X90">
        <f>HYPERLINK("https://klasma.github.io/Logging_1737/tillsyn/A 2898-2026 tillsynsbegäran.docx", "A 2898-2026")</f>
        <v/>
      </c>
      <c r="Y90">
        <f>HYPERLINK("https://klasma.github.io/Logging_1737/tillsynsmail/A 2898-2026 tillsynsbegäran mail.docx", "A 2898-2026")</f>
        <v/>
      </c>
    </row>
    <row r="91" ht="15" customHeight="1">
      <c r="A91" t="inlineStr">
        <is>
          <t>A 17740-2025</t>
        </is>
      </c>
      <c r="B91" s="1" t="n">
        <v>45758</v>
      </c>
      <c r="C91" s="1" t="n">
        <v>46204</v>
      </c>
      <c r="D91" t="inlineStr">
        <is>
          <t>VÄRMLANDS LÄN</t>
        </is>
      </c>
      <c r="E91" t="inlineStr">
        <is>
          <t>TORSBY</t>
        </is>
      </c>
      <c r="G91" t="n">
        <v>4.8</v>
      </c>
      <c r="H91" t="n">
        <v>0</v>
      </c>
      <c r="I91" t="n">
        <v>1</v>
      </c>
      <c r="J91" t="n">
        <v>1</v>
      </c>
      <c r="K91" t="n">
        <v>1</v>
      </c>
      <c r="L91" t="n">
        <v>0</v>
      </c>
      <c r="M91" t="n">
        <v>0</v>
      </c>
      <c r="N91" t="n">
        <v>0</v>
      </c>
      <c r="O91" t="n">
        <v>2</v>
      </c>
      <c r="P91" t="n">
        <v>1</v>
      </c>
      <c r="Q91" t="n">
        <v>3</v>
      </c>
      <c r="R91" s="2" t="inlineStr">
        <is>
          <t>Garnlav
Vedskivlav
Nästlav</t>
        </is>
      </c>
      <c r="S91">
        <f>HYPERLINK("https://klasma.github.io/Logging_1737/artfynd/A 17740-2025 artfynd.xlsx", "A 17740-2025")</f>
        <v/>
      </c>
      <c r="T91">
        <f>HYPERLINK("https://klasma.github.io/Logging_1737/kartor/A 17740-2025 karta.png", "A 17740-2025")</f>
        <v/>
      </c>
      <c r="V91">
        <f>HYPERLINK("https://klasma.github.io/Logging_1737/klagomål/A 17740-2025 FSC-klagomål.docx", "A 17740-2025")</f>
        <v/>
      </c>
      <c r="W91">
        <f>HYPERLINK("https://klasma.github.io/Logging_1737/klagomålsmail/A 17740-2025 FSC-klagomål mail.docx", "A 17740-2025")</f>
        <v/>
      </c>
      <c r="X91">
        <f>HYPERLINK("https://klasma.github.io/Logging_1737/tillsyn/A 17740-2025 tillsynsbegäran.docx", "A 17740-2025")</f>
        <v/>
      </c>
      <c r="Y91">
        <f>HYPERLINK("https://klasma.github.io/Logging_1737/tillsynsmail/A 17740-2025 tillsynsbegäran mail.docx", "A 17740-2025")</f>
        <v/>
      </c>
    </row>
    <row r="92" ht="15" customHeight="1">
      <c r="A92" t="inlineStr">
        <is>
          <t>A 5680-2024</t>
        </is>
      </c>
      <c r="B92" s="1" t="n">
        <v>45334</v>
      </c>
      <c r="C92" s="1" t="n">
        <v>46204</v>
      </c>
      <c r="D92" t="inlineStr">
        <is>
          <t>VÄRMLANDS LÄN</t>
        </is>
      </c>
      <c r="E92" t="inlineStr">
        <is>
          <t>TORSBY</t>
        </is>
      </c>
      <c r="G92" t="n">
        <v>24</v>
      </c>
      <c r="H92" t="n">
        <v>0</v>
      </c>
      <c r="I92" t="n">
        <v>0</v>
      </c>
      <c r="J92" t="n">
        <v>2</v>
      </c>
      <c r="K92" t="n">
        <v>1</v>
      </c>
      <c r="L92" t="n">
        <v>0</v>
      </c>
      <c r="M92" t="n">
        <v>0</v>
      </c>
      <c r="N92" t="n">
        <v>0</v>
      </c>
      <c r="O92" t="n">
        <v>3</v>
      </c>
      <c r="P92" t="n">
        <v>1</v>
      </c>
      <c r="Q92" t="n">
        <v>3</v>
      </c>
      <c r="R92" s="2" t="inlineStr">
        <is>
          <t>Garnlav
Dropptaggsvamp
Motaggsvamp</t>
        </is>
      </c>
      <c r="S92">
        <f>HYPERLINK("https://klasma.github.io/Logging_1737/artfynd/A 5680-2024 artfynd.xlsx", "A 5680-2024")</f>
        <v/>
      </c>
      <c r="T92">
        <f>HYPERLINK("https://klasma.github.io/Logging_1737/kartor/A 5680-2024 karta.png", "A 5680-2024")</f>
        <v/>
      </c>
      <c r="V92">
        <f>HYPERLINK("https://klasma.github.io/Logging_1737/klagomål/A 5680-2024 FSC-klagomål.docx", "A 5680-2024")</f>
        <v/>
      </c>
      <c r="W92">
        <f>HYPERLINK("https://klasma.github.io/Logging_1737/klagomålsmail/A 5680-2024 FSC-klagomål mail.docx", "A 5680-2024")</f>
        <v/>
      </c>
      <c r="X92">
        <f>HYPERLINK("https://klasma.github.io/Logging_1737/tillsyn/A 5680-2024 tillsynsbegäran.docx", "A 5680-2024")</f>
        <v/>
      </c>
      <c r="Y92">
        <f>HYPERLINK("https://klasma.github.io/Logging_1737/tillsynsmail/A 5680-2024 tillsynsbegäran mail.docx", "A 5680-2024")</f>
        <v/>
      </c>
    </row>
    <row r="93" ht="15" customHeight="1">
      <c r="A93" t="inlineStr">
        <is>
          <t>A 4718-2023</t>
        </is>
      </c>
      <c r="B93" s="1" t="n">
        <v>44957</v>
      </c>
      <c r="C93" s="1" t="n">
        <v>46204</v>
      </c>
      <c r="D93" t="inlineStr">
        <is>
          <t>VÄRMLANDS LÄN</t>
        </is>
      </c>
      <c r="E93" t="inlineStr">
        <is>
          <t>TORSBY</t>
        </is>
      </c>
      <c r="G93" t="n">
        <v>8.5</v>
      </c>
      <c r="H93" t="n">
        <v>0</v>
      </c>
      <c r="I93" t="n">
        <v>0</v>
      </c>
      <c r="J93" t="n">
        <v>2</v>
      </c>
      <c r="K93" t="n">
        <v>1</v>
      </c>
      <c r="L93" t="n">
        <v>0</v>
      </c>
      <c r="M93" t="n">
        <v>0</v>
      </c>
      <c r="N93" t="n">
        <v>0</v>
      </c>
      <c r="O93" t="n">
        <v>3</v>
      </c>
      <c r="P93" t="n">
        <v>1</v>
      </c>
      <c r="Q93" t="n">
        <v>3</v>
      </c>
      <c r="R93" s="2" t="inlineStr">
        <is>
          <t>Garnlav
Lunglav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44018-2025</t>
        </is>
      </c>
      <c r="B94" s="1" t="n">
        <v>45915</v>
      </c>
      <c r="C94" s="1" t="n">
        <v>46204</v>
      </c>
      <c r="D94" t="inlineStr">
        <is>
          <t>VÄRMLANDS LÄN</t>
        </is>
      </c>
      <c r="E94" t="inlineStr">
        <is>
          <t>TORSBY</t>
        </is>
      </c>
      <c r="G94" t="n">
        <v>8.1</v>
      </c>
      <c r="H94" t="n">
        <v>0</v>
      </c>
      <c r="I94" t="n">
        <v>1</v>
      </c>
      <c r="J94" t="n">
        <v>2</v>
      </c>
      <c r="K94" t="n">
        <v>0</v>
      </c>
      <c r="L94" t="n">
        <v>0</v>
      </c>
      <c r="M94" t="n">
        <v>0</v>
      </c>
      <c r="N94" t="n">
        <v>0</v>
      </c>
      <c r="O94" t="n">
        <v>2</v>
      </c>
      <c r="P94" t="n">
        <v>0</v>
      </c>
      <c r="Q94" t="n">
        <v>3</v>
      </c>
      <c r="R94" s="2" t="inlineStr">
        <is>
          <t>Gammelgransskål
Skuggblåslav
Korallblylav</t>
        </is>
      </c>
      <c r="S94">
        <f>HYPERLINK("https://klasma.github.io/Logging_1737/artfynd/A 44018-2025 artfynd.xlsx", "A 44018-2025")</f>
        <v/>
      </c>
      <c r="T94">
        <f>HYPERLINK("https://klasma.github.io/Logging_1737/kartor/A 44018-2025 karta.png", "A 44018-2025")</f>
        <v/>
      </c>
      <c r="V94">
        <f>HYPERLINK("https://klasma.github.io/Logging_1737/klagomål/A 44018-2025 FSC-klagomål.docx", "A 44018-2025")</f>
        <v/>
      </c>
      <c r="W94">
        <f>HYPERLINK("https://klasma.github.io/Logging_1737/klagomålsmail/A 44018-2025 FSC-klagomål mail.docx", "A 44018-2025")</f>
        <v/>
      </c>
      <c r="X94">
        <f>HYPERLINK("https://klasma.github.io/Logging_1737/tillsyn/A 44018-2025 tillsynsbegäran.docx", "A 44018-2025")</f>
        <v/>
      </c>
      <c r="Y94">
        <f>HYPERLINK("https://klasma.github.io/Logging_1737/tillsynsmail/A 44018-2025 tillsynsbegäran mail.docx", "A 44018-2025")</f>
        <v/>
      </c>
    </row>
    <row r="95" ht="15" customHeight="1">
      <c r="A95" t="inlineStr">
        <is>
          <t>A 10343-2025</t>
        </is>
      </c>
      <c r="B95" s="1" t="n">
        <v>45720</v>
      </c>
      <c r="C95" s="1" t="n">
        <v>46204</v>
      </c>
      <c r="D95" t="inlineStr">
        <is>
          <t>VÄRMLANDS LÄN</t>
        </is>
      </c>
      <c r="E95" t="inlineStr">
        <is>
          <t>TORSBY</t>
        </is>
      </c>
      <c r="G95" t="n">
        <v>3.1</v>
      </c>
      <c r="H95" t="n">
        <v>0</v>
      </c>
      <c r="I95" t="n">
        <v>0</v>
      </c>
      <c r="J95" t="n">
        <v>2</v>
      </c>
      <c r="K95" t="n">
        <v>1</v>
      </c>
      <c r="L95" t="n">
        <v>0</v>
      </c>
      <c r="M95" t="n">
        <v>0</v>
      </c>
      <c r="N95" t="n">
        <v>0</v>
      </c>
      <c r="O95" t="n">
        <v>3</v>
      </c>
      <c r="P95" t="n">
        <v>1</v>
      </c>
      <c r="Q95" t="n">
        <v>3</v>
      </c>
      <c r="R95" s="2" t="inlineStr">
        <is>
          <t>Norsk näverlav
Skuggblåslav
Violettgrå tagellav</t>
        </is>
      </c>
      <c r="S95">
        <f>HYPERLINK("https://klasma.github.io/Logging_1737/artfynd/A 10343-2025 artfynd.xlsx", "A 10343-2025")</f>
        <v/>
      </c>
      <c r="T95">
        <f>HYPERLINK("https://klasma.github.io/Logging_1737/kartor/A 10343-2025 karta.png", "A 10343-2025")</f>
        <v/>
      </c>
      <c r="V95">
        <f>HYPERLINK("https://klasma.github.io/Logging_1737/klagomål/A 10343-2025 FSC-klagomål.docx", "A 10343-2025")</f>
        <v/>
      </c>
      <c r="W95">
        <f>HYPERLINK("https://klasma.github.io/Logging_1737/klagomålsmail/A 10343-2025 FSC-klagomål mail.docx", "A 10343-2025")</f>
        <v/>
      </c>
      <c r="X95">
        <f>HYPERLINK("https://klasma.github.io/Logging_1737/tillsyn/A 10343-2025 tillsynsbegäran.docx", "A 10343-2025")</f>
        <v/>
      </c>
      <c r="Y95">
        <f>HYPERLINK("https://klasma.github.io/Logging_1737/tillsynsmail/A 10343-2025 tillsynsbegäran mail.docx", "A 10343-2025")</f>
        <v/>
      </c>
    </row>
    <row r="96" ht="15" customHeight="1">
      <c r="A96" t="inlineStr">
        <is>
          <t>A 16442-2023</t>
        </is>
      </c>
      <c r="B96" s="1" t="n">
        <v>45026</v>
      </c>
      <c r="C96" s="1" t="n">
        <v>46204</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46204</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46204</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46204</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46204</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23091-2024</t>
        </is>
      </c>
      <c r="B101" s="1" t="n">
        <v>45450</v>
      </c>
      <c r="C101" s="1" t="n">
        <v>46204</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12372-2022</t>
        </is>
      </c>
      <c r="B102" s="1" t="n">
        <v>44637</v>
      </c>
      <c r="C102" s="1" t="n">
        <v>46204</v>
      </c>
      <c r="D102" t="inlineStr">
        <is>
          <t>VÄRMLANDS LÄN</t>
        </is>
      </c>
      <c r="E102" t="inlineStr">
        <is>
          <t>TORSBY</t>
        </is>
      </c>
      <c r="G102" t="n">
        <v>3.4</v>
      </c>
      <c r="H102" t="n">
        <v>0</v>
      </c>
      <c r="I102" t="n">
        <v>0</v>
      </c>
      <c r="J102" t="n">
        <v>1</v>
      </c>
      <c r="K102" t="n">
        <v>1</v>
      </c>
      <c r="L102" t="n">
        <v>0</v>
      </c>
      <c r="M102" t="n">
        <v>0</v>
      </c>
      <c r="N102" t="n">
        <v>0</v>
      </c>
      <c r="O102" t="n">
        <v>2</v>
      </c>
      <c r="P102" t="n">
        <v>1</v>
      </c>
      <c r="Q102" t="n">
        <v>2</v>
      </c>
      <c r="R102" s="2" t="inlineStr">
        <is>
          <t>Garnlav
Gammelgransskål</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25212-2025</t>
        </is>
      </c>
      <c r="B103" s="1" t="n">
        <v>45800</v>
      </c>
      <c r="C103" s="1" t="n">
        <v>46204</v>
      </c>
      <c r="D103" t="inlineStr">
        <is>
          <t>VÄRMLANDS LÄN</t>
        </is>
      </c>
      <c r="E103" t="inlineStr">
        <is>
          <t>TORSBY</t>
        </is>
      </c>
      <c r="F103" t="inlineStr">
        <is>
          <t>Bergvik skog väst AB</t>
        </is>
      </c>
      <c r="G103" t="n">
        <v>6.4</v>
      </c>
      <c r="H103" t="n">
        <v>1</v>
      </c>
      <c r="I103" t="n">
        <v>1</v>
      </c>
      <c r="J103" t="n">
        <v>0</v>
      </c>
      <c r="K103" t="n">
        <v>0</v>
      </c>
      <c r="L103" t="n">
        <v>1</v>
      </c>
      <c r="M103" t="n">
        <v>0</v>
      </c>
      <c r="N103" t="n">
        <v>0</v>
      </c>
      <c r="O103" t="n">
        <v>1</v>
      </c>
      <c r="P103" t="n">
        <v>1</v>
      </c>
      <c r="Q103" t="n">
        <v>2</v>
      </c>
      <c r="R103" s="2" t="inlineStr">
        <is>
          <t>Bombmurkla
Vedticka</t>
        </is>
      </c>
      <c r="S103">
        <f>HYPERLINK("https://klasma.github.io/Logging_1737/artfynd/A 25212-2025 artfynd.xlsx", "A 25212-2025")</f>
        <v/>
      </c>
      <c r="T103">
        <f>HYPERLINK("https://klasma.github.io/Logging_1737/kartor/A 25212-2025 karta.png", "A 25212-2025")</f>
        <v/>
      </c>
      <c r="V103">
        <f>HYPERLINK("https://klasma.github.io/Logging_1737/klagomål/A 25212-2025 FSC-klagomål.docx", "A 25212-2025")</f>
        <v/>
      </c>
      <c r="W103">
        <f>HYPERLINK("https://klasma.github.io/Logging_1737/klagomålsmail/A 25212-2025 FSC-klagomål mail.docx", "A 25212-2025")</f>
        <v/>
      </c>
      <c r="X103">
        <f>HYPERLINK("https://klasma.github.io/Logging_1737/tillsyn/A 25212-2025 tillsynsbegäran.docx", "A 25212-2025")</f>
        <v/>
      </c>
      <c r="Y103">
        <f>HYPERLINK("https://klasma.github.io/Logging_1737/tillsynsmail/A 25212-2025 tillsynsbegäran mail.docx", "A 25212-2025")</f>
        <v/>
      </c>
    </row>
    <row r="104" ht="15" customHeight="1">
      <c r="A104" t="inlineStr">
        <is>
          <t>A 44286-2025</t>
        </is>
      </c>
      <c r="B104" s="1" t="n">
        <v>45916</v>
      </c>
      <c r="C104" s="1" t="n">
        <v>46204</v>
      </c>
      <c r="D104" t="inlineStr">
        <is>
          <t>VÄRMLANDS LÄN</t>
        </is>
      </c>
      <c r="E104" t="inlineStr">
        <is>
          <t>TORSBY</t>
        </is>
      </c>
      <c r="F104" t="inlineStr">
        <is>
          <t>Bergvik skog väst AB</t>
        </is>
      </c>
      <c r="G104" t="n">
        <v>13.8</v>
      </c>
      <c r="H104" t="n">
        <v>0</v>
      </c>
      <c r="I104" t="n">
        <v>2</v>
      </c>
      <c r="J104" t="n">
        <v>0</v>
      </c>
      <c r="K104" t="n">
        <v>0</v>
      </c>
      <c r="L104" t="n">
        <v>0</v>
      </c>
      <c r="M104" t="n">
        <v>0</v>
      </c>
      <c r="N104" t="n">
        <v>0</v>
      </c>
      <c r="O104" t="n">
        <v>0</v>
      </c>
      <c r="P104" t="n">
        <v>0</v>
      </c>
      <c r="Q104" t="n">
        <v>2</v>
      </c>
      <c r="R104" s="2" t="inlineStr">
        <is>
          <t>Kransrams
Spädstarr</t>
        </is>
      </c>
      <c r="S104">
        <f>HYPERLINK("https://klasma.github.io/Logging_1737/artfynd/A 44286-2025 artfynd.xlsx", "A 44286-2025")</f>
        <v/>
      </c>
      <c r="T104">
        <f>HYPERLINK("https://klasma.github.io/Logging_1737/kartor/A 44286-2025 karta.png", "A 44286-2025")</f>
        <v/>
      </c>
      <c r="V104">
        <f>HYPERLINK("https://klasma.github.io/Logging_1737/klagomål/A 44286-2025 FSC-klagomål.docx", "A 44286-2025")</f>
        <v/>
      </c>
      <c r="W104">
        <f>HYPERLINK("https://klasma.github.io/Logging_1737/klagomålsmail/A 44286-2025 FSC-klagomål mail.docx", "A 44286-2025")</f>
        <v/>
      </c>
      <c r="X104">
        <f>HYPERLINK("https://klasma.github.io/Logging_1737/tillsyn/A 44286-2025 tillsynsbegäran.docx", "A 44286-2025")</f>
        <v/>
      </c>
      <c r="Y104">
        <f>HYPERLINK("https://klasma.github.io/Logging_1737/tillsynsmail/A 44286-2025 tillsynsbegäran mail.docx", "A 44286-2025")</f>
        <v/>
      </c>
    </row>
    <row r="105" ht="15" customHeight="1">
      <c r="A105" t="inlineStr">
        <is>
          <t>A 52591-2023</t>
        </is>
      </c>
      <c r="B105" s="1" t="n">
        <v>45225</v>
      </c>
      <c r="C105" s="1" t="n">
        <v>46204</v>
      </c>
      <c r="D105" t="inlineStr">
        <is>
          <t>VÄRMLANDS LÄN</t>
        </is>
      </c>
      <c r="E105" t="inlineStr">
        <is>
          <t>TORSBY</t>
        </is>
      </c>
      <c r="G105" t="n">
        <v>1.2</v>
      </c>
      <c r="H105" t="n">
        <v>2</v>
      </c>
      <c r="I105" t="n">
        <v>0</v>
      </c>
      <c r="J105" t="n">
        <v>2</v>
      </c>
      <c r="K105" t="n">
        <v>0</v>
      </c>
      <c r="L105" t="n">
        <v>0</v>
      </c>
      <c r="M105" t="n">
        <v>0</v>
      </c>
      <c r="N105" t="n">
        <v>0</v>
      </c>
      <c r="O105" t="n">
        <v>2</v>
      </c>
      <c r="P105" t="n">
        <v>0</v>
      </c>
      <c r="Q105" t="n">
        <v>2</v>
      </c>
      <c r="R105" s="2" t="inlineStr">
        <is>
          <t>Rödvingetrast
Talltita</t>
        </is>
      </c>
      <c r="S105">
        <f>HYPERLINK("https://klasma.github.io/Logging_1737/artfynd/A 52591-2023 artfynd.xlsx", "A 52591-2023")</f>
        <v/>
      </c>
      <c r="T105">
        <f>HYPERLINK("https://klasma.github.io/Logging_1737/kartor/A 52591-2023 karta.png", "A 52591-2023")</f>
        <v/>
      </c>
      <c r="V105">
        <f>HYPERLINK("https://klasma.github.io/Logging_1737/klagomål/A 52591-2023 FSC-klagomål.docx", "A 52591-2023")</f>
        <v/>
      </c>
      <c r="W105">
        <f>HYPERLINK("https://klasma.github.io/Logging_1737/klagomålsmail/A 52591-2023 FSC-klagomål mail.docx", "A 52591-2023")</f>
        <v/>
      </c>
      <c r="X105">
        <f>HYPERLINK("https://klasma.github.io/Logging_1737/tillsyn/A 52591-2023 tillsynsbegäran.docx", "A 52591-2023")</f>
        <v/>
      </c>
      <c r="Y105">
        <f>HYPERLINK("https://klasma.github.io/Logging_1737/tillsynsmail/A 52591-2023 tillsynsbegäran mail.docx", "A 52591-2023")</f>
        <v/>
      </c>
      <c r="Z105">
        <f>HYPERLINK("https://klasma.github.io/Logging_1737/fåglar/A 52591-2023 prioriterade fågelarter.docx", "A 52591-2023")</f>
        <v/>
      </c>
    </row>
    <row r="106" ht="15" customHeight="1">
      <c r="A106" t="inlineStr">
        <is>
          <t>A 18411-2023</t>
        </is>
      </c>
      <c r="B106" s="1" t="n">
        <v>45042</v>
      </c>
      <c r="C106" s="1" t="n">
        <v>46204</v>
      </c>
      <c r="D106" t="inlineStr">
        <is>
          <t>VÄRMLANDS LÄN</t>
        </is>
      </c>
      <c r="E106" t="inlineStr">
        <is>
          <t>TORSBY</t>
        </is>
      </c>
      <c r="G106" t="n">
        <v>5.9</v>
      </c>
      <c r="H106" t="n">
        <v>0</v>
      </c>
      <c r="I106" t="n">
        <v>1</v>
      </c>
      <c r="J106" t="n">
        <v>1</v>
      </c>
      <c r="K106" t="n">
        <v>0</v>
      </c>
      <c r="L106" t="n">
        <v>0</v>
      </c>
      <c r="M106" t="n">
        <v>0</v>
      </c>
      <c r="N106" t="n">
        <v>0</v>
      </c>
      <c r="O106" t="n">
        <v>1</v>
      </c>
      <c r="P106" t="n">
        <v>0</v>
      </c>
      <c r="Q106" t="n">
        <v>2</v>
      </c>
      <c r="R106" s="2" t="inlineStr">
        <is>
          <t>Gullpudra
Dvärghäxört</t>
        </is>
      </c>
      <c r="S106">
        <f>HYPERLINK("https://klasma.github.io/Logging_1737/artfynd/A 18411-2023 artfynd.xlsx", "A 18411-2023")</f>
        <v/>
      </c>
      <c r="T106">
        <f>HYPERLINK("https://klasma.github.io/Logging_1737/kartor/A 18411-2023 karta.png", "A 18411-2023")</f>
        <v/>
      </c>
      <c r="V106">
        <f>HYPERLINK("https://klasma.github.io/Logging_1737/klagomål/A 18411-2023 FSC-klagomål.docx", "A 18411-2023")</f>
        <v/>
      </c>
      <c r="W106">
        <f>HYPERLINK("https://klasma.github.io/Logging_1737/klagomålsmail/A 18411-2023 FSC-klagomål mail.docx", "A 18411-2023")</f>
        <v/>
      </c>
      <c r="X106">
        <f>HYPERLINK("https://klasma.github.io/Logging_1737/tillsyn/A 18411-2023 tillsynsbegäran.docx", "A 18411-2023")</f>
        <v/>
      </c>
      <c r="Y106">
        <f>HYPERLINK("https://klasma.github.io/Logging_1737/tillsynsmail/A 18411-2023 tillsynsbegäran mail.docx", "A 18411-2023")</f>
        <v/>
      </c>
    </row>
    <row r="107" ht="15" customHeight="1">
      <c r="A107" t="inlineStr">
        <is>
          <t>A 49845-2024</t>
        </is>
      </c>
      <c r="B107" s="1" t="n">
        <v>45597</v>
      </c>
      <c r="C107" s="1" t="n">
        <v>46204</v>
      </c>
      <c r="D107" t="inlineStr">
        <is>
          <t>VÄRMLANDS LÄN</t>
        </is>
      </c>
      <c r="E107" t="inlineStr">
        <is>
          <t>TORSBY</t>
        </is>
      </c>
      <c r="G107" t="n">
        <v>0.4</v>
      </c>
      <c r="H107" t="n">
        <v>0</v>
      </c>
      <c r="I107" t="n">
        <v>1</v>
      </c>
      <c r="J107" t="n">
        <v>1</v>
      </c>
      <c r="K107" t="n">
        <v>0</v>
      </c>
      <c r="L107" t="n">
        <v>0</v>
      </c>
      <c r="M107" t="n">
        <v>0</v>
      </c>
      <c r="N107" t="n">
        <v>0</v>
      </c>
      <c r="O107" t="n">
        <v>1</v>
      </c>
      <c r="P107" t="n">
        <v>0</v>
      </c>
      <c r="Q107" t="n">
        <v>2</v>
      </c>
      <c r="R107" s="2" t="inlineStr">
        <is>
          <t>Späd bäckmossa
Strutbräken</t>
        </is>
      </c>
      <c r="S107">
        <f>HYPERLINK("https://klasma.github.io/Logging_1737/artfynd/A 49845-2024 artfynd.xlsx", "A 49845-2024")</f>
        <v/>
      </c>
      <c r="T107">
        <f>HYPERLINK("https://klasma.github.io/Logging_1737/kartor/A 49845-2024 karta.png", "A 49845-2024")</f>
        <v/>
      </c>
      <c r="V107">
        <f>HYPERLINK("https://klasma.github.io/Logging_1737/klagomål/A 49845-2024 FSC-klagomål.docx", "A 49845-2024")</f>
        <v/>
      </c>
      <c r="W107">
        <f>HYPERLINK("https://klasma.github.io/Logging_1737/klagomålsmail/A 49845-2024 FSC-klagomål mail.docx", "A 49845-2024")</f>
        <v/>
      </c>
      <c r="X107">
        <f>HYPERLINK("https://klasma.github.io/Logging_1737/tillsyn/A 49845-2024 tillsynsbegäran.docx", "A 49845-2024")</f>
        <v/>
      </c>
      <c r="Y107">
        <f>HYPERLINK("https://klasma.github.io/Logging_1737/tillsynsmail/A 49845-2024 tillsynsbegäran mail.docx", "A 49845-2024")</f>
        <v/>
      </c>
    </row>
    <row r="108" ht="15" customHeight="1">
      <c r="A108" t="inlineStr">
        <is>
          <t>A 37583-2025</t>
        </is>
      </c>
      <c r="B108" s="1" t="n">
        <v>45880</v>
      </c>
      <c r="C108" s="1" t="n">
        <v>46204</v>
      </c>
      <c r="D108" t="inlineStr">
        <is>
          <t>VÄRMLANDS LÄN</t>
        </is>
      </c>
      <c r="E108" t="inlineStr">
        <is>
          <t>TORSBY</t>
        </is>
      </c>
      <c r="G108" t="n">
        <v>1.2</v>
      </c>
      <c r="H108" t="n">
        <v>1</v>
      </c>
      <c r="I108" t="n">
        <v>0</v>
      </c>
      <c r="J108" t="n">
        <v>1</v>
      </c>
      <c r="K108" t="n">
        <v>1</v>
      </c>
      <c r="L108" t="n">
        <v>0</v>
      </c>
      <c r="M108" t="n">
        <v>0</v>
      </c>
      <c r="N108" t="n">
        <v>0</v>
      </c>
      <c r="O108" t="n">
        <v>2</v>
      </c>
      <c r="P108" t="n">
        <v>1</v>
      </c>
      <c r="Q108" t="n">
        <v>2</v>
      </c>
      <c r="R108" s="2" t="inlineStr">
        <is>
          <t>Garnlav
Tretåig hackspett</t>
        </is>
      </c>
      <c r="S108">
        <f>HYPERLINK("https://klasma.github.io/Logging_1737/artfynd/A 37583-2025 artfynd.xlsx", "A 37583-2025")</f>
        <v/>
      </c>
      <c r="T108">
        <f>HYPERLINK("https://klasma.github.io/Logging_1737/kartor/A 37583-2025 karta.png", "A 37583-2025")</f>
        <v/>
      </c>
      <c r="V108">
        <f>HYPERLINK("https://klasma.github.io/Logging_1737/klagomål/A 37583-2025 FSC-klagomål.docx", "A 37583-2025")</f>
        <v/>
      </c>
      <c r="W108">
        <f>HYPERLINK("https://klasma.github.io/Logging_1737/klagomålsmail/A 37583-2025 FSC-klagomål mail.docx", "A 37583-2025")</f>
        <v/>
      </c>
      <c r="X108">
        <f>HYPERLINK("https://klasma.github.io/Logging_1737/tillsyn/A 37583-2025 tillsynsbegäran.docx", "A 37583-2025")</f>
        <v/>
      </c>
      <c r="Y108">
        <f>HYPERLINK("https://klasma.github.io/Logging_1737/tillsynsmail/A 37583-2025 tillsynsbegäran mail.docx", "A 37583-2025")</f>
        <v/>
      </c>
      <c r="Z108">
        <f>HYPERLINK("https://klasma.github.io/Logging_1737/fåglar/A 37583-2025 prioriterade fågelarter.docx", "A 37583-2025")</f>
        <v/>
      </c>
    </row>
    <row r="109" ht="15" customHeight="1">
      <c r="A109" t="inlineStr">
        <is>
          <t>A 33906-2025</t>
        </is>
      </c>
      <c r="B109" s="1" t="n">
        <v>45842</v>
      </c>
      <c r="C109" s="1" t="n">
        <v>46204</v>
      </c>
      <c r="D109" t="inlineStr">
        <is>
          <t>VÄRMLANDS LÄN</t>
        </is>
      </c>
      <c r="E109" t="inlineStr">
        <is>
          <t>TORSBY</t>
        </is>
      </c>
      <c r="G109" t="n">
        <v>11.5</v>
      </c>
      <c r="H109" t="n">
        <v>0</v>
      </c>
      <c r="I109" t="n">
        <v>1</v>
      </c>
      <c r="J109" t="n">
        <v>0</v>
      </c>
      <c r="K109" t="n">
        <v>1</v>
      </c>
      <c r="L109" t="n">
        <v>0</v>
      </c>
      <c r="M109" t="n">
        <v>0</v>
      </c>
      <c r="N109" t="n">
        <v>0</v>
      </c>
      <c r="O109" t="n">
        <v>1</v>
      </c>
      <c r="P109" t="n">
        <v>1</v>
      </c>
      <c r="Q109" t="n">
        <v>2</v>
      </c>
      <c r="R109" s="2" t="inlineStr">
        <is>
          <t>Garnlav
Korallblylav</t>
        </is>
      </c>
      <c r="S109">
        <f>HYPERLINK("https://klasma.github.io/Logging_1737/artfynd/A 33906-2025 artfynd.xlsx", "A 33906-2025")</f>
        <v/>
      </c>
      <c r="T109">
        <f>HYPERLINK("https://klasma.github.io/Logging_1737/kartor/A 33906-2025 karta.png", "A 33906-2025")</f>
        <v/>
      </c>
      <c r="V109">
        <f>HYPERLINK("https://klasma.github.io/Logging_1737/klagomål/A 33906-2025 FSC-klagomål.docx", "A 33906-2025")</f>
        <v/>
      </c>
      <c r="W109">
        <f>HYPERLINK("https://klasma.github.io/Logging_1737/klagomålsmail/A 33906-2025 FSC-klagomål mail.docx", "A 33906-2025")</f>
        <v/>
      </c>
      <c r="X109">
        <f>HYPERLINK("https://klasma.github.io/Logging_1737/tillsyn/A 33906-2025 tillsynsbegäran.docx", "A 33906-2025")</f>
        <v/>
      </c>
      <c r="Y109">
        <f>HYPERLINK("https://klasma.github.io/Logging_1737/tillsynsmail/A 33906-2025 tillsynsbegäran mail.docx", "A 33906-2025")</f>
        <v/>
      </c>
    </row>
    <row r="110" ht="15" customHeight="1">
      <c r="A110" t="inlineStr">
        <is>
          <t>A 11763-2026</t>
        </is>
      </c>
      <c r="B110" s="1" t="n">
        <v>46084</v>
      </c>
      <c r="C110" s="1" t="n">
        <v>46204</v>
      </c>
      <c r="D110" t="inlineStr">
        <is>
          <t>VÄRMLANDS LÄN</t>
        </is>
      </c>
      <c r="E110" t="inlineStr">
        <is>
          <t>TORSBY</t>
        </is>
      </c>
      <c r="G110" t="n">
        <v>0.9</v>
      </c>
      <c r="H110" t="n">
        <v>0</v>
      </c>
      <c r="I110" t="n">
        <v>0</v>
      </c>
      <c r="J110" t="n">
        <v>1</v>
      </c>
      <c r="K110" t="n">
        <v>1</v>
      </c>
      <c r="L110" t="n">
        <v>0</v>
      </c>
      <c r="M110" t="n">
        <v>0</v>
      </c>
      <c r="N110" t="n">
        <v>0</v>
      </c>
      <c r="O110" t="n">
        <v>2</v>
      </c>
      <c r="P110" t="n">
        <v>1</v>
      </c>
      <c r="Q110" t="n">
        <v>2</v>
      </c>
      <c r="R110" s="2" t="inlineStr">
        <is>
          <t>Garnlav
Dropptaggsvamp</t>
        </is>
      </c>
      <c r="S110">
        <f>HYPERLINK("https://klasma.github.io/Logging_1737/artfynd/A 11763-2026 artfynd.xlsx", "A 11763-2026")</f>
        <v/>
      </c>
      <c r="T110">
        <f>HYPERLINK("https://klasma.github.io/Logging_1737/kartor/A 11763-2026 karta.png", "A 11763-2026")</f>
        <v/>
      </c>
      <c r="V110">
        <f>HYPERLINK("https://klasma.github.io/Logging_1737/klagomål/A 11763-2026 FSC-klagomål.docx", "A 11763-2026")</f>
        <v/>
      </c>
      <c r="W110">
        <f>HYPERLINK("https://klasma.github.io/Logging_1737/klagomålsmail/A 11763-2026 FSC-klagomål mail.docx", "A 11763-2026")</f>
        <v/>
      </c>
      <c r="X110">
        <f>HYPERLINK("https://klasma.github.io/Logging_1737/tillsyn/A 11763-2026 tillsynsbegäran.docx", "A 11763-2026")</f>
        <v/>
      </c>
      <c r="Y110">
        <f>HYPERLINK("https://klasma.github.io/Logging_1737/tillsynsmail/A 11763-2026 tillsynsbegäran mail.docx", "A 11763-2026")</f>
        <v/>
      </c>
    </row>
    <row r="111" ht="15" customHeight="1">
      <c r="A111" t="inlineStr">
        <is>
          <t>A 12915-2026</t>
        </is>
      </c>
      <c r="B111" s="1" t="n">
        <v>46092</v>
      </c>
      <c r="C111" s="1" t="n">
        <v>46204</v>
      </c>
      <c r="D111" t="inlineStr">
        <is>
          <t>VÄRMLANDS LÄN</t>
        </is>
      </c>
      <c r="E111" t="inlineStr">
        <is>
          <t>TORSBY</t>
        </is>
      </c>
      <c r="F111" t="inlineStr">
        <is>
          <t>Bergvik skog väst AB</t>
        </is>
      </c>
      <c r="G111" t="n">
        <v>16.4</v>
      </c>
      <c r="H111" t="n">
        <v>0</v>
      </c>
      <c r="I111" t="n">
        <v>0</v>
      </c>
      <c r="J111" t="n">
        <v>1</v>
      </c>
      <c r="K111" t="n">
        <v>1</v>
      </c>
      <c r="L111" t="n">
        <v>0</v>
      </c>
      <c r="M111" t="n">
        <v>0</v>
      </c>
      <c r="N111" t="n">
        <v>0</v>
      </c>
      <c r="O111" t="n">
        <v>2</v>
      </c>
      <c r="P111" t="n">
        <v>1</v>
      </c>
      <c r="Q111" t="n">
        <v>2</v>
      </c>
      <c r="R111" s="2" t="inlineStr">
        <is>
          <t>Garnlav
Tallticka</t>
        </is>
      </c>
      <c r="S111">
        <f>HYPERLINK("https://klasma.github.io/Logging_1737/artfynd/A 12915-2026 artfynd.xlsx", "A 12915-2026")</f>
        <v/>
      </c>
      <c r="T111">
        <f>HYPERLINK("https://klasma.github.io/Logging_1737/kartor/A 12915-2026 karta.png", "A 12915-2026")</f>
        <v/>
      </c>
      <c r="V111">
        <f>HYPERLINK("https://klasma.github.io/Logging_1737/klagomål/A 12915-2026 FSC-klagomål.docx", "A 12915-2026")</f>
        <v/>
      </c>
      <c r="W111">
        <f>HYPERLINK("https://klasma.github.io/Logging_1737/klagomålsmail/A 12915-2026 FSC-klagomål mail.docx", "A 12915-2026")</f>
        <v/>
      </c>
      <c r="X111">
        <f>HYPERLINK("https://klasma.github.io/Logging_1737/tillsyn/A 12915-2026 tillsynsbegäran.docx", "A 12915-2026")</f>
        <v/>
      </c>
      <c r="Y111">
        <f>HYPERLINK("https://klasma.github.io/Logging_1737/tillsynsmail/A 12915-2026 tillsynsbegäran mail.docx", "A 12915-2026")</f>
        <v/>
      </c>
    </row>
    <row r="112" ht="15" customHeight="1">
      <c r="A112" t="inlineStr">
        <is>
          <t>A 58537-2025</t>
        </is>
      </c>
      <c r="B112" s="1" t="n">
        <v>45985</v>
      </c>
      <c r="C112" s="1" t="n">
        <v>46204</v>
      </c>
      <c r="D112" t="inlineStr">
        <is>
          <t>VÄRMLANDS LÄN</t>
        </is>
      </c>
      <c r="E112" t="inlineStr">
        <is>
          <t>TORSBY</t>
        </is>
      </c>
      <c r="F112" t="inlineStr">
        <is>
          <t>Övriga statliga verk och myndigheter</t>
        </is>
      </c>
      <c r="G112" t="n">
        <v>0.6</v>
      </c>
      <c r="H112" t="n">
        <v>1</v>
      </c>
      <c r="I112" t="n">
        <v>1</v>
      </c>
      <c r="J112" t="n">
        <v>1</v>
      </c>
      <c r="K112" t="n">
        <v>0</v>
      </c>
      <c r="L112" t="n">
        <v>0</v>
      </c>
      <c r="M112" t="n">
        <v>0</v>
      </c>
      <c r="N112" t="n">
        <v>0</v>
      </c>
      <c r="O112" t="n">
        <v>1</v>
      </c>
      <c r="P112" t="n">
        <v>0</v>
      </c>
      <c r="Q112" t="n">
        <v>2</v>
      </c>
      <c r="R112" s="2" t="inlineStr">
        <is>
          <t>Tretåig hackspett
Stor revmossa</t>
        </is>
      </c>
      <c r="S112">
        <f>HYPERLINK("https://klasma.github.io/Logging_1737/artfynd/A 58537-2025 artfynd.xlsx", "A 58537-2025")</f>
        <v/>
      </c>
      <c r="T112">
        <f>HYPERLINK("https://klasma.github.io/Logging_1737/kartor/A 58537-2025 karta.png", "A 58537-2025")</f>
        <v/>
      </c>
      <c r="V112">
        <f>HYPERLINK("https://klasma.github.io/Logging_1737/klagomål/A 58537-2025 FSC-klagomål.docx", "A 58537-2025")</f>
        <v/>
      </c>
      <c r="W112">
        <f>HYPERLINK("https://klasma.github.io/Logging_1737/klagomålsmail/A 58537-2025 FSC-klagomål mail.docx", "A 58537-2025")</f>
        <v/>
      </c>
      <c r="X112">
        <f>HYPERLINK("https://klasma.github.io/Logging_1737/tillsyn/A 58537-2025 tillsynsbegäran.docx", "A 58537-2025")</f>
        <v/>
      </c>
      <c r="Y112">
        <f>HYPERLINK("https://klasma.github.io/Logging_1737/tillsynsmail/A 58537-2025 tillsynsbegäran mail.docx", "A 58537-2025")</f>
        <v/>
      </c>
      <c r="Z112">
        <f>HYPERLINK("https://klasma.github.io/Logging_1737/fåglar/A 58537-2025 prioriterade fågelarter.docx", "A 58537-2025")</f>
        <v/>
      </c>
    </row>
    <row r="113" ht="15" customHeight="1">
      <c r="A113" t="inlineStr">
        <is>
          <t>A 58928-2025</t>
        </is>
      </c>
      <c r="B113" s="1" t="n">
        <v>45987</v>
      </c>
      <c r="C113" s="1" t="n">
        <v>46204</v>
      </c>
      <c r="D113" t="inlineStr">
        <is>
          <t>VÄRMLANDS LÄN</t>
        </is>
      </c>
      <c r="E113" t="inlineStr">
        <is>
          <t>TORSBY</t>
        </is>
      </c>
      <c r="F113" t="inlineStr">
        <is>
          <t>Bergvik skog väst AB</t>
        </is>
      </c>
      <c r="G113" t="n">
        <v>1.5</v>
      </c>
      <c r="H113" t="n">
        <v>0</v>
      </c>
      <c r="I113" t="n">
        <v>0</v>
      </c>
      <c r="J113" t="n">
        <v>2</v>
      </c>
      <c r="K113" t="n">
        <v>0</v>
      </c>
      <c r="L113" t="n">
        <v>0</v>
      </c>
      <c r="M113" t="n">
        <v>0</v>
      </c>
      <c r="N113" t="n">
        <v>0</v>
      </c>
      <c r="O113" t="n">
        <v>2</v>
      </c>
      <c r="P113" t="n">
        <v>0</v>
      </c>
      <c r="Q113" t="n">
        <v>2</v>
      </c>
      <c r="R113" s="2" t="inlineStr">
        <is>
          <t>Lunglav
Skrovellav</t>
        </is>
      </c>
      <c r="S113">
        <f>HYPERLINK("https://klasma.github.io/Logging_1737/artfynd/A 58928-2025 artfynd.xlsx", "A 58928-2025")</f>
        <v/>
      </c>
      <c r="T113">
        <f>HYPERLINK("https://klasma.github.io/Logging_1737/kartor/A 58928-2025 karta.png", "A 58928-2025")</f>
        <v/>
      </c>
      <c r="V113">
        <f>HYPERLINK("https://klasma.github.io/Logging_1737/klagomål/A 58928-2025 FSC-klagomål.docx", "A 58928-2025")</f>
        <v/>
      </c>
      <c r="W113">
        <f>HYPERLINK("https://klasma.github.io/Logging_1737/klagomålsmail/A 58928-2025 FSC-klagomål mail.docx", "A 58928-2025")</f>
        <v/>
      </c>
      <c r="X113">
        <f>HYPERLINK("https://klasma.github.io/Logging_1737/tillsyn/A 58928-2025 tillsynsbegäran.docx", "A 58928-2025")</f>
        <v/>
      </c>
      <c r="Y113">
        <f>HYPERLINK("https://klasma.github.io/Logging_1737/tillsynsmail/A 58928-2025 tillsynsbegäran mail.docx", "A 58928-2025")</f>
        <v/>
      </c>
    </row>
    <row r="114" ht="15" customHeight="1">
      <c r="A114" t="inlineStr">
        <is>
          <t>A 61950-2024</t>
        </is>
      </c>
      <c r="B114" s="1" t="n">
        <v>45653</v>
      </c>
      <c r="C114" s="1" t="n">
        <v>46204</v>
      </c>
      <c r="D114" t="inlineStr">
        <is>
          <t>VÄRMLANDS LÄN</t>
        </is>
      </c>
      <c r="E114" t="inlineStr">
        <is>
          <t>TORSBY</t>
        </is>
      </c>
      <c r="G114" t="n">
        <v>2.1</v>
      </c>
      <c r="H114" t="n">
        <v>2</v>
      </c>
      <c r="I114" t="n">
        <v>0</v>
      </c>
      <c r="J114" t="n">
        <v>2</v>
      </c>
      <c r="K114" t="n">
        <v>0</v>
      </c>
      <c r="L114" t="n">
        <v>0</v>
      </c>
      <c r="M114" t="n">
        <v>0</v>
      </c>
      <c r="N114" t="n">
        <v>0</v>
      </c>
      <c r="O114" t="n">
        <v>2</v>
      </c>
      <c r="P114" t="n">
        <v>0</v>
      </c>
      <c r="Q114" t="n">
        <v>2</v>
      </c>
      <c r="R114" s="2" t="inlineStr">
        <is>
          <t>Björktrast
Rödvingetrast</t>
        </is>
      </c>
      <c r="S114">
        <f>HYPERLINK("https://klasma.github.io/Logging_1737/artfynd/A 61950-2024 artfynd.xlsx", "A 61950-2024")</f>
        <v/>
      </c>
      <c r="T114">
        <f>HYPERLINK("https://klasma.github.io/Logging_1737/kartor/A 61950-2024 karta.png", "A 61950-2024")</f>
        <v/>
      </c>
      <c r="V114">
        <f>HYPERLINK("https://klasma.github.io/Logging_1737/klagomål/A 61950-2024 FSC-klagomål.docx", "A 61950-2024")</f>
        <v/>
      </c>
      <c r="W114">
        <f>HYPERLINK("https://klasma.github.io/Logging_1737/klagomålsmail/A 61950-2024 FSC-klagomål mail.docx", "A 61950-2024")</f>
        <v/>
      </c>
      <c r="X114">
        <f>HYPERLINK("https://klasma.github.io/Logging_1737/tillsyn/A 61950-2024 tillsynsbegäran.docx", "A 61950-2024")</f>
        <v/>
      </c>
      <c r="Y114">
        <f>HYPERLINK("https://klasma.github.io/Logging_1737/tillsynsmail/A 61950-2024 tillsynsbegäran mail.docx", "A 61950-2024")</f>
        <v/>
      </c>
      <c r="Z114">
        <f>HYPERLINK("https://klasma.github.io/Logging_1737/fåglar/A 61950-2024 prioriterade fågelarter.docx", "A 61950-2024")</f>
        <v/>
      </c>
    </row>
    <row r="115" ht="15" customHeight="1">
      <c r="A115" t="inlineStr">
        <is>
          <t>A 62690-2025</t>
        </is>
      </c>
      <c r="B115" s="1" t="n">
        <v>46007</v>
      </c>
      <c r="C115" s="1" t="n">
        <v>46204</v>
      </c>
      <c r="D115" t="inlineStr">
        <is>
          <t>VÄRMLANDS LÄN</t>
        </is>
      </c>
      <c r="E115" t="inlineStr">
        <is>
          <t>TORSBY</t>
        </is>
      </c>
      <c r="G115" t="n">
        <v>2.2</v>
      </c>
      <c r="H115" t="n">
        <v>1</v>
      </c>
      <c r="I115" t="n">
        <v>0</v>
      </c>
      <c r="J115" t="n">
        <v>0</v>
      </c>
      <c r="K115" t="n">
        <v>1</v>
      </c>
      <c r="L115" t="n">
        <v>0</v>
      </c>
      <c r="M115" t="n">
        <v>0</v>
      </c>
      <c r="N115" t="n">
        <v>0</v>
      </c>
      <c r="O115" t="n">
        <v>1</v>
      </c>
      <c r="P115" t="n">
        <v>1</v>
      </c>
      <c r="Q115" t="n">
        <v>2</v>
      </c>
      <c r="R115" s="2" t="inlineStr">
        <is>
          <t>Grantickeporing
Utter</t>
        </is>
      </c>
      <c r="S115">
        <f>HYPERLINK("https://klasma.github.io/Logging_1737/artfynd/A 62690-2025 artfynd.xlsx", "A 62690-2025")</f>
        <v/>
      </c>
      <c r="T115">
        <f>HYPERLINK("https://klasma.github.io/Logging_1737/kartor/A 62690-2025 karta.png", "A 62690-2025")</f>
        <v/>
      </c>
      <c r="V115">
        <f>HYPERLINK("https://klasma.github.io/Logging_1737/klagomål/A 62690-2025 FSC-klagomål.docx", "A 62690-2025")</f>
        <v/>
      </c>
      <c r="W115">
        <f>HYPERLINK("https://klasma.github.io/Logging_1737/klagomålsmail/A 62690-2025 FSC-klagomål mail.docx", "A 62690-2025")</f>
        <v/>
      </c>
      <c r="X115">
        <f>HYPERLINK("https://klasma.github.io/Logging_1737/tillsyn/A 62690-2025 tillsynsbegäran.docx", "A 62690-2025")</f>
        <v/>
      </c>
      <c r="Y115">
        <f>HYPERLINK("https://klasma.github.io/Logging_1737/tillsynsmail/A 62690-2025 tillsynsbegäran mail.docx", "A 62690-2025")</f>
        <v/>
      </c>
    </row>
    <row r="116" ht="15" customHeight="1">
      <c r="A116" t="inlineStr">
        <is>
          <t>A 62568-2025</t>
        </is>
      </c>
      <c r="B116" s="1" t="n">
        <v>46007</v>
      </c>
      <c r="C116" s="1" t="n">
        <v>46204</v>
      </c>
      <c r="D116" t="inlineStr">
        <is>
          <t>VÄRMLANDS LÄN</t>
        </is>
      </c>
      <c r="E116" t="inlineStr">
        <is>
          <t>TORSBY</t>
        </is>
      </c>
      <c r="G116" t="n">
        <v>7</v>
      </c>
      <c r="H116" t="n">
        <v>0</v>
      </c>
      <c r="I116" t="n">
        <v>1</v>
      </c>
      <c r="J116" t="n">
        <v>1</v>
      </c>
      <c r="K116" t="n">
        <v>0</v>
      </c>
      <c r="L116" t="n">
        <v>0</v>
      </c>
      <c r="M116" t="n">
        <v>0</v>
      </c>
      <c r="N116" t="n">
        <v>0</v>
      </c>
      <c r="O116" t="n">
        <v>1</v>
      </c>
      <c r="P116" t="n">
        <v>0</v>
      </c>
      <c r="Q116" t="n">
        <v>2</v>
      </c>
      <c r="R116" s="2" t="inlineStr">
        <is>
          <t>Doftskinn
Vedticka</t>
        </is>
      </c>
      <c r="S116">
        <f>HYPERLINK("https://klasma.github.io/Logging_1737/artfynd/A 62568-2025 artfynd.xlsx", "A 62568-2025")</f>
        <v/>
      </c>
      <c r="T116">
        <f>HYPERLINK("https://klasma.github.io/Logging_1737/kartor/A 62568-2025 karta.png", "A 62568-2025")</f>
        <v/>
      </c>
      <c r="V116">
        <f>HYPERLINK("https://klasma.github.io/Logging_1737/klagomål/A 62568-2025 FSC-klagomål.docx", "A 62568-2025")</f>
        <v/>
      </c>
      <c r="W116">
        <f>HYPERLINK("https://klasma.github.io/Logging_1737/klagomålsmail/A 62568-2025 FSC-klagomål mail.docx", "A 62568-2025")</f>
        <v/>
      </c>
      <c r="X116">
        <f>HYPERLINK("https://klasma.github.io/Logging_1737/tillsyn/A 62568-2025 tillsynsbegäran.docx", "A 62568-2025")</f>
        <v/>
      </c>
      <c r="Y116">
        <f>HYPERLINK("https://klasma.github.io/Logging_1737/tillsynsmail/A 62568-2025 tillsynsbegäran mail.docx", "A 62568-2025")</f>
        <v/>
      </c>
    </row>
    <row r="117" ht="15" customHeight="1">
      <c r="A117" t="inlineStr">
        <is>
          <t>A 42610-2023</t>
        </is>
      </c>
      <c r="B117" s="1" t="n">
        <v>45181</v>
      </c>
      <c r="C117" s="1" t="n">
        <v>46204</v>
      </c>
      <c r="D117" t="inlineStr">
        <is>
          <t>VÄRMLANDS LÄN</t>
        </is>
      </c>
      <c r="E117" t="inlineStr">
        <is>
          <t>TORSBY</t>
        </is>
      </c>
      <c r="G117" t="n">
        <v>16.9</v>
      </c>
      <c r="H117" t="n">
        <v>1</v>
      </c>
      <c r="I117" t="n">
        <v>0</v>
      </c>
      <c r="J117" t="n">
        <v>0</v>
      </c>
      <c r="K117" t="n">
        <v>1</v>
      </c>
      <c r="L117" t="n">
        <v>0</v>
      </c>
      <c r="M117" t="n">
        <v>0</v>
      </c>
      <c r="N117" t="n">
        <v>0</v>
      </c>
      <c r="O117" t="n">
        <v>1</v>
      </c>
      <c r="P117" t="n">
        <v>1</v>
      </c>
      <c r="Q117" t="n">
        <v>2</v>
      </c>
      <c r="R117" s="2" t="inlineStr">
        <is>
          <t>Garnlav
Tjäder</t>
        </is>
      </c>
      <c r="S117">
        <f>HYPERLINK("https://klasma.github.io/Logging_1737/artfynd/A 42610-2023 artfynd.xlsx", "A 42610-2023")</f>
        <v/>
      </c>
      <c r="T117">
        <f>HYPERLINK("https://klasma.github.io/Logging_1737/kartor/A 42610-2023 karta.png", "A 42610-2023")</f>
        <v/>
      </c>
      <c r="V117">
        <f>HYPERLINK("https://klasma.github.io/Logging_1737/klagomål/A 42610-2023 FSC-klagomål.docx", "A 42610-2023")</f>
        <v/>
      </c>
      <c r="W117">
        <f>HYPERLINK("https://klasma.github.io/Logging_1737/klagomålsmail/A 42610-2023 FSC-klagomål mail.docx", "A 42610-2023")</f>
        <v/>
      </c>
      <c r="X117">
        <f>HYPERLINK("https://klasma.github.io/Logging_1737/tillsyn/A 42610-2023 tillsynsbegäran.docx", "A 42610-2023")</f>
        <v/>
      </c>
      <c r="Y117">
        <f>HYPERLINK("https://klasma.github.io/Logging_1737/tillsynsmail/A 42610-2023 tillsynsbegäran mail.docx", "A 42610-2023")</f>
        <v/>
      </c>
      <c r="Z117">
        <f>HYPERLINK("https://klasma.github.io/Logging_1737/fåglar/A 42610-2023 prioriterade fågelarter.docx", "A 42610-2023")</f>
        <v/>
      </c>
    </row>
    <row r="118" ht="15" customHeight="1">
      <c r="A118" t="inlineStr">
        <is>
          <t>A 63388-2025</t>
        </is>
      </c>
      <c r="B118" s="1" t="n">
        <v>46011</v>
      </c>
      <c r="C118" s="1" t="n">
        <v>46204</v>
      </c>
      <c r="D118" t="inlineStr">
        <is>
          <t>VÄRMLANDS LÄN</t>
        </is>
      </c>
      <c r="E118" t="inlineStr">
        <is>
          <t>TORSBY</t>
        </is>
      </c>
      <c r="G118" t="n">
        <v>5.4</v>
      </c>
      <c r="H118" t="n">
        <v>0</v>
      </c>
      <c r="I118" t="n">
        <v>0</v>
      </c>
      <c r="J118" t="n">
        <v>2</v>
      </c>
      <c r="K118" t="n">
        <v>0</v>
      </c>
      <c r="L118" t="n">
        <v>0</v>
      </c>
      <c r="M118" t="n">
        <v>0</v>
      </c>
      <c r="N118" t="n">
        <v>0</v>
      </c>
      <c r="O118" t="n">
        <v>2</v>
      </c>
      <c r="P118" t="n">
        <v>0</v>
      </c>
      <c r="Q118" t="n">
        <v>2</v>
      </c>
      <c r="R118" s="2" t="inlineStr">
        <is>
          <t>Mörk kolflarnlav
Vedskivlav</t>
        </is>
      </c>
      <c r="S118">
        <f>HYPERLINK("https://klasma.github.io/Logging_1737/artfynd/A 63388-2025 artfynd.xlsx", "A 63388-2025")</f>
        <v/>
      </c>
      <c r="T118">
        <f>HYPERLINK("https://klasma.github.io/Logging_1737/kartor/A 63388-2025 karta.png", "A 63388-2025")</f>
        <v/>
      </c>
      <c r="V118">
        <f>HYPERLINK("https://klasma.github.io/Logging_1737/klagomål/A 63388-2025 FSC-klagomål.docx", "A 63388-2025")</f>
        <v/>
      </c>
      <c r="W118">
        <f>HYPERLINK("https://klasma.github.io/Logging_1737/klagomålsmail/A 63388-2025 FSC-klagomål mail.docx", "A 63388-2025")</f>
        <v/>
      </c>
      <c r="X118">
        <f>HYPERLINK("https://klasma.github.io/Logging_1737/tillsyn/A 63388-2025 tillsynsbegäran.docx", "A 63388-2025")</f>
        <v/>
      </c>
      <c r="Y118">
        <f>HYPERLINK("https://klasma.github.io/Logging_1737/tillsynsmail/A 63388-2025 tillsynsbegäran mail.docx", "A 63388-2025")</f>
        <v/>
      </c>
    </row>
    <row r="119" ht="15" customHeight="1">
      <c r="A119" t="inlineStr">
        <is>
          <t>A 2000-2023</t>
        </is>
      </c>
      <c r="B119" s="1" t="n">
        <v>44939</v>
      </c>
      <c r="C119" s="1" t="n">
        <v>46204</v>
      </c>
      <c r="D119" t="inlineStr">
        <is>
          <t>VÄRMLANDS LÄN</t>
        </is>
      </c>
      <c r="E119" t="inlineStr">
        <is>
          <t>TORSBY</t>
        </is>
      </c>
      <c r="G119" t="n">
        <v>3.2</v>
      </c>
      <c r="H119" t="n">
        <v>2</v>
      </c>
      <c r="I119" t="n">
        <v>1</v>
      </c>
      <c r="J119" t="n">
        <v>0</v>
      </c>
      <c r="K119" t="n">
        <v>0</v>
      </c>
      <c r="L119" t="n">
        <v>0</v>
      </c>
      <c r="M119" t="n">
        <v>0</v>
      </c>
      <c r="N119" t="n">
        <v>0</v>
      </c>
      <c r="O119" t="n">
        <v>0</v>
      </c>
      <c r="P119" t="n">
        <v>0</v>
      </c>
      <c r="Q119" t="n">
        <v>2</v>
      </c>
      <c r="R119" s="2" t="inlineStr">
        <is>
          <t>Spindelblomster
Mattlummer</t>
        </is>
      </c>
      <c r="S119">
        <f>HYPERLINK("https://klasma.github.io/Logging_1737/artfynd/A 2000-2023 artfynd.xlsx", "A 2000-2023")</f>
        <v/>
      </c>
      <c r="T119">
        <f>HYPERLINK("https://klasma.github.io/Logging_1737/kartor/A 2000-2023 karta.png", "A 2000-2023")</f>
        <v/>
      </c>
      <c r="V119">
        <f>HYPERLINK("https://klasma.github.io/Logging_1737/klagomål/A 2000-2023 FSC-klagomål.docx", "A 2000-2023")</f>
        <v/>
      </c>
      <c r="W119">
        <f>HYPERLINK("https://klasma.github.io/Logging_1737/klagomålsmail/A 2000-2023 FSC-klagomål mail.docx", "A 2000-2023")</f>
        <v/>
      </c>
      <c r="X119">
        <f>HYPERLINK("https://klasma.github.io/Logging_1737/tillsyn/A 2000-2023 tillsynsbegäran.docx", "A 2000-2023")</f>
        <v/>
      </c>
      <c r="Y119">
        <f>HYPERLINK("https://klasma.github.io/Logging_1737/tillsynsmail/A 2000-2023 tillsynsbegäran mail.docx", "A 2000-2023")</f>
        <v/>
      </c>
    </row>
    <row r="120" ht="15" customHeight="1">
      <c r="A120" t="inlineStr">
        <is>
          <t>A 1979-2023</t>
        </is>
      </c>
      <c r="B120" s="1" t="n">
        <v>44939</v>
      </c>
      <c r="C120" s="1" t="n">
        <v>46204</v>
      </c>
      <c r="D120" t="inlineStr">
        <is>
          <t>VÄRMLANDS LÄN</t>
        </is>
      </c>
      <c r="E120" t="inlineStr">
        <is>
          <t>TORSBY</t>
        </is>
      </c>
      <c r="G120" t="n">
        <v>2.2</v>
      </c>
      <c r="H120" t="n">
        <v>2</v>
      </c>
      <c r="I120" t="n">
        <v>1</v>
      </c>
      <c r="J120" t="n">
        <v>0</v>
      </c>
      <c r="K120" t="n">
        <v>0</v>
      </c>
      <c r="L120" t="n">
        <v>0</v>
      </c>
      <c r="M120" t="n">
        <v>0</v>
      </c>
      <c r="N120" t="n">
        <v>0</v>
      </c>
      <c r="O120" t="n">
        <v>0</v>
      </c>
      <c r="P120" t="n">
        <v>0</v>
      </c>
      <c r="Q120" t="n">
        <v>2</v>
      </c>
      <c r="R120" s="2" t="inlineStr">
        <is>
          <t>Korallrot
Fläcknycklar</t>
        </is>
      </c>
      <c r="S120">
        <f>HYPERLINK("https://klasma.github.io/Logging_1737/artfynd/A 1979-2023 artfynd.xlsx", "A 1979-2023")</f>
        <v/>
      </c>
      <c r="T120">
        <f>HYPERLINK("https://klasma.github.io/Logging_1737/kartor/A 1979-2023 karta.png", "A 1979-2023")</f>
        <v/>
      </c>
      <c r="V120">
        <f>HYPERLINK("https://klasma.github.io/Logging_1737/klagomål/A 1979-2023 FSC-klagomål.docx", "A 1979-2023")</f>
        <v/>
      </c>
      <c r="W120">
        <f>HYPERLINK("https://klasma.github.io/Logging_1737/klagomålsmail/A 1979-2023 FSC-klagomål mail.docx", "A 1979-2023")</f>
        <v/>
      </c>
      <c r="X120">
        <f>HYPERLINK("https://klasma.github.io/Logging_1737/tillsyn/A 1979-2023 tillsynsbegäran.docx", "A 1979-2023")</f>
        <v/>
      </c>
      <c r="Y120">
        <f>HYPERLINK("https://klasma.github.io/Logging_1737/tillsynsmail/A 1979-2023 tillsynsbegäran mail.docx", "A 1979-2023")</f>
        <v/>
      </c>
    </row>
    <row r="121" ht="15" customHeight="1">
      <c r="A121" t="inlineStr">
        <is>
          <t>A 28156-2022</t>
        </is>
      </c>
      <c r="B121" s="1" t="n">
        <v>44746</v>
      </c>
      <c r="C121" s="1" t="n">
        <v>46204</v>
      </c>
      <c r="D121" t="inlineStr">
        <is>
          <t>VÄRMLANDS LÄN</t>
        </is>
      </c>
      <c r="E121" t="inlineStr">
        <is>
          <t>TORSBY</t>
        </is>
      </c>
      <c r="F121" t="inlineStr">
        <is>
          <t>Bergvik skog väst AB</t>
        </is>
      </c>
      <c r="G121" t="n">
        <v>8.300000000000001</v>
      </c>
      <c r="H121" t="n">
        <v>0</v>
      </c>
      <c r="I121" t="n">
        <v>0</v>
      </c>
      <c r="J121" t="n">
        <v>1</v>
      </c>
      <c r="K121" t="n">
        <v>1</v>
      </c>
      <c r="L121" t="n">
        <v>0</v>
      </c>
      <c r="M121" t="n">
        <v>0</v>
      </c>
      <c r="N121" t="n">
        <v>0</v>
      </c>
      <c r="O121" t="n">
        <v>2</v>
      </c>
      <c r="P121" t="n">
        <v>1</v>
      </c>
      <c r="Q121" t="n">
        <v>2</v>
      </c>
      <c r="R121" s="2" t="inlineStr">
        <is>
          <t>Raggbock
Tallticka</t>
        </is>
      </c>
      <c r="S121">
        <f>HYPERLINK("https://klasma.github.io/Logging_1737/artfynd/A 28156-2022 artfynd.xlsx", "A 28156-2022")</f>
        <v/>
      </c>
      <c r="T121">
        <f>HYPERLINK("https://klasma.github.io/Logging_1737/kartor/A 28156-2022 karta.png", "A 28156-2022")</f>
        <v/>
      </c>
      <c r="V121">
        <f>HYPERLINK("https://klasma.github.io/Logging_1737/klagomål/A 28156-2022 FSC-klagomål.docx", "A 28156-2022")</f>
        <v/>
      </c>
      <c r="W121">
        <f>HYPERLINK("https://klasma.github.io/Logging_1737/klagomålsmail/A 28156-2022 FSC-klagomål mail.docx", "A 28156-2022")</f>
        <v/>
      </c>
      <c r="X121">
        <f>HYPERLINK("https://klasma.github.io/Logging_1737/tillsyn/A 28156-2022 tillsynsbegäran.docx", "A 28156-2022")</f>
        <v/>
      </c>
      <c r="Y121">
        <f>HYPERLINK("https://klasma.github.io/Logging_1737/tillsynsmail/A 28156-2022 tillsynsbegäran mail.docx", "A 28156-2022")</f>
        <v/>
      </c>
    </row>
    <row r="122" ht="15" customHeight="1">
      <c r="A122" t="inlineStr">
        <is>
          <t>A 12375-2022</t>
        </is>
      </c>
      <c r="B122" s="1" t="n">
        <v>44637</v>
      </c>
      <c r="C122" s="1" t="n">
        <v>46204</v>
      </c>
      <c r="D122" t="inlineStr">
        <is>
          <t>VÄRMLANDS LÄN</t>
        </is>
      </c>
      <c r="E122" t="inlineStr">
        <is>
          <t>TORSBY</t>
        </is>
      </c>
      <c r="G122" t="n">
        <v>5.8</v>
      </c>
      <c r="H122" t="n">
        <v>0</v>
      </c>
      <c r="I122" t="n">
        <v>1</v>
      </c>
      <c r="J122" t="n">
        <v>0</v>
      </c>
      <c r="K122" t="n">
        <v>1</v>
      </c>
      <c r="L122" t="n">
        <v>0</v>
      </c>
      <c r="M122" t="n">
        <v>0</v>
      </c>
      <c r="N122" t="n">
        <v>0</v>
      </c>
      <c r="O122" t="n">
        <v>1</v>
      </c>
      <c r="P122" t="n">
        <v>1</v>
      </c>
      <c r="Q122" t="n">
        <v>2</v>
      </c>
      <c r="R122" s="2" t="inlineStr">
        <is>
          <t>Garnlav
Nästlav</t>
        </is>
      </c>
      <c r="S122">
        <f>HYPERLINK("https://klasma.github.io/Logging_1737/artfynd/A 12375-2022 artfynd.xlsx", "A 12375-2022")</f>
        <v/>
      </c>
      <c r="T122">
        <f>HYPERLINK("https://klasma.github.io/Logging_1737/kartor/A 12375-2022 karta.png", "A 12375-2022")</f>
        <v/>
      </c>
      <c r="V122">
        <f>HYPERLINK("https://klasma.github.io/Logging_1737/klagomål/A 12375-2022 FSC-klagomål.docx", "A 12375-2022")</f>
        <v/>
      </c>
      <c r="W122">
        <f>HYPERLINK("https://klasma.github.io/Logging_1737/klagomålsmail/A 12375-2022 FSC-klagomål mail.docx", "A 12375-2022")</f>
        <v/>
      </c>
      <c r="X122">
        <f>HYPERLINK("https://klasma.github.io/Logging_1737/tillsyn/A 12375-2022 tillsynsbegäran.docx", "A 12375-2022")</f>
        <v/>
      </c>
      <c r="Y122">
        <f>HYPERLINK("https://klasma.github.io/Logging_1737/tillsynsmail/A 12375-2022 tillsynsbegäran mail.docx", "A 12375-2022")</f>
        <v/>
      </c>
    </row>
    <row r="123" ht="15" customHeight="1">
      <c r="A123" t="inlineStr">
        <is>
          <t>A 48292-2023</t>
        </is>
      </c>
      <c r="B123" s="1" t="n">
        <v>45205</v>
      </c>
      <c r="C123" s="1" t="n">
        <v>46204</v>
      </c>
      <c r="D123" t="inlineStr">
        <is>
          <t>VÄRMLANDS LÄN</t>
        </is>
      </c>
      <c r="E123" t="inlineStr">
        <is>
          <t>TORSBY</t>
        </is>
      </c>
      <c r="G123" t="n">
        <v>2.3</v>
      </c>
      <c r="H123" t="n">
        <v>0</v>
      </c>
      <c r="I123" t="n">
        <v>1</v>
      </c>
      <c r="J123" t="n">
        <v>1</v>
      </c>
      <c r="K123" t="n">
        <v>0</v>
      </c>
      <c r="L123" t="n">
        <v>0</v>
      </c>
      <c r="M123" t="n">
        <v>0</v>
      </c>
      <c r="N123" t="n">
        <v>0</v>
      </c>
      <c r="O123" t="n">
        <v>1</v>
      </c>
      <c r="P123" t="n">
        <v>0</v>
      </c>
      <c r="Q123" t="n">
        <v>2</v>
      </c>
      <c r="R123" s="2" t="inlineStr">
        <is>
          <t>Vedtrappmossa
Vedticka</t>
        </is>
      </c>
      <c r="S123">
        <f>HYPERLINK("https://klasma.github.io/Logging_1737/artfynd/A 48292-2023 artfynd.xlsx", "A 48292-2023")</f>
        <v/>
      </c>
      <c r="T123">
        <f>HYPERLINK("https://klasma.github.io/Logging_1737/kartor/A 48292-2023 karta.png", "A 48292-2023")</f>
        <v/>
      </c>
      <c r="V123">
        <f>HYPERLINK("https://klasma.github.io/Logging_1737/klagomål/A 48292-2023 FSC-klagomål.docx", "A 48292-2023")</f>
        <v/>
      </c>
      <c r="W123">
        <f>HYPERLINK("https://klasma.github.io/Logging_1737/klagomålsmail/A 48292-2023 FSC-klagomål mail.docx", "A 48292-2023")</f>
        <v/>
      </c>
      <c r="X123">
        <f>HYPERLINK("https://klasma.github.io/Logging_1737/tillsyn/A 48292-2023 tillsynsbegäran.docx", "A 48292-2023")</f>
        <v/>
      </c>
      <c r="Y123">
        <f>HYPERLINK("https://klasma.github.io/Logging_1737/tillsynsmail/A 48292-2023 tillsynsbegäran mail.docx", "A 48292-2023")</f>
        <v/>
      </c>
    </row>
    <row r="124" ht="15" customHeight="1">
      <c r="A124" t="inlineStr">
        <is>
          <t>A 30974-2025</t>
        </is>
      </c>
      <c r="B124" s="1" t="n">
        <v>45832</v>
      </c>
      <c r="C124" s="1" t="n">
        <v>46204</v>
      </c>
      <c r="D124" t="inlineStr">
        <is>
          <t>VÄRMLANDS LÄN</t>
        </is>
      </c>
      <c r="E124" t="inlineStr">
        <is>
          <t>TORSBY</t>
        </is>
      </c>
      <c r="G124" t="n">
        <v>29.2</v>
      </c>
      <c r="H124" t="n">
        <v>1</v>
      </c>
      <c r="I124" t="n">
        <v>1</v>
      </c>
      <c r="J124" t="n">
        <v>1</v>
      </c>
      <c r="K124" t="n">
        <v>0</v>
      </c>
      <c r="L124" t="n">
        <v>0</v>
      </c>
      <c r="M124" t="n">
        <v>0</v>
      </c>
      <c r="N124" t="n">
        <v>0</v>
      </c>
      <c r="O124" t="n">
        <v>1</v>
      </c>
      <c r="P124" t="n">
        <v>0</v>
      </c>
      <c r="Q124" t="n">
        <v>2</v>
      </c>
      <c r="R124" s="2" t="inlineStr">
        <is>
          <t>Lunglav
Spindelblomster</t>
        </is>
      </c>
      <c r="S124">
        <f>HYPERLINK("https://klasma.github.io/Logging_1737/artfynd/A 30974-2025 artfynd.xlsx", "A 30974-2025")</f>
        <v/>
      </c>
      <c r="T124">
        <f>HYPERLINK("https://klasma.github.io/Logging_1737/kartor/A 30974-2025 karta.png", "A 30974-2025")</f>
        <v/>
      </c>
      <c r="V124">
        <f>HYPERLINK("https://klasma.github.io/Logging_1737/klagomål/A 30974-2025 FSC-klagomål.docx", "A 30974-2025")</f>
        <v/>
      </c>
      <c r="W124">
        <f>HYPERLINK("https://klasma.github.io/Logging_1737/klagomålsmail/A 30974-2025 FSC-klagomål mail.docx", "A 30974-2025")</f>
        <v/>
      </c>
      <c r="X124">
        <f>HYPERLINK("https://klasma.github.io/Logging_1737/tillsyn/A 30974-2025 tillsynsbegäran.docx", "A 30974-2025")</f>
        <v/>
      </c>
      <c r="Y124">
        <f>HYPERLINK("https://klasma.github.io/Logging_1737/tillsynsmail/A 30974-2025 tillsynsbegäran mail.docx", "A 30974-2025")</f>
        <v/>
      </c>
    </row>
    <row r="125" ht="15" customHeight="1">
      <c r="A125" t="inlineStr">
        <is>
          <t>A 50236-2022</t>
        </is>
      </c>
      <c r="B125" s="1" t="n">
        <v>44865</v>
      </c>
      <c r="C125" s="1" t="n">
        <v>46204</v>
      </c>
      <c r="D125" t="inlineStr">
        <is>
          <t>VÄRMLANDS LÄN</t>
        </is>
      </c>
      <c r="E125" t="inlineStr">
        <is>
          <t>TORSBY</t>
        </is>
      </c>
      <c r="G125" t="n">
        <v>2.3</v>
      </c>
      <c r="H125" t="n">
        <v>0</v>
      </c>
      <c r="I125" t="n">
        <v>0</v>
      </c>
      <c r="J125" t="n">
        <v>1</v>
      </c>
      <c r="K125" t="n">
        <v>1</v>
      </c>
      <c r="L125" t="n">
        <v>0</v>
      </c>
      <c r="M125" t="n">
        <v>0</v>
      </c>
      <c r="N125" t="n">
        <v>0</v>
      </c>
      <c r="O125" t="n">
        <v>2</v>
      </c>
      <c r="P125" t="n">
        <v>1</v>
      </c>
      <c r="Q125" t="n">
        <v>2</v>
      </c>
      <c r="R125" s="2" t="inlineStr">
        <is>
          <t>Garnlav
Vedskivlav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1161-2025</t>
        </is>
      </c>
      <c r="B126" s="1" t="n">
        <v>45666</v>
      </c>
      <c r="C126" s="1" t="n">
        <v>46204</v>
      </c>
      <c r="D126" t="inlineStr">
        <is>
          <t>VÄRMLANDS LÄN</t>
        </is>
      </c>
      <c r="E126" t="inlineStr">
        <is>
          <t>TORSBY</t>
        </is>
      </c>
      <c r="G126" t="n">
        <v>1.3</v>
      </c>
      <c r="H126" t="n">
        <v>0</v>
      </c>
      <c r="I126" t="n">
        <v>0</v>
      </c>
      <c r="J126" t="n">
        <v>2</v>
      </c>
      <c r="K126" t="n">
        <v>0</v>
      </c>
      <c r="L126" t="n">
        <v>0</v>
      </c>
      <c r="M126" t="n">
        <v>0</v>
      </c>
      <c r="N126" t="n">
        <v>0</v>
      </c>
      <c r="O126" t="n">
        <v>2</v>
      </c>
      <c r="P126" t="n">
        <v>0</v>
      </c>
      <c r="Q126" t="n">
        <v>2</v>
      </c>
      <c r="R126" s="2" t="inlineStr">
        <is>
          <t>Gullklöver
Skogsklocka</t>
        </is>
      </c>
      <c r="S126">
        <f>HYPERLINK("https://klasma.github.io/Logging_1737/artfynd/A 1161-2025 artfynd.xlsx", "A 1161-2025")</f>
        <v/>
      </c>
      <c r="T126">
        <f>HYPERLINK("https://klasma.github.io/Logging_1737/kartor/A 1161-2025 karta.png", "A 1161-2025")</f>
        <v/>
      </c>
      <c r="V126">
        <f>HYPERLINK("https://klasma.github.io/Logging_1737/klagomål/A 1161-2025 FSC-klagomål.docx", "A 1161-2025")</f>
        <v/>
      </c>
      <c r="W126">
        <f>HYPERLINK("https://klasma.github.io/Logging_1737/klagomålsmail/A 1161-2025 FSC-klagomål mail.docx", "A 1161-2025")</f>
        <v/>
      </c>
      <c r="X126">
        <f>HYPERLINK("https://klasma.github.io/Logging_1737/tillsyn/A 1161-2025 tillsynsbegäran.docx", "A 1161-2025")</f>
        <v/>
      </c>
      <c r="Y126">
        <f>HYPERLINK("https://klasma.github.io/Logging_1737/tillsynsmail/A 1161-2025 tillsynsbegäran mail.docx", "A 1161-2025")</f>
        <v/>
      </c>
    </row>
    <row r="127" ht="15" customHeight="1">
      <c r="A127" t="inlineStr">
        <is>
          <t>A 58014-2024</t>
        </is>
      </c>
      <c r="B127" s="1" t="n">
        <v>45631</v>
      </c>
      <c r="C127" s="1" t="n">
        <v>46204</v>
      </c>
      <c r="D127" t="inlineStr">
        <is>
          <t>VÄRMLANDS LÄN</t>
        </is>
      </c>
      <c r="E127" t="inlineStr">
        <is>
          <t>TORSBY</t>
        </is>
      </c>
      <c r="G127" t="n">
        <v>2.2</v>
      </c>
      <c r="H127" t="n">
        <v>0</v>
      </c>
      <c r="I127" t="n">
        <v>0</v>
      </c>
      <c r="J127" t="n">
        <v>2</v>
      </c>
      <c r="K127" t="n">
        <v>0</v>
      </c>
      <c r="L127" t="n">
        <v>0</v>
      </c>
      <c r="M127" t="n">
        <v>0</v>
      </c>
      <c r="N127" t="n">
        <v>0</v>
      </c>
      <c r="O127" t="n">
        <v>2</v>
      </c>
      <c r="P127" t="n">
        <v>0</v>
      </c>
      <c r="Q127" t="n">
        <v>2</v>
      </c>
      <c r="R127" s="2" t="inlineStr">
        <is>
          <t>Kattfotslav
Lunglav</t>
        </is>
      </c>
      <c r="S127">
        <f>HYPERLINK("https://klasma.github.io/Logging_1737/artfynd/A 58014-2024 artfynd.xlsx", "A 58014-2024")</f>
        <v/>
      </c>
      <c r="T127">
        <f>HYPERLINK("https://klasma.github.io/Logging_1737/kartor/A 58014-2024 karta.png", "A 58014-2024")</f>
        <v/>
      </c>
      <c r="V127">
        <f>HYPERLINK("https://klasma.github.io/Logging_1737/klagomål/A 58014-2024 FSC-klagomål.docx", "A 58014-2024")</f>
        <v/>
      </c>
      <c r="W127">
        <f>HYPERLINK("https://klasma.github.io/Logging_1737/klagomålsmail/A 58014-2024 FSC-klagomål mail.docx", "A 58014-2024")</f>
        <v/>
      </c>
      <c r="X127">
        <f>HYPERLINK("https://klasma.github.io/Logging_1737/tillsyn/A 58014-2024 tillsynsbegäran.docx", "A 58014-2024")</f>
        <v/>
      </c>
      <c r="Y127">
        <f>HYPERLINK("https://klasma.github.io/Logging_1737/tillsynsmail/A 58014-2024 tillsynsbegäran mail.docx", "A 58014-2024")</f>
        <v/>
      </c>
    </row>
    <row r="128" ht="15" customHeight="1">
      <c r="A128" t="inlineStr">
        <is>
          <t>A 62955-2023</t>
        </is>
      </c>
      <c r="B128" s="1" t="n">
        <v>45271</v>
      </c>
      <c r="C128" s="1" t="n">
        <v>46204</v>
      </c>
      <c r="D128" t="inlineStr">
        <is>
          <t>VÄRMLANDS LÄN</t>
        </is>
      </c>
      <c r="E128" t="inlineStr">
        <is>
          <t>TORSBY</t>
        </is>
      </c>
      <c r="F128" t="inlineStr">
        <is>
          <t>Övriga statliga verk och myndigheter</t>
        </is>
      </c>
      <c r="G128" t="n">
        <v>4.2</v>
      </c>
      <c r="H128" t="n">
        <v>0</v>
      </c>
      <c r="I128" t="n">
        <v>0</v>
      </c>
      <c r="J128" t="n">
        <v>1</v>
      </c>
      <c r="K128" t="n">
        <v>1</v>
      </c>
      <c r="L128" t="n">
        <v>0</v>
      </c>
      <c r="M128" t="n">
        <v>0</v>
      </c>
      <c r="N128" t="n">
        <v>0</v>
      </c>
      <c r="O128" t="n">
        <v>2</v>
      </c>
      <c r="P128" t="n">
        <v>1</v>
      </c>
      <c r="Q128" t="n">
        <v>2</v>
      </c>
      <c r="R128" s="2" t="inlineStr">
        <is>
          <t>Garnlav
Vedtrappmossa</t>
        </is>
      </c>
      <c r="S128">
        <f>HYPERLINK("https://klasma.github.io/Logging_1737/artfynd/A 62955-2023 artfynd.xlsx", "A 62955-2023")</f>
        <v/>
      </c>
      <c r="T128">
        <f>HYPERLINK("https://klasma.github.io/Logging_1737/kartor/A 62955-2023 karta.png", "A 62955-2023")</f>
        <v/>
      </c>
      <c r="V128">
        <f>HYPERLINK("https://klasma.github.io/Logging_1737/klagomål/A 62955-2023 FSC-klagomål.docx", "A 62955-2023")</f>
        <v/>
      </c>
      <c r="W128">
        <f>HYPERLINK("https://klasma.github.io/Logging_1737/klagomålsmail/A 62955-2023 FSC-klagomål mail.docx", "A 62955-2023")</f>
        <v/>
      </c>
      <c r="X128">
        <f>HYPERLINK("https://klasma.github.io/Logging_1737/tillsyn/A 62955-2023 tillsynsbegäran.docx", "A 62955-2023")</f>
        <v/>
      </c>
      <c r="Y128">
        <f>HYPERLINK("https://klasma.github.io/Logging_1737/tillsynsmail/A 62955-2023 tillsynsbegäran mail.docx", "A 62955-2023")</f>
        <v/>
      </c>
    </row>
    <row r="129" ht="15" customHeight="1">
      <c r="A129" t="inlineStr">
        <is>
          <t>A 25859-2025</t>
        </is>
      </c>
      <c r="B129" s="1" t="n">
        <v>45804</v>
      </c>
      <c r="C129" s="1" t="n">
        <v>46204</v>
      </c>
      <c r="D129" t="inlineStr">
        <is>
          <t>VÄRMLANDS LÄN</t>
        </is>
      </c>
      <c r="E129" t="inlineStr">
        <is>
          <t>TORSBY</t>
        </is>
      </c>
      <c r="G129" t="n">
        <v>2.4</v>
      </c>
      <c r="H129" t="n">
        <v>1</v>
      </c>
      <c r="I129" t="n">
        <v>1</v>
      </c>
      <c r="J129" t="n">
        <v>0</v>
      </c>
      <c r="K129" t="n">
        <v>1</v>
      </c>
      <c r="L129" t="n">
        <v>0</v>
      </c>
      <c r="M129" t="n">
        <v>0</v>
      </c>
      <c r="N129" t="n">
        <v>0</v>
      </c>
      <c r="O129" t="n">
        <v>1</v>
      </c>
      <c r="P129" t="n">
        <v>1</v>
      </c>
      <c r="Q129" t="n">
        <v>2</v>
      </c>
      <c r="R129" s="2" t="inlineStr">
        <is>
          <t>Garnlav
Spindelblomster</t>
        </is>
      </c>
      <c r="S129">
        <f>HYPERLINK("https://klasma.github.io/Logging_1737/artfynd/A 25859-2025 artfynd.xlsx", "A 25859-2025")</f>
        <v/>
      </c>
      <c r="T129">
        <f>HYPERLINK("https://klasma.github.io/Logging_1737/kartor/A 25859-2025 karta.png", "A 25859-2025")</f>
        <v/>
      </c>
      <c r="V129">
        <f>HYPERLINK("https://klasma.github.io/Logging_1737/klagomål/A 25859-2025 FSC-klagomål.docx", "A 25859-2025")</f>
        <v/>
      </c>
      <c r="W129">
        <f>HYPERLINK("https://klasma.github.io/Logging_1737/klagomålsmail/A 25859-2025 FSC-klagomål mail.docx", "A 25859-2025")</f>
        <v/>
      </c>
      <c r="X129">
        <f>HYPERLINK("https://klasma.github.io/Logging_1737/tillsyn/A 25859-2025 tillsynsbegäran.docx", "A 25859-2025")</f>
        <v/>
      </c>
      <c r="Y129">
        <f>HYPERLINK("https://klasma.github.io/Logging_1737/tillsynsmail/A 25859-2025 tillsynsbegäran mail.docx", "A 25859-2025")</f>
        <v/>
      </c>
    </row>
    <row r="130" ht="15" customHeight="1">
      <c r="A130" t="inlineStr">
        <is>
          <t>A 28511-2025</t>
        </is>
      </c>
      <c r="B130" s="1" t="n">
        <v>45819</v>
      </c>
      <c r="C130" s="1" t="n">
        <v>46204</v>
      </c>
      <c r="D130" t="inlineStr">
        <is>
          <t>VÄRMLANDS LÄN</t>
        </is>
      </c>
      <c r="E130" t="inlineStr">
        <is>
          <t>TORSBY</t>
        </is>
      </c>
      <c r="F130" t="inlineStr">
        <is>
          <t>Bergvik skog väst AB</t>
        </is>
      </c>
      <c r="G130" t="n">
        <v>7.3</v>
      </c>
      <c r="H130" t="n">
        <v>1</v>
      </c>
      <c r="I130" t="n">
        <v>0</v>
      </c>
      <c r="J130" t="n">
        <v>1</v>
      </c>
      <c r="K130" t="n">
        <v>0</v>
      </c>
      <c r="L130" t="n">
        <v>0</v>
      </c>
      <c r="M130" t="n">
        <v>0</v>
      </c>
      <c r="N130" t="n">
        <v>0</v>
      </c>
      <c r="O130" t="n">
        <v>1</v>
      </c>
      <c r="P130" t="n">
        <v>0</v>
      </c>
      <c r="Q130" t="n">
        <v>2</v>
      </c>
      <c r="R130" s="2" t="inlineStr">
        <is>
          <t>Brokig spegellöpare
Kopparödla</t>
        </is>
      </c>
      <c r="S130">
        <f>HYPERLINK("https://klasma.github.io/Logging_1737/artfynd/A 28511-2025 artfynd.xlsx", "A 28511-2025")</f>
        <v/>
      </c>
      <c r="T130">
        <f>HYPERLINK("https://klasma.github.io/Logging_1737/kartor/A 28511-2025 karta.png", "A 28511-2025")</f>
        <v/>
      </c>
      <c r="V130">
        <f>HYPERLINK("https://klasma.github.io/Logging_1737/klagomål/A 28511-2025 FSC-klagomål.docx", "A 28511-2025")</f>
        <v/>
      </c>
      <c r="W130">
        <f>HYPERLINK("https://klasma.github.io/Logging_1737/klagomålsmail/A 28511-2025 FSC-klagomål mail.docx", "A 28511-2025")</f>
        <v/>
      </c>
      <c r="X130">
        <f>HYPERLINK("https://klasma.github.io/Logging_1737/tillsyn/A 28511-2025 tillsynsbegäran.docx", "A 28511-2025")</f>
        <v/>
      </c>
      <c r="Y130">
        <f>HYPERLINK("https://klasma.github.io/Logging_1737/tillsynsmail/A 28511-2025 tillsynsbegäran mail.docx", "A 28511-2025")</f>
        <v/>
      </c>
    </row>
    <row r="131" ht="15" customHeight="1">
      <c r="A131" t="inlineStr">
        <is>
          <t>A 28791-2025</t>
        </is>
      </c>
      <c r="B131" s="1" t="n">
        <v>45820</v>
      </c>
      <c r="C131" s="1" t="n">
        <v>46204</v>
      </c>
      <c r="D131" t="inlineStr">
        <is>
          <t>VÄRMLANDS LÄN</t>
        </is>
      </c>
      <c r="E131" t="inlineStr">
        <is>
          <t>TORSBY</t>
        </is>
      </c>
      <c r="G131" t="n">
        <v>6.4</v>
      </c>
      <c r="H131" t="n">
        <v>0</v>
      </c>
      <c r="I131" t="n">
        <v>0</v>
      </c>
      <c r="J131" t="n">
        <v>1</v>
      </c>
      <c r="K131" t="n">
        <v>1</v>
      </c>
      <c r="L131" t="n">
        <v>0</v>
      </c>
      <c r="M131" t="n">
        <v>0</v>
      </c>
      <c r="N131" t="n">
        <v>0</v>
      </c>
      <c r="O131" t="n">
        <v>2</v>
      </c>
      <c r="P131" t="n">
        <v>1</v>
      </c>
      <c r="Q131" t="n">
        <v>2</v>
      </c>
      <c r="R131" s="2" t="inlineStr">
        <is>
          <t>Garnlav
Kolflarnlav</t>
        </is>
      </c>
      <c r="S131">
        <f>HYPERLINK("https://klasma.github.io/Logging_1737/artfynd/A 28791-2025 artfynd.xlsx", "A 28791-2025")</f>
        <v/>
      </c>
      <c r="T131">
        <f>HYPERLINK("https://klasma.github.io/Logging_1737/kartor/A 28791-2025 karta.png", "A 28791-2025")</f>
        <v/>
      </c>
      <c r="V131">
        <f>HYPERLINK("https://klasma.github.io/Logging_1737/klagomål/A 28791-2025 FSC-klagomål.docx", "A 28791-2025")</f>
        <v/>
      </c>
      <c r="W131">
        <f>HYPERLINK("https://klasma.github.io/Logging_1737/klagomålsmail/A 28791-2025 FSC-klagomål mail.docx", "A 28791-2025")</f>
        <v/>
      </c>
      <c r="X131">
        <f>HYPERLINK("https://klasma.github.io/Logging_1737/tillsyn/A 28791-2025 tillsynsbegäran.docx", "A 28791-2025")</f>
        <v/>
      </c>
      <c r="Y131">
        <f>HYPERLINK("https://klasma.github.io/Logging_1737/tillsynsmail/A 28791-2025 tillsynsbegäran mail.docx", "A 28791-2025")</f>
        <v/>
      </c>
    </row>
    <row r="132" ht="15" customHeight="1">
      <c r="A132" t="inlineStr">
        <is>
          <t>A 3404-2022</t>
        </is>
      </c>
      <c r="B132" s="1" t="n">
        <v>44585</v>
      </c>
      <c r="C132" s="1" t="n">
        <v>46204</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46204</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46204</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46204</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46204</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15872-2025</t>
        </is>
      </c>
      <c r="B137" s="1" t="n">
        <v>45749</v>
      </c>
      <c r="C137" s="1" t="n">
        <v>46204</v>
      </c>
      <c r="D137" t="inlineStr">
        <is>
          <t>VÄRMLANDS LÄN</t>
        </is>
      </c>
      <c r="E137" t="inlineStr">
        <is>
          <t>TORSBY</t>
        </is>
      </c>
      <c r="F137" t="inlineStr">
        <is>
          <t>Bergvik skog väst AB</t>
        </is>
      </c>
      <c r="G137" t="n">
        <v>10.8</v>
      </c>
      <c r="H137" t="n">
        <v>1</v>
      </c>
      <c r="I137" t="n">
        <v>1</v>
      </c>
      <c r="J137" t="n">
        <v>0</v>
      </c>
      <c r="K137" t="n">
        <v>0</v>
      </c>
      <c r="L137" t="n">
        <v>0</v>
      </c>
      <c r="M137" t="n">
        <v>0</v>
      </c>
      <c r="N137" t="n">
        <v>0</v>
      </c>
      <c r="O137" t="n">
        <v>0</v>
      </c>
      <c r="P137" t="n">
        <v>0</v>
      </c>
      <c r="Q137" t="n">
        <v>1</v>
      </c>
      <c r="R137" s="2" t="inlineStr">
        <is>
          <t>Korallrot</t>
        </is>
      </c>
      <c r="S137">
        <f>HYPERLINK("https://klasma.github.io/Logging_1737/artfynd/A 15872-2025 artfynd.xlsx", "A 15872-2025")</f>
        <v/>
      </c>
      <c r="T137">
        <f>HYPERLINK("https://klasma.github.io/Logging_1737/kartor/A 15872-2025 karta.png", "A 15872-2025")</f>
        <v/>
      </c>
      <c r="V137">
        <f>HYPERLINK("https://klasma.github.io/Logging_1737/klagomål/A 15872-2025 FSC-klagomål.docx", "A 15872-2025")</f>
        <v/>
      </c>
      <c r="W137">
        <f>HYPERLINK("https://klasma.github.io/Logging_1737/klagomålsmail/A 15872-2025 FSC-klagomål mail.docx", "A 15872-2025")</f>
        <v/>
      </c>
      <c r="X137">
        <f>HYPERLINK("https://klasma.github.io/Logging_1737/tillsyn/A 15872-2025 tillsynsbegäran.docx", "A 15872-2025")</f>
        <v/>
      </c>
      <c r="Y137">
        <f>HYPERLINK("https://klasma.github.io/Logging_1737/tillsynsmail/A 15872-2025 tillsynsbegäran mail.docx", "A 15872-2025")</f>
        <v/>
      </c>
    </row>
    <row r="138" ht="15" customHeight="1">
      <c r="A138" t="inlineStr">
        <is>
          <t>A 16425-2022</t>
        </is>
      </c>
      <c r="B138" s="1" t="n">
        <v>44671</v>
      </c>
      <c r="C138" s="1" t="n">
        <v>46204</v>
      </c>
      <c r="D138" t="inlineStr">
        <is>
          <t>VÄRMLANDS LÄN</t>
        </is>
      </c>
      <c r="E138" t="inlineStr">
        <is>
          <t>TORSBY</t>
        </is>
      </c>
      <c r="G138" t="n">
        <v>3</v>
      </c>
      <c r="H138" t="n">
        <v>0</v>
      </c>
      <c r="I138" t="n">
        <v>0</v>
      </c>
      <c r="J138" t="n">
        <v>0</v>
      </c>
      <c r="K138" t="n">
        <v>1</v>
      </c>
      <c r="L138" t="n">
        <v>0</v>
      </c>
      <c r="M138" t="n">
        <v>0</v>
      </c>
      <c r="N138" t="n">
        <v>0</v>
      </c>
      <c r="O138" t="n">
        <v>1</v>
      </c>
      <c r="P138" t="n">
        <v>1</v>
      </c>
      <c r="Q138" t="n">
        <v>1</v>
      </c>
      <c r="R138" s="2" t="inlineStr">
        <is>
          <t>Stor skogsbäckmossa</t>
        </is>
      </c>
      <c r="S138">
        <f>HYPERLINK("https://klasma.github.io/Logging_1737/artfynd/A 16425-2022 artfynd.xlsx", "A 16425-2022")</f>
        <v/>
      </c>
      <c r="T138">
        <f>HYPERLINK("https://klasma.github.io/Logging_1737/kartor/A 16425-2022 karta.png", "A 16425-2022")</f>
        <v/>
      </c>
      <c r="V138">
        <f>HYPERLINK("https://klasma.github.io/Logging_1737/klagomål/A 16425-2022 FSC-klagomål.docx", "A 16425-2022")</f>
        <v/>
      </c>
      <c r="W138">
        <f>HYPERLINK("https://klasma.github.io/Logging_1737/klagomålsmail/A 16425-2022 FSC-klagomål mail.docx", "A 16425-2022")</f>
        <v/>
      </c>
      <c r="X138">
        <f>HYPERLINK("https://klasma.github.io/Logging_1737/tillsyn/A 16425-2022 tillsynsbegäran.docx", "A 16425-2022")</f>
        <v/>
      </c>
      <c r="Y138">
        <f>HYPERLINK("https://klasma.github.io/Logging_1737/tillsynsmail/A 16425-2022 tillsynsbegäran mail.docx", "A 16425-2022")</f>
        <v/>
      </c>
    </row>
    <row r="139" ht="15" customHeight="1">
      <c r="A139" t="inlineStr">
        <is>
          <t>A 47689-2024</t>
        </is>
      </c>
      <c r="B139" s="1" t="n">
        <v>45588</v>
      </c>
      <c r="C139" s="1" t="n">
        <v>46204</v>
      </c>
      <c r="D139" t="inlineStr">
        <is>
          <t>VÄRMLANDS LÄN</t>
        </is>
      </c>
      <c r="E139" t="inlineStr">
        <is>
          <t>TORSBY</t>
        </is>
      </c>
      <c r="G139" t="n">
        <v>3.1</v>
      </c>
      <c r="H139" t="n">
        <v>0</v>
      </c>
      <c r="I139" t="n">
        <v>0</v>
      </c>
      <c r="J139" t="n">
        <v>0</v>
      </c>
      <c r="K139" t="n">
        <v>1</v>
      </c>
      <c r="L139" t="n">
        <v>0</v>
      </c>
      <c r="M139" t="n">
        <v>0</v>
      </c>
      <c r="N139" t="n">
        <v>0</v>
      </c>
      <c r="O139" t="n">
        <v>1</v>
      </c>
      <c r="P139" t="n">
        <v>1</v>
      </c>
      <c r="Q139" t="n">
        <v>1</v>
      </c>
      <c r="R139" s="2" t="inlineStr">
        <is>
          <t>Garnlav</t>
        </is>
      </c>
      <c r="S139">
        <f>HYPERLINK("https://klasma.github.io/Logging_1737/artfynd/A 47689-2024 artfynd.xlsx", "A 47689-2024")</f>
        <v/>
      </c>
      <c r="T139">
        <f>HYPERLINK("https://klasma.github.io/Logging_1737/kartor/A 47689-2024 karta.png", "A 47689-2024")</f>
        <v/>
      </c>
      <c r="V139">
        <f>HYPERLINK("https://klasma.github.io/Logging_1737/klagomål/A 47689-2024 FSC-klagomål.docx", "A 47689-2024")</f>
        <v/>
      </c>
      <c r="W139">
        <f>HYPERLINK("https://klasma.github.io/Logging_1737/klagomålsmail/A 47689-2024 FSC-klagomål mail.docx", "A 47689-2024")</f>
        <v/>
      </c>
      <c r="X139">
        <f>HYPERLINK("https://klasma.github.io/Logging_1737/tillsyn/A 47689-2024 tillsynsbegäran.docx", "A 47689-2024")</f>
        <v/>
      </c>
      <c r="Y139">
        <f>HYPERLINK("https://klasma.github.io/Logging_1737/tillsynsmail/A 47689-2024 tillsynsbegäran mail.docx", "A 47689-2024")</f>
        <v/>
      </c>
    </row>
    <row r="140" ht="15" customHeight="1">
      <c r="A140" t="inlineStr">
        <is>
          <t>A 61251-2024</t>
        </is>
      </c>
      <c r="B140" s="1" t="n">
        <v>45645</v>
      </c>
      <c r="C140" s="1" t="n">
        <v>46204</v>
      </c>
      <c r="D140" t="inlineStr">
        <is>
          <t>VÄRMLANDS LÄN</t>
        </is>
      </c>
      <c r="E140" t="inlineStr">
        <is>
          <t>TORSBY</t>
        </is>
      </c>
      <c r="G140" t="n">
        <v>1.7</v>
      </c>
      <c r="H140" t="n">
        <v>0</v>
      </c>
      <c r="I140" t="n">
        <v>0</v>
      </c>
      <c r="J140" t="n">
        <v>1</v>
      </c>
      <c r="K140" t="n">
        <v>0</v>
      </c>
      <c r="L140" t="n">
        <v>0</v>
      </c>
      <c r="M140" t="n">
        <v>0</v>
      </c>
      <c r="N140" t="n">
        <v>0</v>
      </c>
      <c r="O140" t="n">
        <v>1</v>
      </c>
      <c r="P140" t="n">
        <v>0</v>
      </c>
      <c r="Q140" t="n">
        <v>1</v>
      </c>
      <c r="R140" s="2" t="inlineStr">
        <is>
          <t>Späd bäckmossa</t>
        </is>
      </c>
      <c r="S140">
        <f>HYPERLINK("https://klasma.github.io/Logging_1737/artfynd/A 61251-2024 artfynd.xlsx", "A 61251-2024")</f>
        <v/>
      </c>
      <c r="T140">
        <f>HYPERLINK("https://klasma.github.io/Logging_1737/kartor/A 61251-2024 karta.png", "A 61251-2024")</f>
        <v/>
      </c>
      <c r="V140">
        <f>HYPERLINK("https://klasma.github.io/Logging_1737/klagomål/A 61251-2024 FSC-klagomål.docx", "A 61251-2024")</f>
        <v/>
      </c>
      <c r="W140">
        <f>HYPERLINK("https://klasma.github.io/Logging_1737/klagomålsmail/A 61251-2024 FSC-klagomål mail.docx", "A 61251-2024")</f>
        <v/>
      </c>
      <c r="X140">
        <f>HYPERLINK("https://klasma.github.io/Logging_1737/tillsyn/A 61251-2024 tillsynsbegäran.docx", "A 61251-2024")</f>
        <v/>
      </c>
      <c r="Y140">
        <f>HYPERLINK("https://klasma.github.io/Logging_1737/tillsynsmail/A 61251-2024 tillsynsbegäran mail.docx", "A 61251-2024")</f>
        <v/>
      </c>
    </row>
    <row r="141" ht="15" customHeight="1">
      <c r="A141" t="inlineStr">
        <is>
          <t>A 2807-2025</t>
        </is>
      </c>
      <c r="B141" s="1" t="n">
        <v>45677</v>
      </c>
      <c r="C141" s="1" t="n">
        <v>46204</v>
      </c>
      <c r="D141" t="inlineStr">
        <is>
          <t>VÄRMLANDS LÄN</t>
        </is>
      </c>
      <c r="E141" t="inlineStr">
        <is>
          <t>TORSBY</t>
        </is>
      </c>
      <c r="G141" t="n">
        <v>2.5</v>
      </c>
      <c r="H141" t="n">
        <v>1</v>
      </c>
      <c r="I141" t="n">
        <v>0</v>
      </c>
      <c r="J141" t="n">
        <v>0</v>
      </c>
      <c r="K141" t="n">
        <v>0</v>
      </c>
      <c r="L141" t="n">
        <v>0</v>
      </c>
      <c r="M141" t="n">
        <v>0</v>
      </c>
      <c r="N141" t="n">
        <v>0</v>
      </c>
      <c r="O141" t="n">
        <v>0</v>
      </c>
      <c r="P141" t="n">
        <v>0</v>
      </c>
      <c r="Q141" t="n">
        <v>1</v>
      </c>
      <c r="R141" s="2" t="inlineStr">
        <is>
          <t>Tjäder</t>
        </is>
      </c>
      <c r="S141">
        <f>HYPERLINK("https://klasma.github.io/Logging_1737/artfynd/A 2807-2025 artfynd.xlsx", "A 2807-2025")</f>
        <v/>
      </c>
      <c r="T141">
        <f>HYPERLINK("https://klasma.github.io/Logging_1737/kartor/A 2807-2025 karta.png", "A 2807-2025")</f>
        <v/>
      </c>
      <c r="V141">
        <f>HYPERLINK("https://klasma.github.io/Logging_1737/klagomål/A 2807-2025 FSC-klagomål.docx", "A 2807-2025")</f>
        <v/>
      </c>
      <c r="W141">
        <f>HYPERLINK("https://klasma.github.io/Logging_1737/klagomålsmail/A 2807-2025 FSC-klagomål mail.docx", "A 2807-2025")</f>
        <v/>
      </c>
      <c r="X141">
        <f>HYPERLINK("https://klasma.github.io/Logging_1737/tillsyn/A 2807-2025 tillsynsbegäran.docx", "A 2807-2025")</f>
        <v/>
      </c>
      <c r="Y141">
        <f>HYPERLINK("https://klasma.github.io/Logging_1737/tillsynsmail/A 2807-2025 tillsynsbegäran mail.docx", "A 2807-2025")</f>
        <v/>
      </c>
      <c r="Z141">
        <f>HYPERLINK("https://klasma.github.io/Logging_1737/fåglar/A 2807-2025 prioriterade fågelarter.docx", "A 2807-2025")</f>
        <v/>
      </c>
    </row>
    <row r="142" ht="15" customHeight="1">
      <c r="A142" t="inlineStr">
        <is>
          <t>A 26747-2023</t>
        </is>
      </c>
      <c r="B142" s="1" t="n">
        <v>45090</v>
      </c>
      <c r="C142" s="1" t="n">
        <v>46204</v>
      </c>
      <c r="D142" t="inlineStr">
        <is>
          <t>VÄRMLANDS LÄN</t>
        </is>
      </c>
      <c r="E142" t="inlineStr">
        <is>
          <t>TORSBY</t>
        </is>
      </c>
      <c r="F142" t="inlineStr">
        <is>
          <t>Övriga statliga verk och myndigheter</t>
        </is>
      </c>
      <c r="G142" t="n">
        <v>4.5</v>
      </c>
      <c r="H142" t="n">
        <v>0</v>
      </c>
      <c r="I142" t="n">
        <v>0</v>
      </c>
      <c r="J142" t="n">
        <v>0</v>
      </c>
      <c r="K142" t="n">
        <v>1</v>
      </c>
      <c r="L142" t="n">
        <v>0</v>
      </c>
      <c r="M142" t="n">
        <v>0</v>
      </c>
      <c r="N142" t="n">
        <v>0</v>
      </c>
      <c r="O142" t="n">
        <v>1</v>
      </c>
      <c r="P142" t="n">
        <v>1</v>
      </c>
      <c r="Q142" t="n">
        <v>1</v>
      </c>
      <c r="R142" s="2" t="inlineStr">
        <is>
          <t>Garnlav</t>
        </is>
      </c>
      <c r="S142">
        <f>HYPERLINK("https://klasma.github.io/Logging_1737/artfynd/A 26747-2023 artfynd.xlsx", "A 26747-2023")</f>
        <v/>
      </c>
      <c r="T142">
        <f>HYPERLINK("https://klasma.github.io/Logging_1737/kartor/A 26747-2023 karta.png", "A 26747-2023")</f>
        <v/>
      </c>
      <c r="V142">
        <f>HYPERLINK("https://klasma.github.io/Logging_1737/klagomål/A 26747-2023 FSC-klagomål.docx", "A 26747-2023")</f>
        <v/>
      </c>
      <c r="W142">
        <f>HYPERLINK("https://klasma.github.io/Logging_1737/klagomålsmail/A 26747-2023 FSC-klagomål mail.docx", "A 26747-2023")</f>
        <v/>
      </c>
      <c r="X142">
        <f>HYPERLINK("https://klasma.github.io/Logging_1737/tillsyn/A 26747-2023 tillsynsbegäran.docx", "A 26747-2023")</f>
        <v/>
      </c>
      <c r="Y142">
        <f>HYPERLINK("https://klasma.github.io/Logging_1737/tillsynsmail/A 26747-2023 tillsynsbegäran mail.docx", "A 26747-2023")</f>
        <v/>
      </c>
    </row>
    <row r="143" ht="15" customHeight="1">
      <c r="A143" t="inlineStr">
        <is>
          <t>A 24708-2024</t>
        </is>
      </c>
      <c r="B143" s="1" t="n">
        <v>45460</v>
      </c>
      <c r="C143" s="1" t="n">
        <v>46204</v>
      </c>
      <c r="D143" t="inlineStr">
        <is>
          <t>VÄRMLANDS LÄN</t>
        </is>
      </c>
      <c r="E143" t="inlineStr">
        <is>
          <t>TORSBY</t>
        </is>
      </c>
      <c r="G143" t="n">
        <v>3.9</v>
      </c>
      <c r="H143" t="n">
        <v>0</v>
      </c>
      <c r="I143" t="n">
        <v>0</v>
      </c>
      <c r="J143" t="n">
        <v>0</v>
      </c>
      <c r="K143" t="n">
        <v>1</v>
      </c>
      <c r="L143" t="n">
        <v>0</v>
      </c>
      <c r="M143" t="n">
        <v>0</v>
      </c>
      <c r="N143" t="n">
        <v>0</v>
      </c>
      <c r="O143" t="n">
        <v>1</v>
      </c>
      <c r="P143" t="n">
        <v>1</v>
      </c>
      <c r="Q143" t="n">
        <v>1</v>
      </c>
      <c r="R143" s="2" t="inlineStr">
        <is>
          <t>Garnlav</t>
        </is>
      </c>
      <c r="S143">
        <f>HYPERLINK("https://klasma.github.io/Logging_1737/artfynd/A 24708-2024 artfynd.xlsx", "A 24708-2024")</f>
        <v/>
      </c>
      <c r="T143">
        <f>HYPERLINK("https://klasma.github.io/Logging_1737/kartor/A 24708-2024 karta.png", "A 24708-2024")</f>
        <v/>
      </c>
      <c r="V143">
        <f>HYPERLINK("https://klasma.github.io/Logging_1737/klagomål/A 24708-2024 FSC-klagomål.docx", "A 24708-2024")</f>
        <v/>
      </c>
      <c r="W143">
        <f>HYPERLINK("https://klasma.github.io/Logging_1737/klagomålsmail/A 24708-2024 FSC-klagomål mail.docx", "A 24708-2024")</f>
        <v/>
      </c>
      <c r="X143">
        <f>HYPERLINK("https://klasma.github.io/Logging_1737/tillsyn/A 24708-2024 tillsynsbegäran.docx", "A 24708-2024")</f>
        <v/>
      </c>
      <c r="Y143">
        <f>HYPERLINK("https://klasma.github.io/Logging_1737/tillsynsmail/A 24708-2024 tillsynsbegäran mail.docx", "A 24708-2024")</f>
        <v/>
      </c>
    </row>
    <row r="144" ht="15" customHeight="1">
      <c r="A144" t="inlineStr">
        <is>
          <t>A 22635-2022</t>
        </is>
      </c>
      <c r="B144" s="1" t="n">
        <v>44714</v>
      </c>
      <c r="C144" s="1" t="n">
        <v>46204</v>
      </c>
      <c r="D144" t="inlineStr">
        <is>
          <t>VÄRMLANDS LÄN</t>
        </is>
      </c>
      <c r="E144" t="inlineStr">
        <is>
          <t>TORSBY</t>
        </is>
      </c>
      <c r="G144" t="n">
        <v>0.4</v>
      </c>
      <c r="H144" t="n">
        <v>0</v>
      </c>
      <c r="I144" t="n">
        <v>0</v>
      </c>
      <c r="J144" t="n">
        <v>0</v>
      </c>
      <c r="K144" t="n">
        <v>1</v>
      </c>
      <c r="L144" t="n">
        <v>0</v>
      </c>
      <c r="M144" t="n">
        <v>0</v>
      </c>
      <c r="N144" t="n">
        <v>0</v>
      </c>
      <c r="O144" t="n">
        <v>1</v>
      </c>
      <c r="P144" t="n">
        <v>1</v>
      </c>
      <c r="Q144" t="n">
        <v>1</v>
      </c>
      <c r="R144" s="2" t="inlineStr">
        <is>
          <t>Garnlav</t>
        </is>
      </c>
      <c r="S144">
        <f>HYPERLINK("https://klasma.github.io/Logging_1737/artfynd/A 22635-2022 artfynd.xlsx", "A 22635-2022")</f>
        <v/>
      </c>
      <c r="T144">
        <f>HYPERLINK("https://klasma.github.io/Logging_1737/kartor/A 22635-2022 karta.png", "A 22635-2022")</f>
        <v/>
      </c>
      <c r="V144">
        <f>HYPERLINK("https://klasma.github.io/Logging_1737/klagomål/A 22635-2022 FSC-klagomål.docx", "A 22635-2022")</f>
        <v/>
      </c>
      <c r="W144">
        <f>HYPERLINK("https://klasma.github.io/Logging_1737/klagomålsmail/A 22635-2022 FSC-klagomål mail.docx", "A 22635-2022")</f>
        <v/>
      </c>
      <c r="X144">
        <f>HYPERLINK("https://klasma.github.io/Logging_1737/tillsyn/A 22635-2022 tillsynsbegäran.docx", "A 22635-2022")</f>
        <v/>
      </c>
      <c r="Y144">
        <f>HYPERLINK("https://klasma.github.io/Logging_1737/tillsynsmail/A 22635-2022 tillsynsbegäran mail.docx", "A 22635-2022")</f>
        <v/>
      </c>
    </row>
    <row r="145" ht="15" customHeight="1">
      <c r="A145" t="inlineStr">
        <is>
          <t>A 58470-2021</t>
        </is>
      </c>
      <c r="B145" s="1" t="n">
        <v>44488</v>
      </c>
      <c r="C145" s="1" t="n">
        <v>46204</v>
      </c>
      <c r="D145" t="inlineStr">
        <is>
          <t>VÄRMLANDS LÄN</t>
        </is>
      </c>
      <c r="E145" t="inlineStr">
        <is>
          <t>TORSBY</t>
        </is>
      </c>
      <c r="G145" t="n">
        <v>8.699999999999999</v>
      </c>
      <c r="H145" t="n">
        <v>0</v>
      </c>
      <c r="I145" t="n">
        <v>0</v>
      </c>
      <c r="J145" t="n">
        <v>1</v>
      </c>
      <c r="K145" t="n">
        <v>0</v>
      </c>
      <c r="L145" t="n">
        <v>0</v>
      </c>
      <c r="M145" t="n">
        <v>0</v>
      </c>
      <c r="N145" t="n">
        <v>0</v>
      </c>
      <c r="O145" t="n">
        <v>1</v>
      </c>
      <c r="P145" t="n">
        <v>0</v>
      </c>
      <c r="Q145" t="n">
        <v>1</v>
      </c>
      <c r="R145" s="2" t="inlineStr">
        <is>
          <t>Dropptaggsvamp</t>
        </is>
      </c>
      <c r="S145">
        <f>HYPERLINK("https://klasma.github.io/Logging_1737/artfynd/A 58470-2021 artfynd.xlsx", "A 58470-2021")</f>
        <v/>
      </c>
      <c r="T145">
        <f>HYPERLINK("https://klasma.github.io/Logging_1737/kartor/A 58470-2021 karta.png", "A 58470-2021")</f>
        <v/>
      </c>
      <c r="V145">
        <f>HYPERLINK("https://klasma.github.io/Logging_1737/klagomål/A 58470-2021 FSC-klagomål.docx", "A 58470-2021")</f>
        <v/>
      </c>
      <c r="W145">
        <f>HYPERLINK("https://klasma.github.io/Logging_1737/klagomålsmail/A 58470-2021 FSC-klagomål mail.docx", "A 58470-2021")</f>
        <v/>
      </c>
      <c r="X145">
        <f>HYPERLINK("https://klasma.github.io/Logging_1737/tillsyn/A 58470-2021 tillsynsbegäran.docx", "A 58470-2021")</f>
        <v/>
      </c>
      <c r="Y145">
        <f>HYPERLINK("https://klasma.github.io/Logging_1737/tillsynsmail/A 58470-2021 tillsynsbegäran mail.docx", "A 58470-2021")</f>
        <v/>
      </c>
    </row>
    <row r="146" ht="15" customHeight="1">
      <c r="A146" t="inlineStr">
        <is>
          <t>A 49110-2021</t>
        </is>
      </c>
      <c r="B146" s="1" t="n">
        <v>44453</v>
      </c>
      <c r="C146" s="1" t="n">
        <v>46204</v>
      </c>
      <c r="D146" t="inlineStr">
        <is>
          <t>VÄRMLANDS LÄN</t>
        </is>
      </c>
      <c r="E146" t="inlineStr">
        <is>
          <t>TORSBY</t>
        </is>
      </c>
      <c r="G146" t="n">
        <v>33.8</v>
      </c>
      <c r="H146" t="n">
        <v>0</v>
      </c>
      <c r="I146" t="n">
        <v>1</v>
      </c>
      <c r="J146" t="n">
        <v>0</v>
      </c>
      <c r="K146" t="n">
        <v>0</v>
      </c>
      <c r="L146" t="n">
        <v>0</v>
      </c>
      <c r="M146" t="n">
        <v>0</v>
      </c>
      <c r="N146" t="n">
        <v>0</v>
      </c>
      <c r="O146" t="n">
        <v>0</v>
      </c>
      <c r="P146" t="n">
        <v>0</v>
      </c>
      <c r="Q146" t="n">
        <v>1</v>
      </c>
      <c r="R146" s="2" t="inlineStr">
        <is>
          <t>Vedticka</t>
        </is>
      </c>
      <c r="S146">
        <f>HYPERLINK("https://klasma.github.io/Logging_1737/artfynd/A 49110-2021 artfynd.xlsx", "A 49110-2021")</f>
        <v/>
      </c>
      <c r="T146">
        <f>HYPERLINK("https://klasma.github.io/Logging_1737/kartor/A 49110-2021 karta.png", "A 49110-2021")</f>
        <v/>
      </c>
      <c r="V146">
        <f>HYPERLINK("https://klasma.github.io/Logging_1737/klagomål/A 49110-2021 FSC-klagomål.docx", "A 49110-2021")</f>
        <v/>
      </c>
      <c r="W146">
        <f>HYPERLINK("https://klasma.github.io/Logging_1737/klagomålsmail/A 49110-2021 FSC-klagomål mail.docx", "A 49110-2021")</f>
        <v/>
      </c>
      <c r="X146">
        <f>HYPERLINK("https://klasma.github.io/Logging_1737/tillsyn/A 49110-2021 tillsynsbegäran.docx", "A 49110-2021")</f>
        <v/>
      </c>
      <c r="Y146">
        <f>HYPERLINK("https://klasma.github.io/Logging_1737/tillsynsmail/A 49110-2021 tillsynsbegäran mail.docx", "A 49110-2021")</f>
        <v/>
      </c>
    </row>
    <row r="147" ht="15" customHeight="1">
      <c r="A147" t="inlineStr">
        <is>
          <t>A 32348-2025</t>
        </is>
      </c>
      <c r="B147" s="1" t="n">
        <v>45837</v>
      </c>
      <c r="C147" s="1" t="n">
        <v>46204</v>
      </c>
      <c r="D147" t="inlineStr">
        <is>
          <t>VÄRMLANDS LÄN</t>
        </is>
      </c>
      <c r="E147" t="inlineStr">
        <is>
          <t>TORSBY</t>
        </is>
      </c>
      <c r="G147" t="n">
        <v>9.300000000000001</v>
      </c>
      <c r="H147" t="n">
        <v>1</v>
      </c>
      <c r="I147" t="n">
        <v>0</v>
      </c>
      <c r="J147" t="n">
        <v>0</v>
      </c>
      <c r="K147" t="n">
        <v>0</v>
      </c>
      <c r="L147" t="n">
        <v>0</v>
      </c>
      <c r="M147" t="n">
        <v>0</v>
      </c>
      <c r="N147" t="n">
        <v>0</v>
      </c>
      <c r="O147" t="n">
        <v>0</v>
      </c>
      <c r="P147" t="n">
        <v>0</v>
      </c>
      <c r="Q147" t="n">
        <v>1</v>
      </c>
      <c r="R147" s="2" t="inlineStr">
        <is>
          <t>Ängsnycklar</t>
        </is>
      </c>
      <c r="S147">
        <f>HYPERLINK("https://klasma.github.io/Logging_1737/artfynd/A 32348-2025 artfynd.xlsx", "A 32348-2025")</f>
        <v/>
      </c>
      <c r="T147">
        <f>HYPERLINK("https://klasma.github.io/Logging_1737/kartor/A 32348-2025 karta.png", "A 32348-2025")</f>
        <v/>
      </c>
      <c r="V147">
        <f>HYPERLINK("https://klasma.github.io/Logging_1737/klagomål/A 32348-2025 FSC-klagomål.docx", "A 32348-2025")</f>
        <v/>
      </c>
      <c r="W147">
        <f>HYPERLINK("https://klasma.github.io/Logging_1737/klagomålsmail/A 32348-2025 FSC-klagomål mail.docx", "A 32348-2025")</f>
        <v/>
      </c>
      <c r="X147">
        <f>HYPERLINK("https://klasma.github.io/Logging_1737/tillsyn/A 32348-2025 tillsynsbegäran.docx", "A 32348-2025")</f>
        <v/>
      </c>
      <c r="Y147">
        <f>HYPERLINK("https://klasma.github.io/Logging_1737/tillsynsmail/A 32348-2025 tillsynsbegäran mail.docx", "A 32348-2025")</f>
        <v/>
      </c>
    </row>
    <row r="148" ht="15" customHeight="1">
      <c r="A148" t="inlineStr">
        <is>
          <t>A 32328-2025</t>
        </is>
      </c>
      <c r="B148" s="1" t="n">
        <v>45836</v>
      </c>
      <c r="C148" s="1" t="n">
        <v>46204</v>
      </c>
      <c r="D148" t="inlineStr">
        <is>
          <t>VÄRMLANDS LÄN</t>
        </is>
      </c>
      <c r="E148" t="inlineStr">
        <is>
          <t>TORSBY</t>
        </is>
      </c>
      <c r="G148" t="n">
        <v>1.1</v>
      </c>
      <c r="H148" t="n">
        <v>0</v>
      </c>
      <c r="I148" t="n">
        <v>0</v>
      </c>
      <c r="J148" t="n">
        <v>1</v>
      </c>
      <c r="K148" t="n">
        <v>0</v>
      </c>
      <c r="L148" t="n">
        <v>0</v>
      </c>
      <c r="M148" t="n">
        <v>0</v>
      </c>
      <c r="N148" t="n">
        <v>0</v>
      </c>
      <c r="O148" t="n">
        <v>1</v>
      </c>
      <c r="P148" t="n">
        <v>0</v>
      </c>
      <c r="Q148" t="n">
        <v>1</v>
      </c>
      <c r="R148" s="2" t="inlineStr">
        <is>
          <t>Ullticka</t>
        </is>
      </c>
      <c r="S148">
        <f>HYPERLINK("https://klasma.github.io/Logging_1737/artfynd/A 32328-2025 artfynd.xlsx", "A 32328-2025")</f>
        <v/>
      </c>
      <c r="T148">
        <f>HYPERLINK("https://klasma.github.io/Logging_1737/kartor/A 32328-2025 karta.png", "A 32328-2025")</f>
        <v/>
      </c>
      <c r="V148">
        <f>HYPERLINK("https://klasma.github.io/Logging_1737/klagomål/A 32328-2025 FSC-klagomål.docx", "A 32328-2025")</f>
        <v/>
      </c>
      <c r="W148">
        <f>HYPERLINK("https://klasma.github.io/Logging_1737/klagomålsmail/A 32328-2025 FSC-klagomål mail.docx", "A 32328-2025")</f>
        <v/>
      </c>
      <c r="X148">
        <f>HYPERLINK("https://klasma.github.io/Logging_1737/tillsyn/A 32328-2025 tillsynsbegäran.docx", "A 32328-2025")</f>
        <v/>
      </c>
      <c r="Y148">
        <f>HYPERLINK("https://klasma.github.io/Logging_1737/tillsynsmail/A 32328-2025 tillsynsbegäran mail.docx", "A 32328-2025")</f>
        <v/>
      </c>
    </row>
    <row r="149" ht="15" customHeight="1">
      <c r="A149" t="inlineStr">
        <is>
          <t>A 13359-2023</t>
        </is>
      </c>
      <c r="B149" s="1" t="n">
        <v>45005</v>
      </c>
      <c r="C149" s="1" t="n">
        <v>46204</v>
      </c>
      <c r="D149" t="inlineStr">
        <is>
          <t>VÄRMLANDS LÄN</t>
        </is>
      </c>
      <c r="E149" t="inlineStr">
        <is>
          <t>TORSBY</t>
        </is>
      </c>
      <c r="G149" t="n">
        <v>12.9</v>
      </c>
      <c r="H149" t="n">
        <v>0</v>
      </c>
      <c r="I149" t="n">
        <v>0</v>
      </c>
      <c r="J149" t="n">
        <v>1</v>
      </c>
      <c r="K149" t="n">
        <v>0</v>
      </c>
      <c r="L149" t="n">
        <v>0</v>
      </c>
      <c r="M149" t="n">
        <v>0</v>
      </c>
      <c r="N149" t="n">
        <v>0</v>
      </c>
      <c r="O149" t="n">
        <v>1</v>
      </c>
      <c r="P149" t="n">
        <v>0</v>
      </c>
      <c r="Q149" t="n">
        <v>1</v>
      </c>
      <c r="R149" s="2" t="inlineStr">
        <is>
          <t>Dropptaggsvamp</t>
        </is>
      </c>
      <c r="S149">
        <f>HYPERLINK("https://klasma.github.io/Logging_1737/artfynd/A 13359-2023 artfynd.xlsx", "A 13359-2023")</f>
        <v/>
      </c>
      <c r="T149">
        <f>HYPERLINK("https://klasma.github.io/Logging_1737/kartor/A 13359-2023 karta.png", "A 13359-2023")</f>
        <v/>
      </c>
      <c r="V149">
        <f>HYPERLINK("https://klasma.github.io/Logging_1737/klagomål/A 13359-2023 FSC-klagomål.docx", "A 13359-2023")</f>
        <v/>
      </c>
      <c r="W149">
        <f>HYPERLINK("https://klasma.github.io/Logging_1737/klagomålsmail/A 13359-2023 FSC-klagomål mail.docx", "A 13359-2023")</f>
        <v/>
      </c>
      <c r="X149">
        <f>HYPERLINK("https://klasma.github.io/Logging_1737/tillsyn/A 13359-2023 tillsynsbegäran.docx", "A 13359-2023")</f>
        <v/>
      </c>
      <c r="Y149">
        <f>HYPERLINK("https://klasma.github.io/Logging_1737/tillsynsmail/A 13359-2023 tillsynsbegäran mail.docx", "A 13359-2023")</f>
        <v/>
      </c>
    </row>
    <row r="150" ht="15" customHeight="1">
      <c r="A150" t="inlineStr">
        <is>
          <t>A 13361-2023</t>
        </is>
      </c>
      <c r="B150" s="1" t="n">
        <v>45005</v>
      </c>
      <c r="C150" s="1" t="n">
        <v>46204</v>
      </c>
      <c r="D150" t="inlineStr">
        <is>
          <t>VÄRMLANDS LÄN</t>
        </is>
      </c>
      <c r="E150" t="inlineStr">
        <is>
          <t>TORSBY</t>
        </is>
      </c>
      <c r="G150" t="n">
        <v>8.5</v>
      </c>
      <c r="H150" t="n">
        <v>0</v>
      </c>
      <c r="I150" t="n">
        <v>0</v>
      </c>
      <c r="J150" t="n">
        <v>1</v>
      </c>
      <c r="K150" t="n">
        <v>0</v>
      </c>
      <c r="L150" t="n">
        <v>0</v>
      </c>
      <c r="M150" t="n">
        <v>0</v>
      </c>
      <c r="N150" t="n">
        <v>0</v>
      </c>
      <c r="O150" t="n">
        <v>1</v>
      </c>
      <c r="P150" t="n">
        <v>0</v>
      </c>
      <c r="Q150" t="n">
        <v>1</v>
      </c>
      <c r="R150" s="2" t="inlineStr">
        <is>
          <t>Dropptaggsvamp</t>
        </is>
      </c>
      <c r="S150">
        <f>HYPERLINK("https://klasma.github.io/Logging_1737/artfynd/A 13361-2023 artfynd.xlsx", "A 13361-2023")</f>
        <v/>
      </c>
      <c r="T150">
        <f>HYPERLINK("https://klasma.github.io/Logging_1737/kartor/A 13361-2023 karta.png", "A 13361-2023")</f>
        <v/>
      </c>
      <c r="V150">
        <f>HYPERLINK("https://klasma.github.io/Logging_1737/klagomål/A 13361-2023 FSC-klagomål.docx", "A 13361-2023")</f>
        <v/>
      </c>
      <c r="W150">
        <f>HYPERLINK("https://klasma.github.io/Logging_1737/klagomålsmail/A 13361-2023 FSC-klagomål mail.docx", "A 13361-2023")</f>
        <v/>
      </c>
      <c r="X150">
        <f>HYPERLINK("https://klasma.github.io/Logging_1737/tillsyn/A 13361-2023 tillsynsbegäran.docx", "A 13361-2023")</f>
        <v/>
      </c>
      <c r="Y150">
        <f>HYPERLINK("https://klasma.github.io/Logging_1737/tillsynsmail/A 13361-2023 tillsynsbegäran mail.docx", "A 13361-2023")</f>
        <v/>
      </c>
    </row>
    <row r="151" ht="15" customHeight="1">
      <c r="A151" t="inlineStr">
        <is>
          <t>A 39473-2025</t>
        </is>
      </c>
      <c r="B151" s="1" t="n">
        <v>45890</v>
      </c>
      <c r="C151" s="1" t="n">
        <v>46204</v>
      </c>
      <c r="D151" t="inlineStr">
        <is>
          <t>VÄRMLANDS LÄN</t>
        </is>
      </c>
      <c r="E151" t="inlineStr">
        <is>
          <t>TORSBY</t>
        </is>
      </c>
      <c r="G151" t="n">
        <v>2.5</v>
      </c>
      <c r="H151" t="n">
        <v>1</v>
      </c>
      <c r="I151" t="n">
        <v>0</v>
      </c>
      <c r="J151" t="n">
        <v>0</v>
      </c>
      <c r="K151" t="n">
        <v>0</v>
      </c>
      <c r="L151" t="n">
        <v>0</v>
      </c>
      <c r="M151" t="n">
        <v>0</v>
      </c>
      <c r="N151" t="n">
        <v>0</v>
      </c>
      <c r="O151" t="n">
        <v>0</v>
      </c>
      <c r="P151" t="n">
        <v>0</v>
      </c>
      <c r="Q151" t="n">
        <v>1</v>
      </c>
      <c r="R151" s="2" t="inlineStr">
        <is>
          <t>Kungsfågel</t>
        </is>
      </c>
      <c r="S151">
        <f>HYPERLINK("https://klasma.github.io/Logging_1737/artfynd/A 39473-2025 artfynd.xlsx", "A 39473-2025")</f>
        <v/>
      </c>
      <c r="T151">
        <f>HYPERLINK("https://klasma.github.io/Logging_1737/kartor/A 39473-2025 karta.png", "A 39473-2025")</f>
        <v/>
      </c>
      <c r="V151">
        <f>HYPERLINK("https://klasma.github.io/Logging_1737/klagomål/A 39473-2025 FSC-klagomål.docx", "A 39473-2025")</f>
        <v/>
      </c>
      <c r="W151">
        <f>HYPERLINK("https://klasma.github.io/Logging_1737/klagomålsmail/A 39473-2025 FSC-klagomål mail.docx", "A 39473-2025")</f>
        <v/>
      </c>
      <c r="X151">
        <f>HYPERLINK("https://klasma.github.io/Logging_1737/tillsyn/A 39473-2025 tillsynsbegäran.docx", "A 39473-2025")</f>
        <v/>
      </c>
      <c r="Y151">
        <f>HYPERLINK("https://klasma.github.io/Logging_1737/tillsynsmail/A 39473-2025 tillsynsbegäran mail.docx", "A 39473-2025")</f>
        <v/>
      </c>
    </row>
    <row r="152" ht="15" customHeight="1">
      <c r="A152" t="inlineStr">
        <is>
          <t>A 20633-2024</t>
        </is>
      </c>
      <c r="B152" s="1" t="n">
        <v>45436</v>
      </c>
      <c r="C152" s="1" t="n">
        <v>46204</v>
      </c>
      <c r="D152" t="inlineStr">
        <is>
          <t>VÄRMLANDS LÄN</t>
        </is>
      </c>
      <c r="E152" t="inlineStr">
        <is>
          <t>TORSBY</t>
        </is>
      </c>
      <c r="G152" t="n">
        <v>2.2</v>
      </c>
      <c r="H152" t="n">
        <v>0</v>
      </c>
      <c r="I152" t="n">
        <v>0</v>
      </c>
      <c r="J152" t="n">
        <v>1</v>
      </c>
      <c r="K152" t="n">
        <v>0</v>
      </c>
      <c r="L152" t="n">
        <v>0</v>
      </c>
      <c r="M152" t="n">
        <v>0</v>
      </c>
      <c r="N152" t="n">
        <v>0</v>
      </c>
      <c r="O152" t="n">
        <v>1</v>
      </c>
      <c r="P152" t="n">
        <v>0</v>
      </c>
      <c r="Q152" t="n">
        <v>1</v>
      </c>
      <c r="R152" s="2" t="inlineStr">
        <is>
          <t>Gullpudra</t>
        </is>
      </c>
      <c r="S152">
        <f>HYPERLINK("https://klasma.github.io/Logging_1737/artfynd/A 20633-2024 artfynd.xlsx", "A 20633-2024")</f>
        <v/>
      </c>
      <c r="T152">
        <f>HYPERLINK("https://klasma.github.io/Logging_1737/kartor/A 20633-2024 karta.png", "A 20633-2024")</f>
        <v/>
      </c>
      <c r="V152">
        <f>HYPERLINK("https://klasma.github.io/Logging_1737/klagomål/A 20633-2024 FSC-klagomål.docx", "A 20633-2024")</f>
        <v/>
      </c>
      <c r="W152">
        <f>HYPERLINK("https://klasma.github.io/Logging_1737/klagomålsmail/A 20633-2024 FSC-klagomål mail.docx", "A 20633-2024")</f>
        <v/>
      </c>
      <c r="X152">
        <f>HYPERLINK("https://klasma.github.io/Logging_1737/tillsyn/A 20633-2024 tillsynsbegäran.docx", "A 20633-2024")</f>
        <v/>
      </c>
      <c r="Y152">
        <f>HYPERLINK("https://klasma.github.io/Logging_1737/tillsynsmail/A 20633-2024 tillsynsbegäran mail.docx", "A 20633-2024")</f>
        <v/>
      </c>
    </row>
    <row r="153" ht="15" customHeight="1">
      <c r="A153" t="inlineStr">
        <is>
          <t>A 39648-2023</t>
        </is>
      </c>
      <c r="B153" s="1" t="n">
        <v>45167</v>
      </c>
      <c r="C153" s="1" t="n">
        <v>46204</v>
      </c>
      <c r="D153" t="inlineStr">
        <is>
          <t>VÄRMLANDS LÄN</t>
        </is>
      </c>
      <c r="E153" t="inlineStr">
        <is>
          <t>TORSBY</t>
        </is>
      </c>
      <c r="G153" t="n">
        <v>1.9</v>
      </c>
      <c r="H153" t="n">
        <v>0</v>
      </c>
      <c r="I153" t="n">
        <v>0</v>
      </c>
      <c r="J153" t="n">
        <v>1</v>
      </c>
      <c r="K153" t="n">
        <v>0</v>
      </c>
      <c r="L153" t="n">
        <v>0</v>
      </c>
      <c r="M153" t="n">
        <v>0</v>
      </c>
      <c r="N153" t="n">
        <v>0</v>
      </c>
      <c r="O153" t="n">
        <v>1</v>
      </c>
      <c r="P153" t="n">
        <v>0</v>
      </c>
      <c r="Q153" t="n">
        <v>1</v>
      </c>
      <c r="R153" s="2" t="inlineStr">
        <is>
          <t>Lunglav</t>
        </is>
      </c>
      <c r="S153">
        <f>HYPERLINK("https://klasma.github.io/Logging_1737/artfynd/A 39648-2023 artfynd.xlsx", "A 39648-2023")</f>
        <v/>
      </c>
      <c r="T153">
        <f>HYPERLINK("https://klasma.github.io/Logging_1737/kartor/A 39648-2023 karta.png", "A 39648-2023")</f>
        <v/>
      </c>
      <c r="V153">
        <f>HYPERLINK("https://klasma.github.io/Logging_1737/klagomål/A 39648-2023 FSC-klagomål.docx", "A 39648-2023")</f>
        <v/>
      </c>
      <c r="W153">
        <f>HYPERLINK("https://klasma.github.io/Logging_1737/klagomålsmail/A 39648-2023 FSC-klagomål mail.docx", "A 39648-2023")</f>
        <v/>
      </c>
      <c r="X153">
        <f>HYPERLINK("https://klasma.github.io/Logging_1737/tillsyn/A 39648-2023 tillsynsbegäran.docx", "A 39648-2023")</f>
        <v/>
      </c>
      <c r="Y153">
        <f>HYPERLINK("https://klasma.github.io/Logging_1737/tillsynsmail/A 39648-2023 tillsynsbegäran mail.docx", "A 39648-2023")</f>
        <v/>
      </c>
    </row>
    <row r="154" ht="15" customHeight="1">
      <c r="A154" t="inlineStr">
        <is>
          <t>A 21516-2022</t>
        </is>
      </c>
      <c r="B154" s="1" t="n">
        <v>44706</v>
      </c>
      <c r="C154" s="1" t="n">
        <v>46204</v>
      </c>
      <c r="D154" t="inlineStr">
        <is>
          <t>VÄRMLANDS LÄN</t>
        </is>
      </c>
      <c r="E154" t="inlineStr">
        <is>
          <t>TORSBY</t>
        </is>
      </c>
      <c r="G154" t="n">
        <v>2.2</v>
      </c>
      <c r="H154" t="n">
        <v>0</v>
      </c>
      <c r="I154" t="n">
        <v>1</v>
      </c>
      <c r="J154" t="n">
        <v>0</v>
      </c>
      <c r="K154" t="n">
        <v>0</v>
      </c>
      <c r="L154" t="n">
        <v>0</v>
      </c>
      <c r="M154" t="n">
        <v>0</v>
      </c>
      <c r="N154" t="n">
        <v>0</v>
      </c>
      <c r="O154" t="n">
        <v>0</v>
      </c>
      <c r="P154" t="n">
        <v>0</v>
      </c>
      <c r="Q154" t="n">
        <v>1</v>
      </c>
      <c r="R154" s="2" t="inlineStr">
        <is>
          <t>Vedticka</t>
        </is>
      </c>
      <c r="S154">
        <f>HYPERLINK("https://klasma.github.io/Logging_1737/artfynd/A 21516-2022 artfynd.xlsx", "A 21516-2022")</f>
        <v/>
      </c>
      <c r="T154">
        <f>HYPERLINK("https://klasma.github.io/Logging_1737/kartor/A 21516-2022 karta.png", "A 21516-2022")</f>
        <v/>
      </c>
      <c r="V154">
        <f>HYPERLINK("https://klasma.github.io/Logging_1737/klagomål/A 21516-2022 FSC-klagomål.docx", "A 21516-2022")</f>
        <v/>
      </c>
      <c r="W154">
        <f>HYPERLINK("https://klasma.github.io/Logging_1737/klagomålsmail/A 21516-2022 FSC-klagomål mail.docx", "A 21516-2022")</f>
        <v/>
      </c>
      <c r="X154">
        <f>HYPERLINK("https://klasma.github.io/Logging_1737/tillsyn/A 21516-2022 tillsynsbegäran.docx", "A 21516-2022")</f>
        <v/>
      </c>
      <c r="Y154">
        <f>HYPERLINK("https://klasma.github.io/Logging_1737/tillsynsmail/A 21516-2022 tillsynsbegäran mail.docx", "A 21516-2022")</f>
        <v/>
      </c>
    </row>
    <row r="155" ht="15" customHeight="1">
      <c r="A155" t="inlineStr">
        <is>
          <t>A 15548-2023</t>
        </is>
      </c>
      <c r="B155" s="1" t="n">
        <v>45020</v>
      </c>
      <c r="C155" s="1" t="n">
        <v>46204</v>
      </c>
      <c r="D155" t="inlineStr">
        <is>
          <t>VÄRMLANDS LÄN</t>
        </is>
      </c>
      <c r="E155" t="inlineStr">
        <is>
          <t>TORSBY</t>
        </is>
      </c>
      <c r="G155" t="n">
        <v>0.6</v>
      </c>
      <c r="H155" t="n">
        <v>1</v>
      </c>
      <c r="I155" t="n">
        <v>0</v>
      </c>
      <c r="J155" t="n">
        <v>0</v>
      </c>
      <c r="K155" t="n">
        <v>0</v>
      </c>
      <c r="L155" t="n">
        <v>0</v>
      </c>
      <c r="M155" t="n">
        <v>0</v>
      </c>
      <c r="N155" t="n">
        <v>0</v>
      </c>
      <c r="O155" t="n">
        <v>0</v>
      </c>
      <c r="P155" t="n">
        <v>0</v>
      </c>
      <c r="Q155" t="n">
        <v>1</v>
      </c>
      <c r="R155" s="2" t="inlineStr">
        <is>
          <t>Spillkråka</t>
        </is>
      </c>
      <c r="S155">
        <f>HYPERLINK("https://klasma.github.io/Logging_1737/artfynd/A 15548-2023 artfynd.xlsx", "A 15548-2023")</f>
        <v/>
      </c>
      <c r="T155">
        <f>HYPERLINK("https://klasma.github.io/Logging_1737/kartor/A 15548-2023 karta.png", "A 15548-2023")</f>
        <v/>
      </c>
      <c r="V155">
        <f>HYPERLINK("https://klasma.github.io/Logging_1737/klagomål/A 15548-2023 FSC-klagomål.docx", "A 15548-2023")</f>
        <v/>
      </c>
      <c r="W155">
        <f>HYPERLINK("https://klasma.github.io/Logging_1737/klagomålsmail/A 15548-2023 FSC-klagomål mail.docx", "A 15548-2023")</f>
        <v/>
      </c>
      <c r="X155">
        <f>HYPERLINK("https://klasma.github.io/Logging_1737/tillsyn/A 15548-2023 tillsynsbegäran.docx", "A 15548-2023")</f>
        <v/>
      </c>
      <c r="Y155">
        <f>HYPERLINK("https://klasma.github.io/Logging_1737/tillsynsmail/A 15548-2023 tillsynsbegäran mail.docx", "A 15548-2023")</f>
        <v/>
      </c>
      <c r="Z155">
        <f>HYPERLINK("https://klasma.github.io/Logging_1737/fåglar/A 15548-2023 prioriterade fågelarter.docx", "A 15548-2023")</f>
        <v/>
      </c>
    </row>
    <row r="156" ht="15" customHeight="1">
      <c r="A156" t="inlineStr">
        <is>
          <t>A 24717-2024</t>
        </is>
      </c>
      <c r="B156" s="1" t="n">
        <v>45460</v>
      </c>
      <c r="C156" s="1" t="n">
        <v>46204</v>
      </c>
      <c r="D156" t="inlineStr">
        <is>
          <t>VÄRMLANDS LÄN</t>
        </is>
      </c>
      <c r="E156" t="inlineStr">
        <is>
          <t>TORSBY</t>
        </is>
      </c>
      <c r="F156" t="inlineStr">
        <is>
          <t>Övriga statliga verk och myndigheter</t>
        </is>
      </c>
      <c r="G156" t="n">
        <v>2.1</v>
      </c>
      <c r="H156" t="n">
        <v>0</v>
      </c>
      <c r="I156" t="n">
        <v>0</v>
      </c>
      <c r="J156" t="n">
        <v>0</v>
      </c>
      <c r="K156" t="n">
        <v>1</v>
      </c>
      <c r="L156" t="n">
        <v>0</v>
      </c>
      <c r="M156" t="n">
        <v>0</v>
      </c>
      <c r="N156" t="n">
        <v>0</v>
      </c>
      <c r="O156" t="n">
        <v>1</v>
      </c>
      <c r="P156" t="n">
        <v>1</v>
      </c>
      <c r="Q156" t="n">
        <v>1</v>
      </c>
      <c r="R156" s="2" t="inlineStr">
        <is>
          <t>Garnlav</t>
        </is>
      </c>
      <c r="S156">
        <f>HYPERLINK("https://klasma.github.io/Logging_1737/artfynd/A 24717-2024 artfynd.xlsx", "A 24717-2024")</f>
        <v/>
      </c>
      <c r="T156">
        <f>HYPERLINK("https://klasma.github.io/Logging_1737/kartor/A 24717-2024 karta.png", "A 24717-2024")</f>
        <v/>
      </c>
      <c r="V156">
        <f>HYPERLINK("https://klasma.github.io/Logging_1737/klagomål/A 24717-2024 FSC-klagomål.docx", "A 24717-2024")</f>
        <v/>
      </c>
      <c r="W156">
        <f>HYPERLINK("https://klasma.github.io/Logging_1737/klagomålsmail/A 24717-2024 FSC-klagomål mail.docx", "A 24717-2024")</f>
        <v/>
      </c>
      <c r="X156">
        <f>HYPERLINK("https://klasma.github.io/Logging_1737/tillsyn/A 24717-2024 tillsynsbegäran.docx", "A 24717-2024")</f>
        <v/>
      </c>
      <c r="Y156">
        <f>HYPERLINK("https://klasma.github.io/Logging_1737/tillsynsmail/A 24717-2024 tillsynsbegäran mail.docx", "A 24717-2024")</f>
        <v/>
      </c>
    </row>
    <row r="157" ht="15" customHeight="1">
      <c r="A157" t="inlineStr">
        <is>
          <t>A 25276-2025</t>
        </is>
      </c>
      <c r="B157" s="1" t="n">
        <v>45800</v>
      </c>
      <c r="C157" s="1" t="n">
        <v>46204</v>
      </c>
      <c r="D157" t="inlineStr">
        <is>
          <t>VÄRMLANDS LÄN</t>
        </is>
      </c>
      <c r="E157" t="inlineStr">
        <is>
          <t>TORSBY</t>
        </is>
      </c>
      <c r="G157" t="n">
        <v>27.6</v>
      </c>
      <c r="H157" t="n">
        <v>0</v>
      </c>
      <c r="I157" t="n">
        <v>0</v>
      </c>
      <c r="J157" t="n">
        <v>1</v>
      </c>
      <c r="K157" t="n">
        <v>0</v>
      </c>
      <c r="L157" t="n">
        <v>0</v>
      </c>
      <c r="M157" t="n">
        <v>0</v>
      </c>
      <c r="N157" t="n">
        <v>0</v>
      </c>
      <c r="O157" t="n">
        <v>1</v>
      </c>
      <c r="P157" t="n">
        <v>0</v>
      </c>
      <c r="Q157" t="n">
        <v>1</v>
      </c>
      <c r="R157" s="2" t="inlineStr">
        <is>
          <t>Lunglav</t>
        </is>
      </c>
      <c r="S157">
        <f>HYPERLINK("https://klasma.github.io/Logging_1737/artfynd/A 25276-2025 artfynd.xlsx", "A 25276-2025")</f>
        <v/>
      </c>
      <c r="T157">
        <f>HYPERLINK("https://klasma.github.io/Logging_1737/kartor/A 25276-2025 karta.png", "A 25276-2025")</f>
        <v/>
      </c>
      <c r="V157">
        <f>HYPERLINK("https://klasma.github.io/Logging_1737/klagomål/A 25276-2025 FSC-klagomål.docx", "A 25276-2025")</f>
        <v/>
      </c>
      <c r="W157">
        <f>HYPERLINK("https://klasma.github.io/Logging_1737/klagomålsmail/A 25276-2025 FSC-klagomål mail.docx", "A 25276-2025")</f>
        <v/>
      </c>
      <c r="X157">
        <f>HYPERLINK("https://klasma.github.io/Logging_1737/tillsyn/A 25276-2025 tillsynsbegäran.docx", "A 25276-2025")</f>
        <v/>
      </c>
      <c r="Y157">
        <f>HYPERLINK("https://klasma.github.io/Logging_1737/tillsynsmail/A 25276-2025 tillsynsbegäran mail.docx", "A 25276-2025")</f>
        <v/>
      </c>
    </row>
    <row r="158" ht="15" customHeight="1">
      <c r="A158" t="inlineStr">
        <is>
          <t>A 44220-2025</t>
        </is>
      </c>
      <c r="B158" s="1" t="n">
        <v>45915</v>
      </c>
      <c r="C158" s="1" t="n">
        <v>46204</v>
      </c>
      <c r="D158" t="inlineStr">
        <is>
          <t>VÄRMLANDS LÄN</t>
        </is>
      </c>
      <c r="E158" t="inlineStr">
        <is>
          <t>TORSBY</t>
        </is>
      </c>
      <c r="F158" t="inlineStr">
        <is>
          <t>Kommuner</t>
        </is>
      </c>
      <c r="G158" t="n">
        <v>4.9</v>
      </c>
      <c r="H158" t="n">
        <v>0</v>
      </c>
      <c r="I158" t="n">
        <v>1</v>
      </c>
      <c r="J158" t="n">
        <v>0</v>
      </c>
      <c r="K158" t="n">
        <v>0</v>
      </c>
      <c r="L158" t="n">
        <v>0</v>
      </c>
      <c r="M158" t="n">
        <v>0</v>
      </c>
      <c r="N158" t="n">
        <v>0</v>
      </c>
      <c r="O158" t="n">
        <v>0</v>
      </c>
      <c r="P158" t="n">
        <v>0</v>
      </c>
      <c r="Q158" t="n">
        <v>1</v>
      </c>
      <c r="R158" s="2" t="inlineStr">
        <is>
          <t>Ögonpyrola</t>
        </is>
      </c>
      <c r="S158">
        <f>HYPERLINK("https://klasma.github.io/Logging_1737/artfynd/A 44220-2025 artfynd.xlsx", "A 44220-2025")</f>
        <v/>
      </c>
      <c r="T158">
        <f>HYPERLINK("https://klasma.github.io/Logging_1737/kartor/A 44220-2025 karta.png", "A 44220-2025")</f>
        <v/>
      </c>
      <c r="V158">
        <f>HYPERLINK("https://klasma.github.io/Logging_1737/klagomål/A 44220-2025 FSC-klagomål.docx", "A 44220-2025")</f>
        <v/>
      </c>
      <c r="W158">
        <f>HYPERLINK("https://klasma.github.io/Logging_1737/klagomålsmail/A 44220-2025 FSC-klagomål mail.docx", "A 44220-2025")</f>
        <v/>
      </c>
      <c r="X158">
        <f>HYPERLINK("https://klasma.github.io/Logging_1737/tillsyn/A 44220-2025 tillsynsbegäran.docx", "A 44220-2025")</f>
        <v/>
      </c>
      <c r="Y158">
        <f>HYPERLINK("https://klasma.github.io/Logging_1737/tillsynsmail/A 44220-2025 tillsynsbegäran mail.docx", "A 44220-2025")</f>
        <v/>
      </c>
    </row>
    <row r="159" ht="15" customHeight="1">
      <c r="A159" t="inlineStr">
        <is>
          <t>A 37327-2025</t>
        </is>
      </c>
      <c r="B159" s="1" t="n">
        <v>45876</v>
      </c>
      <c r="C159" s="1" t="n">
        <v>46204</v>
      </c>
      <c r="D159" t="inlineStr">
        <is>
          <t>VÄRMLANDS LÄN</t>
        </is>
      </c>
      <c r="E159" t="inlineStr">
        <is>
          <t>TORSBY</t>
        </is>
      </c>
      <c r="G159" t="n">
        <v>2</v>
      </c>
      <c r="H159" t="n">
        <v>0</v>
      </c>
      <c r="I159" t="n">
        <v>0</v>
      </c>
      <c r="J159" t="n">
        <v>0</v>
      </c>
      <c r="K159" t="n">
        <v>1</v>
      </c>
      <c r="L159" t="n">
        <v>0</v>
      </c>
      <c r="M159" t="n">
        <v>0</v>
      </c>
      <c r="N159" t="n">
        <v>0</v>
      </c>
      <c r="O159" t="n">
        <v>1</v>
      </c>
      <c r="P159" t="n">
        <v>1</v>
      </c>
      <c r="Q159" t="n">
        <v>1</v>
      </c>
      <c r="R159" s="2" t="inlineStr">
        <is>
          <t>Garnlav</t>
        </is>
      </c>
      <c r="S159">
        <f>HYPERLINK("https://klasma.github.io/Logging_1737/artfynd/A 37327-2025 artfynd.xlsx", "A 37327-2025")</f>
        <v/>
      </c>
      <c r="T159">
        <f>HYPERLINK("https://klasma.github.io/Logging_1737/kartor/A 37327-2025 karta.png", "A 37327-2025")</f>
        <v/>
      </c>
      <c r="V159">
        <f>HYPERLINK("https://klasma.github.io/Logging_1737/klagomål/A 37327-2025 FSC-klagomål.docx", "A 37327-2025")</f>
        <v/>
      </c>
      <c r="W159">
        <f>HYPERLINK("https://klasma.github.io/Logging_1737/klagomålsmail/A 37327-2025 FSC-klagomål mail.docx", "A 37327-2025")</f>
        <v/>
      </c>
      <c r="X159">
        <f>HYPERLINK("https://klasma.github.io/Logging_1737/tillsyn/A 37327-2025 tillsynsbegäran.docx", "A 37327-2025")</f>
        <v/>
      </c>
      <c r="Y159">
        <f>HYPERLINK("https://klasma.github.io/Logging_1737/tillsynsmail/A 37327-2025 tillsynsbegäran mail.docx", "A 37327-2025")</f>
        <v/>
      </c>
    </row>
    <row r="160" ht="15" customHeight="1">
      <c r="A160" t="inlineStr">
        <is>
          <t>A 54160-2022</t>
        </is>
      </c>
      <c r="B160" s="1" t="n">
        <v>44881</v>
      </c>
      <c r="C160" s="1" t="n">
        <v>46204</v>
      </c>
      <c r="D160" t="inlineStr">
        <is>
          <t>VÄRMLANDS LÄN</t>
        </is>
      </c>
      <c r="E160" t="inlineStr">
        <is>
          <t>TORSBY</t>
        </is>
      </c>
      <c r="G160" t="n">
        <v>1.3</v>
      </c>
      <c r="H160" t="n">
        <v>0</v>
      </c>
      <c r="I160" t="n">
        <v>0</v>
      </c>
      <c r="J160" t="n">
        <v>1</v>
      </c>
      <c r="K160" t="n">
        <v>0</v>
      </c>
      <c r="L160" t="n">
        <v>0</v>
      </c>
      <c r="M160" t="n">
        <v>0</v>
      </c>
      <c r="N160" t="n">
        <v>0</v>
      </c>
      <c r="O160" t="n">
        <v>1</v>
      </c>
      <c r="P160" t="n">
        <v>0</v>
      </c>
      <c r="Q160" t="n">
        <v>1</v>
      </c>
      <c r="R160" s="2" t="inlineStr">
        <is>
          <t>Gullklöver</t>
        </is>
      </c>
      <c r="S160">
        <f>HYPERLINK("https://klasma.github.io/Logging_1737/artfynd/A 54160-2022 artfynd.xlsx", "A 54160-2022")</f>
        <v/>
      </c>
      <c r="T160">
        <f>HYPERLINK("https://klasma.github.io/Logging_1737/kartor/A 54160-2022 karta.png", "A 54160-2022")</f>
        <v/>
      </c>
      <c r="V160">
        <f>HYPERLINK("https://klasma.github.io/Logging_1737/klagomål/A 54160-2022 FSC-klagomål.docx", "A 54160-2022")</f>
        <v/>
      </c>
      <c r="W160">
        <f>HYPERLINK("https://klasma.github.io/Logging_1737/klagomålsmail/A 54160-2022 FSC-klagomål mail.docx", "A 54160-2022")</f>
        <v/>
      </c>
      <c r="X160">
        <f>HYPERLINK("https://klasma.github.io/Logging_1737/tillsyn/A 54160-2022 tillsynsbegäran.docx", "A 54160-2022")</f>
        <v/>
      </c>
      <c r="Y160">
        <f>HYPERLINK("https://klasma.github.io/Logging_1737/tillsynsmail/A 54160-2022 tillsynsbegäran mail.docx", "A 54160-2022")</f>
        <v/>
      </c>
    </row>
    <row r="161" ht="15" customHeight="1">
      <c r="A161" t="inlineStr">
        <is>
          <t>A 37699-2025</t>
        </is>
      </c>
      <c r="B161" s="1" t="n">
        <v>45880</v>
      </c>
      <c r="C161" s="1" t="n">
        <v>46204</v>
      </c>
      <c r="D161" t="inlineStr">
        <is>
          <t>VÄRMLANDS LÄN</t>
        </is>
      </c>
      <c r="E161" t="inlineStr">
        <is>
          <t>TORSBY</t>
        </is>
      </c>
      <c r="G161" t="n">
        <v>1.8</v>
      </c>
      <c r="H161" t="n">
        <v>1</v>
      </c>
      <c r="I161" t="n">
        <v>0</v>
      </c>
      <c r="J161" t="n">
        <v>0</v>
      </c>
      <c r="K161" t="n">
        <v>0</v>
      </c>
      <c r="L161" t="n">
        <v>1</v>
      </c>
      <c r="M161" t="n">
        <v>0</v>
      </c>
      <c r="N161" t="n">
        <v>0</v>
      </c>
      <c r="O161" t="n">
        <v>1</v>
      </c>
      <c r="P161" t="n">
        <v>1</v>
      </c>
      <c r="Q161" t="n">
        <v>1</v>
      </c>
      <c r="R161" s="2" t="inlineStr">
        <is>
          <t>Bombmurkla</t>
        </is>
      </c>
      <c r="S161">
        <f>HYPERLINK("https://klasma.github.io/Logging_1737/artfynd/A 37699-2025 artfynd.xlsx", "A 37699-2025")</f>
        <v/>
      </c>
      <c r="T161">
        <f>HYPERLINK("https://klasma.github.io/Logging_1737/kartor/A 37699-2025 karta.png", "A 37699-2025")</f>
        <v/>
      </c>
      <c r="V161">
        <f>HYPERLINK("https://klasma.github.io/Logging_1737/klagomål/A 37699-2025 FSC-klagomål.docx", "A 37699-2025")</f>
        <v/>
      </c>
      <c r="W161">
        <f>HYPERLINK("https://klasma.github.io/Logging_1737/klagomålsmail/A 37699-2025 FSC-klagomål mail.docx", "A 37699-2025")</f>
        <v/>
      </c>
      <c r="X161">
        <f>HYPERLINK("https://klasma.github.io/Logging_1737/tillsyn/A 37699-2025 tillsynsbegäran.docx", "A 37699-2025")</f>
        <v/>
      </c>
      <c r="Y161">
        <f>HYPERLINK("https://klasma.github.io/Logging_1737/tillsynsmail/A 37699-2025 tillsynsbegäran mail.docx", "A 37699-2025")</f>
        <v/>
      </c>
    </row>
    <row r="162" ht="15" customHeight="1">
      <c r="A162" t="inlineStr">
        <is>
          <t>A 37548-2025</t>
        </is>
      </c>
      <c r="B162" s="1" t="n">
        <v>45879</v>
      </c>
      <c r="C162" s="1" t="n">
        <v>46204</v>
      </c>
      <c r="D162" t="inlineStr">
        <is>
          <t>VÄRMLANDS LÄN</t>
        </is>
      </c>
      <c r="E162" t="inlineStr">
        <is>
          <t>TORSBY</t>
        </is>
      </c>
      <c r="G162" t="n">
        <v>9.5</v>
      </c>
      <c r="H162" t="n">
        <v>1</v>
      </c>
      <c r="I162" t="n">
        <v>0</v>
      </c>
      <c r="J162" t="n">
        <v>1</v>
      </c>
      <c r="K162" t="n">
        <v>0</v>
      </c>
      <c r="L162" t="n">
        <v>0</v>
      </c>
      <c r="M162" t="n">
        <v>0</v>
      </c>
      <c r="N162" t="n">
        <v>0</v>
      </c>
      <c r="O162" t="n">
        <v>1</v>
      </c>
      <c r="P162" t="n">
        <v>0</v>
      </c>
      <c r="Q162" t="n">
        <v>1</v>
      </c>
      <c r="R162" s="2" t="inlineStr">
        <is>
          <t>Talltita</t>
        </is>
      </c>
      <c r="S162">
        <f>HYPERLINK("https://klasma.github.io/Logging_1737/artfynd/A 37548-2025 artfynd.xlsx", "A 37548-2025")</f>
        <v/>
      </c>
      <c r="T162">
        <f>HYPERLINK("https://klasma.github.io/Logging_1737/kartor/A 37548-2025 karta.png", "A 37548-2025")</f>
        <v/>
      </c>
      <c r="V162">
        <f>HYPERLINK("https://klasma.github.io/Logging_1737/klagomål/A 37548-2025 FSC-klagomål.docx", "A 37548-2025")</f>
        <v/>
      </c>
      <c r="W162">
        <f>HYPERLINK("https://klasma.github.io/Logging_1737/klagomålsmail/A 37548-2025 FSC-klagomål mail.docx", "A 37548-2025")</f>
        <v/>
      </c>
      <c r="X162">
        <f>HYPERLINK("https://klasma.github.io/Logging_1737/tillsyn/A 37548-2025 tillsynsbegäran.docx", "A 37548-2025")</f>
        <v/>
      </c>
      <c r="Y162">
        <f>HYPERLINK("https://klasma.github.io/Logging_1737/tillsynsmail/A 37548-2025 tillsynsbegäran mail.docx", "A 37548-2025")</f>
        <v/>
      </c>
      <c r="Z162">
        <f>HYPERLINK("https://klasma.github.io/Logging_1737/fåglar/A 37548-2025 prioriterade fågelarter.docx", "A 37548-2025")</f>
        <v/>
      </c>
    </row>
    <row r="163" ht="15" customHeight="1">
      <c r="A163" t="inlineStr">
        <is>
          <t>A 1435-2025</t>
        </is>
      </c>
      <c r="B163" s="1" t="n">
        <v>45669</v>
      </c>
      <c r="C163" s="1" t="n">
        <v>46204</v>
      </c>
      <c r="D163" t="inlineStr">
        <is>
          <t>VÄRMLANDS LÄN</t>
        </is>
      </c>
      <c r="E163" t="inlineStr">
        <is>
          <t>TORSBY</t>
        </is>
      </c>
      <c r="G163" t="n">
        <v>5</v>
      </c>
      <c r="H163" t="n">
        <v>0</v>
      </c>
      <c r="I163" t="n">
        <v>0</v>
      </c>
      <c r="J163" t="n">
        <v>1</v>
      </c>
      <c r="K163" t="n">
        <v>0</v>
      </c>
      <c r="L163" t="n">
        <v>0</v>
      </c>
      <c r="M163" t="n">
        <v>0</v>
      </c>
      <c r="N163" t="n">
        <v>0</v>
      </c>
      <c r="O163" t="n">
        <v>1</v>
      </c>
      <c r="P163" t="n">
        <v>0</v>
      </c>
      <c r="Q163" t="n">
        <v>1</v>
      </c>
      <c r="R163" s="2" t="inlineStr">
        <is>
          <t>Kattfotslav</t>
        </is>
      </c>
      <c r="S163">
        <f>HYPERLINK("https://klasma.github.io/Logging_1737/artfynd/A 1435-2025 artfynd.xlsx", "A 1435-2025")</f>
        <v/>
      </c>
      <c r="T163">
        <f>HYPERLINK("https://klasma.github.io/Logging_1737/kartor/A 1435-2025 karta.png", "A 1435-2025")</f>
        <v/>
      </c>
      <c r="V163">
        <f>HYPERLINK("https://klasma.github.io/Logging_1737/klagomål/A 1435-2025 FSC-klagomål.docx", "A 1435-2025")</f>
        <v/>
      </c>
      <c r="W163">
        <f>HYPERLINK("https://klasma.github.io/Logging_1737/klagomålsmail/A 1435-2025 FSC-klagomål mail.docx", "A 1435-2025")</f>
        <v/>
      </c>
      <c r="X163">
        <f>HYPERLINK("https://klasma.github.io/Logging_1737/tillsyn/A 1435-2025 tillsynsbegäran.docx", "A 1435-2025")</f>
        <v/>
      </c>
      <c r="Y163">
        <f>HYPERLINK("https://klasma.github.io/Logging_1737/tillsynsmail/A 1435-2025 tillsynsbegäran mail.docx", "A 1435-2025")</f>
        <v/>
      </c>
    </row>
    <row r="164" ht="15" customHeight="1">
      <c r="A164" t="inlineStr">
        <is>
          <t>A 11896-2026</t>
        </is>
      </c>
      <c r="B164" s="1" t="n">
        <v>46085</v>
      </c>
      <c r="C164" s="1" t="n">
        <v>46204</v>
      </c>
      <c r="D164" t="inlineStr">
        <is>
          <t>VÄRMLANDS LÄN</t>
        </is>
      </c>
      <c r="E164" t="inlineStr">
        <is>
          <t>TORSBY</t>
        </is>
      </c>
      <c r="G164" t="n">
        <v>8.300000000000001</v>
      </c>
      <c r="H164" t="n">
        <v>0</v>
      </c>
      <c r="I164" t="n">
        <v>0</v>
      </c>
      <c r="J164" t="n">
        <v>1</v>
      </c>
      <c r="K164" t="n">
        <v>0</v>
      </c>
      <c r="L164" t="n">
        <v>0</v>
      </c>
      <c r="M164" t="n">
        <v>0</v>
      </c>
      <c r="N164" t="n">
        <v>0</v>
      </c>
      <c r="O164" t="n">
        <v>1</v>
      </c>
      <c r="P164" t="n">
        <v>0</v>
      </c>
      <c r="Q164" t="n">
        <v>1</v>
      </c>
      <c r="R164" s="2" t="inlineStr">
        <is>
          <t>Lunglav</t>
        </is>
      </c>
      <c r="S164">
        <f>HYPERLINK("https://klasma.github.io/Logging_1737/artfynd/A 11896-2026 artfynd.xlsx", "A 11896-2026")</f>
        <v/>
      </c>
      <c r="T164">
        <f>HYPERLINK("https://klasma.github.io/Logging_1737/kartor/A 11896-2026 karta.png", "A 11896-2026")</f>
        <v/>
      </c>
      <c r="V164">
        <f>HYPERLINK("https://klasma.github.io/Logging_1737/klagomål/A 11896-2026 FSC-klagomål.docx", "A 11896-2026")</f>
        <v/>
      </c>
      <c r="W164">
        <f>HYPERLINK("https://klasma.github.io/Logging_1737/klagomålsmail/A 11896-2026 FSC-klagomål mail.docx", "A 11896-2026")</f>
        <v/>
      </c>
      <c r="X164">
        <f>HYPERLINK("https://klasma.github.io/Logging_1737/tillsyn/A 11896-2026 tillsynsbegäran.docx", "A 11896-2026")</f>
        <v/>
      </c>
      <c r="Y164">
        <f>HYPERLINK("https://klasma.github.io/Logging_1737/tillsynsmail/A 11896-2026 tillsynsbegäran mail.docx", "A 11896-2026")</f>
        <v/>
      </c>
    </row>
    <row r="165" ht="15" customHeight="1">
      <c r="A165" t="inlineStr">
        <is>
          <t>A 13155-2026</t>
        </is>
      </c>
      <c r="B165" s="1" t="n">
        <v>46093</v>
      </c>
      <c r="C165" s="1" t="n">
        <v>46204</v>
      </c>
      <c r="D165" t="inlineStr">
        <is>
          <t>VÄRMLANDS LÄN</t>
        </is>
      </c>
      <c r="E165" t="inlineStr">
        <is>
          <t>TORSBY</t>
        </is>
      </c>
      <c r="G165" t="n">
        <v>3</v>
      </c>
      <c r="H165" t="n">
        <v>0</v>
      </c>
      <c r="I165" t="n">
        <v>0</v>
      </c>
      <c r="J165" t="n">
        <v>1</v>
      </c>
      <c r="K165" t="n">
        <v>0</v>
      </c>
      <c r="L165" t="n">
        <v>0</v>
      </c>
      <c r="M165" t="n">
        <v>0</v>
      </c>
      <c r="N165" t="n">
        <v>0</v>
      </c>
      <c r="O165" t="n">
        <v>1</v>
      </c>
      <c r="P165" t="n">
        <v>0</v>
      </c>
      <c r="Q165" t="n">
        <v>1</v>
      </c>
      <c r="R165" s="2" t="inlineStr">
        <is>
          <t>Skogsklocka</t>
        </is>
      </c>
      <c r="S165">
        <f>HYPERLINK("https://klasma.github.io/Logging_1737/artfynd/A 13155-2026 artfynd.xlsx", "A 13155-2026")</f>
        <v/>
      </c>
      <c r="T165">
        <f>HYPERLINK("https://klasma.github.io/Logging_1737/kartor/A 13155-2026 karta.png", "A 13155-2026")</f>
        <v/>
      </c>
      <c r="V165">
        <f>HYPERLINK("https://klasma.github.io/Logging_1737/klagomål/A 13155-2026 FSC-klagomål.docx", "A 13155-2026")</f>
        <v/>
      </c>
      <c r="W165">
        <f>HYPERLINK("https://klasma.github.io/Logging_1737/klagomålsmail/A 13155-2026 FSC-klagomål mail.docx", "A 13155-2026")</f>
        <v/>
      </c>
      <c r="X165">
        <f>HYPERLINK("https://klasma.github.io/Logging_1737/tillsyn/A 13155-2026 tillsynsbegäran.docx", "A 13155-2026")</f>
        <v/>
      </c>
      <c r="Y165">
        <f>HYPERLINK("https://klasma.github.io/Logging_1737/tillsynsmail/A 13155-2026 tillsynsbegäran mail.docx", "A 13155-2026")</f>
        <v/>
      </c>
    </row>
    <row r="166" ht="15" customHeight="1">
      <c r="A166" t="inlineStr">
        <is>
          <t>A 40033-2024</t>
        </is>
      </c>
      <c r="B166" s="1" t="n">
        <v>45553</v>
      </c>
      <c r="C166" s="1" t="n">
        <v>46204</v>
      </c>
      <c r="D166" t="inlineStr">
        <is>
          <t>VÄRMLANDS LÄN</t>
        </is>
      </c>
      <c r="E166" t="inlineStr">
        <is>
          <t>TORSBY</t>
        </is>
      </c>
      <c r="G166" t="n">
        <v>6.2</v>
      </c>
      <c r="H166" t="n">
        <v>0</v>
      </c>
      <c r="I166" t="n">
        <v>0</v>
      </c>
      <c r="J166" t="n">
        <v>1</v>
      </c>
      <c r="K166" t="n">
        <v>0</v>
      </c>
      <c r="L166" t="n">
        <v>0</v>
      </c>
      <c r="M166" t="n">
        <v>0</v>
      </c>
      <c r="N166" t="n">
        <v>0</v>
      </c>
      <c r="O166" t="n">
        <v>1</v>
      </c>
      <c r="P166" t="n">
        <v>0</v>
      </c>
      <c r="Q166" t="n">
        <v>1</v>
      </c>
      <c r="R166" s="2" t="inlineStr">
        <is>
          <t>Violettgrå tagellav</t>
        </is>
      </c>
      <c r="S166">
        <f>HYPERLINK("https://klasma.github.io/Logging_1737/artfynd/A 40033-2024 artfynd.xlsx", "A 40033-2024")</f>
        <v/>
      </c>
      <c r="T166">
        <f>HYPERLINK("https://klasma.github.io/Logging_1737/kartor/A 40033-2024 karta.png", "A 40033-2024")</f>
        <v/>
      </c>
      <c r="V166">
        <f>HYPERLINK("https://klasma.github.io/Logging_1737/klagomål/A 40033-2024 FSC-klagomål.docx", "A 40033-2024")</f>
        <v/>
      </c>
      <c r="W166">
        <f>HYPERLINK("https://klasma.github.io/Logging_1737/klagomålsmail/A 40033-2024 FSC-klagomål mail.docx", "A 40033-2024")</f>
        <v/>
      </c>
      <c r="X166">
        <f>HYPERLINK("https://klasma.github.io/Logging_1737/tillsyn/A 40033-2024 tillsynsbegäran.docx", "A 40033-2024")</f>
        <v/>
      </c>
      <c r="Y166">
        <f>HYPERLINK("https://klasma.github.io/Logging_1737/tillsynsmail/A 40033-2024 tillsynsbegäran mail.docx", "A 40033-2024")</f>
        <v/>
      </c>
    </row>
    <row r="167" ht="15" customHeight="1">
      <c r="A167" t="inlineStr">
        <is>
          <t>A 14687-2026</t>
        </is>
      </c>
      <c r="B167" s="1" t="n">
        <v>46101</v>
      </c>
      <c r="C167" s="1" t="n">
        <v>46204</v>
      </c>
      <c r="D167" t="inlineStr">
        <is>
          <t>VÄRMLANDS LÄN</t>
        </is>
      </c>
      <c r="E167" t="inlineStr">
        <is>
          <t>TORSBY</t>
        </is>
      </c>
      <c r="F167" t="inlineStr">
        <is>
          <t>Bergvik skog väst AB</t>
        </is>
      </c>
      <c r="G167" t="n">
        <v>32.1</v>
      </c>
      <c r="H167" t="n">
        <v>1</v>
      </c>
      <c r="I167" t="n">
        <v>0</v>
      </c>
      <c r="J167" t="n">
        <v>0</v>
      </c>
      <c r="K167" t="n">
        <v>0</v>
      </c>
      <c r="L167" t="n">
        <v>0</v>
      </c>
      <c r="M167" t="n">
        <v>0</v>
      </c>
      <c r="N167" t="n">
        <v>0</v>
      </c>
      <c r="O167" t="n">
        <v>0</v>
      </c>
      <c r="P167" t="n">
        <v>0</v>
      </c>
      <c r="Q167" t="n">
        <v>1</v>
      </c>
      <c r="R167" s="2" t="inlineStr">
        <is>
          <t>Grönsiska</t>
        </is>
      </c>
      <c r="S167">
        <f>HYPERLINK("https://klasma.github.io/Logging_1737/artfynd/A 14687-2026 artfynd.xlsx", "A 14687-2026")</f>
        <v/>
      </c>
      <c r="T167">
        <f>HYPERLINK("https://klasma.github.io/Logging_1737/kartor/A 14687-2026 karta.png", "A 14687-2026")</f>
        <v/>
      </c>
      <c r="V167">
        <f>HYPERLINK("https://klasma.github.io/Logging_1737/klagomål/A 14687-2026 FSC-klagomål.docx", "A 14687-2026")</f>
        <v/>
      </c>
      <c r="W167">
        <f>HYPERLINK("https://klasma.github.io/Logging_1737/klagomålsmail/A 14687-2026 FSC-klagomål mail.docx", "A 14687-2026")</f>
        <v/>
      </c>
      <c r="X167">
        <f>HYPERLINK("https://klasma.github.io/Logging_1737/tillsyn/A 14687-2026 tillsynsbegäran.docx", "A 14687-2026")</f>
        <v/>
      </c>
      <c r="Y167">
        <f>HYPERLINK("https://klasma.github.io/Logging_1737/tillsynsmail/A 14687-2026 tillsynsbegäran mail.docx", "A 14687-2026")</f>
        <v/>
      </c>
    </row>
    <row r="168" ht="15" customHeight="1">
      <c r="A168" t="inlineStr">
        <is>
          <t>A 39681-2023</t>
        </is>
      </c>
      <c r="B168" s="1" t="n">
        <v>45167</v>
      </c>
      <c r="C168" s="1" t="n">
        <v>46204</v>
      </c>
      <c r="D168" t="inlineStr">
        <is>
          <t>VÄRMLANDS LÄN</t>
        </is>
      </c>
      <c r="E168" t="inlineStr">
        <is>
          <t>TORSBY</t>
        </is>
      </c>
      <c r="G168" t="n">
        <v>5.2</v>
      </c>
      <c r="H168" t="n">
        <v>0</v>
      </c>
      <c r="I168" t="n">
        <v>0</v>
      </c>
      <c r="J168" t="n">
        <v>0</v>
      </c>
      <c r="K168" t="n">
        <v>1</v>
      </c>
      <c r="L168" t="n">
        <v>0</v>
      </c>
      <c r="M168" t="n">
        <v>0</v>
      </c>
      <c r="N168" t="n">
        <v>0</v>
      </c>
      <c r="O168" t="n">
        <v>1</v>
      </c>
      <c r="P168" t="n">
        <v>1</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15345-2026</t>
        </is>
      </c>
      <c r="B169" s="1" t="n">
        <v>46105</v>
      </c>
      <c r="C169" s="1" t="n">
        <v>46204</v>
      </c>
      <c r="D169" t="inlineStr">
        <is>
          <t>VÄRMLANDS LÄN</t>
        </is>
      </c>
      <c r="E169" t="inlineStr">
        <is>
          <t>TORSBY</t>
        </is>
      </c>
      <c r="F169" t="inlineStr">
        <is>
          <t>Bergvik skog väst AB</t>
        </is>
      </c>
      <c r="G169" t="n">
        <v>37.3</v>
      </c>
      <c r="H169" t="n">
        <v>1</v>
      </c>
      <c r="I169" t="n">
        <v>0</v>
      </c>
      <c r="J169" t="n">
        <v>0</v>
      </c>
      <c r="K169" t="n">
        <v>0</v>
      </c>
      <c r="L169" t="n">
        <v>0</v>
      </c>
      <c r="M169" t="n">
        <v>0</v>
      </c>
      <c r="N169" t="n">
        <v>0</v>
      </c>
      <c r="O169" t="n">
        <v>0</v>
      </c>
      <c r="P169" t="n">
        <v>0</v>
      </c>
      <c r="Q169" t="n">
        <v>1</v>
      </c>
      <c r="R169" s="2" t="inlineStr">
        <is>
          <t>Grönsiska</t>
        </is>
      </c>
      <c r="S169">
        <f>HYPERLINK("https://klasma.github.io/Logging_1737/artfynd/A 15345-2026 artfynd.xlsx", "A 15345-2026")</f>
        <v/>
      </c>
      <c r="T169">
        <f>HYPERLINK("https://klasma.github.io/Logging_1737/kartor/A 15345-2026 karta.png", "A 15345-2026")</f>
        <v/>
      </c>
      <c r="V169">
        <f>HYPERLINK("https://klasma.github.io/Logging_1737/klagomål/A 15345-2026 FSC-klagomål.docx", "A 15345-2026")</f>
        <v/>
      </c>
      <c r="W169">
        <f>HYPERLINK("https://klasma.github.io/Logging_1737/klagomålsmail/A 15345-2026 FSC-klagomål mail.docx", "A 15345-2026")</f>
        <v/>
      </c>
      <c r="X169">
        <f>HYPERLINK("https://klasma.github.io/Logging_1737/tillsyn/A 15345-2026 tillsynsbegäran.docx", "A 15345-2026")</f>
        <v/>
      </c>
      <c r="Y169">
        <f>HYPERLINK("https://klasma.github.io/Logging_1737/tillsynsmail/A 15345-2026 tillsynsbegäran mail.docx", "A 15345-2026")</f>
        <v/>
      </c>
    </row>
    <row r="170" ht="15" customHeight="1">
      <c r="A170" t="inlineStr">
        <is>
          <t>A 16024-2026</t>
        </is>
      </c>
      <c r="B170" s="1" t="n">
        <v>46108</v>
      </c>
      <c r="C170" s="1" t="n">
        <v>46204</v>
      </c>
      <c r="D170" t="inlineStr">
        <is>
          <t>VÄRMLANDS LÄN</t>
        </is>
      </c>
      <c r="E170" t="inlineStr">
        <is>
          <t>TORSBY</t>
        </is>
      </c>
      <c r="G170" t="n">
        <v>15.1</v>
      </c>
      <c r="H170" t="n">
        <v>1</v>
      </c>
      <c r="I170" t="n">
        <v>0</v>
      </c>
      <c r="J170" t="n">
        <v>1</v>
      </c>
      <c r="K170" t="n">
        <v>0</v>
      </c>
      <c r="L170" t="n">
        <v>0</v>
      </c>
      <c r="M170" t="n">
        <v>0</v>
      </c>
      <c r="N170" t="n">
        <v>0</v>
      </c>
      <c r="O170" t="n">
        <v>1</v>
      </c>
      <c r="P170" t="n">
        <v>0</v>
      </c>
      <c r="Q170" t="n">
        <v>1</v>
      </c>
      <c r="R170" s="2" t="inlineStr">
        <is>
          <t>Mindre hackspett</t>
        </is>
      </c>
      <c r="S170">
        <f>HYPERLINK("https://klasma.github.io/Logging_1737/artfynd/A 16024-2026 artfynd.xlsx", "A 16024-2026")</f>
        <v/>
      </c>
      <c r="T170">
        <f>HYPERLINK("https://klasma.github.io/Logging_1737/kartor/A 16024-2026 karta.png", "A 16024-2026")</f>
        <v/>
      </c>
      <c r="V170">
        <f>HYPERLINK("https://klasma.github.io/Logging_1737/klagomål/A 16024-2026 FSC-klagomål.docx", "A 16024-2026")</f>
        <v/>
      </c>
      <c r="W170">
        <f>HYPERLINK("https://klasma.github.io/Logging_1737/klagomålsmail/A 16024-2026 FSC-klagomål mail.docx", "A 16024-2026")</f>
        <v/>
      </c>
      <c r="X170">
        <f>HYPERLINK("https://klasma.github.io/Logging_1737/tillsyn/A 16024-2026 tillsynsbegäran.docx", "A 16024-2026")</f>
        <v/>
      </c>
      <c r="Y170">
        <f>HYPERLINK("https://klasma.github.io/Logging_1737/tillsynsmail/A 16024-2026 tillsynsbegäran mail.docx", "A 16024-2026")</f>
        <v/>
      </c>
      <c r="Z170">
        <f>HYPERLINK("https://klasma.github.io/Logging_1737/fåglar/A 16024-2026 prioriterade fågelarter.docx", "A 16024-2026")</f>
        <v/>
      </c>
    </row>
    <row r="171" ht="15" customHeight="1">
      <c r="A171" t="inlineStr">
        <is>
          <t>A 58396-2025</t>
        </is>
      </c>
      <c r="B171" s="1" t="n">
        <v>45985</v>
      </c>
      <c r="C171" s="1" t="n">
        <v>46204</v>
      </c>
      <c r="D171" t="inlineStr">
        <is>
          <t>VÄRMLANDS LÄN</t>
        </is>
      </c>
      <c r="E171" t="inlineStr">
        <is>
          <t>TORSBY</t>
        </is>
      </c>
      <c r="F171" t="inlineStr">
        <is>
          <t>Bergvik skog väst AB</t>
        </is>
      </c>
      <c r="G171" t="n">
        <v>11.4</v>
      </c>
      <c r="H171" t="n">
        <v>1</v>
      </c>
      <c r="I171" t="n">
        <v>0</v>
      </c>
      <c r="J171" t="n">
        <v>0</v>
      </c>
      <c r="K171" t="n">
        <v>0</v>
      </c>
      <c r="L171" t="n">
        <v>0</v>
      </c>
      <c r="M171" t="n">
        <v>0</v>
      </c>
      <c r="N171" t="n">
        <v>0</v>
      </c>
      <c r="O171" t="n">
        <v>0</v>
      </c>
      <c r="P171" t="n">
        <v>0</v>
      </c>
      <c r="Q171" t="n">
        <v>1</v>
      </c>
      <c r="R171" s="2" t="inlineStr">
        <is>
          <t>Skogsödla</t>
        </is>
      </c>
      <c r="S171">
        <f>HYPERLINK("https://klasma.github.io/Logging_1737/artfynd/A 58396-2025 artfynd.xlsx", "A 58396-2025")</f>
        <v/>
      </c>
      <c r="T171">
        <f>HYPERLINK("https://klasma.github.io/Logging_1737/kartor/A 58396-2025 karta.png", "A 58396-2025")</f>
        <v/>
      </c>
      <c r="V171">
        <f>HYPERLINK("https://klasma.github.io/Logging_1737/klagomål/A 58396-2025 FSC-klagomål.docx", "A 58396-2025")</f>
        <v/>
      </c>
      <c r="W171">
        <f>HYPERLINK("https://klasma.github.io/Logging_1737/klagomålsmail/A 58396-2025 FSC-klagomål mail.docx", "A 58396-2025")</f>
        <v/>
      </c>
      <c r="X171">
        <f>HYPERLINK("https://klasma.github.io/Logging_1737/tillsyn/A 58396-2025 tillsynsbegäran.docx", "A 58396-2025")</f>
        <v/>
      </c>
      <c r="Y171">
        <f>HYPERLINK("https://klasma.github.io/Logging_1737/tillsynsmail/A 58396-2025 tillsynsbegäran mail.docx", "A 58396-2025")</f>
        <v/>
      </c>
    </row>
    <row r="172" ht="15" customHeight="1">
      <c r="A172" t="inlineStr">
        <is>
          <t>A 54532-2023</t>
        </is>
      </c>
      <c r="B172" s="1" t="n">
        <v>45233</v>
      </c>
      <c r="C172" s="1" t="n">
        <v>46204</v>
      </c>
      <c r="D172" t="inlineStr">
        <is>
          <t>VÄRMLANDS LÄN</t>
        </is>
      </c>
      <c r="E172" t="inlineStr">
        <is>
          <t>TORSBY</t>
        </is>
      </c>
      <c r="F172" t="inlineStr">
        <is>
          <t>Bergvik skog väst AB</t>
        </is>
      </c>
      <c r="G172" t="n">
        <v>1.5</v>
      </c>
      <c r="H172" t="n">
        <v>1</v>
      </c>
      <c r="I172" t="n">
        <v>0</v>
      </c>
      <c r="J172" t="n">
        <v>0</v>
      </c>
      <c r="K172" t="n">
        <v>0</v>
      </c>
      <c r="L172" t="n">
        <v>0</v>
      </c>
      <c r="M172" t="n">
        <v>0</v>
      </c>
      <c r="N172" t="n">
        <v>0</v>
      </c>
      <c r="O172" t="n">
        <v>0</v>
      </c>
      <c r="P172" t="n">
        <v>0</v>
      </c>
      <c r="Q172" t="n">
        <v>1</v>
      </c>
      <c r="R172" s="2" t="inlineStr">
        <is>
          <t>Utter</t>
        </is>
      </c>
      <c r="S172">
        <f>HYPERLINK("https://klasma.github.io/Logging_1737/artfynd/A 54532-2023 artfynd.xlsx", "A 54532-2023")</f>
        <v/>
      </c>
      <c r="T172">
        <f>HYPERLINK("https://klasma.github.io/Logging_1737/kartor/A 54532-2023 karta.png", "A 54532-2023")</f>
        <v/>
      </c>
      <c r="V172">
        <f>HYPERLINK("https://klasma.github.io/Logging_1737/klagomål/A 54532-2023 FSC-klagomål.docx", "A 54532-2023")</f>
        <v/>
      </c>
      <c r="W172">
        <f>HYPERLINK("https://klasma.github.io/Logging_1737/klagomålsmail/A 54532-2023 FSC-klagomål mail.docx", "A 54532-2023")</f>
        <v/>
      </c>
      <c r="X172">
        <f>HYPERLINK("https://klasma.github.io/Logging_1737/tillsyn/A 54532-2023 tillsynsbegäran.docx", "A 54532-2023")</f>
        <v/>
      </c>
      <c r="Y172">
        <f>HYPERLINK("https://klasma.github.io/Logging_1737/tillsynsmail/A 54532-2023 tillsynsbegäran mail.docx", "A 54532-2023")</f>
        <v/>
      </c>
    </row>
    <row r="173" ht="15" customHeight="1">
      <c r="A173" t="inlineStr">
        <is>
          <t>A 4219-2024</t>
        </is>
      </c>
      <c r="B173" s="1" t="n">
        <v>45324</v>
      </c>
      <c r="C173" s="1" t="n">
        <v>46204</v>
      </c>
      <c r="D173" t="inlineStr">
        <is>
          <t>VÄRMLANDS LÄN</t>
        </is>
      </c>
      <c r="E173" t="inlineStr">
        <is>
          <t>TORSBY</t>
        </is>
      </c>
      <c r="G173" t="n">
        <v>0.8</v>
      </c>
      <c r="H173" t="n">
        <v>0</v>
      </c>
      <c r="I173" t="n">
        <v>1</v>
      </c>
      <c r="J173" t="n">
        <v>0</v>
      </c>
      <c r="K173" t="n">
        <v>0</v>
      </c>
      <c r="L173" t="n">
        <v>0</v>
      </c>
      <c r="M173" t="n">
        <v>0</v>
      </c>
      <c r="N173" t="n">
        <v>0</v>
      </c>
      <c r="O173" t="n">
        <v>0</v>
      </c>
      <c r="P173" t="n">
        <v>0</v>
      </c>
      <c r="Q173" t="n">
        <v>1</v>
      </c>
      <c r="R173" s="2" t="inlineStr">
        <is>
          <t>Kransrams</t>
        </is>
      </c>
      <c r="S173">
        <f>HYPERLINK("https://klasma.github.io/Logging_1737/artfynd/A 4219-2024 artfynd.xlsx", "A 4219-2024")</f>
        <v/>
      </c>
      <c r="T173">
        <f>HYPERLINK("https://klasma.github.io/Logging_1737/kartor/A 4219-2024 karta.png", "A 4219-2024")</f>
        <v/>
      </c>
      <c r="V173">
        <f>HYPERLINK("https://klasma.github.io/Logging_1737/klagomål/A 4219-2024 FSC-klagomål.docx", "A 4219-2024")</f>
        <v/>
      </c>
      <c r="W173">
        <f>HYPERLINK("https://klasma.github.io/Logging_1737/klagomålsmail/A 4219-2024 FSC-klagomål mail.docx", "A 4219-2024")</f>
        <v/>
      </c>
      <c r="X173">
        <f>HYPERLINK("https://klasma.github.io/Logging_1737/tillsyn/A 4219-2024 tillsynsbegäran.docx", "A 4219-2024")</f>
        <v/>
      </c>
      <c r="Y173">
        <f>HYPERLINK("https://klasma.github.io/Logging_1737/tillsynsmail/A 4219-2024 tillsynsbegäran mail.docx", "A 4219-2024")</f>
        <v/>
      </c>
    </row>
    <row r="174" ht="15" customHeight="1">
      <c r="A174" t="inlineStr">
        <is>
          <t>A 23366-2026</t>
        </is>
      </c>
      <c r="B174" s="1" t="n">
        <v>46162</v>
      </c>
      <c r="C174" s="1" t="n">
        <v>46204</v>
      </c>
      <c r="D174" t="inlineStr">
        <is>
          <t>VÄRMLANDS LÄN</t>
        </is>
      </c>
      <c r="E174" t="inlineStr">
        <is>
          <t>TORSBY</t>
        </is>
      </c>
      <c r="F174" t="inlineStr">
        <is>
          <t>Övriga statliga verk och myndigheter</t>
        </is>
      </c>
      <c r="G174" t="n">
        <v>2.9</v>
      </c>
      <c r="H174" t="n">
        <v>0</v>
      </c>
      <c r="I174" t="n">
        <v>0</v>
      </c>
      <c r="J174" t="n">
        <v>0</v>
      </c>
      <c r="K174" t="n">
        <v>1</v>
      </c>
      <c r="L174" t="n">
        <v>0</v>
      </c>
      <c r="M174" t="n">
        <v>0</v>
      </c>
      <c r="N174" t="n">
        <v>0</v>
      </c>
      <c r="O174" t="n">
        <v>1</v>
      </c>
      <c r="P174" t="n">
        <v>1</v>
      </c>
      <c r="Q174" t="n">
        <v>1</v>
      </c>
      <c r="R174" s="2" t="inlineStr">
        <is>
          <t>Garnlav</t>
        </is>
      </c>
      <c r="S174">
        <f>HYPERLINK("https://klasma.github.io/Logging_1737/artfynd/A 23366-2026 artfynd.xlsx", "A 23366-2026")</f>
        <v/>
      </c>
      <c r="T174">
        <f>HYPERLINK("https://klasma.github.io/Logging_1737/kartor/A 23366-2026 karta.png", "A 23366-2026")</f>
        <v/>
      </c>
      <c r="V174">
        <f>HYPERLINK("https://klasma.github.io/Logging_1737/klagomål/A 23366-2026 FSC-klagomål.docx", "A 23366-2026")</f>
        <v/>
      </c>
      <c r="W174">
        <f>HYPERLINK("https://klasma.github.io/Logging_1737/klagomålsmail/A 23366-2026 FSC-klagomål mail.docx", "A 23366-2026")</f>
        <v/>
      </c>
      <c r="X174">
        <f>HYPERLINK("https://klasma.github.io/Logging_1737/tillsyn/A 23366-2026 tillsynsbegäran.docx", "A 23366-2026")</f>
        <v/>
      </c>
      <c r="Y174">
        <f>HYPERLINK("https://klasma.github.io/Logging_1737/tillsynsmail/A 23366-2026 tillsynsbegäran mail.docx", "A 23366-2026")</f>
        <v/>
      </c>
    </row>
    <row r="175" ht="15" customHeight="1">
      <c r="A175" t="inlineStr">
        <is>
          <t>A 62005-2025</t>
        </is>
      </c>
      <c r="B175" s="1" t="n">
        <v>46003</v>
      </c>
      <c r="C175" s="1" t="n">
        <v>46204</v>
      </c>
      <c r="D175" t="inlineStr">
        <is>
          <t>VÄRMLANDS LÄN</t>
        </is>
      </c>
      <c r="E175" t="inlineStr">
        <is>
          <t>TORSBY</t>
        </is>
      </c>
      <c r="F175" t="inlineStr">
        <is>
          <t>Kommuner</t>
        </is>
      </c>
      <c r="G175" t="n">
        <v>0.8</v>
      </c>
      <c r="H175" t="n">
        <v>0</v>
      </c>
      <c r="I175" t="n">
        <v>0</v>
      </c>
      <c r="J175" t="n">
        <v>0</v>
      </c>
      <c r="K175" t="n">
        <v>1</v>
      </c>
      <c r="L175" t="n">
        <v>0</v>
      </c>
      <c r="M175" t="n">
        <v>0</v>
      </c>
      <c r="N175" t="n">
        <v>0</v>
      </c>
      <c r="O175" t="n">
        <v>1</v>
      </c>
      <c r="P175" t="n">
        <v>1</v>
      </c>
      <c r="Q175" t="n">
        <v>1</v>
      </c>
      <c r="R175" s="2" t="inlineStr">
        <is>
          <t>Garnlav</t>
        </is>
      </c>
      <c r="S175">
        <f>HYPERLINK("https://klasma.github.io/Logging_1737/artfynd/A 62005-2025 artfynd.xlsx", "A 62005-2025")</f>
        <v/>
      </c>
      <c r="T175">
        <f>HYPERLINK("https://klasma.github.io/Logging_1737/kartor/A 62005-2025 karta.png", "A 62005-2025")</f>
        <v/>
      </c>
      <c r="V175">
        <f>HYPERLINK("https://klasma.github.io/Logging_1737/klagomål/A 62005-2025 FSC-klagomål.docx", "A 62005-2025")</f>
        <v/>
      </c>
      <c r="W175">
        <f>HYPERLINK("https://klasma.github.io/Logging_1737/klagomålsmail/A 62005-2025 FSC-klagomål mail.docx", "A 62005-2025")</f>
        <v/>
      </c>
      <c r="X175">
        <f>HYPERLINK("https://klasma.github.io/Logging_1737/tillsyn/A 62005-2025 tillsynsbegäran.docx", "A 62005-2025")</f>
        <v/>
      </c>
      <c r="Y175">
        <f>HYPERLINK("https://klasma.github.io/Logging_1737/tillsynsmail/A 62005-2025 tillsynsbegäran mail.docx", "A 62005-2025")</f>
        <v/>
      </c>
    </row>
    <row r="176" ht="15" customHeight="1">
      <c r="A176" t="inlineStr">
        <is>
          <t>A 62559-2025</t>
        </is>
      </c>
      <c r="B176" s="1" t="n">
        <v>46007</v>
      </c>
      <c r="C176" s="1" t="n">
        <v>46204</v>
      </c>
      <c r="D176" t="inlineStr">
        <is>
          <t>VÄRMLANDS LÄN</t>
        </is>
      </c>
      <c r="E176" t="inlineStr">
        <is>
          <t>TORSBY</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HYPERLINK("https://klasma.github.io/Logging_1737/artfynd/A 62559-2025 artfynd.xlsx", "A 62559-2025")</f>
        <v/>
      </c>
      <c r="T176">
        <f>HYPERLINK("https://klasma.github.io/Logging_1737/kartor/A 62559-2025 karta.png", "A 62559-2025")</f>
        <v/>
      </c>
      <c r="V176">
        <f>HYPERLINK("https://klasma.github.io/Logging_1737/klagomål/A 62559-2025 FSC-klagomål.docx", "A 62559-2025")</f>
        <v/>
      </c>
      <c r="W176">
        <f>HYPERLINK("https://klasma.github.io/Logging_1737/klagomålsmail/A 62559-2025 FSC-klagomål mail.docx", "A 62559-2025")</f>
        <v/>
      </c>
      <c r="X176">
        <f>HYPERLINK("https://klasma.github.io/Logging_1737/tillsyn/A 62559-2025 tillsynsbegäran.docx", "A 62559-2025")</f>
        <v/>
      </c>
      <c r="Y176">
        <f>HYPERLINK("https://klasma.github.io/Logging_1737/tillsynsmail/A 62559-2025 tillsynsbegäran mail.docx", "A 62559-2025")</f>
        <v/>
      </c>
    </row>
    <row r="177" ht="15" customHeight="1">
      <c r="A177" t="inlineStr">
        <is>
          <t>A 43943-2022</t>
        </is>
      </c>
      <c r="B177" s="1" t="n">
        <v>44838</v>
      </c>
      <c r="C177" s="1" t="n">
        <v>46204</v>
      </c>
      <c r="D177" t="inlineStr">
        <is>
          <t>VÄRMLANDS LÄN</t>
        </is>
      </c>
      <c r="E177" t="inlineStr">
        <is>
          <t>TORSBY</t>
        </is>
      </c>
      <c r="G177" t="n">
        <v>3.6</v>
      </c>
      <c r="H177" t="n">
        <v>1</v>
      </c>
      <c r="I177" t="n">
        <v>0</v>
      </c>
      <c r="J177" t="n">
        <v>0</v>
      </c>
      <c r="K177" t="n">
        <v>0</v>
      </c>
      <c r="L177" t="n">
        <v>0</v>
      </c>
      <c r="M177" t="n">
        <v>0</v>
      </c>
      <c r="N177" t="n">
        <v>0</v>
      </c>
      <c r="O177" t="n">
        <v>0</v>
      </c>
      <c r="P177" t="n">
        <v>0</v>
      </c>
      <c r="Q177" t="n">
        <v>1</v>
      </c>
      <c r="R177" s="2" t="inlineStr">
        <is>
          <t>Utter</t>
        </is>
      </c>
      <c r="S177">
        <f>HYPERLINK("https://klasma.github.io/Logging_1737/artfynd/A 43943-2022 artfynd.xlsx", "A 43943-2022")</f>
        <v/>
      </c>
      <c r="T177">
        <f>HYPERLINK("https://klasma.github.io/Logging_1737/kartor/A 43943-2022 karta.png", "A 43943-2022")</f>
        <v/>
      </c>
      <c r="V177">
        <f>HYPERLINK("https://klasma.github.io/Logging_1737/klagomål/A 43943-2022 FSC-klagomål.docx", "A 43943-2022")</f>
        <v/>
      </c>
      <c r="W177">
        <f>HYPERLINK("https://klasma.github.io/Logging_1737/klagomålsmail/A 43943-2022 FSC-klagomål mail.docx", "A 43943-2022")</f>
        <v/>
      </c>
      <c r="X177">
        <f>HYPERLINK("https://klasma.github.io/Logging_1737/tillsyn/A 43943-2022 tillsynsbegäran.docx", "A 43943-2022")</f>
        <v/>
      </c>
      <c r="Y177">
        <f>HYPERLINK("https://klasma.github.io/Logging_1737/tillsynsmail/A 43943-2022 tillsynsbegäran mail.docx", "A 43943-2022")</f>
        <v/>
      </c>
    </row>
    <row r="178" ht="15" customHeight="1">
      <c r="A178" t="inlineStr">
        <is>
          <t>A 15170-2025</t>
        </is>
      </c>
      <c r="B178" s="1" t="n">
        <v>45743</v>
      </c>
      <c r="C178" s="1" t="n">
        <v>46204</v>
      </c>
      <c r="D178" t="inlineStr">
        <is>
          <t>VÄRMLANDS LÄN</t>
        </is>
      </c>
      <c r="E178" t="inlineStr">
        <is>
          <t>TORSBY</t>
        </is>
      </c>
      <c r="G178" t="n">
        <v>12.5</v>
      </c>
      <c r="H178" t="n">
        <v>1</v>
      </c>
      <c r="I178" t="n">
        <v>0</v>
      </c>
      <c r="J178" t="n">
        <v>1</v>
      </c>
      <c r="K178" t="n">
        <v>0</v>
      </c>
      <c r="L178" t="n">
        <v>0</v>
      </c>
      <c r="M178" t="n">
        <v>0</v>
      </c>
      <c r="N178" t="n">
        <v>0</v>
      </c>
      <c r="O178" t="n">
        <v>1</v>
      </c>
      <c r="P178" t="n">
        <v>0</v>
      </c>
      <c r="Q178" t="n">
        <v>1</v>
      </c>
      <c r="R178" s="2" t="inlineStr">
        <is>
          <t>Sparvuggla</t>
        </is>
      </c>
      <c r="S178">
        <f>HYPERLINK("https://klasma.github.io/Logging_1737/artfynd/A 15170-2025 artfynd.xlsx", "A 15170-2025")</f>
        <v/>
      </c>
      <c r="T178">
        <f>HYPERLINK("https://klasma.github.io/Logging_1737/kartor/A 15170-2025 karta.png", "A 15170-2025")</f>
        <v/>
      </c>
      <c r="V178">
        <f>HYPERLINK("https://klasma.github.io/Logging_1737/klagomål/A 15170-2025 FSC-klagomål.docx", "A 15170-2025")</f>
        <v/>
      </c>
      <c r="W178">
        <f>HYPERLINK("https://klasma.github.io/Logging_1737/klagomålsmail/A 15170-2025 FSC-klagomål mail.docx", "A 15170-2025")</f>
        <v/>
      </c>
      <c r="X178">
        <f>HYPERLINK("https://klasma.github.io/Logging_1737/tillsyn/A 15170-2025 tillsynsbegäran.docx", "A 15170-2025")</f>
        <v/>
      </c>
      <c r="Y178">
        <f>HYPERLINK("https://klasma.github.io/Logging_1737/tillsynsmail/A 15170-2025 tillsynsbegäran mail.docx", "A 15170-2025")</f>
        <v/>
      </c>
      <c r="Z178">
        <f>HYPERLINK("https://klasma.github.io/Logging_1737/fåglar/A 15170-2025 prioriterade fågelarter.docx", "A 15170-2025")</f>
        <v/>
      </c>
    </row>
    <row r="179" ht="15" customHeight="1">
      <c r="A179" t="inlineStr">
        <is>
          <t>A 63390-2025</t>
        </is>
      </c>
      <c r="B179" s="1" t="n">
        <v>46011</v>
      </c>
      <c r="C179" s="1" t="n">
        <v>46204</v>
      </c>
      <c r="D179" t="inlineStr">
        <is>
          <t>VÄRMLANDS LÄN</t>
        </is>
      </c>
      <c r="E179" t="inlineStr">
        <is>
          <t>TORSBY</t>
        </is>
      </c>
      <c r="G179" t="n">
        <v>0.8</v>
      </c>
      <c r="H179" t="n">
        <v>1</v>
      </c>
      <c r="I179" t="n">
        <v>0</v>
      </c>
      <c r="J179" t="n">
        <v>0</v>
      </c>
      <c r="K179" t="n">
        <v>0</v>
      </c>
      <c r="L179" t="n">
        <v>0</v>
      </c>
      <c r="M179" t="n">
        <v>0</v>
      </c>
      <c r="N179" t="n">
        <v>0</v>
      </c>
      <c r="O179" t="n">
        <v>0</v>
      </c>
      <c r="P179" t="n">
        <v>0</v>
      </c>
      <c r="Q179" t="n">
        <v>1</v>
      </c>
      <c r="R179" s="2" t="inlineStr">
        <is>
          <t>Fläcknycklar</t>
        </is>
      </c>
      <c r="S179">
        <f>HYPERLINK("https://klasma.github.io/Logging_1737/artfynd/A 63390-2025 artfynd.xlsx", "A 63390-2025")</f>
        <v/>
      </c>
      <c r="T179">
        <f>HYPERLINK("https://klasma.github.io/Logging_1737/kartor/A 63390-2025 karta.png", "A 63390-2025")</f>
        <v/>
      </c>
      <c r="V179">
        <f>HYPERLINK("https://klasma.github.io/Logging_1737/klagomål/A 63390-2025 FSC-klagomål.docx", "A 63390-2025")</f>
        <v/>
      </c>
      <c r="W179">
        <f>HYPERLINK("https://klasma.github.io/Logging_1737/klagomålsmail/A 63390-2025 FSC-klagomål mail.docx", "A 63390-2025")</f>
        <v/>
      </c>
      <c r="X179">
        <f>HYPERLINK("https://klasma.github.io/Logging_1737/tillsyn/A 63390-2025 tillsynsbegäran.docx", "A 63390-2025")</f>
        <v/>
      </c>
      <c r="Y179">
        <f>HYPERLINK("https://klasma.github.io/Logging_1737/tillsynsmail/A 63390-2025 tillsynsbegäran mail.docx", "A 63390-2025")</f>
        <v/>
      </c>
    </row>
    <row r="180" ht="15" customHeight="1">
      <c r="A180" t="inlineStr">
        <is>
          <t>A 29921-2022</t>
        </is>
      </c>
      <c r="B180" s="1" t="n">
        <v>44756</v>
      </c>
      <c r="C180" s="1" t="n">
        <v>46204</v>
      </c>
      <c r="D180" t="inlineStr">
        <is>
          <t>VÄRMLANDS LÄN</t>
        </is>
      </c>
      <c r="E180" t="inlineStr">
        <is>
          <t>TORSBY</t>
        </is>
      </c>
      <c r="F180" t="inlineStr">
        <is>
          <t>Kommuner</t>
        </is>
      </c>
      <c r="G180" t="n">
        <v>5.4</v>
      </c>
      <c r="H180" t="n">
        <v>0</v>
      </c>
      <c r="I180" t="n">
        <v>0</v>
      </c>
      <c r="J180" t="n">
        <v>1</v>
      </c>
      <c r="K180" t="n">
        <v>0</v>
      </c>
      <c r="L180" t="n">
        <v>0</v>
      </c>
      <c r="M180" t="n">
        <v>0</v>
      </c>
      <c r="N180" t="n">
        <v>0</v>
      </c>
      <c r="O180" t="n">
        <v>1</v>
      </c>
      <c r="P180" t="n">
        <v>0</v>
      </c>
      <c r="Q180" t="n">
        <v>1</v>
      </c>
      <c r="R180" s="2" t="inlineStr">
        <is>
          <t>Skogsklocka</t>
        </is>
      </c>
      <c r="S180">
        <f>HYPERLINK("https://klasma.github.io/Logging_1737/artfynd/A 29921-2022 artfynd.xlsx", "A 29921-2022")</f>
        <v/>
      </c>
      <c r="T180">
        <f>HYPERLINK("https://klasma.github.io/Logging_1737/kartor/A 29921-2022 karta.png", "A 29921-2022")</f>
        <v/>
      </c>
      <c r="V180">
        <f>HYPERLINK("https://klasma.github.io/Logging_1737/klagomål/A 29921-2022 FSC-klagomål.docx", "A 29921-2022")</f>
        <v/>
      </c>
      <c r="W180">
        <f>HYPERLINK("https://klasma.github.io/Logging_1737/klagomålsmail/A 29921-2022 FSC-klagomål mail.docx", "A 29921-2022")</f>
        <v/>
      </c>
      <c r="X180">
        <f>HYPERLINK("https://klasma.github.io/Logging_1737/tillsyn/A 29921-2022 tillsynsbegäran.docx", "A 29921-2022")</f>
        <v/>
      </c>
      <c r="Y180">
        <f>HYPERLINK("https://klasma.github.io/Logging_1737/tillsynsmail/A 29921-2022 tillsynsbegäran mail.docx", "A 29921-2022")</f>
        <v/>
      </c>
    </row>
    <row r="181" ht="15" customHeight="1">
      <c r="A181" t="inlineStr">
        <is>
          <t>A 1534-2026</t>
        </is>
      </c>
      <c r="B181" s="1" t="n">
        <v>46034</v>
      </c>
      <c r="C181" s="1" t="n">
        <v>46204</v>
      </c>
      <c r="D181" t="inlineStr">
        <is>
          <t>VÄRMLANDS LÄN</t>
        </is>
      </c>
      <c r="E181" t="inlineStr">
        <is>
          <t>TORSBY</t>
        </is>
      </c>
      <c r="G181" t="n">
        <v>2.1</v>
      </c>
      <c r="H181" t="n">
        <v>0</v>
      </c>
      <c r="I181" t="n">
        <v>0</v>
      </c>
      <c r="J181" t="n">
        <v>0</v>
      </c>
      <c r="K181" t="n">
        <v>1</v>
      </c>
      <c r="L181" t="n">
        <v>0</v>
      </c>
      <c r="M181" t="n">
        <v>0</v>
      </c>
      <c r="N181" t="n">
        <v>0</v>
      </c>
      <c r="O181" t="n">
        <v>1</v>
      </c>
      <c r="P181" t="n">
        <v>1</v>
      </c>
      <c r="Q181" t="n">
        <v>1</v>
      </c>
      <c r="R181" s="2" t="inlineStr">
        <is>
          <t>Garnlav</t>
        </is>
      </c>
      <c r="S181">
        <f>HYPERLINK("https://klasma.github.io/Logging_1737/artfynd/A 1534-2026 artfynd.xlsx", "A 1534-2026")</f>
        <v/>
      </c>
      <c r="T181">
        <f>HYPERLINK("https://klasma.github.io/Logging_1737/kartor/A 1534-2026 karta.png", "A 1534-2026")</f>
        <v/>
      </c>
      <c r="V181">
        <f>HYPERLINK("https://klasma.github.io/Logging_1737/klagomål/A 1534-2026 FSC-klagomål.docx", "A 1534-2026")</f>
        <v/>
      </c>
      <c r="W181">
        <f>HYPERLINK("https://klasma.github.io/Logging_1737/klagomålsmail/A 1534-2026 FSC-klagomål mail.docx", "A 1534-2026")</f>
        <v/>
      </c>
      <c r="X181">
        <f>HYPERLINK("https://klasma.github.io/Logging_1737/tillsyn/A 1534-2026 tillsynsbegäran.docx", "A 1534-2026")</f>
        <v/>
      </c>
      <c r="Y181">
        <f>HYPERLINK("https://klasma.github.io/Logging_1737/tillsynsmail/A 1534-2026 tillsynsbegäran mail.docx", "A 1534-2026")</f>
        <v/>
      </c>
    </row>
    <row r="182" ht="15" customHeight="1">
      <c r="A182" t="inlineStr">
        <is>
          <t>A 16572-2022</t>
        </is>
      </c>
      <c r="B182" s="1" t="n">
        <v>44672</v>
      </c>
      <c r="C182" s="1" t="n">
        <v>46204</v>
      </c>
      <c r="D182" t="inlineStr">
        <is>
          <t>VÄRMLANDS LÄN</t>
        </is>
      </c>
      <c r="E182" t="inlineStr">
        <is>
          <t>TORSBY</t>
        </is>
      </c>
      <c r="G182" t="n">
        <v>2.6</v>
      </c>
      <c r="H182" t="n">
        <v>0</v>
      </c>
      <c r="I182" t="n">
        <v>0</v>
      </c>
      <c r="J182" t="n">
        <v>1</v>
      </c>
      <c r="K182" t="n">
        <v>0</v>
      </c>
      <c r="L182" t="n">
        <v>0</v>
      </c>
      <c r="M182" t="n">
        <v>0</v>
      </c>
      <c r="N182" t="n">
        <v>0</v>
      </c>
      <c r="O182" t="n">
        <v>1</v>
      </c>
      <c r="P182" t="n">
        <v>0</v>
      </c>
      <c r="Q182" t="n">
        <v>1</v>
      </c>
      <c r="R182" s="2" t="inlineStr">
        <is>
          <t>Skogsklocka</t>
        </is>
      </c>
      <c r="S182">
        <f>HYPERLINK("https://klasma.github.io/Logging_1737/artfynd/A 16572-2022 artfynd.xlsx", "A 16572-2022")</f>
        <v/>
      </c>
      <c r="T182">
        <f>HYPERLINK("https://klasma.github.io/Logging_1737/kartor/A 16572-2022 karta.png", "A 16572-2022")</f>
        <v/>
      </c>
      <c r="V182">
        <f>HYPERLINK("https://klasma.github.io/Logging_1737/klagomål/A 16572-2022 FSC-klagomål.docx", "A 16572-2022")</f>
        <v/>
      </c>
      <c r="W182">
        <f>HYPERLINK("https://klasma.github.io/Logging_1737/klagomålsmail/A 16572-2022 FSC-klagomål mail.docx", "A 16572-2022")</f>
        <v/>
      </c>
      <c r="X182">
        <f>HYPERLINK("https://klasma.github.io/Logging_1737/tillsyn/A 16572-2022 tillsynsbegäran.docx", "A 16572-2022")</f>
        <v/>
      </c>
      <c r="Y182">
        <f>HYPERLINK("https://klasma.github.io/Logging_1737/tillsynsmail/A 16572-2022 tillsynsbegäran mail.docx", "A 16572-2022")</f>
        <v/>
      </c>
    </row>
    <row r="183" ht="15" customHeight="1">
      <c r="A183" t="inlineStr">
        <is>
          <t>A 56133-2024</t>
        </is>
      </c>
      <c r="B183" s="1" t="n">
        <v>45624</v>
      </c>
      <c r="C183" s="1" t="n">
        <v>46204</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41477-2024</t>
        </is>
      </c>
      <c r="B184" s="1" t="n">
        <v>45560</v>
      </c>
      <c r="C184" s="1" t="n">
        <v>46204</v>
      </c>
      <c r="D184" t="inlineStr">
        <is>
          <t>VÄRMLANDS LÄN</t>
        </is>
      </c>
      <c r="E184" t="inlineStr">
        <is>
          <t>TORSBY</t>
        </is>
      </c>
      <c r="G184" t="n">
        <v>6.7</v>
      </c>
      <c r="H184" t="n">
        <v>0</v>
      </c>
      <c r="I184" t="n">
        <v>0</v>
      </c>
      <c r="J184" t="n">
        <v>0</v>
      </c>
      <c r="K184" t="n">
        <v>1</v>
      </c>
      <c r="L184" t="n">
        <v>0</v>
      </c>
      <c r="M184" t="n">
        <v>0</v>
      </c>
      <c r="N184" t="n">
        <v>0</v>
      </c>
      <c r="O184" t="n">
        <v>1</v>
      </c>
      <c r="P184" t="n">
        <v>1</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37292-2024</t>
        </is>
      </c>
      <c r="B185" s="1" t="n">
        <v>45540</v>
      </c>
      <c r="C185" s="1" t="n">
        <v>46204</v>
      </c>
      <c r="D185" t="inlineStr">
        <is>
          <t>VÄRMLANDS LÄN</t>
        </is>
      </c>
      <c r="E185" t="inlineStr">
        <is>
          <t>TORSBY</t>
        </is>
      </c>
      <c r="G185" t="n">
        <v>5.4</v>
      </c>
      <c r="H185" t="n">
        <v>0</v>
      </c>
      <c r="I185" t="n">
        <v>0</v>
      </c>
      <c r="J185" t="n">
        <v>0</v>
      </c>
      <c r="K185" t="n">
        <v>1</v>
      </c>
      <c r="L185" t="n">
        <v>0</v>
      </c>
      <c r="M185" t="n">
        <v>0</v>
      </c>
      <c r="N185" t="n">
        <v>0</v>
      </c>
      <c r="O185" t="n">
        <v>1</v>
      </c>
      <c r="P185" t="n">
        <v>1</v>
      </c>
      <c r="Q185" t="n">
        <v>1</v>
      </c>
      <c r="R185" s="2" t="inlineStr">
        <is>
          <t>Garnlav</t>
        </is>
      </c>
      <c r="S185">
        <f>HYPERLINK("https://klasma.github.io/Logging_1737/artfynd/A 37292-2024 artfynd.xlsx", "A 37292-2024")</f>
        <v/>
      </c>
      <c r="T185">
        <f>HYPERLINK("https://klasma.github.io/Logging_1737/kartor/A 37292-2024 karta.png", "A 37292-2024")</f>
        <v/>
      </c>
      <c r="V185">
        <f>HYPERLINK("https://klasma.github.io/Logging_1737/klagomål/A 37292-2024 FSC-klagomål.docx", "A 37292-2024")</f>
        <v/>
      </c>
      <c r="W185">
        <f>HYPERLINK("https://klasma.github.io/Logging_1737/klagomålsmail/A 37292-2024 FSC-klagomål mail.docx", "A 37292-2024")</f>
        <v/>
      </c>
      <c r="X185">
        <f>HYPERLINK("https://klasma.github.io/Logging_1737/tillsyn/A 37292-2024 tillsynsbegäran.docx", "A 37292-2024")</f>
        <v/>
      </c>
      <c r="Y185">
        <f>HYPERLINK("https://klasma.github.io/Logging_1737/tillsynsmail/A 37292-2024 tillsynsbegäran mail.docx", "A 37292-2024")</f>
        <v/>
      </c>
    </row>
    <row r="186" ht="15" customHeight="1">
      <c r="A186" t="inlineStr">
        <is>
          <t>A 12458-2023</t>
        </is>
      </c>
      <c r="B186" s="1" t="n">
        <v>44999</v>
      </c>
      <c r="C186" s="1" t="n">
        <v>46204</v>
      </c>
      <c r="D186" t="inlineStr">
        <is>
          <t>VÄRMLANDS LÄN</t>
        </is>
      </c>
      <c r="E186" t="inlineStr">
        <is>
          <t>TORSBY</t>
        </is>
      </c>
      <c r="G186" t="n">
        <v>2.7</v>
      </c>
      <c r="H186" t="n">
        <v>1</v>
      </c>
      <c r="I186" t="n">
        <v>0</v>
      </c>
      <c r="J186" t="n">
        <v>0</v>
      </c>
      <c r="K186" t="n">
        <v>0</v>
      </c>
      <c r="L186" t="n">
        <v>1</v>
      </c>
      <c r="M186" t="n">
        <v>0</v>
      </c>
      <c r="N186" t="n">
        <v>0</v>
      </c>
      <c r="O186" t="n">
        <v>1</v>
      </c>
      <c r="P186" t="n">
        <v>1</v>
      </c>
      <c r="Q186" t="n">
        <v>1</v>
      </c>
      <c r="R186" s="2" t="inlineStr">
        <is>
          <t>Bombmurkla</t>
        </is>
      </c>
      <c r="S186">
        <f>HYPERLINK("https://klasma.github.io/Logging_1737/artfynd/A 12458-2023 artfynd.xlsx", "A 12458-2023")</f>
        <v/>
      </c>
      <c r="T186">
        <f>HYPERLINK("https://klasma.github.io/Logging_1737/kartor/A 12458-2023 karta.png", "A 12458-2023")</f>
        <v/>
      </c>
      <c r="V186">
        <f>HYPERLINK("https://klasma.github.io/Logging_1737/klagomål/A 12458-2023 FSC-klagomål.docx", "A 12458-2023")</f>
        <v/>
      </c>
      <c r="W186">
        <f>HYPERLINK("https://klasma.github.io/Logging_1737/klagomålsmail/A 12458-2023 FSC-klagomål mail.docx", "A 12458-2023")</f>
        <v/>
      </c>
      <c r="X186">
        <f>HYPERLINK("https://klasma.github.io/Logging_1737/tillsyn/A 12458-2023 tillsynsbegäran.docx", "A 12458-2023")</f>
        <v/>
      </c>
      <c r="Y186">
        <f>HYPERLINK("https://klasma.github.io/Logging_1737/tillsynsmail/A 12458-2023 tillsynsbegäran mail.docx", "A 12458-2023")</f>
        <v/>
      </c>
    </row>
    <row r="187" ht="15" customHeight="1">
      <c r="A187" t="inlineStr">
        <is>
          <t>A 4707-2023</t>
        </is>
      </c>
      <c r="B187" s="1" t="n">
        <v>44957</v>
      </c>
      <c r="C187" s="1" t="n">
        <v>46204</v>
      </c>
      <c r="D187" t="inlineStr">
        <is>
          <t>VÄRMLANDS LÄN</t>
        </is>
      </c>
      <c r="E187" t="inlineStr">
        <is>
          <t>TORSBY</t>
        </is>
      </c>
      <c r="G187" t="n">
        <v>7</v>
      </c>
      <c r="H187" t="n">
        <v>0</v>
      </c>
      <c r="I187" t="n">
        <v>0</v>
      </c>
      <c r="J187" t="n">
        <v>1</v>
      </c>
      <c r="K187" t="n">
        <v>0</v>
      </c>
      <c r="L187" t="n">
        <v>0</v>
      </c>
      <c r="M187" t="n">
        <v>0</v>
      </c>
      <c r="N187" t="n">
        <v>0</v>
      </c>
      <c r="O187" t="n">
        <v>1</v>
      </c>
      <c r="P187" t="n">
        <v>0</v>
      </c>
      <c r="Q187" t="n">
        <v>1</v>
      </c>
      <c r="R187" s="2" t="inlineStr">
        <is>
          <t>Dropptaggsvamp</t>
        </is>
      </c>
      <c r="S187">
        <f>HYPERLINK("https://klasma.github.io/Logging_1737/artfynd/A 4707-2023 artfynd.xlsx", "A 4707-2023")</f>
        <v/>
      </c>
      <c r="T187">
        <f>HYPERLINK("https://klasma.github.io/Logging_1737/kartor/A 4707-2023 karta.png", "A 4707-2023")</f>
        <v/>
      </c>
      <c r="V187">
        <f>HYPERLINK("https://klasma.github.io/Logging_1737/klagomål/A 4707-2023 FSC-klagomål.docx", "A 4707-2023")</f>
        <v/>
      </c>
      <c r="W187">
        <f>HYPERLINK("https://klasma.github.io/Logging_1737/klagomålsmail/A 4707-2023 FSC-klagomål mail.docx", "A 4707-2023")</f>
        <v/>
      </c>
      <c r="X187">
        <f>HYPERLINK("https://klasma.github.io/Logging_1737/tillsyn/A 4707-2023 tillsynsbegäran.docx", "A 4707-2023")</f>
        <v/>
      </c>
      <c r="Y187">
        <f>HYPERLINK("https://klasma.github.io/Logging_1737/tillsynsmail/A 4707-2023 tillsynsbegäran mail.docx", "A 4707-2023")</f>
        <v/>
      </c>
    </row>
    <row r="188" ht="15" customHeight="1">
      <c r="A188" t="inlineStr">
        <is>
          <t>A 24380-2026</t>
        </is>
      </c>
      <c r="B188" s="1" t="n">
        <v>46169</v>
      </c>
      <c r="C188" s="1" t="n">
        <v>46204</v>
      </c>
      <c r="D188" t="inlineStr">
        <is>
          <t>VÄRMLANDS LÄN</t>
        </is>
      </c>
      <c r="E188" t="inlineStr">
        <is>
          <t>TORSBY</t>
        </is>
      </c>
      <c r="G188" t="n">
        <v>1.4</v>
      </c>
      <c r="H188" t="n">
        <v>0</v>
      </c>
      <c r="I188" t="n">
        <v>0</v>
      </c>
      <c r="J188" t="n">
        <v>0</v>
      </c>
      <c r="K188" t="n">
        <v>1</v>
      </c>
      <c r="L188" t="n">
        <v>0</v>
      </c>
      <c r="M188" t="n">
        <v>0</v>
      </c>
      <c r="N188" t="n">
        <v>0</v>
      </c>
      <c r="O188" t="n">
        <v>1</v>
      </c>
      <c r="P188" t="n">
        <v>1</v>
      </c>
      <c r="Q188" t="n">
        <v>1</v>
      </c>
      <c r="R188" s="2" t="inlineStr">
        <is>
          <t>Garnlav</t>
        </is>
      </c>
      <c r="S188">
        <f>HYPERLINK("https://klasma.github.io/Logging_1737/artfynd/A 24380-2026 artfynd.xlsx", "A 24380-2026")</f>
        <v/>
      </c>
      <c r="T188">
        <f>HYPERLINK("https://klasma.github.io/Logging_1737/kartor/A 24380-2026 karta.png", "A 24380-2026")</f>
        <v/>
      </c>
      <c r="V188">
        <f>HYPERLINK("https://klasma.github.io/Logging_1737/klagomål/A 24380-2026 FSC-klagomål.docx", "A 24380-2026")</f>
        <v/>
      </c>
      <c r="W188">
        <f>HYPERLINK("https://klasma.github.io/Logging_1737/klagomålsmail/A 24380-2026 FSC-klagomål mail.docx", "A 24380-2026")</f>
        <v/>
      </c>
      <c r="X188">
        <f>HYPERLINK("https://klasma.github.io/Logging_1737/tillsyn/A 24380-2026 tillsynsbegäran.docx", "A 24380-2026")</f>
        <v/>
      </c>
      <c r="Y188">
        <f>HYPERLINK("https://klasma.github.io/Logging_1737/tillsynsmail/A 24380-2026 tillsynsbegäran mail.docx", "A 24380-2026")</f>
        <v/>
      </c>
    </row>
    <row r="189" ht="15" customHeight="1">
      <c r="A189" t="inlineStr">
        <is>
          <t>A 24898-2026</t>
        </is>
      </c>
      <c r="B189" s="1" t="n">
        <v>46174</v>
      </c>
      <c r="C189" s="1" t="n">
        <v>46204</v>
      </c>
      <c r="D189" t="inlineStr">
        <is>
          <t>VÄRMLANDS LÄN</t>
        </is>
      </c>
      <c r="E189" t="inlineStr">
        <is>
          <t>TORSBY</t>
        </is>
      </c>
      <c r="F189" t="inlineStr">
        <is>
          <t>Bergvik skog väst AB</t>
        </is>
      </c>
      <c r="G189" t="n">
        <v>12.3</v>
      </c>
      <c r="H189" t="n">
        <v>1</v>
      </c>
      <c r="I189" t="n">
        <v>0</v>
      </c>
      <c r="J189" t="n">
        <v>1</v>
      </c>
      <c r="K189" t="n">
        <v>0</v>
      </c>
      <c r="L189" t="n">
        <v>0</v>
      </c>
      <c r="M189" t="n">
        <v>0</v>
      </c>
      <c r="N189" t="n">
        <v>0</v>
      </c>
      <c r="O189" t="n">
        <v>1</v>
      </c>
      <c r="P189" t="n">
        <v>0</v>
      </c>
      <c r="Q189" t="n">
        <v>1</v>
      </c>
      <c r="R189" s="2" t="inlineStr">
        <is>
          <t>Nordfladdermus</t>
        </is>
      </c>
      <c r="S189">
        <f>HYPERLINK("https://klasma.github.io/Logging_1737/artfynd/A 24898-2026 artfynd.xlsx", "A 24898-2026")</f>
        <v/>
      </c>
      <c r="T189">
        <f>HYPERLINK("https://klasma.github.io/Logging_1737/kartor/A 24898-2026 karta.png", "A 24898-2026")</f>
        <v/>
      </c>
      <c r="V189">
        <f>HYPERLINK("https://klasma.github.io/Logging_1737/klagomål/A 24898-2026 FSC-klagomål.docx", "A 24898-2026")</f>
        <v/>
      </c>
      <c r="W189">
        <f>HYPERLINK("https://klasma.github.io/Logging_1737/klagomålsmail/A 24898-2026 FSC-klagomål mail.docx", "A 24898-2026")</f>
        <v/>
      </c>
      <c r="X189">
        <f>HYPERLINK("https://klasma.github.io/Logging_1737/tillsyn/A 24898-2026 tillsynsbegäran.docx", "A 24898-2026")</f>
        <v/>
      </c>
      <c r="Y189">
        <f>HYPERLINK("https://klasma.github.io/Logging_1737/tillsynsmail/A 24898-2026 tillsynsbegäran mail.docx", "A 24898-2026")</f>
        <v/>
      </c>
    </row>
    <row r="190" ht="15" customHeight="1">
      <c r="A190" t="inlineStr">
        <is>
          <t>A 24927-2026</t>
        </is>
      </c>
      <c r="B190" s="1" t="n">
        <v>46174</v>
      </c>
      <c r="C190" s="1" t="n">
        <v>46204</v>
      </c>
      <c r="D190" t="inlineStr">
        <is>
          <t>VÄRMLANDS LÄN</t>
        </is>
      </c>
      <c r="E190" t="inlineStr">
        <is>
          <t>TORSBY</t>
        </is>
      </c>
      <c r="F190" t="inlineStr">
        <is>
          <t>Bergvik skog väst AB</t>
        </is>
      </c>
      <c r="G190" t="n">
        <v>33.1</v>
      </c>
      <c r="H190" t="n">
        <v>0</v>
      </c>
      <c r="I190" t="n">
        <v>0</v>
      </c>
      <c r="J190" t="n">
        <v>0</v>
      </c>
      <c r="K190" t="n">
        <v>1</v>
      </c>
      <c r="L190" t="n">
        <v>0</v>
      </c>
      <c r="M190" t="n">
        <v>0</v>
      </c>
      <c r="N190" t="n">
        <v>0</v>
      </c>
      <c r="O190" t="n">
        <v>1</v>
      </c>
      <c r="P190" t="n">
        <v>1</v>
      </c>
      <c r="Q190" t="n">
        <v>1</v>
      </c>
      <c r="R190" s="2" t="inlineStr">
        <is>
          <t>Garnlav</t>
        </is>
      </c>
      <c r="S190">
        <f>HYPERLINK("https://klasma.github.io/Logging_1737/artfynd/A 24927-2026 artfynd.xlsx", "A 24927-2026")</f>
        <v/>
      </c>
      <c r="T190">
        <f>HYPERLINK("https://klasma.github.io/Logging_1737/kartor/A 24927-2026 karta.png", "A 24927-2026")</f>
        <v/>
      </c>
      <c r="V190">
        <f>HYPERLINK("https://klasma.github.io/Logging_1737/klagomål/A 24927-2026 FSC-klagomål.docx", "A 24927-2026")</f>
        <v/>
      </c>
      <c r="W190">
        <f>HYPERLINK("https://klasma.github.io/Logging_1737/klagomålsmail/A 24927-2026 FSC-klagomål mail.docx", "A 24927-2026")</f>
        <v/>
      </c>
      <c r="X190">
        <f>HYPERLINK("https://klasma.github.io/Logging_1737/tillsyn/A 24927-2026 tillsynsbegäran.docx", "A 24927-2026")</f>
        <v/>
      </c>
      <c r="Y190">
        <f>HYPERLINK("https://klasma.github.io/Logging_1737/tillsynsmail/A 24927-2026 tillsynsbegäran mail.docx", "A 24927-2026")</f>
        <v/>
      </c>
    </row>
    <row r="191" ht="15" customHeight="1">
      <c r="A191" t="inlineStr">
        <is>
          <t>A 51288-2022</t>
        </is>
      </c>
      <c r="B191" s="1" t="n">
        <v>44868</v>
      </c>
      <c r="C191" s="1" t="n">
        <v>46204</v>
      </c>
      <c r="D191" t="inlineStr">
        <is>
          <t>VÄRMLANDS LÄN</t>
        </is>
      </c>
      <c r="E191" t="inlineStr">
        <is>
          <t>TORSBY</t>
        </is>
      </c>
      <c r="G191" t="n">
        <v>1.9</v>
      </c>
      <c r="H191" t="n">
        <v>1</v>
      </c>
      <c r="I191" t="n">
        <v>0</v>
      </c>
      <c r="J191" t="n">
        <v>0</v>
      </c>
      <c r="K191" t="n">
        <v>0</v>
      </c>
      <c r="L191" t="n">
        <v>1</v>
      </c>
      <c r="M191" t="n">
        <v>0</v>
      </c>
      <c r="N191" t="n">
        <v>0</v>
      </c>
      <c r="O191" t="n">
        <v>1</v>
      </c>
      <c r="P191" t="n">
        <v>1</v>
      </c>
      <c r="Q191" t="n">
        <v>1</v>
      </c>
      <c r="R191" s="2" t="inlineStr">
        <is>
          <t>Bombmurkla</t>
        </is>
      </c>
      <c r="S191">
        <f>HYPERLINK("https://klasma.github.io/Logging_1737/artfynd/A 51288-2022 artfynd.xlsx", "A 51288-2022")</f>
        <v/>
      </c>
      <c r="T191">
        <f>HYPERLINK("https://klasma.github.io/Logging_1737/kartor/A 51288-2022 karta.png", "A 51288-2022")</f>
        <v/>
      </c>
      <c r="V191">
        <f>HYPERLINK("https://klasma.github.io/Logging_1737/klagomål/A 51288-2022 FSC-klagomål.docx", "A 51288-2022")</f>
        <v/>
      </c>
      <c r="W191">
        <f>HYPERLINK("https://klasma.github.io/Logging_1737/klagomålsmail/A 51288-2022 FSC-klagomål mail.docx", "A 51288-2022")</f>
        <v/>
      </c>
      <c r="X191">
        <f>HYPERLINK("https://klasma.github.io/Logging_1737/tillsyn/A 51288-2022 tillsynsbegäran.docx", "A 51288-2022")</f>
        <v/>
      </c>
      <c r="Y191">
        <f>HYPERLINK("https://klasma.github.io/Logging_1737/tillsynsmail/A 51288-2022 tillsynsbegäran mail.docx", "A 51288-2022")</f>
        <v/>
      </c>
    </row>
    <row r="192" ht="15" customHeight="1">
      <c r="A192" t="inlineStr">
        <is>
          <t>A 18116-2026</t>
        </is>
      </c>
      <c r="B192" s="1" t="n">
        <v>46125</v>
      </c>
      <c r="C192" s="1" t="n">
        <v>46204</v>
      </c>
      <c r="D192" t="inlineStr">
        <is>
          <t>VÄRMLANDS LÄN</t>
        </is>
      </c>
      <c r="E192" t="inlineStr">
        <is>
          <t>TORSBY</t>
        </is>
      </c>
      <c r="G192" t="n">
        <v>5.8</v>
      </c>
      <c r="H192" t="n">
        <v>0</v>
      </c>
      <c r="I192" t="n">
        <v>0</v>
      </c>
      <c r="J192" t="n">
        <v>0</v>
      </c>
      <c r="K192" t="n">
        <v>1</v>
      </c>
      <c r="L192" t="n">
        <v>0</v>
      </c>
      <c r="M192" t="n">
        <v>0</v>
      </c>
      <c r="N192" t="n">
        <v>0</v>
      </c>
      <c r="O192" t="n">
        <v>1</v>
      </c>
      <c r="P192" t="n">
        <v>1</v>
      </c>
      <c r="Q192" t="n">
        <v>1</v>
      </c>
      <c r="R192" s="2" t="inlineStr">
        <is>
          <t>Garnlav</t>
        </is>
      </c>
      <c r="S192">
        <f>HYPERLINK("https://klasma.github.io/Logging_1737/artfynd/A 18116-2026 artfynd.xlsx", "A 18116-2026")</f>
        <v/>
      </c>
      <c r="T192">
        <f>HYPERLINK("https://klasma.github.io/Logging_1737/kartor/A 18116-2026 karta.png", "A 18116-2026")</f>
        <v/>
      </c>
      <c r="V192">
        <f>HYPERLINK("https://klasma.github.io/Logging_1737/klagomål/A 18116-2026 FSC-klagomål.docx", "A 18116-2026")</f>
        <v/>
      </c>
      <c r="W192">
        <f>HYPERLINK("https://klasma.github.io/Logging_1737/klagomålsmail/A 18116-2026 FSC-klagomål mail.docx", "A 18116-2026")</f>
        <v/>
      </c>
      <c r="X192">
        <f>HYPERLINK("https://klasma.github.io/Logging_1737/tillsyn/A 18116-2026 tillsynsbegäran.docx", "A 18116-2026")</f>
        <v/>
      </c>
      <c r="Y192">
        <f>HYPERLINK("https://klasma.github.io/Logging_1737/tillsynsmail/A 18116-2026 tillsynsbegäran mail.docx", "A 18116-2026")</f>
        <v/>
      </c>
    </row>
    <row r="193" ht="15" customHeight="1">
      <c r="A193" t="inlineStr">
        <is>
          <t>A 62507-2023</t>
        </is>
      </c>
      <c r="B193" s="1" t="n">
        <v>45267</v>
      </c>
      <c r="C193" s="1" t="n">
        <v>46204</v>
      </c>
      <c r="D193" t="inlineStr">
        <is>
          <t>VÄRMLANDS LÄN</t>
        </is>
      </c>
      <c r="E193" t="inlineStr">
        <is>
          <t>TORSBY</t>
        </is>
      </c>
      <c r="G193" t="n">
        <v>3.3</v>
      </c>
      <c r="H193" t="n">
        <v>1</v>
      </c>
      <c r="I193" t="n">
        <v>0</v>
      </c>
      <c r="J193" t="n">
        <v>0</v>
      </c>
      <c r="K193" t="n">
        <v>0</v>
      </c>
      <c r="L193" t="n">
        <v>0</v>
      </c>
      <c r="M193" t="n">
        <v>0</v>
      </c>
      <c r="N193" t="n">
        <v>0</v>
      </c>
      <c r="O193" t="n">
        <v>0</v>
      </c>
      <c r="P193" t="n">
        <v>0</v>
      </c>
      <c r="Q193" t="n">
        <v>1</v>
      </c>
      <c r="R193" s="2" t="inlineStr">
        <is>
          <t>Fläcknycklar</t>
        </is>
      </c>
      <c r="S193">
        <f>HYPERLINK("https://klasma.github.io/Logging_1737/artfynd/A 62507-2023 artfynd.xlsx", "A 62507-2023")</f>
        <v/>
      </c>
      <c r="T193">
        <f>HYPERLINK("https://klasma.github.io/Logging_1737/kartor/A 62507-2023 karta.png", "A 62507-2023")</f>
        <v/>
      </c>
      <c r="V193">
        <f>HYPERLINK("https://klasma.github.io/Logging_1737/klagomål/A 62507-2023 FSC-klagomål.docx", "A 62507-2023")</f>
        <v/>
      </c>
      <c r="W193">
        <f>HYPERLINK("https://klasma.github.io/Logging_1737/klagomålsmail/A 62507-2023 FSC-klagomål mail.docx", "A 62507-2023")</f>
        <v/>
      </c>
      <c r="X193">
        <f>HYPERLINK("https://klasma.github.io/Logging_1737/tillsyn/A 62507-2023 tillsynsbegäran.docx", "A 62507-2023")</f>
        <v/>
      </c>
      <c r="Y193">
        <f>HYPERLINK("https://klasma.github.io/Logging_1737/tillsynsmail/A 62507-2023 tillsynsbegäran mail.docx", "A 62507-2023")</f>
        <v/>
      </c>
    </row>
    <row r="194" ht="15" customHeight="1">
      <c r="A194" t="inlineStr">
        <is>
          <t>A 25460-2026</t>
        </is>
      </c>
      <c r="B194" s="1" t="n">
        <v>46177</v>
      </c>
      <c r="C194" s="1" t="n">
        <v>46204</v>
      </c>
      <c r="D194" t="inlineStr">
        <is>
          <t>VÄRMLANDS LÄN</t>
        </is>
      </c>
      <c r="E194" t="inlineStr">
        <is>
          <t>TORSBY</t>
        </is>
      </c>
      <c r="F194" t="inlineStr">
        <is>
          <t>Bergvik skog väst AB</t>
        </is>
      </c>
      <c r="G194" t="n">
        <v>2.9</v>
      </c>
      <c r="H194" t="n">
        <v>1</v>
      </c>
      <c r="I194" t="n">
        <v>0</v>
      </c>
      <c r="J194" t="n">
        <v>0</v>
      </c>
      <c r="K194" t="n">
        <v>0</v>
      </c>
      <c r="L194" t="n">
        <v>0</v>
      </c>
      <c r="M194" t="n">
        <v>0</v>
      </c>
      <c r="N194" t="n">
        <v>0</v>
      </c>
      <c r="O194" t="n">
        <v>0</v>
      </c>
      <c r="P194" t="n">
        <v>0</v>
      </c>
      <c r="Q194" t="n">
        <v>1</v>
      </c>
      <c r="R194" s="2" t="inlineStr">
        <is>
          <t>Utter</t>
        </is>
      </c>
      <c r="S194">
        <f>HYPERLINK("https://klasma.github.io/Logging_1737/artfynd/A 25460-2026 artfynd.xlsx", "A 25460-2026")</f>
        <v/>
      </c>
      <c r="T194">
        <f>HYPERLINK("https://klasma.github.io/Logging_1737/kartor/A 25460-2026 karta.png", "A 25460-2026")</f>
        <v/>
      </c>
      <c r="V194">
        <f>HYPERLINK("https://klasma.github.io/Logging_1737/klagomål/A 25460-2026 FSC-klagomål.docx", "A 25460-2026")</f>
        <v/>
      </c>
      <c r="W194">
        <f>HYPERLINK("https://klasma.github.io/Logging_1737/klagomålsmail/A 25460-2026 FSC-klagomål mail.docx", "A 25460-2026")</f>
        <v/>
      </c>
      <c r="X194">
        <f>HYPERLINK("https://klasma.github.io/Logging_1737/tillsyn/A 25460-2026 tillsynsbegäran.docx", "A 25460-2026")</f>
        <v/>
      </c>
      <c r="Y194">
        <f>HYPERLINK("https://klasma.github.io/Logging_1737/tillsynsmail/A 25460-2026 tillsynsbegäran mail.docx", "A 25460-2026")</f>
        <v/>
      </c>
    </row>
    <row r="195" ht="15" customHeight="1">
      <c r="A195" t="inlineStr">
        <is>
          <t>A 25710-2026</t>
        </is>
      </c>
      <c r="B195" s="1" t="n">
        <v>46178</v>
      </c>
      <c r="C195" s="1" t="n">
        <v>46204</v>
      </c>
      <c r="D195" t="inlineStr">
        <is>
          <t>VÄRMLANDS LÄN</t>
        </is>
      </c>
      <c r="E195" t="inlineStr">
        <is>
          <t>TORSBY</t>
        </is>
      </c>
      <c r="F195" t="inlineStr">
        <is>
          <t>Bergvik skog väst AB</t>
        </is>
      </c>
      <c r="G195" t="n">
        <v>19.7</v>
      </c>
      <c r="H195" t="n">
        <v>1</v>
      </c>
      <c r="I195" t="n">
        <v>0</v>
      </c>
      <c r="J195" t="n">
        <v>0</v>
      </c>
      <c r="K195" t="n">
        <v>0</v>
      </c>
      <c r="L195" t="n">
        <v>0</v>
      </c>
      <c r="M195" t="n">
        <v>0</v>
      </c>
      <c r="N195" t="n">
        <v>0</v>
      </c>
      <c r="O195" t="n">
        <v>0</v>
      </c>
      <c r="P195" t="n">
        <v>0</v>
      </c>
      <c r="Q195" t="n">
        <v>1</v>
      </c>
      <c r="R195" s="2" t="inlineStr">
        <is>
          <t>Kungsfågel</t>
        </is>
      </c>
      <c r="S195">
        <f>HYPERLINK("https://klasma.github.io/Logging_1737/artfynd/A 25710-2026 artfynd.xlsx", "A 25710-2026")</f>
        <v/>
      </c>
      <c r="T195">
        <f>HYPERLINK("https://klasma.github.io/Logging_1737/kartor/A 25710-2026 karta.png", "A 25710-2026")</f>
        <v/>
      </c>
      <c r="V195">
        <f>HYPERLINK("https://klasma.github.io/Logging_1737/klagomål/A 25710-2026 FSC-klagomål.docx", "A 25710-2026")</f>
        <v/>
      </c>
      <c r="W195">
        <f>HYPERLINK("https://klasma.github.io/Logging_1737/klagomålsmail/A 25710-2026 FSC-klagomål mail.docx", "A 25710-2026")</f>
        <v/>
      </c>
      <c r="X195">
        <f>HYPERLINK("https://klasma.github.io/Logging_1737/tillsyn/A 25710-2026 tillsynsbegäran.docx", "A 25710-2026")</f>
        <v/>
      </c>
      <c r="Y195">
        <f>HYPERLINK("https://klasma.github.io/Logging_1737/tillsynsmail/A 25710-2026 tillsynsbegäran mail.docx", "A 25710-2026")</f>
        <v/>
      </c>
    </row>
    <row r="196" ht="15" customHeight="1">
      <c r="A196" t="inlineStr">
        <is>
          <t>A 19902-2026</t>
        </is>
      </c>
      <c r="B196" s="1" t="n">
        <v>46136</v>
      </c>
      <c r="C196" s="1" t="n">
        <v>46204</v>
      </c>
      <c r="D196" t="inlineStr">
        <is>
          <t>VÄRMLANDS LÄN</t>
        </is>
      </c>
      <c r="E196" t="inlineStr">
        <is>
          <t>TORSBY</t>
        </is>
      </c>
      <c r="F196" t="inlineStr">
        <is>
          <t>Bergvik skog väst AB</t>
        </is>
      </c>
      <c r="G196" t="n">
        <v>18.8</v>
      </c>
      <c r="H196" t="n">
        <v>0</v>
      </c>
      <c r="I196" t="n">
        <v>0</v>
      </c>
      <c r="J196" t="n">
        <v>1</v>
      </c>
      <c r="K196" t="n">
        <v>0</v>
      </c>
      <c r="L196" t="n">
        <v>0</v>
      </c>
      <c r="M196" t="n">
        <v>0</v>
      </c>
      <c r="N196" t="n">
        <v>0</v>
      </c>
      <c r="O196" t="n">
        <v>1</v>
      </c>
      <c r="P196" t="n">
        <v>0</v>
      </c>
      <c r="Q196" t="n">
        <v>1</v>
      </c>
      <c r="R196" s="2" t="inlineStr">
        <is>
          <t>Lunglav</t>
        </is>
      </c>
      <c r="S196">
        <f>HYPERLINK("https://klasma.github.io/Logging_1737/artfynd/A 19902-2026 artfynd.xlsx", "A 19902-2026")</f>
        <v/>
      </c>
      <c r="T196">
        <f>HYPERLINK("https://klasma.github.io/Logging_1737/kartor/A 19902-2026 karta.png", "A 19902-2026")</f>
        <v/>
      </c>
      <c r="V196">
        <f>HYPERLINK("https://klasma.github.io/Logging_1737/klagomål/A 19902-2026 FSC-klagomål.docx", "A 19902-2026")</f>
        <v/>
      </c>
      <c r="W196">
        <f>HYPERLINK("https://klasma.github.io/Logging_1737/klagomålsmail/A 19902-2026 FSC-klagomål mail.docx", "A 19902-2026")</f>
        <v/>
      </c>
      <c r="X196">
        <f>HYPERLINK("https://klasma.github.io/Logging_1737/tillsyn/A 19902-2026 tillsynsbegäran.docx", "A 19902-2026")</f>
        <v/>
      </c>
      <c r="Y196">
        <f>HYPERLINK("https://klasma.github.io/Logging_1737/tillsynsmail/A 19902-2026 tillsynsbegäran mail.docx", "A 19902-2026")</f>
        <v/>
      </c>
    </row>
    <row r="197" ht="15" customHeight="1">
      <c r="A197" t="inlineStr">
        <is>
          <t>A 26299-2026</t>
        </is>
      </c>
      <c r="B197" s="1" t="n">
        <v>46182</v>
      </c>
      <c r="C197" s="1" t="n">
        <v>46204</v>
      </c>
      <c r="D197" t="inlineStr">
        <is>
          <t>VÄRMLANDS LÄN</t>
        </is>
      </c>
      <c r="E197" t="inlineStr">
        <is>
          <t>TORSBY</t>
        </is>
      </c>
      <c r="G197" t="n">
        <v>3.4</v>
      </c>
      <c r="H197" t="n">
        <v>1</v>
      </c>
      <c r="I197" t="n">
        <v>0</v>
      </c>
      <c r="J197" t="n">
        <v>0</v>
      </c>
      <c r="K197" t="n">
        <v>0</v>
      </c>
      <c r="L197" t="n">
        <v>0</v>
      </c>
      <c r="M197" t="n">
        <v>0</v>
      </c>
      <c r="N197" t="n">
        <v>0</v>
      </c>
      <c r="O197" t="n">
        <v>0</v>
      </c>
      <c r="P197" t="n">
        <v>0</v>
      </c>
      <c r="Q197" t="n">
        <v>1</v>
      </c>
      <c r="R197" s="2" t="inlineStr">
        <is>
          <t>Törnskata</t>
        </is>
      </c>
      <c r="S197">
        <f>HYPERLINK("https://klasma.github.io/Logging_1737/artfynd/A 26299-2026 artfynd.xlsx", "A 26299-2026")</f>
        <v/>
      </c>
      <c r="T197">
        <f>HYPERLINK("https://klasma.github.io/Logging_1737/kartor/A 26299-2026 karta.png", "A 26299-2026")</f>
        <v/>
      </c>
      <c r="V197">
        <f>HYPERLINK("https://klasma.github.io/Logging_1737/klagomål/A 26299-2026 FSC-klagomål.docx", "A 26299-2026")</f>
        <v/>
      </c>
      <c r="W197">
        <f>HYPERLINK("https://klasma.github.io/Logging_1737/klagomålsmail/A 26299-2026 FSC-klagomål mail.docx", "A 26299-2026")</f>
        <v/>
      </c>
      <c r="X197">
        <f>HYPERLINK("https://klasma.github.io/Logging_1737/tillsyn/A 26299-2026 tillsynsbegäran.docx", "A 26299-2026")</f>
        <v/>
      </c>
      <c r="Y197">
        <f>HYPERLINK("https://klasma.github.io/Logging_1737/tillsynsmail/A 26299-2026 tillsynsbegäran mail.docx", "A 26299-2026")</f>
        <v/>
      </c>
      <c r="Z197">
        <f>HYPERLINK("https://klasma.github.io/Logging_1737/fåglar/A 26299-2026 prioriterade fågelarter.docx", "A 26299-2026")</f>
        <v/>
      </c>
    </row>
    <row r="198" ht="15" customHeight="1">
      <c r="A198" t="inlineStr">
        <is>
          <t>A 27223-2022</t>
        </is>
      </c>
      <c r="B198" s="1" t="n">
        <v>44741</v>
      </c>
      <c r="C198" s="1" t="n">
        <v>46204</v>
      </c>
      <c r="D198" t="inlineStr">
        <is>
          <t>VÄRMLANDS LÄN</t>
        </is>
      </c>
      <c r="E198" t="inlineStr">
        <is>
          <t>TORSBY</t>
        </is>
      </c>
      <c r="F198" t="inlineStr">
        <is>
          <t>Bergvik skog väst AB</t>
        </is>
      </c>
      <c r="G198" t="n">
        <v>8.300000000000001</v>
      </c>
      <c r="H198" t="n">
        <v>0</v>
      </c>
      <c r="I198" t="n">
        <v>0</v>
      </c>
      <c r="J198" t="n">
        <v>1</v>
      </c>
      <c r="K198" t="n">
        <v>0</v>
      </c>
      <c r="L198" t="n">
        <v>0</v>
      </c>
      <c r="M198" t="n">
        <v>0</v>
      </c>
      <c r="N198" t="n">
        <v>0</v>
      </c>
      <c r="O198" t="n">
        <v>1</v>
      </c>
      <c r="P198" t="n">
        <v>0</v>
      </c>
      <c r="Q198" t="n">
        <v>1</v>
      </c>
      <c r="R198" s="2" t="inlineStr">
        <is>
          <t>Violettgrå tagellav</t>
        </is>
      </c>
      <c r="S198">
        <f>HYPERLINK("https://klasma.github.io/Logging_1737/artfynd/A 27223-2022 artfynd.xlsx", "A 27223-2022")</f>
        <v/>
      </c>
      <c r="T198">
        <f>HYPERLINK("https://klasma.github.io/Logging_1737/kartor/A 27223-2022 karta.png", "A 27223-2022")</f>
        <v/>
      </c>
      <c r="V198">
        <f>HYPERLINK("https://klasma.github.io/Logging_1737/klagomål/A 27223-2022 FSC-klagomål.docx", "A 27223-2022")</f>
        <v/>
      </c>
      <c r="W198">
        <f>HYPERLINK("https://klasma.github.io/Logging_1737/klagomålsmail/A 27223-2022 FSC-klagomål mail.docx", "A 27223-2022")</f>
        <v/>
      </c>
      <c r="X198">
        <f>HYPERLINK("https://klasma.github.io/Logging_1737/tillsyn/A 27223-2022 tillsynsbegäran.docx", "A 27223-2022")</f>
        <v/>
      </c>
      <c r="Y198">
        <f>HYPERLINK("https://klasma.github.io/Logging_1737/tillsynsmail/A 27223-2022 tillsynsbegäran mail.docx", "A 27223-2022")</f>
        <v/>
      </c>
    </row>
    <row r="199" ht="15" customHeight="1">
      <c r="A199" t="inlineStr">
        <is>
          <t>A 29756-2025</t>
        </is>
      </c>
      <c r="B199" s="1" t="n">
        <v>45825</v>
      </c>
      <c r="C199" s="1" t="n">
        <v>46204</v>
      </c>
      <c r="D199" t="inlineStr">
        <is>
          <t>VÄRMLANDS LÄN</t>
        </is>
      </c>
      <c r="E199" t="inlineStr">
        <is>
          <t>TORSBY</t>
        </is>
      </c>
      <c r="G199" t="n">
        <v>6.9</v>
      </c>
      <c r="H199" t="n">
        <v>0</v>
      </c>
      <c r="I199" t="n">
        <v>0</v>
      </c>
      <c r="J199" t="n">
        <v>0</v>
      </c>
      <c r="K199" t="n">
        <v>1</v>
      </c>
      <c r="L199" t="n">
        <v>0</v>
      </c>
      <c r="M199" t="n">
        <v>0</v>
      </c>
      <c r="N199" t="n">
        <v>0</v>
      </c>
      <c r="O199" t="n">
        <v>1</v>
      </c>
      <c r="P199" t="n">
        <v>1</v>
      </c>
      <c r="Q199" t="n">
        <v>1</v>
      </c>
      <c r="R199" s="2" t="inlineStr">
        <is>
          <t>Garnlav</t>
        </is>
      </c>
      <c r="S199">
        <f>HYPERLINK("https://klasma.github.io/Logging_1737/artfynd/A 29756-2025 artfynd.xlsx", "A 29756-2025")</f>
        <v/>
      </c>
      <c r="T199">
        <f>HYPERLINK("https://klasma.github.io/Logging_1737/kartor/A 29756-2025 karta.png", "A 29756-2025")</f>
        <v/>
      </c>
      <c r="V199">
        <f>HYPERLINK("https://klasma.github.io/Logging_1737/klagomål/A 29756-2025 FSC-klagomål.docx", "A 29756-2025")</f>
        <v/>
      </c>
      <c r="W199">
        <f>HYPERLINK("https://klasma.github.io/Logging_1737/klagomålsmail/A 29756-2025 FSC-klagomål mail.docx", "A 29756-2025")</f>
        <v/>
      </c>
      <c r="X199">
        <f>HYPERLINK("https://klasma.github.io/Logging_1737/tillsyn/A 29756-2025 tillsynsbegäran.docx", "A 29756-2025")</f>
        <v/>
      </c>
      <c r="Y199">
        <f>HYPERLINK("https://klasma.github.io/Logging_1737/tillsynsmail/A 29756-2025 tillsynsbegäran mail.docx", "A 29756-2025")</f>
        <v/>
      </c>
    </row>
    <row r="200" ht="15" customHeight="1">
      <c r="A200" t="inlineStr">
        <is>
          <t>A 20441-2026</t>
        </is>
      </c>
      <c r="B200" s="1" t="n">
        <v>46140</v>
      </c>
      <c r="C200" s="1" t="n">
        <v>46204</v>
      </c>
      <c r="D200" t="inlineStr">
        <is>
          <t>VÄRMLANDS LÄN</t>
        </is>
      </c>
      <c r="E200" t="inlineStr">
        <is>
          <t>TORSBY</t>
        </is>
      </c>
      <c r="G200" t="n">
        <v>4.8</v>
      </c>
      <c r="H200" t="n">
        <v>0</v>
      </c>
      <c r="I200" t="n">
        <v>0</v>
      </c>
      <c r="J200" t="n">
        <v>1</v>
      </c>
      <c r="K200" t="n">
        <v>0</v>
      </c>
      <c r="L200" t="n">
        <v>0</v>
      </c>
      <c r="M200" t="n">
        <v>0</v>
      </c>
      <c r="N200" t="n">
        <v>0</v>
      </c>
      <c r="O200" t="n">
        <v>1</v>
      </c>
      <c r="P200" t="n">
        <v>0</v>
      </c>
      <c r="Q200" t="n">
        <v>1</v>
      </c>
      <c r="R200" s="2" t="inlineStr">
        <is>
          <t>Kattfotslav</t>
        </is>
      </c>
      <c r="S200">
        <f>HYPERLINK("https://klasma.github.io/Logging_1737/artfynd/A 20441-2026 artfynd.xlsx", "A 20441-2026")</f>
        <v/>
      </c>
      <c r="T200">
        <f>HYPERLINK("https://klasma.github.io/Logging_1737/kartor/A 20441-2026 karta.png", "A 20441-2026")</f>
        <v/>
      </c>
      <c r="V200">
        <f>HYPERLINK("https://klasma.github.io/Logging_1737/klagomål/A 20441-2026 FSC-klagomål.docx", "A 20441-2026")</f>
        <v/>
      </c>
      <c r="W200">
        <f>HYPERLINK("https://klasma.github.io/Logging_1737/klagomålsmail/A 20441-2026 FSC-klagomål mail.docx", "A 20441-2026")</f>
        <v/>
      </c>
      <c r="X200">
        <f>HYPERLINK("https://klasma.github.io/Logging_1737/tillsyn/A 20441-2026 tillsynsbegäran.docx", "A 20441-2026")</f>
        <v/>
      </c>
      <c r="Y200">
        <f>HYPERLINK("https://klasma.github.io/Logging_1737/tillsynsmail/A 20441-2026 tillsynsbegäran mail.docx", "A 20441-2026")</f>
        <v/>
      </c>
    </row>
    <row r="201" ht="15" customHeight="1">
      <c r="A201" t="inlineStr">
        <is>
          <t>A 49724-2023</t>
        </is>
      </c>
      <c r="B201" s="1" t="n">
        <v>45208</v>
      </c>
      <c r="C201" s="1" t="n">
        <v>46204</v>
      </c>
      <c r="D201" t="inlineStr">
        <is>
          <t>VÄRMLANDS LÄN</t>
        </is>
      </c>
      <c r="E201" t="inlineStr">
        <is>
          <t>TORSBY</t>
        </is>
      </c>
      <c r="G201" t="n">
        <v>2.6</v>
      </c>
      <c r="H201" t="n">
        <v>0</v>
      </c>
      <c r="I201" t="n">
        <v>0</v>
      </c>
      <c r="J201" t="n">
        <v>0</v>
      </c>
      <c r="K201" t="n">
        <v>1</v>
      </c>
      <c r="L201" t="n">
        <v>0</v>
      </c>
      <c r="M201" t="n">
        <v>0</v>
      </c>
      <c r="N201" t="n">
        <v>0</v>
      </c>
      <c r="O201" t="n">
        <v>1</v>
      </c>
      <c r="P201" t="n">
        <v>1</v>
      </c>
      <c r="Q201" t="n">
        <v>1</v>
      </c>
      <c r="R201" s="2" t="inlineStr">
        <is>
          <t>Garnlav</t>
        </is>
      </c>
      <c r="S201">
        <f>HYPERLINK("https://klasma.github.io/Logging_1737/artfynd/A 49724-2023 artfynd.xlsx", "A 49724-2023")</f>
        <v/>
      </c>
      <c r="T201">
        <f>HYPERLINK("https://klasma.github.io/Logging_1737/kartor/A 49724-2023 karta.png", "A 49724-2023")</f>
        <v/>
      </c>
      <c r="V201">
        <f>HYPERLINK("https://klasma.github.io/Logging_1737/klagomål/A 49724-2023 FSC-klagomål.docx", "A 49724-2023")</f>
        <v/>
      </c>
      <c r="W201">
        <f>HYPERLINK("https://klasma.github.io/Logging_1737/klagomålsmail/A 49724-2023 FSC-klagomål mail.docx", "A 49724-2023")</f>
        <v/>
      </c>
      <c r="X201">
        <f>HYPERLINK("https://klasma.github.io/Logging_1737/tillsyn/A 49724-2023 tillsynsbegäran.docx", "A 49724-2023")</f>
        <v/>
      </c>
      <c r="Y201">
        <f>HYPERLINK("https://klasma.github.io/Logging_1737/tillsynsmail/A 49724-2023 tillsynsbegäran mail.docx", "A 49724-2023")</f>
        <v/>
      </c>
    </row>
    <row r="202" ht="15" customHeight="1">
      <c r="A202" t="inlineStr">
        <is>
          <t>A 21178-2026</t>
        </is>
      </c>
      <c r="B202" s="1" t="n">
        <v>46146</v>
      </c>
      <c r="C202" s="1" t="n">
        <v>46204</v>
      </c>
      <c r="D202" t="inlineStr">
        <is>
          <t>VÄRMLANDS LÄN</t>
        </is>
      </c>
      <c r="E202" t="inlineStr">
        <is>
          <t>TORSBY</t>
        </is>
      </c>
      <c r="F202" t="inlineStr">
        <is>
          <t>Bergvik skog väst AB</t>
        </is>
      </c>
      <c r="G202" t="n">
        <v>3</v>
      </c>
      <c r="H202" t="n">
        <v>0</v>
      </c>
      <c r="I202" t="n">
        <v>0</v>
      </c>
      <c r="J202" t="n">
        <v>1</v>
      </c>
      <c r="K202" t="n">
        <v>0</v>
      </c>
      <c r="L202" t="n">
        <v>0</v>
      </c>
      <c r="M202" t="n">
        <v>0</v>
      </c>
      <c r="N202" t="n">
        <v>0</v>
      </c>
      <c r="O202" t="n">
        <v>1</v>
      </c>
      <c r="P202" t="n">
        <v>0</v>
      </c>
      <c r="Q202" t="n">
        <v>1</v>
      </c>
      <c r="R202" s="2" t="inlineStr">
        <is>
          <t>Vedskivlav</t>
        </is>
      </c>
      <c r="S202">
        <f>HYPERLINK("https://klasma.github.io/Logging_1737/artfynd/A 21178-2026 artfynd.xlsx", "A 21178-2026")</f>
        <v/>
      </c>
      <c r="T202">
        <f>HYPERLINK("https://klasma.github.io/Logging_1737/kartor/A 21178-2026 karta.png", "A 21178-2026")</f>
        <v/>
      </c>
      <c r="V202">
        <f>HYPERLINK("https://klasma.github.io/Logging_1737/klagomål/A 21178-2026 FSC-klagomål.docx", "A 21178-2026")</f>
        <v/>
      </c>
      <c r="W202">
        <f>HYPERLINK("https://klasma.github.io/Logging_1737/klagomålsmail/A 21178-2026 FSC-klagomål mail.docx", "A 21178-2026")</f>
        <v/>
      </c>
      <c r="X202">
        <f>HYPERLINK("https://klasma.github.io/Logging_1737/tillsyn/A 21178-2026 tillsynsbegäran.docx", "A 21178-2026")</f>
        <v/>
      </c>
      <c r="Y202">
        <f>HYPERLINK("https://klasma.github.io/Logging_1737/tillsynsmail/A 21178-2026 tillsynsbegäran mail.docx", "A 21178-2026")</f>
        <v/>
      </c>
    </row>
    <row r="203" ht="15" customHeight="1">
      <c r="A203" t="inlineStr">
        <is>
          <t>A 47077-2023</t>
        </is>
      </c>
      <c r="B203" s="1" t="n">
        <v>45201</v>
      </c>
      <c r="C203" s="1" t="n">
        <v>46204</v>
      </c>
      <c r="D203" t="inlineStr">
        <is>
          <t>VÄRMLANDS LÄN</t>
        </is>
      </c>
      <c r="E203" t="inlineStr">
        <is>
          <t>TORSBY</t>
        </is>
      </c>
      <c r="G203" t="n">
        <v>2.1</v>
      </c>
      <c r="H203" t="n">
        <v>0</v>
      </c>
      <c r="I203" t="n">
        <v>0</v>
      </c>
      <c r="J203" t="n">
        <v>1</v>
      </c>
      <c r="K203" t="n">
        <v>0</v>
      </c>
      <c r="L203" t="n">
        <v>0</v>
      </c>
      <c r="M203" t="n">
        <v>0</v>
      </c>
      <c r="N203" t="n">
        <v>0</v>
      </c>
      <c r="O203" t="n">
        <v>1</v>
      </c>
      <c r="P203" t="n">
        <v>0</v>
      </c>
      <c r="Q203" t="n">
        <v>1</v>
      </c>
      <c r="R203" s="2" t="inlineStr">
        <is>
          <t>Slåtterfibbla</t>
        </is>
      </c>
      <c r="S203">
        <f>HYPERLINK("https://klasma.github.io/Logging_1737/artfynd/A 47077-2023 artfynd.xlsx", "A 47077-2023")</f>
        <v/>
      </c>
      <c r="T203">
        <f>HYPERLINK("https://klasma.github.io/Logging_1737/kartor/A 47077-2023 karta.png", "A 47077-2023")</f>
        <v/>
      </c>
      <c r="V203">
        <f>HYPERLINK("https://klasma.github.io/Logging_1737/klagomål/A 47077-2023 FSC-klagomål.docx", "A 47077-2023")</f>
        <v/>
      </c>
      <c r="W203">
        <f>HYPERLINK("https://klasma.github.io/Logging_1737/klagomålsmail/A 47077-2023 FSC-klagomål mail.docx", "A 47077-2023")</f>
        <v/>
      </c>
      <c r="X203">
        <f>HYPERLINK("https://klasma.github.io/Logging_1737/tillsyn/A 47077-2023 tillsynsbegäran.docx", "A 47077-2023")</f>
        <v/>
      </c>
      <c r="Y203">
        <f>HYPERLINK("https://klasma.github.io/Logging_1737/tillsynsmail/A 47077-2023 tillsynsbegäran mail.docx", "A 47077-2023")</f>
        <v/>
      </c>
    </row>
    <row r="204" ht="15" customHeight="1">
      <c r="A204" t="inlineStr">
        <is>
          <t>A 22702-2023</t>
        </is>
      </c>
      <c r="B204" s="1" t="n">
        <v>45071</v>
      </c>
      <c r="C204" s="1" t="n">
        <v>46204</v>
      </c>
      <c r="D204" t="inlineStr">
        <is>
          <t>VÄRMLANDS LÄN</t>
        </is>
      </c>
      <c r="E204" t="inlineStr">
        <is>
          <t>TORSBY</t>
        </is>
      </c>
      <c r="G204" t="n">
        <v>0.8</v>
      </c>
      <c r="H204" t="n">
        <v>0</v>
      </c>
      <c r="I204" t="n">
        <v>0</v>
      </c>
      <c r="J204" t="n">
        <v>1</v>
      </c>
      <c r="K204" t="n">
        <v>0</v>
      </c>
      <c r="L204" t="n">
        <v>0</v>
      </c>
      <c r="M204" t="n">
        <v>0</v>
      </c>
      <c r="N204" t="n">
        <v>0</v>
      </c>
      <c r="O204" t="n">
        <v>1</v>
      </c>
      <c r="P204" t="n">
        <v>0</v>
      </c>
      <c r="Q204" t="n">
        <v>1</v>
      </c>
      <c r="R204" s="2" t="inlineStr">
        <is>
          <t>Lunglav</t>
        </is>
      </c>
      <c r="S204">
        <f>HYPERLINK("https://klasma.github.io/Logging_1737/artfynd/A 22702-2023 artfynd.xlsx", "A 22702-2023")</f>
        <v/>
      </c>
      <c r="T204">
        <f>HYPERLINK("https://klasma.github.io/Logging_1737/kartor/A 22702-2023 karta.png", "A 22702-2023")</f>
        <v/>
      </c>
      <c r="V204">
        <f>HYPERLINK("https://klasma.github.io/Logging_1737/klagomål/A 22702-2023 FSC-klagomål.docx", "A 22702-2023")</f>
        <v/>
      </c>
      <c r="W204">
        <f>HYPERLINK("https://klasma.github.io/Logging_1737/klagomålsmail/A 22702-2023 FSC-klagomål mail.docx", "A 22702-2023")</f>
        <v/>
      </c>
      <c r="X204">
        <f>HYPERLINK("https://klasma.github.io/Logging_1737/tillsyn/A 22702-2023 tillsynsbegäran.docx", "A 22702-2023")</f>
        <v/>
      </c>
      <c r="Y204">
        <f>HYPERLINK("https://klasma.github.io/Logging_1737/tillsynsmail/A 22702-2023 tillsynsbegäran mail.docx", "A 22702-2023")</f>
        <v/>
      </c>
    </row>
    <row r="205" ht="15" customHeight="1">
      <c r="A205" t="inlineStr">
        <is>
          <t>A 50608-2023</t>
        </is>
      </c>
      <c r="B205" s="1" t="n">
        <v>45217</v>
      </c>
      <c r="C205" s="1" t="n">
        <v>46204</v>
      </c>
      <c r="D205" t="inlineStr">
        <is>
          <t>VÄRMLANDS LÄN</t>
        </is>
      </c>
      <c r="E205" t="inlineStr">
        <is>
          <t>TORSBY</t>
        </is>
      </c>
      <c r="G205" t="n">
        <v>2.9</v>
      </c>
      <c r="H205" t="n">
        <v>0</v>
      </c>
      <c r="I205" t="n">
        <v>0</v>
      </c>
      <c r="J205" t="n">
        <v>0</v>
      </c>
      <c r="K205" t="n">
        <v>1</v>
      </c>
      <c r="L205" t="n">
        <v>0</v>
      </c>
      <c r="M205" t="n">
        <v>0</v>
      </c>
      <c r="N205" t="n">
        <v>0</v>
      </c>
      <c r="O205" t="n">
        <v>1</v>
      </c>
      <c r="P205" t="n">
        <v>1</v>
      </c>
      <c r="Q205" t="n">
        <v>1</v>
      </c>
      <c r="R205" s="2" t="inlineStr">
        <is>
          <t>Garnlav</t>
        </is>
      </c>
      <c r="S205">
        <f>HYPERLINK("https://klasma.github.io/Logging_1737/artfynd/A 50608-2023 artfynd.xlsx", "A 50608-2023")</f>
        <v/>
      </c>
      <c r="T205">
        <f>HYPERLINK("https://klasma.github.io/Logging_1737/kartor/A 50608-2023 karta.png", "A 50608-2023")</f>
        <v/>
      </c>
      <c r="V205">
        <f>HYPERLINK("https://klasma.github.io/Logging_1737/klagomål/A 50608-2023 FSC-klagomål.docx", "A 50608-2023")</f>
        <v/>
      </c>
      <c r="W205">
        <f>HYPERLINK("https://klasma.github.io/Logging_1737/klagomålsmail/A 50608-2023 FSC-klagomål mail.docx", "A 50608-2023")</f>
        <v/>
      </c>
      <c r="X205">
        <f>HYPERLINK("https://klasma.github.io/Logging_1737/tillsyn/A 50608-2023 tillsynsbegäran.docx", "A 50608-2023")</f>
        <v/>
      </c>
      <c r="Y205">
        <f>HYPERLINK("https://klasma.github.io/Logging_1737/tillsynsmail/A 50608-2023 tillsynsbegäran mail.docx", "A 50608-2023")</f>
        <v/>
      </c>
    </row>
    <row r="206" ht="15" customHeight="1">
      <c r="A206" t="inlineStr">
        <is>
          <t>A 40541-2024</t>
        </is>
      </c>
      <c r="B206" s="1" t="n">
        <v>45555</v>
      </c>
      <c r="C206" s="1" t="n">
        <v>46204</v>
      </c>
      <c r="D206" t="inlineStr">
        <is>
          <t>VÄRMLANDS LÄN</t>
        </is>
      </c>
      <c r="E206" t="inlineStr">
        <is>
          <t>TORSBY</t>
        </is>
      </c>
      <c r="F206" t="inlineStr">
        <is>
          <t>Bergvik skog väst AB</t>
        </is>
      </c>
      <c r="G206" t="n">
        <v>1.5</v>
      </c>
      <c r="H206" t="n">
        <v>0</v>
      </c>
      <c r="I206" t="n">
        <v>0</v>
      </c>
      <c r="J206" t="n">
        <v>1</v>
      </c>
      <c r="K206" t="n">
        <v>0</v>
      </c>
      <c r="L206" t="n">
        <v>0</v>
      </c>
      <c r="M206" t="n">
        <v>0</v>
      </c>
      <c r="N206" t="n">
        <v>0</v>
      </c>
      <c r="O206" t="n">
        <v>1</v>
      </c>
      <c r="P206" t="n">
        <v>0</v>
      </c>
      <c r="Q206" t="n">
        <v>1</v>
      </c>
      <c r="R206" s="2" t="inlineStr">
        <is>
          <t>Lunglav</t>
        </is>
      </c>
      <c r="S206">
        <f>HYPERLINK("https://klasma.github.io/Logging_1737/artfynd/A 40541-2024 artfynd.xlsx", "A 40541-2024")</f>
        <v/>
      </c>
      <c r="T206">
        <f>HYPERLINK("https://klasma.github.io/Logging_1737/kartor/A 40541-2024 karta.png", "A 40541-2024")</f>
        <v/>
      </c>
      <c r="V206">
        <f>HYPERLINK("https://klasma.github.io/Logging_1737/klagomål/A 40541-2024 FSC-klagomål.docx", "A 40541-2024")</f>
        <v/>
      </c>
      <c r="W206">
        <f>HYPERLINK("https://klasma.github.io/Logging_1737/klagomålsmail/A 40541-2024 FSC-klagomål mail.docx", "A 40541-2024")</f>
        <v/>
      </c>
      <c r="X206">
        <f>HYPERLINK("https://klasma.github.io/Logging_1737/tillsyn/A 40541-2024 tillsynsbegäran.docx", "A 40541-2024")</f>
        <v/>
      </c>
      <c r="Y206">
        <f>HYPERLINK("https://klasma.github.io/Logging_1737/tillsynsmail/A 40541-2024 tillsynsbegäran mail.docx", "A 40541-2024")</f>
        <v/>
      </c>
    </row>
    <row r="207" ht="15" customHeight="1">
      <c r="A207" t="inlineStr">
        <is>
          <t>A 38541-2023</t>
        </is>
      </c>
      <c r="B207" s="1" t="n">
        <v>45162</v>
      </c>
      <c r="C207" s="1" t="n">
        <v>46204</v>
      </c>
      <c r="D207" t="inlineStr">
        <is>
          <t>VÄRMLANDS LÄN</t>
        </is>
      </c>
      <c r="E207" t="inlineStr">
        <is>
          <t>TORSBY</t>
        </is>
      </c>
      <c r="G207" t="n">
        <v>2</v>
      </c>
      <c r="H207" t="n">
        <v>0</v>
      </c>
      <c r="I207" t="n">
        <v>0</v>
      </c>
      <c r="J207" t="n">
        <v>1</v>
      </c>
      <c r="K207" t="n">
        <v>0</v>
      </c>
      <c r="L207" t="n">
        <v>0</v>
      </c>
      <c r="M207" t="n">
        <v>0</v>
      </c>
      <c r="N207" t="n">
        <v>0</v>
      </c>
      <c r="O207" t="n">
        <v>1</v>
      </c>
      <c r="P207" t="n">
        <v>0</v>
      </c>
      <c r="Q207" t="n">
        <v>1</v>
      </c>
      <c r="R207" s="2" t="inlineStr">
        <is>
          <t>Lunglav</t>
        </is>
      </c>
      <c r="S207">
        <f>HYPERLINK("https://klasma.github.io/Logging_1737/artfynd/A 38541-2023 artfynd.xlsx", "A 38541-2023")</f>
        <v/>
      </c>
      <c r="T207">
        <f>HYPERLINK("https://klasma.github.io/Logging_1737/kartor/A 38541-2023 karta.png", "A 38541-2023")</f>
        <v/>
      </c>
      <c r="V207">
        <f>HYPERLINK("https://klasma.github.io/Logging_1737/klagomål/A 38541-2023 FSC-klagomål.docx", "A 38541-2023")</f>
        <v/>
      </c>
      <c r="W207">
        <f>HYPERLINK("https://klasma.github.io/Logging_1737/klagomålsmail/A 38541-2023 FSC-klagomål mail.docx", "A 38541-2023")</f>
        <v/>
      </c>
      <c r="X207">
        <f>HYPERLINK("https://klasma.github.io/Logging_1737/tillsyn/A 38541-2023 tillsynsbegäran.docx", "A 38541-2023")</f>
        <v/>
      </c>
      <c r="Y207">
        <f>HYPERLINK("https://klasma.github.io/Logging_1737/tillsynsmail/A 38541-2023 tillsynsbegäran mail.docx", "A 38541-2023")</f>
        <v/>
      </c>
    </row>
    <row r="208" ht="15" customHeight="1">
      <c r="A208" t="inlineStr">
        <is>
          <t>A 5726-2025</t>
        </is>
      </c>
      <c r="B208" s="1" t="n">
        <v>45694</v>
      </c>
      <c r="C208" s="1" t="n">
        <v>46204</v>
      </c>
      <c r="D208" t="inlineStr">
        <is>
          <t>VÄRMLANDS LÄN</t>
        </is>
      </c>
      <c r="E208" t="inlineStr">
        <is>
          <t>TORSBY</t>
        </is>
      </c>
      <c r="G208" t="n">
        <v>3.5</v>
      </c>
      <c r="H208" t="n">
        <v>0</v>
      </c>
      <c r="I208" t="n">
        <v>1</v>
      </c>
      <c r="J208" t="n">
        <v>0</v>
      </c>
      <c r="K208" t="n">
        <v>0</v>
      </c>
      <c r="L208" t="n">
        <v>0</v>
      </c>
      <c r="M208" t="n">
        <v>0</v>
      </c>
      <c r="N208" t="n">
        <v>0</v>
      </c>
      <c r="O208" t="n">
        <v>0</v>
      </c>
      <c r="P208" t="n">
        <v>0</v>
      </c>
      <c r="Q208" t="n">
        <v>1</v>
      </c>
      <c r="R208" s="2" t="inlineStr">
        <is>
          <t>Vedticka</t>
        </is>
      </c>
      <c r="S208">
        <f>HYPERLINK("https://klasma.github.io/Logging_1737/artfynd/A 5726-2025 artfynd.xlsx", "A 5726-2025")</f>
        <v/>
      </c>
      <c r="T208">
        <f>HYPERLINK("https://klasma.github.io/Logging_1737/kartor/A 5726-2025 karta.png", "A 5726-2025")</f>
        <v/>
      </c>
      <c r="V208">
        <f>HYPERLINK("https://klasma.github.io/Logging_1737/klagomål/A 5726-2025 FSC-klagomål.docx", "A 5726-2025")</f>
        <v/>
      </c>
      <c r="W208">
        <f>HYPERLINK("https://klasma.github.io/Logging_1737/klagomålsmail/A 5726-2025 FSC-klagomål mail.docx", "A 5726-2025")</f>
        <v/>
      </c>
      <c r="X208">
        <f>HYPERLINK("https://klasma.github.io/Logging_1737/tillsyn/A 5726-2025 tillsynsbegäran.docx", "A 5726-2025")</f>
        <v/>
      </c>
      <c r="Y208">
        <f>HYPERLINK("https://klasma.github.io/Logging_1737/tillsynsmail/A 5726-2025 tillsynsbegäran mail.docx", "A 5726-2025")</f>
        <v/>
      </c>
    </row>
    <row r="209" ht="15" customHeight="1">
      <c r="A209" t="inlineStr">
        <is>
          <t>A 29990-2022</t>
        </is>
      </c>
      <c r="B209" s="1" t="n">
        <v>44756</v>
      </c>
      <c r="C209" s="1" t="n">
        <v>46204</v>
      </c>
      <c r="D209" t="inlineStr">
        <is>
          <t>VÄRMLANDS LÄN</t>
        </is>
      </c>
      <c r="E209" t="inlineStr">
        <is>
          <t>TORSBY</t>
        </is>
      </c>
      <c r="G209" t="n">
        <v>4.9</v>
      </c>
      <c r="H209" t="n">
        <v>0</v>
      </c>
      <c r="I209" t="n">
        <v>0</v>
      </c>
      <c r="J209" t="n">
        <v>1</v>
      </c>
      <c r="K209" t="n">
        <v>0</v>
      </c>
      <c r="L209" t="n">
        <v>0</v>
      </c>
      <c r="M209" t="n">
        <v>0</v>
      </c>
      <c r="N209" t="n">
        <v>0</v>
      </c>
      <c r="O209" t="n">
        <v>1</v>
      </c>
      <c r="P209" t="n">
        <v>0</v>
      </c>
      <c r="Q209" t="n">
        <v>1</v>
      </c>
      <c r="R209" s="2" t="inlineStr">
        <is>
          <t>Månlåsbräken</t>
        </is>
      </c>
      <c r="S209">
        <f>HYPERLINK("https://klasma.github.io/Logging_1737/artfynd/A 29990-2022 artfynd.xlsx", "A 29990-2022")</f>
        <v/>
      </c>
      <c r="T209">
        <f>HYPERLINK("https://klasma.github.io/Logging_1737/kartor/A 29990-2022 karta.png", "A 29990-2022")</f>
        <v/>
      </c>
      <c r="V209">
        <f>HYPERLINK("https://klasma.github.io/Logging_1737/klagomål/A 29990-2022 FSC-klagomål.docx", "A 29990-2022")</f>
        <v/>
      </c>
      <c r="W209">
        <f>HYPERLINK("https://klasma.github.io/Logging_1737/klagomålsmail/A 29990-2022 FSC-klagomål mail.docx", "A 29990-2022")</f>
        <v/>
      </c>
      <c r="X209">
        <f>HYPERLINK("https://klasma.github.io/Logging_1737/tillsyn/A 29990-2022 tillsynsbegäran.docx", "A 29990-2022")</f>
        <v/>
      </c>
      <c r="Y209">
        <f>HYPERLINK("https://klasma.github.io/Logging_1737/tillsynsmail/A 29990-2022 tillsynsbegäran mail.docx", "A 29990-2022")</f>
        <v/>
      </c>
    </row>
    <row r="210" ht="15" customHeight="1">
      <c r="A210" t="inlineStr">
        <is>
          <t>A 35553-2023</t>
        </is>
      </c>
      <c r="B210" s="1" t="n">
        <v>45147</v>
      </c>
      <c r="C210" s="1" t="n">
        <v>46204</v>
      </c>
      <c r="D210" t="inlineStr">
        <is>
          <t>VÄRMLANDS LÄN</t>
        </is>
      </c>
      <c r="E210" t="inlineStr">
        <is>
          <t>TORSBY</t>
        </is>
      </c>
      <c r="G210" t="n">
        <v>6.2</v>
      </c>
      <c r="H210" t="n">
        <v>1</v>
      </c>
      <c r="I210" t="n">
        <v>0</v>
      </c>
      <c r="J210" t="n">
        <v>0</v>
      </c>
      <c r="K210" t="n">
        <v>0</v>
      </c>
      <c r="L210" t="n">
        <v>0</v>
      </c>
      <c r="M210" t="n">
        <v>0</v>
      </c>
      <c r="N210" t="n">
        <v>0</v>
      </c>
      <c r="O210" t="n">
        <v>0</v>
      </c>
      <c r="P210" t="n">
        <v>0</v>
      </c>
      <c r="Q210" t="n">
        <v>1</v>
      </c>
      <c r="R210" s="2" t="inlineStr">
        <is>
          <t>Törnskata</t>
        </is>
      </c>
      <c r="S210">
        <f>HYPERLINK("https://klasma.github.io/Logging_1737/artfynd/A 35553-2023 artfynd.xlsx", "A 35553-2023")</f>
        <v/>
      </c>
      <c r="T210">
        <f>HYPERLINK("https://klasma.github.io/Logging_1737/kartor/A 35553-2023 karta.png", "A 35553-2023")</f>
        <v/>
      </c>
      <c r="V210">
        <f>HYPERLINK("https://klasma.github.io/Logging_1737/klagomål/A 35553-2023 FSC-klagomål.docx", "A 35553-2023")</f>
        <v/>
      </c>
      <c r="W210">
        <f>HYPERLINK("https://klasma.github.io/Logging_1737/klagomålsmail/A 35553-2023 FSC-klagomål mail.docx", "A 35553-2023")</f>
        <v/>
      </c>
      <c r="X210">
        <f>HYPERLINK("https://klasma.github.io/Logging_1737/tillsyn/A 35553-2023 tillsynsbegäran.docx", "A 35553-2023")</f>
        <v/>
      </c>
      <c r="Y210">
        <f>HYPERLINK("https://klasma.github.io/Logging_1737/tillsynsmail/A 35553-2023 tillsynsbegäran mail.docx", "A 35553-2023")</f>
        <v/>
      </c>
      <c r="Z210">
        <f>HYPERLINK("https://klasma.github.io/Logging_1737/fåglar/A 35553-2023 prioriterade fågelarter.docx", "A 35553-2023")</f>
        <v/>
      </c>
    </row>
    <row r="211" ht="15" customHeight="1">
      <c r="A211" t="inlineStr">
        <is>
          <t>A 46099-2023</t>
        </is>
      </c>
      <c r="B211" s="1" t="n">
        <v>45196</v>
      </c>
      <c r="C211" s="1" t="n">
        <v>46204</v>
      </c>
      <c r="D211" t="inlineStr">
        <is>
          <t>VÄRMLANDS LÄN</t>
        </is>
      </c>
      <c r="E211" t="inlineStr">
        <is>
          <t>TORSBY</t>
        </is>
      </c>
      <c r="G211" t="n">
        <v>8.4</v>
      </c>
      <c r="H211" t="n">
        <v>0</v>
      </c>
      <c r="I211" t="n">
        <v>0</v>
      </c>
      <c r="J211" t="n">
        <v>1</v>
      </c>
      <c r="K211" t="n">
        <v>0</v>
      </c>
      <c r="L211" t="n">
        <v>0</v>
      </c>
      <c r="M211" t="n">
        <v>0</v>
      </c>
      <c r="N211" t="n">
        <v>0</v>
      </c>
      <c r="O211" t="n">
        <v>1</v>
      </c>
      <c r="P211" t="n">
        <v>0</v>
      </c>
      <c r="Q211" t="n">
        <v>1</v>
      </c>
      <c r="R211" s="2" t="inlineStr">
        <is>
          <t>Gammelgransskål</t>
        </is>
      </c>
      <c r="S211">
        <f>HYPERLINK("https://klasma.github.io/Logging_1737/artfynd/A 46099-2023 artfynd.xlsx", "A 46099-2023")</f>
        <v/>
      </c>
      <c r="T211">
        <f>HYPERLINK("https://klasma.github.io/Logging_1737/kartor/A 46099-2023 karta.png", "A 46099-2023")</f>
        <v/>
      </c>
      <c r="V211">
        <f>HYPERLINK("https://klasma.github.io/Logging_1737/klagomål/A 46099-2023 FSC-klagomål.docx", "A 46099-2023")</f>
        <v/>
      </c>
      <c r="W211">
        <f>HYPERLINK("https://klasma.github.io/Logging_1737/klagomålsmail/A 46099-2023 FSC-klagomål mail.docx", "A 46099-2023")</f>
        <v/>
      </c>
      <c r="X211">
        <f>HYPERLINK("https://klasma.github.io/Logging_1737/tillsyn/A 46099-2023 tillsynsbegäran.docx", "A 46099-2023")</f>
        <v/>
      </c>
      <c r="Y211">
        <f>HYPERLINK("https://klasma.github.io/Logging_1737/tillsynsmail/A 46099-2023 tillsynsbegäran mail.docx", "A 46099-2023")</f>
        <v/>
      </c>
    </row>
    <row r="212" ht="15" customHeight="1">
      <c r="A212" t="inlineStr">
        <is>
          <t>A 54029-2024</t>
        </is>
      </c>
      <c r="B212" s="1" t="n">
        <v>45616</v>
      </c>
      <c r="C212" s="1" t="n">
        <v>46204</v>
      </c>
      <c r="D212" t="inlineStr">
        <is>
          <t>VÄRMLANDS LÄN</t>
        </is>
      </c>
      <c r="E212" t="inlineStr">
        <is>
          <t>TORSBY</t>
        </is>
      </c>
      <c r="G212" t="n">
        <v>10.2</v>
      </c>
      <c r="H212" t="n">
        <v>0</v>
      </c>
      <c r="I212" t="n">
        <v>1</v>
      </c>
      <c r="J212" t="n">
        <v>0</v>
      </c>
      <c r="K212" t="n">
        <v>0</v>
      </c>
      <c r="L212" t="n">
        <v>0</v>
      </c>
      <c r="M212" t="n">
        <v>0</v>
      </c>
      <c r="N212" t="n">
        <v>0</v>
      </c>
      <c r="O212" t="n">
        <v>0</v>
      </c>
      <c r="P212" t="n">
        <v>0</v>
      </c>
      <c r="Q212" t="n">
        <v>1</v>
      </c>
      <c r="R212" s="2" t="inlineStr">
        <is>
          <t>Vedticka</t>
        </is>
      </c>
      <c r="S212">
        <f>HYPERLINK("https://klasma.github.io/Logging_1737/artfynd/A 54029-2024 artfynd.xlsx", "A 54029-2024")</f>
        <v/>
      </c>
      <c r="T212">
        <f>HYPERLINK("https://klasma.github.io/Logging_1737/kartor/A 54029-2024 karta.png", "A 54029-2024")</f>
        <v/>
      </c>
      <c r="V212">
        <f>HYPERLINK("https://klasma.github.io/Logging_1737/klagomål/A 54029-2024 FSC-klagomål.docx", "A 54029-2024")</f>
        <v/>
      </c>
      <c r="W212">
        <f>HYPERLINK("https://klasma.github.io/Logging_1737/klagomålsmail/A 54029-2024 FSC-klagomål mail.docx", "A 54029-2024")</f>
        <v/>
      </c>
      <c r="X212">
        <f>HYPERLINK("https://klasma.github.io/Logging_1737/tillsyn/A 54029-2024 tillsynsbegäran.docx", "A 54029-2024")</f>
        <v/>
      </c>
      <c r="Y212">
        <f>HYPERLINK("https://klasma.github.io/Logging_1737/tillsynsmail/A 54029-2024 tillsynsbegäran mail.docx", "A 54029-2024")</f>
        <v/>
      </c>
    </row>
    <row r="213" ht="15" customHeight="1">
      <c r="A213" t="inlineStr">
        <is>
          <t>A 1811-2024</t>
        </is>
      </c>
      <c r="B213" s="1" t="n">
        <v>45307</v>
      </c>
      <c r="C213" s="1" t="n">
        <v>46204</v>
      </c>
      <c r="D213" t="inlineStr">
        <is>
          <t>VÄRMLANDS LÄN</t>
        </is>
      </c>
      <c r="E213" t="inlineStr">
        <is>
          <t>TORSBY</t>
        </is>
      </c>
      <c r="G213" t="n">
        <v>12.1</v>
      </c>
      <c r="H213" t="n">
        <v>1</v>
      </c>
      <c r="I213" t="n">
        <v>0</v>
      </c>
      <c r="J213" t="n">
        <v>0</v>
      </c>
      <c r="K213" t="n">
        <v>0</v>
      </c>
      <c r="L213" t="n">
        <v>0</v>
      </c>
      <c r="M213" t="n">
        <v>0</v>
      </c>
      <c r="N213" t="n">
        <v>0</v>
      </c>
      <c r="O213" t="n">
        <v>0</v>
      </c>
      <c r="P213" t="n">
        <v>0</v>
      </c>
      <c r="Q213" t="n">
        <v>1</v>
      </c>
      <c r="R213" s="2" t="inlineStr">
        <is>
          <t>Revlummer</t>
        </is>
      </c>
      <c r="S213">
        <f>HYPERLINK("https://klasma.github.io/Logging_1737/artfynd/A 1811-2024 artfynd.xlsx", "A 1811-2024")</f>
        <v/>
      </c>
      <c r="T213">
        <f>HYPERLINK("https://klasma.github.io/Logging_1737/kartor/A 1811-2024 karta.png", "A 1811-2024")</f>
        <v/>
      </c>
      <c r="V213">
        <f>HYPERLINK("https://klasma.github.io/Logging_1737/klagomål/A 1811-2024 FSC-klagomål.docx", "A 1811-2024")</f>
        <v/>
      </c>
      <c r="W213">
        <f>HYPERLINK("https://klasma.github.io/Logging_1737/klagomålsmail/A 1811-2024 FSC-klagomål mail.docx", "A 1811-2024")</f>
        <v/>
      </c>
      <c r="X213">
        <f>HYPERLINK("https://klasma.github.io/Logging_1737/tillsyn/A 1811-2024 tillsynsbegäran.docx", "A 1811-2024")</f>
        <v/>
      </c>
      <c r="Y213">
        <f>HYPERLINK("https://klasma.github.io/Logging_1737/tillsynsmail/A 1811-2024 tillsynsbegäran mail.docx", "A 1811-2024")</f>
        <v/>
      </c>
    </row>
    <row r="214" ht="15" customHeight="1">
      <c r="A214" t="inlineStr">
        <is>
          <t>A 25802-2025</t>
        </is>
      </c>
      <c r="B214" s="1" t="n">
        <v>45804</v>
      </c>
      <c r="C214" s="1" t="n">
        <v>46204</v>
      </c>
      <c r="D214" t="inlineStr">
        <is>
          <t>VÄRMLANDS LÄN</t>
        </is>
      </c>
      <c r="E214" t="inlineStr">
        <is>
          <t>TORSBY</t>
        </is>
      </c>
      <c r="G214" t="n">
        <v>2.3</v>
      </c>
      <c r="H214" t="n">
        <v>0</v>
      </c>
      <c r="I214" t="n">
        <v>0</v>
      </c>
      <c r="J214" t="n">
        <v>1</v>
      </c>
      <c r="K214" t="n">
        <v>0</v>
      </c>
      <c r="L214" t="n">
        <v>0</v>
      </c>
      <c r="M214" t="n">
        <v>0</v>
      </c>
      <c r="N214" t="n">
        <v>0</v>
      </c>
      <c r="O214" t="n">
        <v>1</v>
      </c>
      <c r="P214" t="n">
        <v>0</v>
      </c>
      <c r="Q214" t="n">
        <v>1</v>
      </c>
      <c r="R214" s="2" t="inlineStr">
        <is>
          <t>Tallticka</t>
        </is>
      </c>
      <c r="S214">
        <f>HYPERLINK("https://klasma.github.io/Logging_1737/artfynd/A 25802-2025 artfynd.xlsx", "A 25802-2025")</f>
        <v/>
      </c>
      <c r="T214">
        <f>HYPERLINK("https://klasma.github.io/Logging_1737/kartor/A 25802-2025 karta.png", "A 25802-2025")</f>
        <v/>
      </c>
      <c r="V214">
        <f>HYPERLINK("https://klasma.github.io/Logging_1737/klagomål/A 25802-2025 FSC-klagomål.docx", "A 25802-2025")</f>
        <v/>
      </c>
      <c r="W214">
        <f>HYPERLINK("https://klasma.github.io/Logging_1737/klagomålsmail/A 25802-2025 FSC-klagomål mail.docx", "A 25802-2025")</f>
        <v/>
      </c>
      <c r="X214">
        <f>HYPERLINK("https://klasma.github.io/Logging_1737/tillsyn/A 25802-2025 tillsynsbegäran.docx", "A 25802-2025")</f>
        <v/>
      </c>
      <c r="Y214">
        <f>HYPERLINK("https://klasma.github.io/Logging_1737/tillsynsmail/A 25802-2025 tillsynsbegäran mail.docx", "A 25802-2025")</f>
        <v/>
      </c>
    </row>
    <row r="215" ht="15" customHeight="1">
      <c r="A215" t="inlineStr">
        <is>
          <t>A 27116-2025</t>
        </is>
      </c>
      <c r="B215" s="1" t="n">
        <v>45811</v>
      </c>
      <c r="C215" s="1" t="n">
        <v>46204</v>
      </c>
      <c r="D215" t="inlineStr">
        <is>
          <t>VÄRMLANDS LÄN</t>
        </is>
      </c>
      <c r="E215" t="inlineStr">
        <is>
          <t>TORSBY</t>
        </is>
      </c>
      <c r="G215" t="n">
        <v>6.2</v>
      </c>
      <c r="H215" t="n">
        <v>0</v>
      </c>
      <c r="I215" t="n">
        <v>0</v>
      </c>
      <c r="J215" t="n">
        <v>1</v>
      </c>
      <c r="K215" t="n">
        <v>0</v>
      </c>
      <c r="L215" t="n">
        <v>0</v>
      </c>
      <c r="M215" t="n">
        <v>0</v>
      </c>
      <c r="N215" t="n">
        <v>0</v>
      </c>
      <c r="O215" t="n">
        <v>1</v>
      </c>
      <c r="P215" t="n">
        <v>0</v>
      </c>
      <c r="Q215" t="n">
        <v>1</v>
      </c>
      <c r="R215" s="2" t="inlineStr">
        <is>
          <t>Bred trollknäppare</t>
        </is>
      </c>
      <c r="S215">
        <f>HYPERLINK("https://klasma.github.io/Logging_1737/artfynd/A 27116-2025 artfynd.xlsx", "A 27116-2025")</f>
        <v/>
      </c>
      <c r="T215">
        <f>HYPERLINK("https://klasma.github.io/Logging_1737/kartor/A 27116-2025 karta.png", "A 27116-2025")</f>
        <v/>
      </c>
      <c r="V215">
        <f>HYPERLINK("https://klasma.github.io/Logging_1737/klagomål/A 27116-2025 FSC-klagomål.docx", "A 27116-2025")</f>
        <v/>
      </c>
      <c r="W215">
        <f>HYPERLINK("https://klasma.github.io/Logging_1737/klagomålsmail/A 27116-2025 FSC-klagomål mail.docx", "A 27116-2025")</f>
        <v/>
      </c>
      <c r="X215">
        <f>HYPERLINK("https://klasma.github.io/Logging_1737/tillsyn/A 27116-2025 tillsynsbegäran.docx", "A 27116-2025")</f>
        <v/>
      </c>
      <c r="Y215">
        <f>HYPERLINK("https://klasma.github.io/Logging_1737/tillsynsmail/A 27116-2025 tillsynsbegäran mail.docx", "A 27116-2025")</f>
        <v/>
      </c>
    </row>
    <row r="216" ht="15" customHeight="1">
      <c r="A216" t="inlineStr">
        <is>
          <t>A 27301-2025</t>
        </is>
      </c>
      <c r="B216" s="1" t="n">
        <v>45812</v>
      </c>
      <c r="C216" s="1" t="n">
        <v>46204</v>
      </c>
      <c r="D216" t="inlineStr">
        <is>
          <t>VÄRMLANDS LÄN</t>
        </is>
      </c>
      <c r="E216" t="inlineStr">
        <is>
          <t>TORSBY</t>
        </is>
      </c>
      <c r="G216" t="n">
        <v>2.7</v>
      </c>
      <c r="H216" t="n">
        <v>1</v>
      </c>
      <c r="I216" t="n">
        <v>0</v>
      </c>
      <c r="J216" t="n">
        <v>1</v>
      </c>
      <c r="K216" t="n">
        <v>0</v>
      </c>
      <c r="L216" t="n">
        <v>0</v>
      </c>
      <c r="M216" t="n">
        <v>0</v>
      </c>
      <c r="N216" t="n">
        <v>0</v>
      </c>
      <c r="O216" t="n">
        <v>1</v>
      </c>
      <c r="P216" t="n">
        <v>0</v>
      </c>
      <c r="Q216" t="n">
        <v>1</v>
      </c>
      <c r="R216" s="2" t="inlineStr">
        <is>
          <t>Nordfladdermus</t>
        </is>
      </c>
      <c r="S216">
        <f>HYPERLINK("https://klasma.github.io/Logging_1737/artfynd/A 27301-2025 artfynd.xlsx", "A 27301-2025")</f>
        <v/>
      </c>
      <c r="T216">
        <f>HYPERLINK("https://klasma.github.io/Logging_1737/kartor/A 27301-2025 karta.png", "A 27301-2025")</f>
        <v/>
      </c>
      <c r="V216">
        <f>HYPERLINK("https://klasma.github.io/Logging_1737/klagomål/A 27301-2025 FSC-klagomål.docx", "A 27301-2025")</f>
        <v/>
      </c>
      <c r="W216">
        <f>HYPERLINK("https://klasma.github.io/Logging_1737/klagomålsmail/A 27301-2025 FSC-klagomål mail.docx", "A 27301-2025")</f>
        <v/>
      </c>
      <c r="X216">
        <f>HYPERLINK("https://klasma.github.io/Logging_1737/tillsyn/A 27301-2025 tillsynsbegäran.docx", "A 27301-2025")</f>
        <v/>
      </c>
      <c r="Y216">
        <f>HYPERLINK("https://klasma.github.io/Logging_1737/tillsynsmail/A 27301-2025 tillsynsbegäran mail.docx", "A 27301-2025")</f>
        <v/>
      </c>
    </row>
    <row r="217" ht="15" customHeight="1">
      <c r="A217" t="inlineStr">
        <is>
          <t>A 36189-2021</t>
        </is>
      </c>
      <c r="B217" s="1" t="n">
        <v>44389</v>
      </c>
      <c r="C217" s="1" t="n">
        <v>46204</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48324-2021</t>
        </is>
      </c>
      <c r="B218" s="1" t="n">
        <v>44450</v>
      </c>
      <c r="C218" s="1" t="n">
        <v>46204</v>
      </c>
      <c r="D218" t="inlineStr">
        <is>
          <t>VÄRMLANDS LÄN</t>
        </is>
      </c>
      <c r="E218" t="inlineStr">
        <is>
          <t>TORSBY</t>
        </is>
      </c>
      <c r="G218" t="n">
        <v>1.3</v>
      </c>
      <c r="H218" t="n">
        <v>0</v>
      </c>
      <c r="I218" t="n">
        <v>0</v>
      </c>
      <c r="J218" t="n">
        <v>0</v>
      </c>
      <c r="K218" t="n">
        <v>0</v>
      </c>
      <c r="L218" t="n">
        <v>0</v>
      </c>
      <c r="M218" t="n">
        <v>0</v>
      </c>
      <c r="N218" t="n">
        <v>0</v>
      </c>
      <c r="O218" t="n">
        <v>0</v>
      </c>
      <c r="P218" t="n">
        <v>0</v>
      </c>
      <c r="Q218" t="n">
        <v>0</v>
      </c>
      <c r="R218" s="2" t="inlineStr"/>
    </row>
    <row r="219" ht="15" customHeight="1">
      <c r="A219" t="inlineStr">
        <is>
          <t>A 49900-2021</t>
        </is>
      </c>
      <c r="B219" s="1" t="n">
        <v>44455</v>
      </c>
      <c r="C219" s="1" t="n">
        <v>46204</v>
      </c>
      <c r="D219" t="inlineStr">
        <is>
          <t>VÄRMLANDS LÄN</t>
        </is>
      </c>
      <c r="E219" t="inlineStr">
        <is>
          <t>TORSBY</t>
        </is>
      </c>
      <c r="G219" t="n">
        <v>4.1</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46204</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46204</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46204</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46204</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46204</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46204</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46204</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52121-2021</t>
        </is>
      </c>
      <c r="B227" s="1" t="n">
        <v>44463</v>
      </c>
      <c r="C227" s="1" t="n">
        <v>46204</v>
      </c>
      <c r="D227" t="inlineStr">
        <is>
          <t>VÄRMLANDS LÄN</t>
        </is>
      </c>
      <c r="E227" t="inlineStr">
        <is>
          <t>TORSBY</t>
        </is>
      </c>
      <c r="G227" t="n">
        <v>0</v>
      </c>
      <c r="H227" t="n">
        <v>0</v>
      </c>
      <c r="I227" t="n">
        <v>0</v>
      </c>
      <c r="J227" t="n">
        <v>0</v>
      </c>
      <c r="K227" t="n">
        <v>0</v>
      </c>
      <c r="L227" t="n">
        <v>0</v>
      </c>
      <c r="M227" t="n">
        <v>0</v>
      </c>
      <c r="N227" t="n">
        <v>0</v>
      </c>
      <c r="O227" t="n">
        <v>0</v>
      </c>
      <c r="P227" t="n">
        <v>0</v>
      </c>
      <c r="Q227" t="n">
        <v>0</v>
      </c>
      <c r="R227" s="2" t="inlineStr"/>
    </row>
    <row r="228" ht="15" customHeight="1">
      <c r="A228" t="inlineStr">
        <is>
          <t>A 56102-2021</t>
        </is>
      </c>
      <c r="B228" s="1" t="n">
        <v>44477</v>
      </c>
      <c r="C228" s="1" t="n">
        <v>46204</v>
      </c>
      <c r="D228" t="inlineStr">
        <is>
          <t>VÄRMLANDS LÄN</t>
        </is>
      </c>
      <c r="E228" t="inlineStr">
        <is>
          <t>TORSBY</t>
        </is>
      </c>
      <c r="G228" t="n">
        <v>4.6</v>
      </c>
      <c r="H228" t="n">
        <v>0</v>
      </c>
      <c r="I228" t="n">
        <v>0</v>
      </c>
      <c r="J228" t="n">
        <v>0</v>
      </c>
      <c r="K228" t="n">
        <v>0</v>
      </c>
      <c r="L228" t="n">
        <v>0</v>
      </c>
      <c r="M228" t="n">
        <v>0</v>
      </c>
      <c r="N228" t="n">
        <v>0</v>
      </c>
      <c r="O228" t="n">
        <v>0</v>
      </c>
      <c r="P228" t="n">
        <v>0</v>
      </c>
      <c r="Q228" t="n">
        <v>0</v>
      </c>
      <c r="R228" s="2" t="inlineStr"/>
    </row>
    <row r="229" ht="15" customHeight="1">
      <c r="A229" t="inlineStr">
        <is>
          <t>A 70241-2021</t>
        </is>
      </c>
      <c r="B229" s="1" t="n">
        <v>44536</v>
      </c>
      <c r="C229" s="1" t="n">
        <v>46204</v>
      </c>
      <c r="D229" t="inlineStr">
        <is>
          <t>VÄRMLANDS LÄN</t>
        </is>
      </c>
      <c r="E229" t="inlineStr">
        <is>
          <t>TORSBY</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48328-2022</t>
        </is>
      </c>
      <c r="B230" s="1" t="n">
        <v>44853</v>
      </c>
      <c r="C230" s="1" t="n">
        <v>46204</v>
      </c>
      <c r="D230" t="inlineStr">
        <is>
          <t>VÄRMLANDS LÄN</t>
        </is>
      </c>
      <c r="E230" t="inlineStr">
        <is>
          <t>TORSBY</t>
        </is>
      </c>
      <c r="G230" t="n">
        <v>0.4</v>
      </c>
      <c r="H230" t="n">
        <v>0</v>
      </c>
      <c r="I230" t="n">
        <v>0</v>
      </c>
      <c r="J230" t="n">
        <v>0</v>
      </c>
      <c r="K230" t="n">
        <v>0</v>
      </c>
      <c r="L230" t="n">
        <v>0</v>
      </c>
      <c r="M230" t="n">
        <v>0</v>
      </c>
      <c r="N230" t="n">
        <v>0</v>
      </c>
      <c r="O230" t="n">
        <v>0</v>
      </c>
      <c r="P230" t="n">
        <v>0</v>
      </c>
      <c r="Q230" t="n">
        <v>0</v>
      </c>
      <c r="R230" s="2" t="inlineStr"/>
    </row>
    <row r="231" ht="15" customHeight="1">
      <c r="A231" t="inlineStr">
        <is>
          <t>A 51247-2021</t>
        </is>
      </c>
      <c r="B231" s="1" t="n">
        <v>44461</v>
      </c>
      <c r="C231" s="1" t="n">
        <v>46204</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43161-2021</t>
        </is>
      </c>
      <c r="B232" s="1" t="n">
        <v>44431</v>
      </c>
      <c r="C232" s="1" t="n">
        <v>46204</v>
      </c>
      <c r="D232" t="inlineStr">
        <is>
          <t>VÄRMLANDS LÄN</t>
        </is>
      </c>
      <c r="E232" t="inlineStr">
        <is>
          <t>TORSBY</t>
        </is>
      </c>
      <c r="G232" t="n">
        <v>3.7</v>
      </c>
      <c r="H232" t="n">
        <v>0</v>
      </c>
      <c r="I232" t="n">
        <v>0</v>
      </c>
      <c r="J232" t="n">
        <v>0</v>
      </c>
      <c r="K232" t="n">
        <v>0</v>
      </c>
      <c r="L232" t="n">
        <v>0</v>
      </c>
      <c r="M232" t="n">
        <v>0</v>
      </c>
      <c r="N232" t="n">
        <v>0</v>
      </c>
      <c r="O232" t="n">
        <v>0</v>
      </c>
      <c r="P232" t="n">
        <v>0</v>
      </c>
      <c r="Q232" t="n">
        <v>0</v>
      </c>
      <c r="R232" s="2" t="inlineStr"/>
    </row>
    <row r="233" ht="15" customHeight="1">
      <c r="A233" t="inlineStr">
        <is>
          <t>A 29717-2022</t>
        </is>
      </c>
      <c r="B233" s="1" t="n">
        <v>44755</v>
      </c>
      <c r="C233" s="1" t="n">
        <v>46204</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29721-2022</t>
        </is>
      </c>
      <c r="B234" s="1" t="n">
        <v>44755</v>
      </c>
      <c r="C234" s="1" t="n">
        <v>46204</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50100-2021</t>
        </is>
      </c>
      <c r="B235" s="1" t="n">
        <v>44456</v>
      </c>
      <c r="C235" s="1" t="n">
        <v>46204</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22823-2022</t>
        </is>
      </c>
      <c r="B236" s="1" t="n">
        <v>44714</v>
      </c>
      <c r="C236" s="1" t="n">
        <v>46204</v>
      </c>
      <c r="D236" t="inlineStr">
        <is>
          <t>VÄRMLANDS LÄN</t>
        </is>
      </c>
      <c r="E236" t="inlineStr">
        <is>
          <t>TORSBY</t>
        </is>
      </c>
      <c r="G236" t="n">
        <v>4</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46204</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46204</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46204</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46204</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46204</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46204</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46204</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49795-2022</t>
        </is>
      </c>
      <c r="B244" s="1" t="n">
        <v>44862</v>
      </c>
      <c r="C244" s="1" t="n">
        <v>46204</v>
      </c>
      <c r="D244" t="inlineStr">
        <is>
          <t>VÄRMLANDS LÄN</t>
        </is>
      </c>
      <c r="E244" t="inlineStr">
        <is>
          <t>TORSBY</t>
        </is>
      </c>
      <c r="G244" t="n">
        <v>7.6</v>
      </c>
      <c r="H244" t="n">
        <v>0</v>
      </c>
      <c r="I244" t="n">
        <v>0</v>
      </c>
      <c r="J244" t="n">
        <v>0</v>
      </c>
      <c r="K244" t="n">
        <v>0</v>
      </c>
      <c r="L244" t="n">
        <v>0</v>
      </c>
      <c r="M244" t="n">
        <v>0</v>
      </c>
      <c r="N244" t="n">
        <v>0</v>
      </c>
      <c r="O244" t="n">
        <v>0</v>
      </c>
      <c r="P244" t="n">
        <v>0</v>
      </c>
      <c r="Q244" t="n">
        <v>0</v>
      </c>
      <c r="R244" s="2" t="inlineStr"/>
    </row>
    <row r="245" ht="15" customHeight="1">
      <c r="A245" t="inlineStr">
        <is>
          <t>A 28113-2022</t>
        </is>
      </c>
      <c r="B245" s="1" t="n">
        <v>44746</v>
      </c>
      <c r="C245" s="1" t="n">
        <v>46204</v>
      </c>
      <c r="D245" t="inlineStr">
        <is>
          <t>VÄRMLANDS LÄN</t>
        </is>
      </c>
      <c r="E245" t="inlineStr">
        <is>
          <t>TORSBY</t>
        </is>
      </c>
      <c r="G245" t="n">
        <v>1.2</v>
      </c>
      <c r="H245" t="n">
        <v>0</v>
      </c>
      <c r="I245" t="n">
        <v>0</v>
      </c>
      <c r="J245" t="n">
        <v>0</v>
      </c>
      <c r="K245" t="n">
        <v>0</v>
      </c>
      <c r="L245" t="n">
        <v>0</v>
      </c>
      <c r="M245" t="n">
        <v>0</v>
      </c>
      <c r="N245" t="n">
        <v>0</v>
      </c>
      <c r="O245" t="n">
        <v>0</v>
      </c>
      <c r="P245" t="n">
        <v>0</v>
      </c>
      <c r="Q245" t="n">
        <v>0</v>
      </c>
      <c r="R245" s="2" t="inlineStr"/>
    </row>
    <row r="246" ht="15" customHeight="1">
      <c r="A246" t="inlineStr">
        <is>
          <t>A 20174-2022</t>
        </is>
      </c>
      <c r="B246" s="1" t="n">
        <v>44698</v>
      </c>
      <c r="C246" s="1" t="n">
        <v>46204</v>
      </c>
      <c r="D246" t="inlineStr">
        <is>
          <t>VÄRMLANDS LÄN</t>
        </is>
      </c>
      <c r="E246" t="inlineStr">
        <is>
          <t>TORSBY</t>
        </is>
      </c>
      <c r="G246" t="n">
        <v>4.4</v>
      </c>
      <c r="H246" t="n">
        <v>0</v>
      </c>
      <c r="I246" t="n">
        <v>0</v>
      </c>
      <c r="J246" t="n">
        <v>0</v>
      </c>
      <c r="K246" t="n">
        <v>0</v>
      </c>
      <c r="L246" t="n">
        <v>0</v>
      </c>
      <c r="M246" t="n">
        <v>0</v>
      </c>
      <c r="N246" t="n">
        <v>0</v>
      </c>
      <c r="O246" t="n">
        <v>0</v>
      </c>
      <c r="P246" t="n">
        <v>0</v>
      </c>
      <c r="Q246" t="n">
        <v>0</v>
      </c>
      <c r="R246" s="2" t="inlineStr"/>
    </row>
    <row r="247" ht="15" customHeight="1">
      <c r="A247" t="inlineStr">
        <is>
          <t>A 49959-2022</t>
        </is>
      </c>
      <c r="B247" s="1" t="n">
        <v>44865</v>
      </c>
      <c r="C247" s="1" t="n">
        <v>46204</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37937-2022</t>
        </is>
      </c>
      <c r="B248" s="1" t="n">
        <v>44811</v>
      </c>
      <c r="C248" s="1" t="n">
        <v>46204</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46204</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51522-2021</t>
        </is>
      </c>
      <c r="B250" s="1" t="n">
        <v>44462</v>
      </c>
      <c r="C250" s="1" t="n">
        <v>46204</v>
      </c>
      <c r="D250" t="inlineStr">
        <is>
          <t>VÄRMLANDS LÄN</t>
        </is>
      </c>
      <c r="E250" t="inlineStr">
        <is>
          <t>TORSBY</t>
        </is>
      </c>
      <c r="G250" t="n">
        <v>0.3</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46204</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46204</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46204</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46204</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46204</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46204</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18779-2022</t>
        </is>
      </c>
      <c r="B257" s="1" t="n">
        <v>44689</v>
      </c>
      <c r="C257" s="1" t="n">
        <v>46204</v>
      </c>
      <c r="D257" t="inlineStr">
        <is>
          <t>VÄRMLANDS LÄN</t>
        </is>
      </c>
      <c r="E257" t="inlineStr">
        <is>
          <t>TORSBY</t>
        </is>
      </c>
      <c r="G257" t="n">
        <v>5.1</v>
      </c>
      <c r="H257" t="n">
        <v>0</v>
      </c>
      <c r="I257" t="n">
        <v>0</v>
      </c>
      <c r="J257" t="n">
        <v>0</v>
      </c>
      <c r="K257" t="n">
        <v>0</v>
      </c>
      <c r="L257" t="n">
        <v>0</v>
      </c>
      <c r="M257" t="n">
        <v>0</v>
      </c>
      <c r="N257" t="n">
        <v>0</v>
      </c>
      <c r="O257" t="n">
        <v>0</v>
      </c>
      <c r="P257" t="n">
        <v>0</v>
      </c>
      <c r="Q257" t="n">
        <v>0</v>
      </c>
      <c r="R257" s="2" t="inlineStr"/>
    </row>
    <row r="258" ht="15" customHeight="1">
      <c r="A258" t="inlineStr">
        <is>
          <t>A 45666-2022</t>
        </is>
      </c>
      <c r="B258" s="1" t="n">
        <v>44845</v>
      </c>
      <c r="C258" s="1" t="n">
        <v>46204</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46204</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46204</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46204</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46204</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46204</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46204</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54811-2022</t>
        </is>
      </c>
      <c r="B265" s="1" t="n">
        <v>44883</v>
      </c>
      <c r="C265" s="1" t="n">
        <v>46204</v>
      </c>
      <c r="D265" t="inlineStr">
        <is>
          <t>VÄRMLANDS LÄN</t>
        </is>
      </c>
      <c r="E265" t="inlineStr">
        <is>
          <t>TORSBY</t>
        </is>
      </c>
      <c r="G265" t="n">
        <v>2.5</v>
      </c>
      <c r="H265" t="n">
        <v>0</v>
      </c>
      <c r="I265" t="n">
        <v>0</v>
      </c>
      <c r="J265" t="n">
        <v>0</v>
      </c>
      <c r="K265" t="n">
        <v>0</v>
      </c>
      <c r="L265" t="n">
        <v>0</v>
      </c>
      <c r="M265" t="n">
        <v>0</v>
      </c>
      <c r="N265" t="n">
        <v>0</v>
      </c>
      <c r="O265" t="n">
        <v>0</v>
      </c>
      <c r="P265" t="n">
        <v>0</v>
      </c>
      <c r="Q265" t="n">
        <v>0</v>
      </c>
      <c r="R265" s="2" t="inlineStr"/>
    </row>
    <row r="266" ht="15" customHeight="1">
      <c r="A266" t="inlineStr">
        <is>
          <t>A 41678-2021</t>
        </is>
      </c>
      <c r="B266" s="1" t="n">
        <v>44425</v>
      </c>
      <c r="C266" s="1" t="n">
        <v>46204</v>
      </c>
      <c r="D266" t="inlineStr">
        <is>
          <t>VÄRMLANDS LÄN</t>
        </is>
      </c>
      <c r="E266" t="inlineStr">
        <is>
          <t>TORSBY</t>
        </is>
      </c>
      <c r="G266" t="n">
        <v>4.3</v>
      </c>
      <c r="H266" t="n">
        <v>0</v>
      </c>
      <c r="I266" t="n">
        <v>0</v>
      </c>
      <c r="J266" t="n">
        <v>0</v>
      </c>
      <c r="K266" t="n">
        <v>0</v>
      </c>
      <c r="L266" t="n">
        <v>0</v>
      </c>
      <c r="M266" t="n">
        <v>0</v>
      </c>
      <c r="N266" t="n">
        <v>0</v>
      </c>
      <c r="O266" t="n">
        <v>0</v>
      </c>
      <c r="P266" t="n">
        <v>0</v>
      </c>
      <c r="Q266" t="n">
        <v>0</v>
      </c>
      <c r="R266" s="2" t="inlineStr"/>
    </row>
    <row r="267" ht="15" customHeight="1">
      <c r="A267" t="inlineStr">
        <is>
          <t>A 44923-2021</t>
        </is>
      </c>
      <c r="B267" s="1" t="n">
        <v>44438</v>
      </c>
      <c r="C267" s="1" t="n">
        <v>46204</v>
      </c>
      <c r="D267" t="inlineStr">
        <is>
          <t>VÄRMLANDS LÄN</t>
        </is>
      </c>
      <c r="E267" t="inlineStr">
        <is>
          <t>TORSBY</t>
        </is>
      </c>
      <c r="G267" t="n">
        <v>1.9</v>
      </c>
      <c r="H267" t="n">
        <v>0</v>
      </c>
      <c r="I267" t="n">
        <v>0</v>
      </c>
      <c r="J267" t="n">
        <v>0</v>
      </c>
      <c r="K267" t="n">
        <v>0</v>
      </c>
      <c r="L267" t="n">
        <v>0</v>
      </c>
      <c r="M267" t="n">
        <v>0</v>
      </c>
      <c r="N267" t="n">
        <v>0</v>
      </c>
      <c r="O267" t="n">
        <v>0</v>
      </c>
      <c r="P267" t="n">
        <v>0</v>
      </c>
      <c r="Q267" t="n">
        <v>0</v>
      </c>
      <c r="R267" s="2" t="inlineStr"/>
    </row>
    <row r="268" ht="15" customHeight="1">
      <c r="A268" t="inlineStr">
        <is>
          <t>A 33959-2022</t>
        </is>
      </c>
      <c r="B268" s="1" t="n">
        <v>44790</v>
      </c>
      <c r="C268" s="1" t="n">
        <v>46204</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46204</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46204</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28172-2022</t>
        </is>
      </c>
      <c r="B271" s="1" t="n">
        <v>44746</v>
      </c>
      <c r="C271" s="1" t="n">
        <v>46204</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46204</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34885-2021</t>
        </is>
      </c>
      <c r="B273" s="1" t="n">
        <v>44383</v>
      </c>
      <c r="C273" s="1" t="n">
        <v>46204</v>
      </c>
      <c r="D273" t="inlineStr">
        <is>
          <t>VÄRMLANDS LÄN</t>
        </is>
      </c>
      <c r="E273" t="inlineStr">
        <is>
          <t>TORSBY</t>
        </is>
      </c>
      <c r="G273" t="n">
        <v>8.9</v>
      </c>
      <c r="H273" t="n">
        <v>0</v>
      </c>
      <c r="I273" t="n">
        <v>0</v>
      </c>
      <c r="J273" t="n">
        <v>0</v>
      </c>
      <c r="K273" t="n">
        <v>0</v>
      </c>
      <c r="L273" t="n">
        <v>0</v>
      </c>
      <c r="M273" t="n">
        <v>0</v>
      </c>
      <c r="N273" t="n">
        <v>0</v>
      </c>
      <c r="O273" t="n">
        <v>0</v>
      </c>
      <c r="P273" t="n">
        <v>0</v>
      </c>
      <c r="Q273" t="n">
        <v>0</v>
      </c>
      <c r="R273" s="2" t="inlineStr"/>
    </row>
    <row r="274" ht="15" customHeight="1">
      <c r="A274" t="inlineStr">
        <is>
          <t>A 65959-2021</t>
        </is>
      </c>
      <c r="B274" s="1" t="n">
        <v>44517</v>
      </c>
      <c r="C274" s="1" t="n">
        <v>46204</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62576-2021</t>
        </is>
      </c>
      <c r="B275" s="1" t="n">
        <v>44502</v>
      </c>
      <c r="C275" s="1" t="n">
        <v>46204</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69265-2021</t>
        </is>
      </c>
      <c r="B276" s="1" t="n">
        <v>44526</v>
      </c>
      <c r="C276" s="1" t="n">
        <v>46204</v>
      </c>
      <c r="D276" t="inlineStr">
        <is>
          <t>VÄRMLANDS LÄN</t>
        </is>
      </c>
      <c r="E276" t="inlineStr">
        <is>
          <t>TORSBY</t>
        </is>
      </c>
      <c r="G276" t="n">
        <v>11.1</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46204</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46204</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46551-2022</t>
        </is>
      </c>
      <c r="B279" s="1" t="n">
        <v>44848</v>
      </c>
      <c r="C279" s="1" t="n">
        <v>46204</v>
      </c>
      <c r="D279" t="inlineStr">
        <is>
          <t>VÄRMLANDS LÄN</t>
        </is>
      </c>
      <c r="E279" t="inlineStr">
        <is>
          <t>TORSBY</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35545-2021</t>
        </is>
      </c>
      <c r="B280" s="1" t="n">
        <v>44385</v>
      </c>
      <c r="C280" s="1" t="n">
        <v>46204</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52543-2022</t>
        </is>
      </c>
      <c r="B281" s="1" t="n">
        <v>44874</v>
      </c>
      <c r="C281" s="1" t="n">
        <v>46204</v>
      </c>
      <c r="D281" t="inlineStr">
        <is>
          <t>VÄRMLANDS LÄN</t>
        </is>
      </c>
      <c r="E281" t="inlineStr">
        <is>
          <t>TORSBY</t>
        </is>
      </c>
      <c r="G281" t="n">
        <v>10.1</v>
      </c>
      <c r="H281" t="n">
        <v>0</v>
      </c>
      <c r="I281" t="n">
        <v>0</v>
      </c>
      <c r="J281" t="n">
        <v>0</v>
      </c>
      <c r="K281" t="n">
        <v>0</v>
      </c>
      <c r="L281" t="n">
        <v>0</v>
      </c>
      <c r="M281" t="n">
        <v>0</v>
      </c>
      <c r="N281" t="n">
        <v>0</v>
      </c>
      <c r="O281" t="n">
        <v>0</v>
      </c>
      <c r="P281" t="n">
        <v>0</v>
      </c>
      <c r="Q281" t="n">
        <v>0</v>
      </c>
      <c r="R281" s="2" t="inlineStr"/>
    </row>
    <row r="282" ht="15" customHeight="1">
      <c r="A282" t="inlineStr">
        <is>
          <t>A 43095-2021</t>
        </is>
      </c>
      <c r="B282" s="1" t="n">
        <v>44431</v>
      </c>
      <c r="C282" s="1" t="n">
        <v>46204</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65998-2021</t>
        </is>
      </c>
      <c r="B283" s="1" t="n">
        <v>44517</v>
      </c>
      <c r="C283" s="1" t="n">
        <v>46204</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17765-2022</t>
        </is>
      </c>
      <c r="B284" s="1" t="n">
        <v>44681</v>
      </c>
      <c r="C284" s="1" t="n">
        <v>46204</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49192-2021</t>
        </is>
      </c>
      <c r="B285" s="1" t="n">
        <v>44454</v>
      </c>
      <c r="C285" s="1" t="n">
        <v>46204</v>
      </c>
      <c r="D285" t="inlineStr">
        <is>
          <t>VÄRMLANDS LÄN</t>
        </is>
      </c>
      <c r="E285" t="inlineStr">
        <is>
          <t>TORSBY</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56062-2021</t>
        </is>
      </c>
      <c r="B286" s="1" t="n">
        <v>44477</v>
      </c>
      <c r="C286" s="1" t="n">
        <v>46204</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20045-2022</t>
        </is>
      </c>
      <c r="B287" s="1" t="n">
        <v>44697</v>
      </c>
      <c r="C287" s="1" t="n">
        <v>46204</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43136-2021</t>
        </is>
      </c>
      <c r="B288" s="1" t="n">
        <v>44431</v>
      </c>
      <c r="C288" s="1" t="n">
        <v>46204</v>
      </c>
      <c r="D288" t="inlineStr">
        <is>
          <t>VÄRMLANDS LÄN</t>
        </is>
      </c>
      <c r="E288" t="inlineStr">
        <is>
          <t>TORSBY</t>
        </is>
      </c>
      <c r="G288" t="n">
        <v>14.4</v>
      </c>
      <c r="H288" t="n">
        <v>0</v>
      </c>
      <c r="I288" t="n">
        <v>0</v>
      </c>
      <c r="J288" t="n">
        <v>0</v>
      </c>
      <c r="K288" t="n">
        <v>0</v>
      </c>
      <c r="L288" t="n">
        <v>0</v>
      </c>
      <c r="M288" t="n">
        <v>0</v>
      </c>
      <c r="N288" t="n">
        <v>0</v>
      </c>
      <c r="O288" t="n">
        <v>0</v>
      </c>
      <c r="P288" t="n">
        <v>0</v>
      </c>
      <c r="Q288" t="n">
        <v>0</v>
      </c>
      <c r="R288" s="2" t="inlineStr"/>
    </row>
    <row r="289" ht="15" customHeight="1">
      <c r="A289" t="inlineStr">
        <is>
          <t>A 14320-2022</t>
        </is>
      </c>
      <c r="B289" s="1" t="n">
        <v>44652</v>
      </c>
      <c r="C289" s="1" t="n">
        <v>46204</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8739-2022</t>
        </is>
      </c>
      <c r="B290" s="1" t="n">
        <v>44615</v>
      </c>
      <c r="C290" s="1" t="n">
        <v>46204</v>
      </c>
      <c r="D290" t="inlineStr">
        <is>
          <t>VÄRMLANDS LÄN</t>
        </is>
      </c>
      <c r="E290" t="inlineStr">
        <is>
          <t>TORSBY</t>
        </is>
      </c>
      <c r="G290" t="n">
        <v>1.8</v>
      </c>
      <c r="H290" t="n">
        <v>0</v>
      </c>
      <c r="I290" t="n">
        <v>0</v>
      </c>
      <c r="J290" t="n">
        <v>0</v>
      </c>
      <c r="K290" t="n">
        <v>0</v>
      </c>
      <c r="L290" t="n">
        <v>0</v>
      </c>
      <c r="M290" t="n">
        <v>0</v>
      </c>
      <c r="N290" t="n">
        <v>0</v>
      </c>
      <c r="O290" t="n">
        <v>0</v>
      </c>
      <c r="P290" t="n">
        <v>0</v>
      </c>
      <c r="Q290" t="n">
        <v>0</v>
      </c>
      <c r="R290" s="2" t="inlineStr"/>
    </row>
    <row r="291" ht="15" customHeight="1">
      <c r="A291" t="inlineStr">
        <is>
          <t>A 18628-2022</t>
        </is>
      </c>
      <c r="B291" s="1" t="n">
        <v>44687</v>
      </c>
      <c r="C291" s="1" t="n">
        <v>46204</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46934-2021</t>
        </is>
      </c>
      <c r="B292" s="1" t="n">
        <v>44446</v>
      </c>
      <c r="C292" s="1" t="n">
        <v>46204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71255-2021</t>
        </is>
      </c>
      <c r="B293" s="1" t="n">
        <v>44538</v>
      </c>
      <c r="C293" s="1" t="n">
        <v>46204</v>
      </c>
      <c r="D293" t="inlineStr">
        <is>
          <t>VÄRMLANDS LÄN</t>
        </is>
      </c>
      <c r="E293" t="inlineStr">
        <is>
          <t>TORSBY</t>
        </is>
      </c>
      <c r="G293" t="n">
        <v>3.1</v>
      </c>
      <c r="H293" t="n">
        <v>0</v>
      </c>
      <c r="I293" t="n">
        <v>0</v>
      </c>
      <c r="J293" t="n">
        <v>0</v>
      </c>
      <c r="K293" t="n">
        <v>0</v>
      </c>
      <c r="L293" t="n">
        <v>0</v>
      </c>
      <c r="M293" t="n">
        <v>0</v>
      </c>
      <c r="N293" t="n">
        <v>0</v>
      </c>
      <c r="O293" t="n">
        <v>0</v>
      </c>
      <c r="P293" t="n">
        <v>0</v>
      </c>
      <c r="Q293" t="n">
        <v>0</v>
      </c>
      <c r="R293" s="2" t="inlineStr"/>
    </row>
    <row r="294" ht="15" customHeight="1">
      <c r="A294" t="inlineStr">
        <is>
          <t>A 37917-2022</t>
        </is>
      </c>
      <c r="B294" s="1" t="n">
        <v>44811</v>
      </c>
      <c r="C294" s="1" t="n">
        <v>46204</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38179-2022</t>
        </is>
      </c>
      <c r="B295" s="1" t="n">
        <v>44812</v>
      </c>
      <c r="C295" s="1" t="n">
        <v>46204</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47466-2022</t>
        </is>
      </c>
      <c r="B296" s="1" t="n">
        <v>44852</v>
      </c>
      <c r="C296" s="1" t="n">
        <v>46204</v>
      </c>
      <c r="D296" t="inlineStr">
        <is>
          <t>VÄRMLANDS LÄN</t>
        </is>
      </c>
      <c r="E296" t="inlineStr">
        <is>
          <t>TORSBY</t>
        </is>
      </c>
      <c r="G296" t="n">
        <v>3</v>
      </c>
      <c r="H296" t="n">
        <v>0</v>
      </c>
      <c r="I296" t="n">
        <v>0</v>
      </c>
      <c r="J296" t="n">
        <v>0</v>
      </c>
      <c r="K296" t="n">
        <v>0</v>
      </c>
      <c r="L296" t="n">
        <v>0</v>
      </c>
      <c r="M296" t="n">
        <v>0</v>
      </c>
      <c r="N296" t="n">
        <v>0</v>
      </c>
      <c r="O296" t="n">
        <v>0</v>
      </c>
      <c r="P296" t="n">
        <v>0</v>
      </c>
      <c r="Q296" t="n">
        <v>0</v>
      </c>
      <c r="R296" s="2" t="inlineStr"/>
    </row>
    <row r="297" ht="15" customHeight="1">
      <c r="A297" t="inlineStr">
        <is>
          <t>A 70253-2021</t>
        </is>
      </c>
      <c r="B297" s="1" t="n">
        <v>44536</v>
      </c>
      <c r="C297" s="1" t="n">
        <v>46204</v>
      </c>
      <c r="D297" t="inlineStr">
        <is>
          <t>VÄRMLANDS LÄN</t>
        </is>
      </c>
      <c r="E297" t="inlineStr">
        <is>
          <t>TORSBY</t>
        </is>
      </c>
      <c r="G297" t="n">
        <v>4.3</v>
      </c>
      <c r="H297" t="n">
        <v>0</v>
      </c>
      <c r="I297" t="n">
        <v>0</v>
      </c>
      <c r="J297" t="n">
        <v>0</v>
      </c>
      <c r="K297" t="n">
        <v>0</v>
      </c>
      <c r="L297" t="n">
        <v>0</v>
      </c>
      <c r="M297" t="n">
        <v>0</v>
      </c>
      <c r="N297" t="n">
        <v>0</v>
      </c>
      <c r="O297" t="n">
        <v>0</v>
      </c>
      <c r="P297" t="n">
        <v>0</v>
      </c>
      <c r="Q297" t="n">
        <v>0</v>
      </c>
      <c r="R297" s="2" t="inlineStr"/>
    </row>
    <row r="298" ht="15" customHeight="1">
      <c r="A298" t="inlineStr">
        <is>
          <t>A 32003-2022</t>
        </is>
      </c>
      <c r="B298" s="1" t="n">
        <v>44778</v>
      </c>
      <c r="C298" s="1" t="n">
        <v>46204</v>
      </c>
      <c r="D298" t="inlineStr">
        <is>
          <t>VÄRMLANDS LÄN</t>
        </is>
      </c>
      <c r="E298" t="inlineStr">
        <is>
          <t>TORSBY</t>
        </is>
      </c>
      <c r="G298" t="n">
        <v>1.4</v>
      </c>
      <c r="H298" t="n">
        <v>0</v>
      </c>
      <c r="I298" t="n">
        <v>0</v>
      </c>
      <c r="J298" t="n">
        <v>0</v>
      </c>
      <c r="K298" t="n">
        <v>0</v>
      </c>
      <c r="L298" t="n">
        <v>0</v>
      </c>
      <c r="M298" t="n">
        <v>0</v>
      </c>
      <c r="N298" t="n">
        <v>0</v>
      </c>
      <c r="O298" t="n">
        <v>0</v>
      </c>
      <c r="P298" t="n">
        <v>0</v>
      </c>
      <c r="Q298" t="n">
        <v>0</v>
      </c>
      <c r="R298" s="2" t="inlineStr"/>
    </row>
    <row r="299" ht="15" customHeight="1">
      <c r="A299" t="inlineStr">
        <is>
          <t>A 33181-2022</t>
        </is>
      </c>
      <c r="B299" s="1" t="n">
        <v>44785</v>
      </c>
      <c r="C299" s="1" t="n">
        <v>46204</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35851-2022</t>
        </is>
      </c>
      <c r="B300" s="1" t="n">
        <v>44802</v>
      </c>
      <c r="C300" s="1" t="n">
        <v>46204</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39186-2022</t>
        </is>
      </c>
      <c r="B301" s="1" t="n">
        <v>44817</v>
      </c>
      <c r="C301" s="1" t="n">
        <v>46204</v>
      </c>
      <c r="D301" t="inlineStr">
        <is>
          <t>VÄRMLANDS LÄN</t>
        </is>
      </c>
      <c r="E301" t="inlineStr">
        <is>
          <t>TORSBY</t>
        </is>
      </c>
      <c r="F301" t="inlineStr">
        <is>
          <t>Bergvik skog väst AB</t>
        </is>
      </c>
      <c r="G301" t="n">
        <v>20.3</v>
      </c>
      <c r="H301" t="n">
        <v>0</v>
      </c>
      <c r="I301" t="n">
        <v>0</v>
      </c>
      <c r="J301" t="n">
        <v>0</v>
      </c>
      <c r="K301" t="n">
        <v>0</v>
      </c>
      <c r="L301" t="n">
        <v>0</v>
      </c>
      <c r="M301" t="n">
        <v>0</v>
      </c>
      <c r="N301" t="n">
        <v>0</v>
      </c>
      <c r="O301" t="n">
        <v>0</v>
      </c>
      <c r="P301" t="n">
        <v>0</v>
      </c>
      <c r="Q301" t="n">
        <v>0</v>
      </c>
      <c r="R301" s="2" t="inlineStr"/>
    </row>
    <row r="302" ht="15" customHeight="1">
      <c r="A302" t="inlineStr">
        <is>
          <t>A 11664-2022</t>
        </is>
      </c>
      <c r="B302" s="1" t="n">
        <v>44632</v>
      </c>
      <c r="C302" s="1" t="n">
        <v>46204</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53044-2022</t>
        </is>
      </c>
      <c r="B303" s="1" t="n">
        <v>44876</v>
      </c>
      <c r="C303" s="1" t="n">
        <v>46204</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53076-2022</t>
        </is>
      </c>
      <c r="B304" s="1" t="n">
        <v>44876</v>
      </c>
      <c r="C304" s="1" t="n">
        <v>46204</v>
      </c>
      <c r="D304" t="inlineStr">
        <is>
          <t>VÄRMLANDS LÄN</t>
        </is>
      </c>
      <c r="E304" t="inlineStr">
        <is>
          <t>TORSBY</t>
        </is>
      </c>
      <c r="G304" t="n">
        <v>0.4</v>
      </c>
      <c r="H304" t="n">
        <v>0</v>
      </c>
      <c r="I304" t="n">
        <v>0</v>
      </c>
      <c r="J304" t="n">
        <v>0</v>
      </c>
      <c r="K304" t="n">
        <v>0</v>
      </c>
      <c r="L304" t="n">
        <v>0</v>
      </c>
      <c r="M304" t="n">
        <v>0</v>
      </c>
      <c r="N304" t="n">
        <v>0</v>
      </c>
      <c r="O304" t="n">
        <v>0</v>
      </c>
      <c r="P304" t="n">
        <v>0</v>
      </c>
      <c r="Q304" t="n">
        <v>0</v>
      </c>
      <c r="R304" s="2" t="inlineStr"/>
    </row>
    <row r="305" ht="15" customHeight="1">
      <c r="A305" t="inlineStr">
        <is>
          <t>A 45445-2021</t>
        </is>
      </c>
      <c r="B305" s="1" t="n">
        <v>44440</v>
      </c>
      <c r="C305" s="1" t="n">
        <v>46204</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57287-2021</t>
        </is>
      </c>
      <c r="B306" s="1" t="n">
        <v>44482</v>
      </c>
      <c r="C306" s="1" t="n">
        <v>46204</v>
      </c>
      <c r="D306" t="inlineStr">
        <is>
          <t>VÄRMLANDS LÄN</t>
        </is>
      </c>
      <c r="E306" t="inlineStr">
        <is>
          <t>TORSBY</t>
        </is>
      </c>
      <c r="G306" t="n">
        <v>2.7</v>
      </c>
      <c r="H306" t="n">
        <v>0</v>
      </c>
      <c r="I306" t="n">
        <v>0</v>
      </c>
      <c r="J306" t="n">
        <v>0</v>
      </c>
      <c r="K306" t="n">
        <v>0</v>
      </c>
      <c r="L306" t="n">
        <v>0</v>
      </c>
      <c r="M306" t="n">
        <v>0</v>
      </c>
      <c r="N306" t="n">
        <v>0</v>
      </c>
      <c r="O306" t="n">
        <v>0</v>
      </c>
      <c r="P306" t="n">
        <v>0</v>
      </c>
      <c r="Q306" t="n">
        <v>0</v>
      </c>
      <c r="R306" s="2" t="inlineStr"/>
    </row>
    <row r="307" ht="15" customHeight="1">
      <c r="A307" t="inlineStr">
        <is>
          <t>A 43052-2021</t>
        </is>
      </c>
      <c r="B307" s="1" t="n">
        <v>44431</v>
      </c>
      <c r="C307" s="1" t="n">
        <v>46204</v>
      </c>
      <c r="D307" t="inlineStr">
        <is>
          <t>VÄRMLANDS LÄN</t>
        </is>
      </c>
      <c r="E307" t="inlineStr">
        <is>
          <t>TORSBY</t>
        </is>
      </c>
      <c r="G307" t="n">
        <v>25.1</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46204</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46204</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20907-2022</t>
        </is>
      </c>
      <c r="B310" s="1" t="n">
        <v>44701</v>
      </c>
      <c r="C310" s="1" t="n">
        <v>46204</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52900-2021</t>
        </is>
      </c>
      <c r="B311" s="1" t="n">
        <v>44467</v>
      </c>
      <c r="C311" s="1" t="n">
        <v>46204</v>
      </c>
      <c r="D311" t="inlineStr">
        <is>
          <t>VÄRMLANDS LÄN</t>
        </is>
      </c>
      <c r="E311" t="inlineStr">
        <is>
          <t>TORSBY</t>
        </is>
      </c>
      <c r="G311" t="n">
        <v>3.8</v>
      </c>
      <c r="H311" t="n">
        <v>0</v>
      </c>
      <c r="I311" t="n">
        <v>0</v>
      </c>
      <c r="J311" t="n">
        <v>0</v>
      </c>
      <c r="K311" t="n">
        <v>0</v>
      </c>
      <c r="L311" t="n">
        <v>0</v>
      </c>
      <c r="M311" t="n">
        <v>0</v>
      </c>
      <c r="N311" t="n">
        <v>0</v>
      </c>
      <c r="O311" t="n">
        <v>0</v>
      </c>
      <c r="P311" t="n">
        <v>0</v>
      </c>
      <c r="Q311" t="n">
        <v>0</v>
      </c>
      <c r="R311" s="2" t="inlineStr"/>
    </row>
    <row r="312" ht="15" customHeight="1">
      <c r="A312" t="inlineStr">
        <is>
          <t>A 37608-2021</t>
        </is>
      </c>
      <c r="B312" s="1" t="n">
        <v>44399</v>
      </c>
      <c r="C312" s="1" t="n">
        <v>46204</v>
      </c>
      <c r="D312" t="inlineStr">
        <is>
          <t>VÄRMLANDS LÄN</t>
        </is>
      </c>
      <c r="E312" t="inlineStr">
        <is>
          <t>TORSBY</t>
        </is>
      </c>
      <c r="G312" t="n">
        <v>1.7</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46204</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35606-2022</t>
        </is>
      </c>
      <c r="B314" s="1" t="n">
        <v>44799</v>
      </c>
      <c r="C314" s="1" t="n">
        <v>46204</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48712-2022</t>
        </is>
      </c>
      <c r="B315" s="1" t="n">
        <v>44859</v>
      </c>
      <c r="C315" s="1" t="n">
        <v>46204</v>
      </c>
      <c r="D315" t="inlineStr">
        <is>
          <t>VÄRMLANDS LÄN</t>
        </is>
      </c>
      <c r="E315" t="inlineStr">
        <is>
          <t>TORSBY</t>
        </is>
      </c>
      <c r="F315" t="inlineStr">
        <is>
          <t>Bergvik skog väst AB</t>
        </is>
      </c>
      <c r="G315" t="n">
        <v>22.7</v>
      </c>
      <c r="H315" t="n">
        <v>0</v>
      </c>
      <c r="I315" t="n">
        <v>0</v>
      </c>
      <c r="J315" t="n">
        <v>0</v>
      </c>
      <c r="K315" t="n">
        <v>0</v>
      </c>
      <c r="L315" t="n">
        <v>0</v>
      </c>
      <c r="M315" t="n">
        <v>0</v>
      </c>
      <c r="N315" t="n">
        <v>0</v>
      </c>
      <c r="O315" t="n">
        <v>0</v>
      </c>
      <c r="P315" t="n">
        <v>0</v>
      </c>
      <c r="Q315" t="n">
        <v>0</v>
      </c>
      <c r="R315" s="2" t="inlineStr"/>
    </row>
    <row r="316" ht="15" customHeight="1">
      <c r="A316" t="inlineStr">
        <is>
          <t>A 44327-2022</t>
        </is>
      </c>
      <c r="B316" s="1" t="n">
        <v>44839</v>
      </c>
      <c r="C316" s="1" t="n">
        <v>46204</v>
      </c>
      <c r="D316" t="inlineStr">
        <is>
          <t>VÄRMLANDS LÄN</t>
        </is>
      </c>
      <c r="E316" t="inlineStr">
        <is>
          <t>TORSBY</t>
        </is>
      </c>
      <c r="G316" t="n">
        <v>3.5</v>
      </c>
      <c r="H316" t="n">
        <v>0</v>
      </c>
      <c r="I316" t="n">
        <v>0</v>
      </c>
      <c r="J316" t="n">
        <v>0</v>
      </c>
      <c r="K316" t="n">
        <v>0</v>
      </c>
      <c r="L316" t="n">
        <v>0</v>
      </c>
      <c r="M316" t="n">
        <v>0</v>
      </c>
      <c r="N316" t="n">
        <v>0</v>
      </c>
      <c r="O316" t="n">
        <v>0</v>
      </c>
      <c r="P316" t="n">
        <v>0</v>
      </c>
      <c r="Q316" t="n">
        <v>0</v>
      </c>
      <c r="R316" s="2" t="inlineStr"/>
    </row>
    <row r="317" ht="15" customHeight="1">
      <c r="A317" t="inlineStr">
        <is>
          <t>A 47083-2021</t>
        </is>
      </c>
      <c r="B317" s="1" t="n">
        <v>44446</v>
      </c>
      <c r="C317" s="1" t="n">
        <v>46204</v>
      </c>
      <c r="D317" t="inlineStr">
        <is>
          <t>VÄRMLANDS LÄN</t>
        </is>
      </c>
      <c r="E317" t="inlineStr">
        <is>
          <t>TORSBY</t>
        </is>
      </c>
      <c r="G317" t="n">
        <v>1.8</v>
      </c>
      <c r="H317" t="n">
        <v>0</v>
      </c>
      <c r="I317" t="n">
        <v>0</v>
      </c>
      <c r="J317" t="n">
        <v>0</v>
      </c>
      <c r="K317" t="n">
        <v>0</v>
      </c>
      <c r="L317" t="n">
        <v>0</v>
      </c>
      <c r="M317" t="n">
        <v>0</v>
      </c>
      <c r="N317" t="n">
        <v>0</v>
      </c>
      <c r="O317" t="n">
        <v>0</v>
      </c>
      <c r="P317" t="n">
        <v>0</v>
      </c>
      <c r="Q317" t="n">
        <v>0</v>
      </c>
      <c r="R317" s="2" t="inlineStr"/>
    </row>
    <row r="318" ht="15" customHeight="1">
      <c r="A318" t="inlineStr">
        <is>
          <t>A 47098-2021</t>
        </is>
      </c>
      <c r="B318" s="1" t="n">
        <v>44446</v>
      </c>
      <c r="C318" s="1" t="n">
        <v>46204</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34694-2021</t>
        </is>
      </c>
      <c r="B319" s="1" t="n">
        <v>44382</v>
      </c>
      <c r="C319" s="1" t="n">
        <v>46204</v>
      </c>
      <c r="D319" t="inlineStr">
        <is>
          <t>VÄRMLANDS LÄN</t>
        </is>
      </c>
      <c r="E319" t="inlineStr">
        <is>
          <t>TORSBY</t>
        </is>
      </c>
      <c r="G319" t="n">
        <v>0.8</v>
      </c>
      <c r="H319" t="n">
        <v>0</v>
      </c>
      <c r="I319" t="n">
        <v>0</v>
      </c>
      <c r="J319" t="n">
        <v>0</v>
      </c>
      <c r="K319" t="n">
        <v>0</v>
      </c>
      <c r="L319" t="n">
        <v>0</v>
      </c>
      <c r="M319" t="n">
        <v>0</v>
      </c>
      <c r="N319" t="n">
        <v>0</v>
      </c>
      <c r="O319" t="n">
        <v>0</v>
      </c>
      <c r="P319" t="n">
        <v>0</v>
      </c>
      <c r="Q319" t="n">
        <v>0</v>
      </c>
      <c r="R319" s="2" t="inlineStr"/>
    </row>
    <row r="320" ht="15" customHeight="1">
      <c r="A320" t="inlineStr">
        <is>
          <t>A 43169-2021</t>
        </is>
      </c>
      <c r="B320" s="1" t="n">
        <v>44431</v>
      </c>
      <c r="C320" s="1" t="n">
        <v>46204</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29142-2022</t>
        </is>
      </c>
      <c r="B321" s="1" t="n">
        <v>44750</v>
      </c>
      <c r="C321" s="1" t="n">
        <v>46204</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60428-2021</t>
        </is>
      </c>
      <c r="B322" s="1" t="n">
        <v>44496</v>
      </c>
      <c r="C322" s="1" t="n">
        <v>46204</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73442-2021</t>
        </is>
      </c>
      <c r="B323" s="1" t="n">
        <v>44551</v>
      </c>
      <c r="C323" s="1" t="n">
        <v>46204</v>
      </c>
      <c r="D323" t="inlineStr">
        <is>
          <t>VÄRMLANDS LÄN</t>
        </is>
      </c>
      <c r="E323" t="inlineStr">
        <is>
          <t>TORSBY</t>
        </is>
      </c>
      <c r="F323" t="inlineStr">
        <is>
          <t>Bergvik skog väst AB</t>
        </is>
      </c>
      <c r="G323" t="n">
        <v>4.1</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46204</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v>
      </c>
      <c r="C325" s="1" t="n">
        <v>46204</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46204</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v>
      </c>
      <c r="C327" s="1" t="n">
        <v>46204</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36587-2022</t>
        </is>
      </c>
      <c r="B328" s="1" t="n">
        <v>44804</v>
      </c>
      <c r="C328" s="1" t="n">
        <v>46204</v>
      </c>
      <c r="D328" t="inlineStr">
        <is>
          <t>VÄRMLANDS LÄN</t>
        </is>
      </c>
      <c r="E328" t="inlineStr">
        <is>
          <t>TORSBY</t>
        </is>
      </c>
      <c r="G328" t="n">
        <v>4.4</v>
      </c>
      <c r="H328" t="n">
        <v>0</v>
      </c>
      <c r="I328" t="n">
        <v>0</v>
      </c>
      <c r="J328" t="n">
        <v>0</v>
      </c>
      <c r="K328" t="n">
        <v>0</v>
      </c>
      <c r="L328" t="n">
        <v>0</v>
      </c>
      <c r="M328" t="n">
        <v>0</v>
      </c>
      <c r="N328" t="n">
        <v>0</v>
      </c>
      <c r="O328" t="n">
        <v>0</v>
      </c>
      <c r="P328" t="n">
        <v>0</v>
      </c>
      <c r="Q328" t="n">
        <v>0</v>
      </c>
      <c r="R328" s="2" t="inlineStr"/>
    </row>
    <row r="329" ht="15" customHeight="1">
      <c r="A329" t="inlineStr">
        <is>
          <t>A 33958-2022</t>
        </is>
      </c>
      <c r="B329" s="1" t="n">
        <v>44790</v>
      </c>
      <c r="C329" s="1" t="n">
        <v>46204</v>
      </c>
      <c r="D329" t="inlineStr">
        <is>
          <t>VÄRMLANDS LÄN</t>
        </is>
      </c>
      <c r="E329" t="inlineStr">
        <is>
          <t>TORSBY</t>
        </is>
      </c>
      <c r="G329" t="n">
        <v>13.2</v>
      </c>
      <c r="H329" t="n">
        <v>0</v>
      </c>
      <c r="I329" t="n">
        <v>0</v>
      </c>
      <c r="J329" t="n">
        <v>0</v>
      </c>
      <c r="K329" t="n">
        <v>0</v>
      </c>
      <c r="L329" t="n">
        <v>0</v>
      </c>
      <c r="M329" t="n">
        <v>0</v>
      </c>
      <c r="N329" t="n">
        <v>0</v>
      </c>
      <c r="O329" t="n">
        <v>0</v>
      </c>
      <c r="P329" t="n">
        <v>0</v>
      </c>
      <c r="Q329" t="n">
        <v>0</v>
      </c>
      <c r="R329" s="2" t="inlineStr"/>
    </row>
    <row r="330" ht="15" customHeight="1">
      <c r="A330" t="inlineStr">
        <is>
          <t>A 66103-2021</t>
        </is>
      </c>
      <c r="B330" s="1" t="n">
        <v>44517</v>
      </c>
      <c r="C330" s="1" t="n">
        <v>46204</v>
      </c>
      <c r="D330" t="inlineStr">
        <is>
          <t>VÄRMLANDS LÄN</t>
        </is>
      </c>
      <c r="E330" t="inlineStr">
        <is>
          <t>TORSBY</t>
        </is>
      </c>
      <c r="G330" t="n">
        <v>1.6</v>
      </c>
      <c r="H330" t="n">
        <v>0</v>
      </c>
      <c r="I330" t="n">
        <v>0</v>
      </c>
      <c r="J330" t="n">
        <v>0</v>
      </c>
      <c r="K330" t="n">
        <v>0</v>
      </c>
      <c r="L330" t="n">
        <v>0</v>
      </c>
      <c r="M330" t="n">
        <v>0</v>
      </c>
      <c r="N330" t="n">
        <v>0</v>
      </c>
      <c r="O330" t="n">
        <v>0</v>
      </c>
      <c r="P330" t="n">
        <v>0</v>
      </c>
      <c r="Q330" t="n">
        <v>0</v>
      </c>
      <c r="R330" s="2" t="inlineStr"/>
    </row>
    <row r="331" ht="15" customHeight="1">
      <c r="A331" t="inlineStr">
        <is>
          <t>A 44517-2022</t>
        </is>
      </c>
      <c r="B331" s="1" t="n">
        <v>44840</v>
      </c>
      <c r="C331" s="1" t="n">
        <v>46204</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35221-2021</t>
        </is>
      </c>
      <c r="B332" s="1" t="n">
        <v>44384</v>
      </c>
      <c r="C332" s="1" t="n">
        <v>46204</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24960-2022</t>
        </is>
      </c>
      <c r="B333" s="1" t="n">
        <v>44728</v>
      </c>
      <c r="C333" s="1" t="n">
        <v>46204</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32438-2022</t>
        </is>
      </c>
      <c r="B334" s="1" t="n">
        <v>44782</v>
      </c>
      <c r="C334" s="1" t="n">
        <v>46204</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42646-2021</t>
        </is>
      </c>
      <c r="B335" s="1" t="n">
        <v>44428</v>
      </c>
      <c r="C335" s="1" t="n">
        <v>46204</v>
      </c>
      <c r="D335" t="inlineStr">
        <is>
          <t>VÄRMLANDS LÄN</t>
        </is>
      </c>
      <c r="E335" t="inlineStr">
        <is>
          <t>TORSBY</t>
        </is>
      </c>
      <c r="F335" t="inlineStr">
        <is>
          <t>Bergvik skog väst AB</t>
        </is>
      </c>
      <c r="G335" t="n">
        <v>21.4</v>
      </c>
      <c r="H335" t="n">
        <v>0</v>
      </c>
      <c r="I335" t="n">
        <v>0</v>
      </c>
      <c r="J335" t="n">
        <v>0</v>
      </c>
      <c r="K335" t="n">
        <v>0</v>
      </c>
      <c r="L335" t="n">
        <v>0</v>
      </c>
      <c r="M335" t="n">
        <v>0</v>
      </c>
      <c r="N335" t="n">
        <v>0</v>
      </c>
      <c r="O335" t="n">
        <v>0</v>
      </c>
      <c r="P335" t="n">
        <v>0</v>
      </c>
      <c r="Q335" t="n">
        <v>0</v>
      </c>
      <c r="R335" s="2" t="inlineStr"/>
    </row>
    <row r="336" ht="15" customHeight="1">
      <c r="A336" t="inlineStr">
        <is>
          <t>A 69281-2021</t>
        </is>
      </c>
      <c r="B336" s="1" t="n">
        <v>44526</v>
      </c>
      <c r="C336" s="1" t="n">
        <v>46204</v>
      </c>
      <c r="D336" t="inlineStr">
        <is>
          <t>VÄRMLANDS LÄN</t>
        </is>
      </c>
      <c r="E336" t="inlineStr">
        <is>
          <t>TORSBY</t>
        </is>
      </c>
      <c r="G336" t="n">
        <v>7.5</v>
      </c>
      <c r="H336" t="n">
        <v>0</v>
      </c>
      <c r="I336" t="n">
        <v>0</v>
      </c>
      <c r="J336" t="n">
        <v>0</v>
      </c>
      <c r="K336" t="n">
        <v>0</v>
      </c>
      <c r="L336" t="n">
        <v>0</v>
      </c>
      <c r="M336" t="n">
        <v>0</v>
      </c>
      <c r="N336" t="n">
        <v>0</v>
      </c>
      <c r="O336" t="n">
        <v>0</v>
      </c>
      <c r="P336" t="n">
        <v>0</v>
      </c>
      <c r="Q336" t="n">
        <v>0</v>
      </c>
      <c r="R336" s="2" t="inlineStr"/>
    </row>
    <row r="337" ht="15" customHeight="1">
      <c r="A337" t="inlineStr">
        <is>
          <t>A 27686-2022</t>
        </is>
      </c>
      <c r="B337" s="1" t="n">
        <v>44743</v>
      </c>
      <c r="C337" s="1" t="n">
        <v>46204</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70775-2021</t>
        </is>
      </c>
      <c r="B338" s="1" t="n">
        <v>44537</v>
      </c>
      <c r="C338" s="1" t="n">
        <v>46204</v>
      </c>
      <c r="D338" t="inlineStr">
        <is>
          <t>VÄRMLANDS LÄN</t>
        </is>
      </c>
      <c r="E338" t="inlineStr">
        <is>
          <t>TORSBY</t>
        </is>
      </c>
      <c r="G338" t="n">
        <v>0.3</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46204</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7543-2022</t>
        </is>
      </c>
      <c r="B340" s="1" t="n">
        <v>44607</v>
      </c>
      <c r="C340" s="1" t="n">
        <v>46204</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46204</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46204</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7921-2022</t>
        </is>
      </c>
      <c r="B343" s="1" t="n">
        <v>44608</v>
      </c>
      <c r="C343" s="1" t="n">
        <v>46204</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45303-2022</t>
        </is>
      </c>
      <c r="B344" s="1" t="n">
        <v>44844</v>
      </c>
      <c r="C344" s="1" t="n">
        <v>46204</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37754-2022</t>
        </is>
      </c>
      <c r="B345" s="1" t="n">
        <v>44810</v>
      </c>
      <c r="C345" s="1" t="n">
        <v>46204</v>
      </c>
      <c r="D345" t="inlineStr">
        <is>
          <t>VÄRMLANDS LÄN</t>
        </is>
      </c>
      <c r="E345" t="inlineStr">
        <is>
          <t>TORSBY</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46204</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46204</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23735-2022</t>
        </is>
      </c>
      <c r="B348" s="1" t="n">
        <v>44722</v>
      </c>
      <c r="C348" s="1" t="n">
        <v>46204</v>
      </c>
      <c r="D348" t="inlineStr">
        <is>
          <t>VÄRMLANDS LÄN</t>
        </is>
      </c>
      <c r="E348" t="inlineStr">
        <is>
          <t>TORSBY</t>
        </is>
      </c>
      <c r="G348" t="n">
        <v>1.9</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46204</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36589-2021</t>
        </is>
      </c>
      <c r="B350" s="1" t="n">
        <v>44391</v>
      </c>
      <c r="C350" s="1" t="n">
        <v>46204</v>
      </c>
      <c r="D350" t="inlineStr">
        <is>
          <t>VÄRMLANDS LÄN</t>
        </is>
      </c>
      <c r="E350" t="inlineStr">
        <is>
          <t>TORSBY</t>
        </is>
      </c>
      <c r="G350" t="n">
        <v>3.9</v>
      </c>
      <c r="H350" t="n">
        <v>0</v>
      </c>
      <c r="I350" t="n">
        <v>0</v>
      </c>
      <c r="J350" t="n">
        <v>0</v>
      </c>
      <c r="K350" t="n">
        <v>0</v>
      </c>
      <c r="L350" t="n">
        <v>0</v>
      </c>
      <c r="M350" t="n">
        <v>0</v>
      </c>
      <c r="N350" t="n">
        <v>0</v>
      </c>
      <c r="O350" t="n">
        <v>0</v>
      </c>
      <c r="P350" t="n">
        <v>0</v>
      </c>
      <c r="Q350" t="n">
        <v>0</v>
      </c>
      <c r="R350" s="2" t="inlineStr"/>
    </row>
    <row r="351" ht="15" customHeight="1">
      <c r="A351" t="inlineStr">
        <is>
          <t>A 67913-2021</t>
        </is>
      </c>
      <c r="B351" s="1" t="n">
        <v>44525</v>
      </c>
      <c r="C351" s="1" t="n">
        <v>46204</v>
      </c>
      <c r="D351" t="inlineStr">
        <is>
          <t>VÄRMLANDS LÄN</t>
        </is>
      </c>
      <c r="E351" t="inlineStr">
        <is>
          <t>TORSBY</t>
        </is>
      </c>
      <c r="F351" t="inlineStr">
        <is>
          <t>Bergvik skog väst AB</t>
        </is>
      </c>
      <c r="G351" t="n">
        <v>8</v>
      </c>
      <c r="H351" t="n">
        <v>0</v>
      </c>
      <c r="I351" t="n">
        <v>0</v>
      </c>
      <c r="J351" t="n">
        <v>0</v>
      </c>
      <c r="K351" t="n">
        <v>0</v>
      </c>
      <c r="L351" t="n">
        <v>0</v>
      </c>
      <c r="M351" t="n">
        <v>0</v>
      </c>
      <c r="N351" t="n">
        <v>0</v>
      </c>
      <c r="O351" t="n">
        <v>0</v>
      </c>
      <c r="P351" t="n">
        <v>0</v>
      </c>
      <c r="Q351" t="n">
        <v>0</v>
      </c>
      <c r="R351" s="2" t="inlineStr"/>
    </row>
    <row r="352" ht="15" customHeight="1">
      <c r="A352" t="inlineStr">
        <is>
          <t>A 39217-2022</t>
        </is>
      </c>
      <c r="B352" s="1" t="n">
        <v>44817</v>
      </c>
      <c r="C352" s="1" t="n">
        <v>46204</v>
      </c>
      <c r="D352" t="inlineStr">
        <is>
          <t>VÄRMLANDS LÄN</t>
        </is>
      </c>
      <c r="E352" t="inlineStr">
        <is>
          <t>TORSBY</t>
        </is>
      </c>
      <c r="G352" t="n">
        <v>4.6</v>
      </c>
      <c r="H352" t="n">
        <v>0</v>
      </c>
      <c r="I352" t="n">
        <v>0</v>
      </c>
      <c r="J352" t="n">
        <v>0</v>
      </c>
      <c r="K352" t="n">
        <v>0</v>
      </c>
      <c r="L352" t="n">
        <v>0</v>
      </c>
      <c r="M352" t="n">
        <v>0</v>
      </c>
      <c r="N352" t="n">
        <v>0</v>
      </c>
      <c r="O352" t="n">
        <v>0</v>
      </c>
      <c r="P352" t="n">
        <v>0</v>
      </c>
      <c r="Q352" t="n">
        <v>0</v>
      </c>
      <c r="R352" s="2" t="inlineStr"/>
    </row>
    <row r="353" ht="15" customHeight="1">
      <c r="A353" t="inlineStr">
        <is>
          <t>A 39221-2022</t>
        </is>
      </c>
      <c r="B353" s="1" t="n">
        <v>44817</v>
      </c>
      <c r="C353" s="1" t="n">
        <v>46204</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63251-2021</t>
        </is>
      </c>
      <c r="B354" s="1" t="n">
        <v>44508</v>
      </c>
      <c r="C354" s="1" t="n">
        <v>46204</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51490-2022</t>
        </is>
      </c>
      <c r="B355" s="1" t="n">
        <v>44869</v>
      </c>
      <c r="C355" s="1" t="n">
        <v>46204</v>
      </c>
      <c r="D355" t="inlineStr">
        <is>
          <t>VÄRMLANDS LÄN</t>
        </is>
      </c>
      <c r="E355" t="inlineStr">
        <is>
          <t>TORSBY</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73165-2021</t>
        </is>
      </c>
      <c r="B356" s="1" t="n">
        <v>44550</v>
      </c>
      <c r="C356" s="1" t="n">
        <v>46204</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58869-2022</t>
        </is>
      </c>
      <c r="B357" s="1" t="n">
        <v>44903</v>
      </c>
      <c r="C357" s="1" t="n">
        <v>46204</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23996-2024</t>
        </is>
      </c>
      <c r="B358" s="1" t="n">
        <v>45456</v>
      </c>
      <c r="C358" s="1" t="n">
        <v>46204</v>
      </c>
      <c r="D358" t="inlineStr">
        <is>
          <t>VÄRMLANDS LÄN</t>
        </is>
      </c>
      <c r="E358" t="inlineStr">
        <is>
          <t>TORSBY</t>
        </is>
      </c>
      <c r="F358" t="inlineStr">
        <is>
          <t>Bergvik skog väst AB</t>
        </is>
      </c>
      <c r="G358" t="n">
        <v>0.8</v>
      </c>
      <c r="H358" t="n">
        <v>0</v>
      </c>
      <c r="I358" t="n">
        <v>0</v>
      </c>
      <c r="J358" t="n">
        <v>0</v>
      </c>
      <c r="K358" t="n">
        <v>0</v>
      </c>
      <c r="L358" t="n">
        <v>0</v>
      </c>
      <c r="M358" t="n">
        <v>0</v>
      </c>
      <c r="N358" t="n">
        <v>0</v>
      </c>
      <c r="O358" t="n">
        <v>0</v>
      </c>
      <c r="P358" t="n">
        <v>0</v>
      </c>
      <c r="Q358" t="n">
        <v>0</v>
      </c>
      <c r="R358" s="2" t="inlineStr"/>
    </row>
    <row r="359" ht="15" customHeight="1">
      <c r="A359" t="inlineStr">
        <is>
          <t>A 35629-2023</t>
        </is>
      </c>
      <c r="B359" s="1" t="n">
        <v>45147</v>
      </c>
      <c r="C359" s="1" t="n">
        <v>46204</v>
      </c>
      <c r="D359" t="inlineStr">
        <is>
          <t>VÄRMLANDS LÄN</t>
        </is>
      </c>
      <c r="E359" t="inlineStr">
        <is>
          <t>TORSBY</t>
        </is>
      </c>
      <c r="G359" t="n">
        <v>10.3</v>
      </c>
      <c r="H359" t="n">
        <v>0</v>
      </c>
      <c r="I359" t="n">
        <v>0</v>
      </c>
      <c r="J359" t="n">
        <v>0</v>
      </c>
      <c r="K359" t="n">
        <v>0</v>
      </c>
      <c r="L359" t="n">
        <v>0</v>
      </c>
      <c r="M359" t="n">
        <v>0</v>
      </c>
      <c r="N359" t="n">
        <v>0</v>
      </c>
      <c r="O359" t="n">
        <v>0</v>
      </c>
      <c r="P359" t="n">
        <v>0</v>
      </c>
      <c r="Q359" t="n">
        <v>0</v>
      </c>
      <c r="R359" s="2" t="inlineStr"/>
    </row>
    <row r="360" ht="15" customHeight="1">
      <c r="A360" t="inlineStr">
        <is>
          <t>A 6863-2023</t>
        </is>
      </c>
      <c r="B360" s="1" t="n">
        <v>44964</v>
      </c>
      <c r="C360" s="1" t="n">
        <v>46204</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23423-2024</t>
        </is>
      </c>
      <c r="B361" s="1" t="n">
        <v>45453</v>
      </c>
      <c r="C361" s="1" t="n">
        <v>46204</v>
      </c>
      <c r="D361" t="inlineStr">
        <is>
          <t>VÄRMLANDS LÄN</t>
        </is>
      </c>
      <c r="E361" t="inlineStr">
        <is>
          <t>TORSBY</t>
        </is>
      </c>
      <c r="G361" t="n">
        <v>3.1</v>
      </c>
      <c r="H361" t="n">
        <v>0</v>
      </c>
      <c r="I361" t="n">
        <v>0</v>
      </c>
      <c r="J361" t="n">
        <v>0</v>
      </c>
      <c r="K361" t="n">
        <v>0</v>
      </c>
      <c r="L361" t="n">
        <v>0</v>
      </c>
      <c r="M361" t="n">
        <v>0</v>
      </c>
      <c r="N361" t="n">
        <v>0</v>
      </c>
      <c r="O361" t="n">
        <v>0</v>
      </c>
      <c r="P361" t="n">
        <v>0</v>
      </c>
      <c r="Q361" t="n">
        <v>0</v>
      </c>
      <c r="R361" s="2" t="inlineStr"/>
    </row>
    <row r="362" ht="15" customHeight="1">
      <c r="A362" t="inlineStr">
        <is>
          <t>A 30011-2024</t>
        </is>
      </c>
      <c r="B362" s="1" t="n">
        <v>45488</v>
      </c>
      <c r="C362" s="1" t="n">
        <v>46204</v>
      </c>
      <c r="D362" t="inlineStr">
        <is>
          <t>VÄRMLANDS LÄN</t>
        </is>
      </c>
      <c r="E362" t="inlineStr">
        <is>
          <t>TORSBY</t>
        </is>
      </c>
      <c r="F362" t="inlineStr">
        <is>
          <t>Kommuner</t>
        </is>
      </c>
      <c r="G362" t="n">
        <v>4.7</v>
      </c>
      <c r="H362" t="n">
        <v>0</v>
      </c>
      <c r="I362" t="n">
        <v>0</v>
      </c>
      <c r="J362" t="n">
        <v>0</v>
      </c>
      <c r="K362" t="n">
        <v>0</v>
      </c>
      <c r="L362" t="n">
        <v>0</v>
      </c>
      <c r="M362" t="n">
        <v>0</v>
      </c>
      <c r="N362" t="n">
        <v>0</v>
      </c>
      <c r="O362" t="n">
        <v>0</v>
      </c>
      <c r="P362" t="n">
        <v>0</v>
      </c>
      <c r="Q362" t="n">
        <v>0</v>
      </c>
      <c r="R362" s="2" t="inlineStr"/>
    </row>
    <row r="363" ht="15" customHeight="1">
      <c r="A363" t="inlineStr">
        <is>
          <t>A 22662-2022</t>
        </is>
      </c>
      <c r="B363" s="1" t="n">
        <v>44714</v>
      </c>
      <c r="C363" s="1" t="n">
        <v>46204</v>
      </c>
      <c r="D363" t="inlineStr">
        <is>
          <t>VÄRMLANDS LÄN</t>
        </is>
      </c>
      <c r="E363" t="inlineStr">
        <is>
          <t>TORSBY</t>
        </is>
      </c>
      <c r="G363" t="n">
        <v>4.8</v>
      </c>
      <c r="H363" t="n">
        <v>0</v>
      </c>
      <c r="I363" t="n">
        <v>0</v>
      </c>
      <c r="J363" t="n">
        <v>0</v>
      </c>
      <c r="K363" t="n">
        <v>0</v>
      </c>
      <c r="L363" t="n">
        <v>0</v>
      </c>
      <c r="M363" t="n">
        <v>0</v>
      </c>
      <c r="N363" t="n">
        <v>0</v>
      </c>
      <c r="O363" t="n">
        <v>0</v>
      </c>
      <c r="P363" t="n">
        <v>0</v>
      </c>
      <c r="Q363" t="n">
        <v>0</v>
      </c>
      <c r="R363" s="2" t="inlineStr"/>
    </row>
    <row r="364" ht="15" customHeight="1">
      <c r="A364" t="inlineStr">
        <is>
          <t>A 34378-2022</t>
        </is>
      </c>
      <c r="B364" s="1" t="n">
        <v>44792</v>
      </c>
      <c r="C364" s="1" t="n">
        <v>46204</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34655-2022</t>
        </is>
      </c>
      <c r="B365" s="1" t="n">
        <v>44795</v>
      </c>
      <c r="C365" s="1" t="n">
        <v>46204</v>
      </c>
      <c r="D365" t="inlineStr">
        <is>
          <t>VÄRMLANDS LÄN</t>
        </is>
      </c>
      <c r="E365" t="inlineStr">
        <is>
          <t>TORSBY</t>
        </is>
      </c>
      <c r="G365" t="n">
        <v>12.8</v>
      </c>
      <c r="H365" t="n">
        <v>0</v>
      </c>
      <c r="I365" t="n">
        <v>0</v>
      </c>
      <c r="J365" t="n">
        <v>0</v>
      </c>
      <c r="K365" t="n">
        <v>0</v>
      </c>
      <c r="L365" t="n">
        <v>0</v>
      </c>
      <c r="M365" t="n">
        <v>0</v>
      </c>
      <c r="N365" t="n">
        <v>0</v>
      </c>
      <c r="O365" t="n">
        <v>0</v>
      </c>
      <c r="P365" t="n">
        <v>0</v>
      </c>
      <c r="Q365" t="n">
        <v>0</v>
      </c>
      <c r="R365" s="2" t="inlineStr"/>
    </row>
    <row r="366" ht="15" customHeight="1">
      <c r="A366" t="inlineStr">
        <is>
          <t>A 56430-2024</t>
        </is>
      </c>
      <c r="B366" s="1" t="n">
        <v>45625</v>
      </c>
      <c r="C366" s="1" t="n">
        <v>46204</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24696-2023</t>
        </is>
      </c>
      <c r="B367" s="1" t="n">
        <v>45084</v>
      </c>
      <c r="C367" s="1" t="n">
        <v>46204</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55808-2024</t>
        </is>
      </c>
      <c r="B368" s="1" t="n">
        <v>45622</v>
      </c>
      <c r="C368" s="1" t="n">
        <v>46204</v>
      </c>
      <c r="D368" t="inlineStr">
        <is>
          <t>VÄRMLANDS LÄN</t>
        </is>
      </c>
      <c r="E368" t="inlineStr">
        <is>
          <t>TORSBY</t>
        </is>
      </c>
      <c r="G368" t="n">
        <v>0.4</v>
      </c>
      <c r="H368" t="n">
        <v>0</v>
      </c>
      <c r="I368" t="n">
        <v>0</v>
      </c>
      <c r="J368" t="n">
        <v>0</v>
      </c>
      <c r="K368" t="n">
        <v>0</v>
      </c>
      <c r="L368" t="n">
        <v>0</v>
      </c>
      <c r="M368" t="n">
        <v>0</v>
      </c>
      <c r="N368" t="n">
        <v>0</v>
      </c>
      <c r="O368" t="n">
        <v>0</v>
      </c>
      <c r="P368" t="n">
        <v>0</v>
      </c>
      <c r="Q368" t="n">
        <v>0</v>
      </c>
      <c r="R368" s="2" t="inlineStr"/>
    </row>
    <row r="369" ht="15" customHeight="1">
      <c r="A369" t="inlineStr">
        <is>
          <t>A 16789-2024</t>
        </is>
      </c>
      <c r="B369" s="1" t="n">
        <v>45411</v>
      </c>
      <c r="C369" s="1" t="n">
        <v>46204</v>
      </c>
      <c r="D369" t="inlineStr">
        <is>
          <t>VÄRMLANDS LÄN</t>
        </is>
      </c>
      <c r="E369" t="inlineStr">
        <is>
          <t>TORSBY</t>
        </is>
      </c>
      <c r="G369" t="n">
        <v>2.4</v>
      </c>
      <c r="H369" t="n">
        <v>0</v>
      </c>
      <c r="I369" t="n">
        <v>0</v>
      </c>
      <c r="J369" t="n">
        <v>0</v>
      </c>
      <c r="K369" t="n">
        <v>0</v>
      </c>
      <c r="L369" t="n">
        <v>0</v>
      </c>
      <c r="M369" t="n">
        <v>0</v>
      </c>
      <c r="N369" t="n">
        <v>0</v>
      </c>
      <c r="O369" t="n">
        <v>0</v>
      </c>
      <c r="P369" t="n">
        <v>0</v>
      </c>
      <c r="Q369" t="n">
        <v>0</v>
      </c>
      <c r="R369" s="2" t="inlineStr"/>
    </row>
    <row r="370" ht="15" customHeight="1">
      <c r="A370" t="inlineStr">
        <is>
          <t>A 73521-2021</t>
        </is>
      </c>
      <c r="B370" s="1" t="n">
        <v>44551</v>
      </c>
      <c r="C370" s="1" t="n">
        <v>46204</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45134-2024</t>
        </is>
      </c>
      <c r="B371" s="1" t="n">
        <v>45575</v>
      </c>
      <c r="C371" s="1" t="n">
        <v>46204</v>
      </c>
      <c r="D371" t="inlineStr">
        <is>
          <t>VÄRMLANDS LÄN</t>
        </is>
      </c>
      <c r="E371" t="inlineStr">
        <is>
          <t>TORSBY</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59080-2024</t>
        </is>
      </c>
      <c r="B372" s="1" t="n">
        <v>45637</v>
      </c>
      <c r="C372" s="1" t="n">
        <v>46204</v>
      </c>
      <c r="D372" t="inlineStr">
        <is>
          <t>VÄRMLANDS LÄN</t>
        </is>
      </c>
      <c r="E372" t="inlineStr">
        <is>
          <t>TORSBY</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28284-2024</t>
        </is>
      </c>
      <c r="B373" s="1" t="n">
        <v>45477</v>
      </c>
      <c r="C373" s="1" t="n">
        <v>46204</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15450-2023</t>
        </is>
      </c>
      <c r="B374" s="1" t="n">
        <v>45020</v>
      </c>
      <c r="C374" s="1" t="n">
        <v>46204</v>
      </c>
      <c r="D374" t="inlineStr">
        <is>
          <t>VÄRMLANDS LÄN</t>
        </is>
      </c>
      <c r="E374" t="inlineStr">
        <is>
          <t>TORSBY</t>
        </is>
      </c>
      <c r="G374" t="n">
        <v>3.8</v>
      </c>
      <c r="H374" t="n">
        <v>0</v>
      </c>
      <c r="I374" t="n">
        <v>0</v>
      </c>
      <c r="J374" t="n">
        <v>0</v>
      </c>
      <c r="K374" t="n">
        <v>0</v>
      </c>
      <c r="L374" t="n">
        <v>0</v>
      </c>
      <c r="M374" t="n">
        <v>0</v>
      </c>
      <c r="N374" t="n">
        <v>0</v>
      </c>
      <c r="O374" t="n">
        <v>0</v>
      </c>
      <c r="P374" t="n">
        <v>0</v>
      </c>
      <c r="Q374" t="n">
        <v>0</v>
      </c>
      <c r="R374" s="2" t="inlineStr"/>
    </row>
    <row r="375" ht="15" customHeight="1">
      <c r="A375" t="inlineStr">
        <is>
          <t>A 24261-2024</t>
        </is>
      </c>
      <c r="B375" s="1" t="n">
        <v>45457</v>
      </c>
      <c r="C375" s="1" t="n">
        <v>46204</v>
      </c>
      <c r="D375" t="inlineStr">
        <is>
          <t>VÄRMLANDS LÄN</t>
        </is>
      </c>
      <c r="E375" t="inlineStr">
        <is>
          <t>TORSBY</t>
        </is>
      </c>
      <c r="G375" t="n">
        <v>3.5</v>
      </c>
      <c r="H375" t="n">
        <v>0</v>
      </c>
      <c r="I375" t="n">
        <v>0</v>
      </c>
      <c r="J375" t="n">
        <v>0</v>
      </c>
      <c r="K375" t="n">
        <v>0</v>
      </c>
      <c r="L375" t="n">
        <v>0</v>
      </c>
      <c r="M375" t="n">
        <v>0</v>
      </c>
      <c r="N375" t="n">
        <v>0</v>
      </c>
      <c r="O375" t="n">
        <v>0</v>
      </c>
      <c r="P375" t="n">
        <v>0</v>
      </c>
      <c r="Q375" t="n">
        <v>0</v>
      </c>
      <c r="R375" s="2" t="inlineStr"/>
    </row>
    <row r="376" ht="15" customHeight="1">
      <c r="A376" t="inlineStr">
        <is>
          <t>A 10583-2023</t>
        </is>
      </c>
      <c r="B376" s="1" t="n">
        <v>44988</v>
      </c>
      <c r="C376" s="1" t="n">
        <v>46204</v>
      </c>
      <c r="D376" t="inlineStr">
        <is>
          <t>VÄRMLANDS LÄN</t>
        </is>
      </c>
      <c r="E376" t="inlineStr">
        <is>
          <t>TORSBY</t>
        </is>
      </c>
      <c r="G376" t="n">
        <v>3.6</v>
      </c>
      <c r="H376" t="n">
        <v>0</v>
      </c>
      <c r="I376" t="n">
        <v>0</v>
      </c>
      <c r="J376" t="n">
        <v>0</v>
      </c>
      <c r="K376" t="n">
        <v>0</v>
      </c>
      <c r="L376" t="n">
        <v>0</v>
      </c>
      <c r="M376" t="n">
        <v>0</v>
      </c>
      <c r="N376" t="n">
        <v>0</v>
      </c>
      <c r="O376" t="n">
        <v>0</v>
      </c>
      <c r="P376" t="n">
        <v>0</v>
      </c>
      <c r="Q376" t="n">
        <v>0</v>
      </c>
      <c r="R376" s="2" t="inlineStr"/>
    </row>
    <row r="377" ht="15" customHeight="1">
      <c r="A377" t="inlineStr">
        <is>
          <t>A 39260-2021</t>
        </is>
      </c>
      <c r="B377" s="1" t="n">
        <v>44413</v>
      </c>
      <c r="C377" s="1" t="n">
        <v>46204</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33338-2024</t>
        </is>
      </c>
      <c r="B378" s="1" t="n">
        <v>45519</v>
      </c>
      <c r="C378" s="1" t="n">
        <v>46204</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6317-2025</t>
        </is>
      </c>
      <c r="B379" s="1" t="n">
        <v>45698</v>
      </c>
      <c r="C379" s="1" t="n">
        <v>46204</v>
      </c>
      <c r="D379" t="inlineStr">
        <is>
          <t>VÄRMLANDS LÄN</t>
        </is>
      </c>
      <c r="E379" t="inlineStr">
        <is>
          <t>TORSBY</t>
        </is>
      </c>
      <c r="G379" t="n">
        <v>5.8</v>
      </c>
      <c r="H379" t="n">
        <v>0</v>
      </c>
      <c r="I379" t="n">
        <v>0</v>
      </c>
      <c r="J379" t="n">
        <v>0</v>
      </c>
      <c r="K379" t="n">
        <v>0</v>
      </c>
      <c r="L379" t="n">
        <v>0</v>
      </c>
      <c r="M379" t="n">
        <v>0</v>
      </c>
      <c r="N379" t="n">
        <v>0</v>
      </c>
      <c r="O379" t="n">
        <v>0</v>
      </c>
      <c r="P379" t="n">
        <v>0</v>
      </c>
      <c r="Q379" t="n">
        <v>0</v>
      </c>
      <c r="R379" s="2" t="inlineStr"/>
    </row>
    <row r="380" ht="15" customHeight="1">
      <c r="A380" t="inlineStr">
        <is>
          <t>A 73324-2021</t>
        </is>
      </c>
      <c r="B380" s="1" t="n">
        <v>44550</v>
      </c>
      <c r="C380" s="1" t="n">
        <v>46204</v>
      </c>
      <c r="D380" t="inlineStr">
        <is>
          <t>VÄRMLANDS LÄN</t>
        </is>
      </c>
      <c r="E380" t="inlineStr">
        <is>
          <t>TORSBY</t>
        </is>
      </c>
      <c r="G380" t="n">
        <v>9.9</v>
      </c>
      <c r="H380" t="n">
        <v>0</v>
      </c>
      <c r="I380" t="n">
        <v>0</v>
      </c>
      <c r="J380" t="n">
        <v>0</v>
      </c>
      <c r="K380" t="n">
        <v>0</v>
      </c>
      <c r="L380" t="n">
        <v>0</v>
      </c>
      <c r="M380" t="n">
        <v>0</v>
      </c>
      <c r="N380" t="n">
        <v>0</v>
      </c>
      <c r="O380" t="n">
        <v>0</v>
      </c>
      <c r="P380" t="n">
        <v>0</v>
      </c>
      <c r="Q380" t="n">
        <v>0</v>
      </c>
      <c r="R380" s="2" t="inlineStr"/>
    </row>
    <row r="381" ht="15" customHeight="1">
      <c r="A381" t="inlineStr">
        <is>
          <t>A 58951-2022</t>
        </is>
      </c>
      <c r="B381" s="1" t="n">
        <v>44903</v>
      </c>
      <c r="C381" s="1" t="n">
        <v>46204</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33656-2023</t>
        </is>
      </c>
      <c r="B382" s="1" t="n">
        <v>45132</v>
      </c>
      <c r="C382" s="1" t="n">
        <v>46204</v>
      </c>
      <c r="D382" t="inlineStr">
        <is>
          <t>VÄRMLANDS LÄN</t>
        </is>
      </c>
      <c r="E382" t="inlineStr">
        <is>
          <t>TORSBY</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1700-2024</t>
        </is>
      </c>
      <c r="B383" s="1" t="n">
        <v>45307</v>
      </c>
      <c r="C383" s="1" t="n">
        <v>46204</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21988-2023</t>
        </is>
      </c>
      <c r="B384" s="1" t="n">
        <v>45068</v>
      </c>
      <c r="C384" s="1" t="n">
        <v>46204</v>
      </c>
      <c r="D384" t="inlineStr">
        <is>
          <t>VÄRMLANDS LÄN</t>
        </is>
      </c>
      <c r="E384" t="inlineStr">
        <is>
          <t>TORSBY</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11050-2022</t>
        </is>
      </c>
      <c r="B385" s="1" t="n">
        <v>44628</v>
      </c>
      <c r="C385" s="1" t="n">
        <v>46204</v>
      </c>
      <c r="D385" t="inlineStr">
        <is>
          <t>VÄRMLANDS LÄN</t>
        </is>
      </c>
      <c r="E385" t="inlineStr">
        <is>
          <t>TORSBY</t>
        </is>
      </c>
      <c r="G385" t="n">
        <v>4.9</v>
      </c>
      <c r="H385" t="n">
        <v>0</v>
      </c>
      <c r="I385" t="n">
        <v>0</v>
      </c>
      <c r="J385" t="n">
        <v>0</v>
      </c>
      <c r="K385" t="n">
        <v>0</v>
      </c>
      <c r="L385" t="n">
        <v>0</v>
      </c>
      <c r="M385" t="n">
        <v>0</v>
      </c>
      <c r="N385" t="n">
        <v>0</v>
      </c>
      <c r="O385" t="n">
        <v>0</v>
      </c>
      <c r="P385" t="n">
        <v>0</v>
      </c>
      <c r="Q385" t="n">
        <v>0</v>
      </c>
      <c r="R385" s="2" t="inlineStr"/>
    </row>
    <row r="386" ht="15" customHeight="1">
      <c r="A386" t="inlineStr">
        <is>
          <t>A 13285-2025</t>
        </is>
      </c>
      <c r="B386" s="1" t="n">
        <v>45735</v>
      </c>
      <c r="C386" s="1" t="n">
        <v>46204</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1275-2024</t>
        </is>
      </c>
      <c r="B387" s="1" t="n">
        <v>45302</v>
      </c>
      <c r="C387" s="1" t="n">
        <v>46204</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43536-2023</t>
        </is>
      </c>
      <c r="B388" s="1" t="n">
        <v>45181</v>
      </c>
      <c r="C388" s="1" t="n">
        <v>46204</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522-2023</t>
        </is>
      </c>
      <c r="B389" s="1" t="n">
        <v>44930</v>
      </c>
      <c r="C389" s="1" t="n">
        <v>46204</v>
      </c>
      <c r="D389" t="inlineStr">
        <is>
          <t>VÄRMLANDS LÄN</t>
        </is>
      </c>
      <c r="E389" t="inlineStr">
        <is>
          <t>TORSBY</t>
        </is>
      </c>
      <c r="G389" t="n">
        <v>2.8</v>
      </c>
      <c r="H389" t="n">
        <v>0</v>
      </c>
      <c r="I389" t="n">
        <v>0</v>
      </c>
      <c r="J389" t="n">
        <v>0</v>
      </c>
      <c r="K389" t="n">
        <v>0</v>
      </c>
      <c r="L389" t="n">
        <v>0</v>
      </c>
      <c r="M389" t="n">
        <v>0</v>
      </c>
      <c r="N389" t="n">
        <v>0</v>
      </c>
      <c r="O389" t="n">
        <v>0</v>
      </c>
      <c r="P389" t="n">
        <v>0</v>
      </c>
      <c r="Q389" t="n">
        <v>0</v>
      </c>
      <c r="R389" s="2" t="inlineStr"/>
    </row>
    <row r="390" ht="15" customHeight="1">
      <c r="A390" t="inlineStr">
        <is>
          <t>A 47465-2024</t>
        </is>
      </c>
      <c r="B390" s="1" t="n">
        <v>45587</v>
      </c>
      <c r="C390" s="1" t="n">
        <v>46204</v>
      </c>
      <c r="D390" t="inlineStr">
        <is>
          <t>VÄRMLANDS LÄN</t>
        </is>
      </c>
      <c r="E390" t="inlineStr">
        <is>
          <t>TORSBY</t>
        </is>
      </c>
      <c r="F390" t="inlineStr">
        <is>
          <t>Övriga Aktiebolag</t>
        </is>
      </c>
      <c r="G390" t="n">
        <v>4.6</v>
      </c>
      <c r="H390" t="n">
        <v>0</v>
      </c>
      <c r="I390" t="n">
        <v>0</v>
      </c>
      <c r="J390" t="n">
        <v>0</v>
      </c>
      <c r="K390" t="n">
        <v>0</v>
      </c>
      <c r="L390" t="n">
        <v>0</v>
      </c>
      <c r="M390" t="n">
        <v>0</v>
      </c>
      <c r="N390" t="n">
        <v>0</v>
      </c>
      <c r="O390" t="n">
        <v>0</v>
      </c>
      <c r="P390" t="n">
        <v>0</v>
      </c>
      <c r="Q390" t="n">
        <v>0</v>
      </c>
      <c r="R390" s="2" t="inlineStr"/>
    </row>
    <row r="391" ht="15" customHeight="1">
      <c r="A391" t="inlineStr">
        <is>
          <t>A 15465-2024</t>
        </is>
      </c>
      <c r="B391" s="1" t="n">
        <v>45401</v>
      </c>
      <c r="C391" s="1" t="n">
        <v>46204</v>
      </c>
      <c r="D391" t="inlineStr">
        <is>
          <t>VÄRMLANDS LÄN</t>
        </is>
      </c>
      <c r="E391" t="inlineStr">
        <is>
          <t>TORSBY</t>
        </is>
      </c>
      <c r="F391" t="inlineStr">
        <is>
          <t>Bergvik skog väst AB</t>
        </is>
      </c>
      <c r="G391" t="n">
        <v>24.6</v>
      </c>
      <c r="H391" t="n">
        <v>0</v>
      </c>
      <c r="I391" t="n">
        <v>0</v>
      </c>
      <c r="J391" t="n">
        <v>0</v>
      </c>
      <c r="K391" t="n">
        <v>0</v>
      </c>
      <c r="L391" t="n">
        <v>0</v>
      </c>
      <c r="M391" t="n">
        <v>0</v>
      </c>
      <c r="N391" t="n">
        <v>0</v>
      </c>
      <c r="O391" t="n">
        <v>0</v>
      </c>
      <c r="P391" t="n">
        <v>0</v>
      </c>
      <c r="Q391" t="n">
        <v>0</v>
      </c>
      <c r="R391" s="2" t="inlineStr"/>
    </row>
    <row r="392" ht="15" customHeight="1">
      <c r="A392" t="inlineStr">
        <is>
          <t>A 9729-2025</t>
        </is>
      </c>
      <c r="B392" s="1" t="n">
        <v>45715</v>
      </c>
      <c r="C392" s="1" t="n">
        <v>46204</v>
      </c>
      <c r="D392" t="inlineStr">
        <is>
          <t>VÄRMLANDS LÄN</t>
        </is>
      </c>
      <c r="E392" t="inlineStr">
        <is>
          <t>TORSBY</t>
        </is>
      </c>
      <c r="G392" t="n">
        <v>3.4</v>
      </c>
      <c r="H392" t="n">
        <v>0</v>
      </c>
      <c r="I392" t="n">
        <v>0</v>
      </c>
      <c r="J392" t="n">
        <v>0</v>
      </c>
      <c r="K392" t="n">
        <v>0</v>
      </c>
      <c r="L392" t="n">
        <v>0</v>
      </c>
      <c r="M392" t="n">
        <v>0</v>
      </c>
      <c r="N392" t="n">
        <v>0</v>
      </c>
      <c r="O392" t="n">
        <v>0</v>
      </c>
      <c r="P392" t="n">
        <v>0</v>
      </c>
      <c r="Q392" t="n">
        <v>0</v>
      </c>
      <c r="R392" s="2" t="inlineStr"/>
    </row>
    <row r="393" ht="15" customHeight="1">
      <c r="A393" t="inlineStr">
        <is>
          <t>A 36879-2024</t>
        </is>
      </c>
      <c r="B393" s="1" t="n">
        <v>45538</v>
      </c>
      <c r="C393" s="1" t="n">
        <v>46204</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45399-2023</t>
        </is>
      </c>
      <c r="B394" s="1" t="n">
        <v>45194</v>
      </c>
      <c r="C394" s="1" t="n">
        <v>46204</v>
      </c>
      <c r="D394" t="inlineStr">
        <is>
          <t>VÄRMLANDS LÄN</t>
        </is>
      </c>
      <c r="E394" t="inlineStr">
        <is>
          <t>TORSBY</t>
        </is>
      </c>
      <c r="G394" t="n">
        <v>2.4</v>
      </c>
      <c r="H394" t="n">
        <v>0</v>
      </c>
      <c r="I394" t="n">
        <v>0</v>
      </c>
      <c r="J394" t="n">
        <v>0</v>
      </c>
      <c r="K394" t="n">
        <v>0</v>
      </c>
      <c r="L394" t="n">
        <v>0</v>
      </c>
      <c r="M394" t="n">
        <v>0</v>
      </c>
      <c r="N394" t="n">
        <v>0</v>
      </c>
      <c r="O394" t="n">
        <v>0</v>
      </c>
      <c r="P394" t="n">
        <v>0</v>
      </c>
      <c r="Q394" t="n">
        <v>0</v>
      </c>
      <c r="R394" s="2" t="inlineStr"/>
    </row>
    <row r="395" ht="15" customHeight="1">
      <c r="A395" t="inlineStr">
        <is>
          <t>A 13207-2022</t>
        </is>
      </c>
      <c r="B395" s="1" t="n">
        <v>44644</v>
      </c>
      <c r="C395" s="1" t="n">
        <v>46204</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54618-2024</t>
        </is>
      </c>
      <c r="B396" s="1" t="n">
        <v>45617</v>
      </c>
      <c r="C396" s="1" t="n">
        <v>46204</v>
      </c>
      <c r="D396" t="inlineStr">
        <is>
          <t>VÄRMLANDS LÄN</t>
        </is>
      </c>
      <c r="E396" t="inlineStr">
        <is>
          <t>TORSBY</t>
        </is>
      </c>
      <c r="F396" t="inlineStr">
        <is>
          <t>Kommuner</t>
        </is>
      </c>
      <c r="G396" t="n">
        <v>1.2</v>
      </c>
      <c r="H396" t="n">
        <v>0</v>
      </c>
      <c r="I396" t="n">
        <v>0</v>
      </c>
      <c r="J396" t="n">
        <v>0</v>
      </c>
      <c r="K396" t="n">
        <v>0</v>
      </c>
      <c r="L396" t="n">
        <v>0</v>
      </c>
      <c r="M396" t="n">
        <v>0</v>
      </c>
      <c r="N396" t="n">
        <v>0</v>
      </c>
      <c r="O396" t="n">
        <v>0</v>
      </c>
      <c r="P396" t="n">
        <v>0</v>
      </c>
      <c r="Q396" t="n">
        <v>0</v>
      </c>
      <c r="R396" s="2" t="inlineStr"/>
    </row>
    <row r="397" ht="15" customHeight="1">
      <c r="A397" t="inlineStr">
        <is>
          <t>A 48106-2023</t>
        </is>
      </c>
      <c r="B397" s="1" t="n">
        <v>45205</v>
      </c>
      <c r="C397" s="1" t="n">
        <v>46204</v>
      </c>
      <c r="D397" t="inlineStr">
        <is>
          <t>VÄRMLANDS LÄN</t>
        </is>
      </c>
      <c r="E397" t="inlineStr">
        <is>
          <t>TORSBY</t>
        </is>
      </c>
      <c r="G397" t="n">
        <v>3.9</v>
      </c>
      <c r="H397" t="n">
        <v>0</v>
      </c>
      <c r="I397" t="n">
        <v>0</v>
      </c>
      <c r="J397" t="n">
        <v>0</v>
      </c>
      <c r="K397" t="n">
        <v>0</v>
      </c>
      <c r="L397" t="n">
        <v>0</v>
      </c>
      <c r="M397" t="n">
        <v>0</v>
      </c>
      <c r="N397" t="n">
        <v>0</v>
      </c>
      <c r="O397" t="n">
        <v>0</v>
      </c>
      <c r="P397" t="n">
        <v>0</v>
      </c>
      <c r="Q397" t="n">
        <v>0</v>
      </c>
      <c r="R397" s="2" t="inlineStr"/>
    </row>
    <row r="398" ht="15" customHeight="1">
      <c r="A398" t="inlineStr">
        <is>
          <t>A 57469-2024</t>
        </is>
      </c>
      <c r="B398" s="1" t="n">
        <v>45630</v>
      </c>
      <c r="C398" s="1" t="n">
        <v>46204</v>
      </c>
      <c r="D398" t="inlineStr">
        <is>
          <t>VÄRMLANDS LÄN</t>
        </is>
      </c>
      <c r="E398" t="inlineStr">
        <is>
          <t>TORSBY</t>
        </is>
      </c>
      <c r="F398" t="inlineStr">
        <is>
          <t>Bergvik skog väst AB</t>
        </is>
      </c>
      <c r="G398" t="n">
        <v>12.8</v>
      </c>
      <c r="H398" t="n">
        <v>0</v>
      </c>
      <c r="I398" t="n">
        <v>0</v>
      </c>
      <c r="J398" t="n">
        <v>0</v>
      </c>
      <c r="K398" t="n">
        <v>0</v>
      </c>
      <c r="L398" t="n">
        <v>0</v>
      </c>
      <c r="M398" t="n">
        <v>0</v>
      </c>
      <c r="N398" t="n">
        <v>0</v>
      </c>
      <c r="O398" t="n">
        <v>0</v>
      </c>
      <c r="P398" t="n">
        <v>0</v>
      </c>
      <c r="Q398" t="n">
        <v>0</v>
      </c>
      <c r="R398" s="2" t="inlineStr"/>
    </row>
    <row r="399" ht="15" customHeight="1">
      <c r="A399" t="inlineStr">
        <is>
          <t>A 44879-2022</t>
        </is>
      </c>
      <c r="B399" s="1" t="n">
        <v>44839</v>
      </c>
      <c r="C399" s="1" t="n">
        <v>46204</v>
      </c>
      <c r="D399" t="inlineStr">
        <is>
          <t>VÄRMLANDS LÄN</t>
        </is>
      </c>
      <c r="E399" t="inlineStr">
        <is>
          <t>TORSBY</t>
        </is>
      </c>
      <c r="G399" t="n">
        <v>3.5</v>
      </c>
      <c r="H399" t="n">
        <v>0</v>
      </c>
      <c r="I399" t="n">
        <v>0</v>
      </c>
      <c r="J399" t="n">
        <v>0</v>
      </c>
      <c r="K399" t="n">
        <v>0</v>
      </c>
      <c r="L399" t="n">
        <v>0</v>
      </c>
      <c r="M399" t="n">
        <v>0</v>
      </c>
      <c r="N399" t="n">
        <v>0</v>
      </c>
      <c r="O399" t="n">
        <v>0</v>
      </c>
      <c r="P399" t="n">
        <v>0</v>
      </c>
      <c r="Q399" t="n">
        <v>0</v>
      </c>
      <c r="R399" s="2" t="inlineStr"/>
    </row>
    <row r="400" ht="15" customHeight="1">
      <c r="A400" t="inlineStr">
        <is>
          <t>A 46917-2024</t>
        </is>
      </c>
      <c r="B400" s="1" t="n">
        <v>45583</v>
      </c>
      <c r="C400" s="1" t="n">
        <v>46204</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39780-2022</t>
        </is>
      </c>
      <c r="B401" s="1" t="n">
        <v>44819</v>
      </c>
      <c r="C401" s="1" t="n">
        <v>46204</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4231-2024</t>
        </is>
      </c>
      <c r="B402" s="1" t="n">
        <v>45324</v>
      </c>
      <c r="C402" s="1" t="n">
        <v>46204</v>
      </c>
      <c r="D402" t="inlineStr">
        <is>
          <t>VÄRMLANDS LÄN</t>
        </is>
      </c>
      <c r="E402" t="inlineStr">
        <is>
          <t>TORSBY</t>
        </is>
      </c>
      <c r="G402" t="n">
        <v>3.6</v>
      </c>
      <c r="H402" t="n">
        <v>0</v>
      </c>
      <c r="I402" t="n">
        <v>0</v>
      </c>
      <c r="J402" t="n">
        <v>0</v>
      </c>
      <c r="K402" t="n">
        <v>0</v>
      </c>
      <c r="L402" t="n">
        <v>0</v>
      </c>
      <c r="M402" t="n">
        <v>0</v>
      </c>
      <c r="N402" t="n">
        <v>0</v>
      </c>
      <c r="O402" t="n">
        <v>0</v>
      </c>
      <c r="P402" t="n">
        <v>0</v>
      </c>
      <c r="Q402" t="n">
        <v>0</v>
      </c>
      <c r="R402" s="2" t="inlineStr"/>
    </row>
    <row r="403" ht="15" customHeight="1">
      <c r="A403" t="inlineStr">
        <is>
          <t>A 36419-2024</t>
        </is>
      </c>
      <c r="B403" s="1" t="n">
        <v>45536</v>
      </c>
      <c r="C403" s="1" t="n">
        <v>46204</v>
      </c>
      <c r="D403" t="inlineStr">
        <is>
          <t>VÄRMLANDS LÄN</t>
        </is>
      </c>
      <c r="E403" t="inlineStr">
        <is>
          <t>TORSBY</t>
        </is>
      </c>
      <c r="G403" t="n">
        <v>8.9</v>
      </c>
      <c r="H403" t="n">
        <v>0</v>
      </c>
      <c r="I403" t="n">
        <v>0</v>
      </c>
      <c r="J403" t="n">
        <v>0</v>
      </c>
      <c r="K403" t="n">
        <v>0</v>
      </c>
      <c r="L403" t="n">
        <v>0</v>
      </c>
      <c r="M403" t="n">
        <v>0</v>
      </c>
      <c r="N403" t="n">
        <v>0</v>
      </c>
      <c r="O403" t="n">
        <v>0</v>
      </c>
      <c r="P403" t="n">
        <v>0</v>
      </c>
      <c r="Q403" t="n">
        <v>0</v>
      </c>
      <c r="R403" s="2" t="inlineStr"/>
    </row>
    <row r="404" ht="15" customHeight="1">
      <c r="A404" t="inlineStr">
        <is>
          <t>A 66133-2021</t>
        </is>
      </c>
      <c r="B404" s="1" t="n">
        <v>44517</v>
      </c>
      <c r="C404" s="1" t="n">
        <v>46204</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24182-2024</t>
        </is>
      </c>
      <c r="B405" s="1" t="n">
        <v>45456</v>
      </c>
      <c r="C405" s="1" t="n">
        <v>46204</v>
      </c>
      <c r="D405" t="inlineStr">
        <is>
          <t>VÄRMLANDS LÄN</t>
        </is>
      </c>
      <c r="E405" t="inlineStr">
        <is>
          <t>TORSBY</t>
        </is>
      </c>
      <c r="F405" t="inlineStr">
        <is>
          <t>Bergvik skog väst AB</t>
        </is>
      </c>
      <c r="G405" t="n">
        <v>28.9</v>
      </c>
      <c r="H405" t="n">
        <v>0</v>
      </c>
      <c r="I405" t="n">
        <v>0</v>
      </c>
      <c r="J405" t="n">
        <v>0</v>
      </c>
      <c r="K405" t="n">
        <v>0</v>
      </c>
      <c r="L405" t="n">
        <v>0</v>
      </c>
      <c r="M405" t="n">
        <v>0</v>
      </c>
      <c r="N405" t="n">
        <v>0</v>
      </c>
      <c r="O405" t="n">
        <v>0</v>
      </c>
      <c r="P405" t="n">
        <v>0</v>
      </c>
      <c r="Q405" t="n">
        <v>0</v>
      </c>
      <c r="R405" s="2" t="inlineStr"/>
    </row>
    <row r="406" ht="15" customHeight="1">
      <c r="A406" t="inlineStr">
        <is>
          <t>A 16309-2023</t>
        </is>
      </c>
      <c r="B406" s="1" t="n">
        <v>45028</v>
      </c>
      <c r="C406" s="1" t="n">
        <v>46204</v>
      </c>
      <c r="D406" t="inlineStr">
        <is>
          <t>VÄRMLANDS LÄN</t>
        </is>
      </c>
      <c r="E406" t="inlineStr">
        <is>
          <t>TORSBY</t>
        </is>
      </c>
      <c r="G406" t="n">
        <v>2.1</v>
      </c>
      <c r="H406" t="n">
        <v>0</v>
      </c>
      <c r="I406" t="n">
        <v>0</v>
      </c>
      <c r="J406" t="n">
        <v>0</v>
      </c>
      <c r="K406" t="n">
        <v>0</v>
      </c>
      <c r="L406" t="n">
        <v>0</v>
      </c>
      <c r="M406" t="n">
        <v>0</v>
      </c>
      <c r="N406" t="n">
        <v>0</v>
      </c>
      <c r="O406" t="n">
        <v>0</v>
      </c>
      <c r="P406" t="n">
        <v>0</v>
      </c>
      <c r="Q406" t="n">
        <v>0</v>
      </c>
      <c r="R406" s="2" t="inlineStr"/>
    </row>
    <row r="407" ht="15" customHeight="1">
      <c r="A407" t="inlineStr">
        <is>
          <t>A 13848-2024</t>
        </is>
      </c>
      <c r="B407" s="1" t="n">
        <v>45390</v>
      </c>
      <c r="C407" s="1" t="n">
        <v>46204</v>
      </c>
      <c r="D407" t="inlineStr">
        <is>
          <t>VÄRMLANDS LÄN</t>
        </is>
      </c>
      <c r="E407" t="inlineStr">
        <is>
          <t>TORSBY</t>
        </is>
      </c>
      <c r="G407" t="n">
        <v>4.5</v>
      </c>
      <c r="H407" t="n">
        <v>0</v>
      </c>
      <c r="I407" t="n">
        <v>0</v>
      </c>
      <c r="J407" t="n">
        <v>0</v>
      </c>
      <c r="K407" t="n">
        <v>0</v>
      </c>
      <c r="L407" t="n">
        <v>0</v>
      </c>
      <c r="M407" t="n">
        <v>0</v>
      </c>
      <c r="N407" t="n">
        <v>0</v>
      </c>
      <c r="O407" t="n">
        <v>0</v>
      </c>
      <c r="P407" t="n">
        <v>0</v>
      </c>
      <c r="Q407" t="n">
        <v>0</v>
      </c>
      <c r="R407" s="2" t="inlineStr"/>
    </row>
    <row r="408" ht="15" customHeight="1">
      <c r="A408" t="inlineStr">
        <is>
          <t>A 11143-2024</t>
        </is>
      </c>
      <c r="B408" s="1" t="n">
        <v>45371</v>
      </c>
      <c r="C408" s="1" t="n">
        <v>46204</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2203-2025</t>
        </is>
      </c>
      <c r="B409" s="1" t="n">
        <v>45672</v>
      </c>
      <c r="C409" s="1" t="n">
        <v>46204</v>
      </c>
      <c r="D409" t="inlineStr">
        <is>
          <t>VÄRMLANDS LÄN</t>
        </is>
      </c>
      <c r="E409" t="inlineStr">
        <is>
          <t>TORSBY</t>
        </is>
      </c>
      <c r="G409" t="n">
        <v>11.3</v>
      </c>
      <c r="H409" t="n">
        <v>0</v>
      </c>
      <c r="I409" t="n">
        <v>0</v>
      </c>
      <c r="J409" t="n">
        <v>0</v>
      </c>
      <c r="K409" t="n">
        <v>0</v>
      </c>
      <c r="L409" t="n">
        <v>0</v>
      </c>
      <c r="M409" t="n">
        <v>0</v>
      </c>
      <c r="N409" t="n">
        <v>0</v>
      </c>
      <c r="O409" t="n">
        <v>0</v>
      </c>
      <c r="P409" t="n">
        <v>0</v>
      </c>
      <c r="Q409" t="n">
        <v>0</v>
      </c>
      <c r="R409" s="2" t="inlineStr"/>
    </row>
    <row r="410" ht="15" customHeight="1">
      <c r="A410" t="inlineStr">
        <is>
          <t>A 18576-2025</t>
        </is>
      </c>
      <c r="B410" s="1" t="n">
        <v>45763</v>
      </c>
      <c r="C410" s="1" t="n">
        <v>46204</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57172-2022</t>
        </is>
      </c>
      <c r="B411" s="1" t="n">
        <v>44895</v>
      </c>
      <c r="C411" s="1" t="n">
        <v>46204</v>
      </c>
      <c r="D411" t="inlineStr">
        <is>
          <t>VÄRMLANDS LÄN</t>
        </is>
      </c>
      <c r="E411" t="inlineStr">
        <is>
          <t>TORSBY</t>
        </is>
      </c>
      <c r="G411" t="n">
        <v>3.8</v>
      </c>
      <c r="H411" t="n">
        <v>0</v>
      </c>
      <c r="I411" t="n">
        <v>0</v>
      </c>
      <c r="J411" t="n">
        <v>0</v>
      </c>
      <c r="K411" t="n">
        <v>0</v>
      </c>
      <c r="L411" t="n">
        <v>0</v>
      </c>
      <c r="M411" t="n">
        <v>0</v>
      </c>
      <c r="N411" t="n">
        <v>0</v>
      </c>
      <c r="O411" t="n">
        <v>0</v>
      </c>
      <c r="P411" t="n">
        <v>0</v>
      </c>
      <c r="Q411" t="n">
        <v>0</v>
      </c>
      <c r="R411" s="2" t="inlineStr"/>
    </row>
    <row r="412" ht="15" customHeight="1">
      <c r="A412" t="inlineStr">
        <is>
          <t>A 23843-2024</t>
        </is>
      </c>
      <c r="B412" s="1" t="n">
        <v>45455</v>
      </c>
      <c r="C412" s="1" t="n">
        <v>46204</v>
      </c>
      <c r="D412" t="inlineStr">
        <is>
          <t>VÄRMLANDS LÄN</t>
        </is>
      </c>
      <c r="E412" t="inlineStr">
        <is>
          <t>TORSBY</t>
        </is>
      </c>
      <c r="G412" t="n">
        <v>1.2</v>
      </c>
      <c r="H412" t="n">
        <v>0</v>
      </c>
      <c r="I412" t="n">
        <v>0</v>
      </c>
      <c r="J412" t="n">
        <v>0</v>
      </c>
      <c r="K412" t="n">
        <v>0</v>
      </c>
      <c r="L412" t="n">
        <v>0</v>
      </c>
      <c r="M412" t="n">
        <v>0</v>
      </c>
      <c r="N412" t="n">
        <v>0</v>
      </c>
      <c r="O412" t="n">
        <v>0</v>
      </c>
      <c r="P412" t="n">
        <v>0</v>
      </c>
      <c r="Q412" t="n">
        <v>0</v>
      </c>
      <c r="R412" s="2" t="inlineStr"/>
    </row>
    <row r="413" ht="15" customHeight="1">
      <c r="A413" t="inlineStr">
        <is>
          <t>A 18584-2025</t>
        </is>
      </c>
      <c r="B413" s="1" t="n">
        <v>45763</v>
      </c>
      <c r="C413" s="1" t="n">
        <v>46204</v>
      </c>
      <c r="D413" t="inlineStr">
        <is>
          <t>VÄRMLANDS LÄN</t>
        </is>
      </c>
      <c r="E413" t="inlineStr">
        <is>
          <t>TORSBY</t>
        </is>
      </c>
      <c r="F413" t="inlineStr">
        <is>
          <t>Kyrkan</t>
        </is>
      </c>
      <c r="G413" t="n">
        <v>4.5</v>
      </c>
      <c r="H413" t="n">
        <v>0</v>
      </c>
      <c r="I413" t="n">
        <v>0</v>
      </c>
      <c r="J413" t="n">
        <v>0</v>
      </c>
      <c r="K413" t="n">
        <v>0</v>
      </c>
      <c r="L413" t="n">
        <v>0</v>
      </c>
      <c r="M413" t="n">
        <v>0</v>
      </c>
      <c r="N413" t="n">
        <v>0</v>
      </c>
      <c r="O413" t="n">
        <v>0</v>
      </c>
      <c r="P413" t="n">
        <v>0</v>
      </c>
      <c r="Q413" t="n">
        <v>0</v>
      </c>
      <c r="R413" s="2" t="inlineStr"/>
    </row>
    <row r="414" ht="15" customHeight="1">
      <c r="A414" t="inlineStr">
        <is>
          <t>A 19763-2025</t>
        </is>
      </c>
      <c r="B414" s="1" t="n">
        <v>45771</v>
      </c>
      <c r="C414" s="1" t="n">
        <v>46204</v>
      </c>
      <c r="D414" t="inlineStr">
        <is>
          <t>VÄRMLANDS LÄN</t>
        </is>
      </c>
      <c r="E414" t="inlineStr">
        <is>
          <t>TORSBY</t>
        </is>
      </c>
      <c r="F414" t="inlineStr">
        <is>
          <t>Bergvik skog väst AB</t>
        </is>
      </c>
      <c r="G414" t="n">
        <v>1.9</v>
      </c>
      <c r="H414" t="n">
        <v>0</v>
      </c>
      <c r="I414" t="n">
        <v>0</v>
      </c>
      <c r="J414" t="n">
        <v>0</v>
      </c>
      <c r="K414" t="n">
        <v>0</v>
      </c>
      <c r="L414" t="n">
        <v>0</v>
      </c>
      <c r="M414" t="n">
        <v>0</v>
      </c>
      <c r="N414" t="n">
        <v>0</v>
      </c>
      <c r="O414" t="n">
        <v>0</v>
      </c>
      <c r="P414" t="n">
        <v>0</v>
      </c>
      <c r="Q414" t="n">
        <v>0</v>
      </c>
      <c r="R414" s="2" t="inlineStr"/>
    </row>
    <row r="415" ht="15" customHeight="1">
      <c r="A415" t="inlineStr">
        <is>
          <t>A 15413-2023</t>
        </is>
      </c>
      <c r="B415" s="1" t="n">
        <v>45019</v>
      </c>
      <c r="C415" s="1" t="n">
        <v>46204</v>
      </c>
      <c r="D415" t="inlineStr">
        <is>
          <t>VÄRMLANDS LÄN</t>
        </is>
      </c>
      <c r="E415" t="inlineStr">
        <is>
          <t>TORSBY</t>
        </is>
      </c>
      <c r="G415" t="n">
        <v>17.1</v>
      </c>
      <c r="H415" t="n">
        <v>0</v>
      </c>
      <c r="I415" t="n">
        <v>0</v>
      </c>
      <c r="J415" t="n">
        <v>0</v>
      </c>
      <c r="K415" t="n">
        <v>0</v>
      </c>
      <c r="L415" t="n">
        <v>0</v>
      </c>
      <c r="M415" t="n">
        <v>0</v>
      </c>
      <c r="N415" t="n">
        <v>0</v>
      </c>
      <c r="O415" t="n">
        <v>0</v>
      </c>
      <c r="P415" t="n">
        <v>0</v>
      </c>
      <c r="Q415" t="n">
        <v>0</v>
      </c>
      <c r="R415" s="2" t="inlineStr"/>
    </row>
    <row r="416" ht="15" customHeight="1">
      <c r="A416" t="inlineStr">
        <is>
          <t>A 53945-2023</t>
        </is>
      </c>
      <c r="B416" s="1" t="n">
        <v>45231</v>
      </c>
      <c r="C416" s="1" t="n">
        <v>46204</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58728-2021</t>
        </is>
      </c>
      <c r="B417" s="1" t="n">
        <v>44489</v>
      </c>
      <c r="C417" s="1" t="n">
        <v>46204</v>
      </c>
      <c r="D417" t="inlineStr">
        <is>
          <t>VÄRMLANDS LÄN</t>
        </is>
      </c>
      <c r="E417" t="inlineStr">
        <is>
          <t>TORSBY</t>
        </is>
      </c>
      <c r="G417" t="n">
        <v>0.6</v>
      </c>
      <c r="H417" t="n">
        <v>0</v>
      </c>
      <c r="I417" t="n">
        <v>0</v>
      </c>
      <c r="J417" t="n">
        <v>0</v>
      </c>
      <c r="K417" t="n">
        <v>0</v>
      </c>
      <c r="L417" t="n">
        <v>0</v>
      </c>
      <c r="M417" t="n">
        <v>0</v>
      </c>
      <c r="N417" t="n">
        <v>0</v>
      </c>
      <c r="O417" t="n">
        <v>0</v>
      </c>
      <c r="P417" t="n">
        <v>0</v>
      </c>
      <c r="Q417" t="n">
        <v>0</v>
      </c>
      <c r="R417" s="2" t="inlineStr"/>
    </row>
    <row r="418" ht="15" customHeight="1">
      <c r="A418" t="inlineStr">
        <is>
          <t>A 47602-2021</t>
        </is>
      </c>
      <c r="B418" s="1" t="n">
        <v>44448</v>
      </c>
      <c r="C418" s="1" t="n">
        <v>46204</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9793-2024</t>
        </is>
      </c>
      <c r="B419" s="1" t="n">
        <v>45362</v>
      </c>
      <c r="C419" s="1" t="n">
        <v>46204</v>
      </c>
      <c r="D419" t="inlineStr">
        <is>
          <t>VÄRMLANDS LÄN</t>
        </is>
      </c>
      <c r="E419" t="inlineStr">
        <is>
          <t>TORSBY</t>
        </is>
      </c>
      <c r="G419" t="n">
        <v>6</v>
      </c>
      <c r="H419" t="n">
        <v>0</v>
      </c>
      <c r="I419" t="n">
        <v>0</v>
      </c>
      <c r="J419" t="n">
        <v>0</v>
      </c>
      <c r="K419" t="n">
        <v>0</v>
      </c>
      <c r="L419" t="n">
        <v>0</v>
      </c>
      <c r="M419" t="n">
        <v>0</v>
      </c>
      <c r="N419" t="n">
        <v>0</v>
      </c>
      <c r="O419" t="n">
        <v>0</v>
      </c>
      <c r="P419" t="n">
        <v>0</v>
      </c>
      <c r="Q419" t="n">
        <v>0</v>
      </c>
      <c r="R419" s="2" t="inlineStr"/>
    </row>
    <row r="420" ht="15" customHeight="1">
      <c r="A420" t="inlineStr">
        <is>
          <t>A 38257-2023</t>
        </is>
      </c>
      <c r="B420" s="1" t="n">
        <v>45161</v>
      </c>
      <c r="C420" s="1" t="n">
        <v>46204</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15768-2025</t>
        </is>
      </c>
      <c r="B421" s="1" t="n">
        <v>45748</v>
      </c>
      <c r="C421" s="1" t="n">
        <v>46204</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40546-2024</t>
        </is>
      </c>
      <c r="B422" s="1" t="n">
        <v>45555</v>
      </c>
      <c r="C422" s="1" t="n">
        <v>46204</v>
      </c>
      <c r="D422" t="inlineStr">
        <is>
          <t>VÄRMLANDS LÄN</t>
        </is>
      </c>
      <c r="E422" t="inlineStr">
        <is>
          <t>TORSBY</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7221-2024</t>
        </is>
      </c>
      <c r="B423" s="1" t="n">
        <v>45344</v>
      </c>
      <c r="C423" s="1" t="n">
        <v>46204</v>
      </c>
      <c r="D423" t="inlineStr">
        <is>
          <t>VÄRMLANDS LÄN</t>
        </is>
      </c>
      <c r="E423" t="inlineStr">
        <is>
          <t>TORSBY</t>
        </is>
      </c>
      <c r="G423" t="n">
        <v>8.1</v>
      </c>
      <c r="H423" t="n">
        <v>0</v>
      </c>
      <c r="I423" t="n">
        <v>0</v>
      </c>
      <c r="J423" t="n">
        <v>0</v>
      </c>
      <c r="K423" t="n">
        <v>0</v>
      </c>
      <c r="L423" t="n">
        <v>0</v>
      </c>
      <c r="M423" t="n">
        <v>0</v>
      </c>
      <c r="N423" t="n">
        <v>0</v>
      </c>
      <c r="O423" t="n">
        <v>0</v>
      </c>
      <c r="P423" t="n">
        <v>0</v>
      </c>
      <c r="Q423" t="n">
        <v>0</v>
      </c>
      <c r="R423" s="2" t="inlineStr"/>
    </row>
    <row r="424" ht="15" customHeight="1">
      <c r="A424" t="inlineStr">
        <is>
          <t>A 32319-2024</t>
        </is>
      </c>
      <c r="B424" s="1" t="n">
        <v>45512</v>
      </c>
      <c r="C424" s="1" t="n">
        <v>46204</v>
      </c>
      <c r="D424" t="inlineStr">
        <is>
          <t>VÄRMLANDS LÄN</t>
        </is>
      </c>
      <c r="E424" t="inlineStr">
        <is>
          <t>TORSBY</t>
        </is>
      </c>
      <c r="G424" t="n">
        <v>2.6</v>
      </c>
      <c r="H424" t="n">
        <v>0</v>
      </c>
      <c r="I424" t="n">
        <v>0</v>
      </c>
      <c r="J424" t="n">
        <v>0</v>
      </c>
      <c r="K424" t="n">
        <v>0</v>
      </c>
      <c r="L424" t="n">
        <v>0</v>
      </c>
      <c r="M424" t="n">
        <v>0</v>
      </c>
      <c r="N424" t="n">
        <v>0</v>
      </c>
      <c r="O424" t="n">
        <v>0</v>
      </c>
      <c r="P424" t="n">
        <v>0</v>
      </c>
      <c r="Q424" t="n">
        <v>0</v>
      </c>
      <c r="R424" s="2" t="inlineStr"/>
    </row>
    <row r="425" ht="15" customHeight="1">
      <c r="A425" t="inlineStr">
        <is>
          <t>A 52314-2024</t>
        </is>
      </c>
      <c r="B425" s="1" t="n">
        <v>45608</v>
      </c>
      <c r="C425" s="1" t="n">
        <v>46204</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24876-2023</t>
        </is>
      </c>
      <c r="B426" s="1" t="n">
        <v>45085</v>
      </c>
      <c r="C426" s="1" t="n">
        <v>46204</v>
      </c>
      <c r="D426" t="inlineStr">
        <is>
          <t>VÄRMLANDS LÄN</t>
        </is>
      </c>
      <c r="E426" t="inlineStr">
        <is>
          <t>TORSBY</t>
        </is>
      </c>
      <c r="G426" t="n">
        <v>2.2</v>
      </c>
      <c r="H426" t="n">
        <v>0</v>
      </c>
      <c r="I426" t="n">
        <v>0</v>
      </c>
      <c r="J426" t="n">
        <v>0</v>
      </c>
      <c r="K426" t="n">
        <v>0</v>
      </c>
      <c r="L426" t="n">
        <v>0</v>
      </c>
      <c r="M426" t="n">
        <v>0</v>
      </c>
      <c r="N426" t="n">
        <v>0</v>
      </c>
      <c r="O426" t="n">
        <v>0</v>
      </c>
      <c r="P426" t="n">
        <v>0</v>
      </c>
      <c r="Q426" t="n">
        <v>0</v>
      </c>
      <c r="R426" s="2" t="inlineStr"/>
    </row>
    <row r="427" ht="15" customHeight="1">
      <c r="A427" t="inlineStr">
        <is>
          <t>A 39767-2024</t>
        </is>
      </c>
      <c r="B427" s="1" t="n">
        <v>45552</v>
      </c>
      <c r="C427" s="1" t="n">
        <v>46204</v>
      </c>
      <c r="D427" t="inlineStr">
        <is>
          <t>VÄRMLANDS LÄN</t>
        </is>
      </c>
      <c r="E427" t="inlineStr">
        <is>
          <t>TORSBY</t>
        </is>
      </c>
      <c r="G427" t="n">
        <v>7</v>
      </c>
      <c r="H427" t="n">
        <v>0</v>
      </c>
      <c r="I427" t="n">
        <v>0</v>
      </c>
      <c r="J427" t="n">
        <v>0</v>
      </c>
      <c r="K427" t="n">
        <v>0</v>
      </c>
      <c r="L427" t="n">
        <v>0</v>
      </c>
      <c r="M427" t="n">
        <v>0</v>
      </c>
      <c r="N427" t="n">
        <v>0</v>
      </c>
      <c r="O427" t="n">
        <v>0</v>
      </c>
      <c r="P427" t="n">
        <v>0</v>
      </c>
      <c r="Q427" t="n">
        <v>0</v>
      </c>
      <c r="R427" s="2" t="inlineStr"/>
    </row>
    <row r="428" ht="15" customHeight="1">
      <c r="A428" t="inlineStr">
        <is>
          <t>A 39772-2024</t>
        </is>
      </c>
      <c r="B428" s="1" t="n">
        <v>45552</v>
      </c>
      <c r="C428" s="1" t="n">
        <v>46204</v>
      </c>
      <c r="D428" t="inlineStr">
        <is>
          <t>VÄRMLANDS LÄN</t>
        </is>
      </c>
      <c r="E428" t="inlineStr">
        <is>
          <t>TORSBY</t>
        </is>
      </c>
      <c r="G428" t="n">
        <v>2.7</v>
      </c>
      <c r="H428" t="n">
        <v>0</v>
      </c>
      <c r="I428" t="n">
        <v>0</v>
      </c>
      <c r="J428" t="n">
        <v>0</v>
      </c>
      <c r="K428" t="n">
        <v>0</v>
      </c>
      <c r="L428" t="n">
        <v>0</v>
      </c>
      <c r="M428" t="n">
        <v>0</v>
      </c>
      <c r="N428" t="n">
        <v>0</v>
      </c>
      <c r="O428" t="n">
        <v>0</v>
      </c>
      <c r="P428" t="n">
        <v>0</v>
      </c>
      <c r="Q428" t="n">
        <v>0</v>
      </c>
      <c r="R428" s="2" t="inlineStr"/>
    </row>
    <row r="429" ht="15" customHeight="1">
      <c r="A429" t="inlineStr">
        <is>
          <t>A 51662-2024</t>
        </is>
      </c>
      <c r="B429" s="1" t="n">
        <v>45606</v>
      </c>
      <c r="C429" s="1" t="n">
        <v>46204</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54162-2023</t>
        </is>
      </c>
      <c r="B430" s="1" t="n">
        <v>45232</v>
      </c>
      <c r="C430" s="1" t="n">
        <v>46204</v>
      </c>
      <c r="D430" t="inlineStr">
        <is>
          <t>VÄRMLANDS LÄN</t>
        </is>
      </c>
      <c r="E430" t="inlineStr">
        <is>
          <t>TORSBY</t>
        </is>
      </c>
      <c r="F430" t="inlineStr">
        <is>
          <t>Bergvik skog väst AB</t>
        </is>
      </c>
      <c r="G430" t="n">
        <v>8.4</v>
      </c>
      <c r="H430" t="n">
        <v>0</v>
      </c>
      <c r="I430" t="n">
        <v>0</v>
      </c>
      <c r="J430" t="n">
        <v>0</v>
      </c>
      <c r="K430" t="n">
        <v>0</v>
      </c>
      <c r="L430" t="n">
        <v>0</v>
      </c>
      <c r="M430" t="n">
        <v>0</v>
      </c>
      <c r="N430" t="n">
        <v>0</v>
      </c>
      <c r="O430" t="n">
        <v>0</v>
      </c>
      <c r="P430" t="n">
        <v>0</v>
      </c>
      <c r="Q430" t="n">
        <v>0</v>
      </c>
      <c r="R430" s="2" t="inlineStr"/>
    </row>
    <row r="431" ht="15" customHeight="1">
      <c r="A431" t="inlineStr">
        <is>
          <t>A 54191-2023</t>
        </is>
      </c>
      <c r="B431" s="1" t="n">
        <v>45232</v>
      </c>
      <c r="C431" s="1" t="n">
        <v>46204</v>
      </c>
      <c r="D431" t="inlineStr">
        <is>
          <t>VÄRMLANDS LÄN</t>
        </is>
      </c>
      <c r="E431" t="inlineStr">
        <is>
          <t>TORSBY</t>
        </is>
      </c>
      <c r="F431" t="inlineStr">
        <is>
          <t>Bergvik skog väst AB</t>
        </is>
      </c>
      <c r="G431" t="n">
        <v>3.1</v>
      </c>
      <c r="H431" t="n">
        <v>0</v>
      </c>
      <c r="I431" t="n">
        <v>0</v>
      </c>
      <c r="J431" t="n">
        <v>0</v>
      </c>
      <c r="K431" t="n">
        <v>0</v>
      </c>
      <c r="L431" t="n">
        <v>0</v>
      </c>
      <c r="M431" t="n">
        <v>0</v>
      </c>
      <c r="N431" t="n">
        <v>0</v>
      </c>
      <c r="O431" t="n">
        <v>0</v>
      </c>
      <c r="P431" t="n">
        <v>0</v>
      </c>
      <c r="Q431" t="n">
        <v>0</v>
      </c>
      <c r="R431" s="2" t="inlineStr"/>
    </row>
    <row r="432" ht="15" customHeight="1">
      <c r="A432" t="inlineStr">
        <is>
          <t>A 27144-2024</t>
        </is>
      </c>
      <c r="B432" s="1" t="n">
        <v>45471</v>
      </c>
      <c r="C432" s="1" t="n">
        <v>46204</v>
      </c>
      <c r="D432" t="inlineStr">
        <is>
          <t>VÄRMLANDS LÄN</t>
        </is>
      </c>
      <c r="E432" t="inlineStr">
        <is>
          <t>TORSBY</t>
        </is>
      </c>
      <c r="G432" t="n">
        <v>3.5</v>
      </c>
      <c r="H432" t="n">
        <v>0</v>
      </c>
      <c r="I432" t="n">
        <v>0</v>
      </c>
      <c r="J432" t="n">
        <v>0</v>
      </c>
      <c r="K432" t="n">
        <v>0</v>
      </c>
      <c r="L432" t="n">
        <v>0</v>
      </c>
      <c r="M432" t="n">
        <v>0</v>
      </c>
      <c r="N432" t="n">
        <v>0</v>
      </c>
      <c r="O432" t="n">
        <v>0</v>
      </c>
      <c r="P432" t="n">
        <v>0</v>
      </c>
      <c r="Q432" t="n">
        <v>0</v>
      </c>
      <c r="R432" s="2" t="inlineStr"/>
    </row>
    <row r="433" ht="15" customHeight="1">
      <c r="A433" t="inlineStr">
        <is>
          <t>A 27458-2023</t>
        </is>
      </c>
      <c r="B433" s="1" t="n">
        <v>45097</v>
      </c>
      <c r="C433" s="1" t="n">
        <v>46204</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26799-2024</t>
        </is>
      </c>
      <c r="B434" s="1" t="n">
        <v>45470</v>
      </c>
      <c r="C434" s="1" t="n">
        <v>46204</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57452-2022</t>
        </is>
      </c>
      <c r="B435" s="1" t="n">
        <v>44896</v>
      </c>
      <c r="C435" s="1" t="n">
        <v>46204</v>
      </c>
      <c r="D435" t="inlineStr">
        <is>
          <t>VÄRMLANDS LÄN</t>
        </is>
      </c>
      <c r="E435" t="inlineStr">
        <is>
          <t>TORSBY</t>
        </is>
      </c>
      <c r="F435" t="inlineStr">
        <is>
          <t>Bergvik skog väst AB</t>
        </is>
      </c>
      <c r="G435" t="n">
        <v>4.8</v>
      </c>
      <c r="H435" t="n">
        <v>0</v>
      </c>
      <c r="I435" t="n">
        <v>0</v>
      </c>
      <c r="J435" t="n">
        <v>0</v>
      </c>
      <c r="K435" t="n">
        <v>0</v>
      </c>
      <c r="L435" t="n">
        <v>0</v>
      </c>
      <c r="M435" t="n">
        <v>0</v>
      </c>
      <c r="N435" t="n">
        <v>0</v>
      </c>
      <c r="O435" t="n">
        <v>0</v>
      </c>
      <c r="P435" t="n">
        <v>0</v>
      </c>
      <c r="Q435" t="n">
        <v>0</v>
      </c>
      <c r="R435" s="2" t="inlineStr"/>
    </row>
    <row r="436" ht="15" customHeight="1">
      <c r="A436" t="inlineStr">
        <is>
          <t>A 25316-2024</t>
        </is>
      </c>
      <c r="B436" s="1" t="n">
        <v>45462</v>
      </c>
      <c r="C436" s="1" t="n">
        <v>46204</v>
      </c>
      <c r="D436" t="inlineStr">
        <is>
          <t>VÄRMLANDS LÄN</t>
        </is>
      </c>
      <c r="E436" t="inlineStr">
        <is>
          <t>TORSBY</t>
        </is>
      </c>
      <c r="G436" t="n">
        <v>1</v>
      </c>
      <c r="H436" t="n">
        <v>0</v>
      </c>
      <c r="I436" t="n">
        <v>0</v>
      </c>
      <c r="J436" t="n">
        <v>0</v>
      </c>
      <c r="K436" t="n">
        <v>0</v>
      </c>
      <c r="L436" t="n">
        <v>0</v>
      </c>
      <c r="M436" t="n">
        <v>0</v>
      </c>
      <c r="N436" t="n">
        <v>0</v>
      </c>
      <c r="O436" t="n">
        <v>0</v>
      </c>
      <c r="P436" t="n">
        <v>0</v>
      </c>
      <c r="Q436" t="n">
        <v>0</v>
      </c>
      <c r="R436" s="2" t="inlineStr"/>
    </row>
    <row r="437" ht="15" customHeight="1">
      <c r="A437" t="inlineStr">
        <is>
          <t>A 21542-2024</t>
        </is>
      </c>
      <c r="B437" s="1" t="n">
        <v>45441</v>
      </c>
      <c r="C437" s="1" t="n">
        <v>46204</v>
      </c>
      <c r="D437" t="inlineStr">
        <is>
          <t>VÄRMLANDS LÄN</t>
        </is>
      </c>
      <c r="E437" t="inlineStr">
        <is>
          <t>TORSBY</t>
        </is>
      </c>
      <c r="G437" t="n">
        <v>3.7</v>
      </c>
      <c r="H437" t="n">
        <v>0</v>
      </c>
      <c r="I437" t="n">
        <v>0</v>
      </c>
      <c r="J437" t="n">
        <v>0</v>
      </c>
      <c r="K437" t="n">
        <v>0</v>
      </c>
      <c r="L437" t="n">
        <v>0</v>
      </c>
      <c r="M437" t="n">
        <v>0</v>
      </c>
      <c r="N437" t="n">
        <v>0</v>
      </c>
      <c r="O437" t="n">
        <v>0</v>
      </c>
      <c r="P437" t="n">
        <v>0</v>
      </c>
      <c r="Q437" t="n">
        <v>0</v>
      </c>
      <c r="R437" s="2" t="inlineStr"/>
    </row>
    <row r="438" ht="15" customHeight="1">
      <c r="A438" t="inlineStr">
        <is>
          <t>A 9902-2024</t>
        </is>
      </c>
      <c r="B438" s="1" t="n">
        <v>45363</v>
      </c>
      <c r="C438" s="1" t="n">
        <v>46204</v>
      </c>
      <c r="D438" t="inlineStr">
        <is>
          <t>VÄRMLANDS LÄN</t>
        </is>
      </c>
      <c r="E438" t="inlineStr">
        <is>
          <t>TORSBY</t>
        </is>
      </c>
      <c r="G438" t="n">
        <v>4.4</v>
      </c>
      <c r="H438" t="n">
        <v>0</v>
      </c>
      <c r="I438" t="n">
        <v>0</v>
      </c>
      <c r="J438" t="n">
        <v>0</v>
      </c>
      <c r="K438" t="n">
        <v>0</v>
      </c>
      <c r="L438" t="n">
        <v>0</v>
      </c>
      <c r="M438" t="n">
        <v>0</v>
      </c>
      <c r="N438" t="n">
        <v>0</v>
      </c>
      <c r="O438" t="n">
        <v>0</v>
      </c>
      <c r="P438" t="n">
        <v>0</v>
      </c>
      <c r="Q438" t="n">
        <v>0</v>
      </c>
      <c r="R438" s="2" t="inlineStr"/>
    </row>
    <row r="439" ht="15" customHeight="1">
      <c r="A439" t="inlineStr">
        <is>
          <t>A 54023-2024</t>
        </is>
      </c>
      <c r="B439" s="1" t="n">
        <v>45616</v>
      </c>
      <c r="C439" s="1" t="n">
        <v>46204</v>
      </c>
      <c r="D439" t="inlineStr">
        <is>
          <t>VÄRMLANDS LÄN</t>
        </is>
      </c>
      <c r="E439" t="inlineStr">
        <is>
          <t>TORSBY</t>
        </is>
      </c>
      <c r="F439" t="inlineStr">
        <is>
          <t>Kommuner</t>
        </is>
      </c>
      <c r="G439" t="n">
        <v>3</v>
      </c>
      <c r="H439" t="n">
        <v>0</v>
      </c>
      <c r="I439" t="n">
        <v>0</v>
      </c>
      <c r="J439" t="n">
        <v>0</v>
      </c>
      <c r="K439" t="n">
        <v>0</v>
      </c>
      <c r="L439" t="n">
        <v>0</v>
      </c>
      <c r="M439" t="n">
        <v>0</v>
      </c>
      <c r="N439" t="n">
        <v>0</v>
      </c>
      <c r="O439" t="n">
        <v>0</v>
      </c>
      <c r="P439" t="n">
        <v>0</v>
      </c>
      <c r="Q439" t="n">
        <v>0</v>
      </c>
      <c r="R439" s="2" t="inlineStr"/>
    </row>
    <row r="440" ht="15" customHeight="1">
      <c r="A440" t="inlineStr">
        <is>
          <t>A 9900-2024</t>
        </is>
      </c>
      <c r="B440" s="1" t="n">
        <v>45363</v>
      </c>
      <c r="C440" s="1" t="n">
        <v>46204</v>
      </c>
      <c r="D440" t="inlineStr">
        <is>
          <t>VÄRMLANDS LÄN</t>
        </is>
      </c>
      <c r="E440" t="inlineStr">
        <is>
          <t>TORSBY</t>
        </is>
      </c>
      <c r="G440" t="n">
        <v>13.6</v>
      </c>
      <c r="H440" t="n">
        <v>0</v>
      </c>
      <c r="I440" t="n">
        <v>0</v>
      </c>
      <c r="J440" t="n">
        <v>0</v>
      </c>
      <c r="K440" t="n">
        <v>0</v>
      </c>
      <c r="L440" t="n">
        <v>0</v>
      </c>
      <c r="M440" t="n">
        <v>0</v>
      </c>
      <c r="N440" t="n">
        <v>0</v>
      </c>
      <c r="O440" t="n">
        <v>0</v>
      </c>
      <c r="P440" t="n">
        <v>0</v>
      </c>
      <c r="Q440" t="n">
        <v>0</v>
      </c>
      <c r="R440" s="2" t="inlineStr"/>
    </row>
    <row r="441" ht="15" customHeight="1">
      <c r="A441" t="inlineStr">
        <is>
          <t>A 10684-2024</t>
        </is>
      </c>
      <c r="B441" s="1" t="n">
        <v>45369</v>
      </c>
      <c r="C441" s="1" t="n">
        <v>46204</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55475-2022</t>
        </is>
      </c>
      <c r="B442" s="1" t="n">
        <v>44887</v>
      </c>
      <c r="C442" s="1" t="n">
        <v>46204</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3672-2024</t>
        </is>
      </c>
      <c r="B443" s="1" t="n">
        <v>45321</v>
      </c>
      <c r="C443" s="1" t="n">
        <v>46204</v>
      </c>
      <c r="D443" t="inlineStr">
        <is>
          <t>VÄRMLANDS LÄN</t>
        </is>
      </c>
      <c r="E443" t="inlineStr">
        <is>
          <t>TORSBY</t>
        </is>
      </c>
      <c r="G443" t="n">
        <v>1.5</v>
      </c>
      <c r="H443" t="n">
        <v>0</v>
      </c>
      <c r="I443" t="n">
        <v>0</v>
      </c>
      <c r="J443" t="n">
        <v>0</v>
      </c>
      <c r="K443" t="n">
        <v>0</v>
      </c>
      <c r="L443" t="n">
        <v>0</v>
      </c>
      <c r="M443" t="n">
        <v>0</v>
      </c>
      <c r="N443" t="n">
        <v>0</v>
      </c>
      <c r="O443" t="n">
        <v>0</v>
      </c>
      <c r="P443" t="n">
        <v>0</v>
      </c>
      <c r="Q443" t="n">
        <v>0</v>
      </c>
      <c r="R443" s="2" t="inlineStr"/>
    </row>
    <row r="444" ht="15" customHeight="1">
      <c r="A444" t="inlineStr">
        <is>
          <t>A 1528-2025</t>
        </is>
      </c>
      <c r="B444" s="1" t="n">
        <v>45670</v>
      </c>
      <c r="C444" s="1" t="n">
        <v>46204</v>
      </c>
      <c r="D444" t="inlineStr">
        <is>
          <t>VÄRMLANDS LÄN</t>
        </is>
      </c>
      <c r="E444" t="inlineStr">
        <is>
          <t>TORSBY</t>
        </is>
      </c>
      <c r="G444" t="n">
        <v>7.4</v>
      </c>
      <c r="H444" t="n">
        <v>0</v>
      </c>
      <c r="I444" t="n">
        <v>0</v>
      </c>
      <c r="J444" t="n">
        <v>0</v>
      </c>
      <c r="K444" t="n">
        <v>0</v>
      </c>
      <c r="L444" t="n">
        <v>0</v>
      </c>
      <c r="M444" t="n">
        <v>0</v>
      </c>
      <c r="N444" t="n">
        <v>0</v>
      </c>
      <c r="O444" t="n">
        <v>0</v>
      </c>
      <c r="P444" t="n">
        <v>0</v>
      </c>
      <c r="Q444" t="n">
        <v>0</v>
      </c>
      <c r="R444" s="2" t="inlineStr"/>
    </row>
    <row r="445" ht="15" customHeight="1">
      <c r="A445" t="inlineStr">
        <is>
          <t>A 34093-2024</t>
        </is>
      </c>
      <c r="B445" s="1" t="n">
        <v>45523</v>
      </c>
      <c r="C445" s="1" t="n">
        <v>46204</v>
      </c>
      <c r="D445" t="inlineStr">
        <is>
          <t>VÄRMLANDS LÄN</t>
        </is>
      </c>
      <c r="E445" t="inlineStr">
        <is>
          <t>TORSBY</t>
        </is>
      </c>
      <c r="F445" t="inlineStr">
        <is>
          <t>Bergvik skog väst AB</t>
        </is>
      </c>
      <c r="G445" t="n">
        <v>5.9</v>
      </c>
      <c r="H445" t="n">
        <v>0</v>
      </c>
      <c r="I445" t="n">
        <v>0</v>
      </c>
      <c r="J445" t="n">
        <v>0</v>
      </c>
      <c r="K445" t="n">
        <v>0</v>
      </c>
      <c r="L445" t="n">
        <v>0</v>
      </c>
      <c r="M445" t="n">
        <v>0</v>
      </c>
      <c r="N445" t="n">
        <v>0</v>
      </c>
      <c r="O445" t="n">
        <v>0</v>
      </c>
      <c r="P445" t="n">
        <v>0</v>
      </c>
      <c r="Q445" t="n">
        <v>0</v>
      </c>
      <c r="R445" s="2" t="inlineStr"/>
    </row>
    <row r="446" ht="15" customHeight="1">
      <c r="A446" t="inlineStr">
        <is>
          <t>A 13791-2023</t>
        </is>
      </c>
      <c r="B446" s="1" t="n">
        <v>45005</v>
      </c>
      <c r="C446" s="1" t="n">
        <v>46204</v>
      </c>
      <c r="D446" t="inlineStr">
        <is>
          <t>VÄRMLANDS LÄN</t>
        </is>
      </c>
      <c r="E446" t="inlineStr">
        <is>
          <t>TORSBY</t>
        </is>
      </c>
      <c r="G446" t="n">
        <v>3.5</v>
      </c>
      <c r="H446" t="n">
        <v>0</v>
      </c>
      <c r="I446" t="n">
        <v>0</v>
      </c>
      <c r="J446" t="n">
        <v>0</v>
      </c>
      <c r="K446" t="n">
        <v>0</v>
      </c>
      <c r="L446" t="n">
        <v>0</v>
      </c>
      <c r="M446" t="n">
        <v>0</v>
      </c>
      <c r="N446" t="n">
        <v>0</v>
      </c>
      <c r="O446" t="n">
        <v>0</v>
      </c>
      <c r="P446" t="n">
        <v>0</v>
      </c>
      <c r="Q446" t="n">
        <v>0</v>
      </c>
      <c r="R446" s="2" t="inlineStr"/>
    </row>
    <row r="447" ht="15" customHeight="1">
      <c r="A447" t="inlineStr">
        <is>
          <t>A 2155-2024</t>
        </is>
      </c>
      <c r="B447" s="1" t="n">
        <v>45309</v>
      </c>
      <c r="C447" s="1" t="n">
        <v>46204</v>
      </c>
      <c r="D447" t="inlineStr">
        <is>
          <t>VÄRMLANDS LÄN</t>
        </is>
      </c>
      <c r="E447" t="inlineStr">
        <is>
          <t>TORSBY</t>
        </is>
      </c>
      <c r="G447" t="n">
        <v>2.8</v>
      </c>
      <c r="H447" t="n">
        <v>0</v>
      </c>
      <c r="I447" t="n">
        <v>0</v>
      </c>
      <c r="J447" t="n">
        <v>0</v>
      </c>
      <c r="K447" t="n">
        <v>0</v>
      </c>
      <c r="L447" t="n">
        <v>0</v>
      </c>
      <c r="M447" t="n">
        <v>0</v>
      </c>
      <c r="N447" t="n">
        <v>0</v>
      </c>
      <c r="O447" t="n">
        <v>0</v>
      </c>
      <c r="P447" t="n">
        <v>0</v>
      </c>
      <c r="Q447" t="n">
        <v>0</v>
      </c>
      <c r="R447" s="2" t="inlineStr"/>
    </row>
    <row r="448" ht="15" customHeight="1">
      <c r="A448" t="inlineStr">
        <is>
          <t>A 55839-2024</t>
        </is>
      </c>
      <c r="B448" s="1" t="n">
        <v>45623</v>
      </c>
      <c r="C448" s="1" t="n">
        <v>46204</v>
      </c>
      <c r="D448" t="inlineStr">
        <is>
          <t>VÄRMLANDS LÄN</t>
        </is>
      </c>
      <c r="E448" t="inlineStr">
        <is>
          <t>TORSBY</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16192-2025</t>
        </is>
      </c>
      <c r="B449" s="1" t="n">
        <v>45750</v>
      </c>
      <c r="C449" s="1" t="n">
        <v>46204</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61259-2024</t>
        </is>
      </c>
      <c r="B450" s="1" t="n">
        <v>45645</v>
      </c>
      <c r="C450" s="1" t="n">
        <v>46204</v>
      </c>
      <c r="D450" t="inlineStr">
        <is>
          <t>VÄRMLANDS LÄN</t>
        </is>
      </c>
      <c r="E450" t="inlineStr">
        <is>
          <t>TORSBY</t>
        </is>
      </c>
      <c r="G450" t="n">
        <v>1.2</v>
      </c>
      <c r="H450" t="n">
        <v>0</v>
      </c>
      <c r="I450" t="n">
        <v>0</v>
      </c>
      <c r="J450" t="n">
        <v>0</v>
      </c>
      <c r="K450" t="n">
        <v>0</v>
      </c>
      <c r="L450" t="n">
        <v>0</v>
      </c>
      <c r="M450" t="n">
        <v>0</v>
      </c>
      <c r="N450" t="n">
        <v>0</v>
      </c>
      <c r="O450" t="n">
        <v>0</v>
      </c>
      <c r="P450" t="n">
        <v>0</v>
      </c>
      <c r="Q450" t="n">
        <v>0</v>
      </c>
      <c r="R450" s="2" t="inlineStr"/>
    </row>
    <row r="451" ht="15" customHeight="1">
      <c r="A451" t="inlineStr">
        <is>
          <t>A 20168-2022</t>
        </is>
      </c>
      <c r="B451" s="1" t="n">
        <v>44698</v>
      </c>
      <c r="C451" s="1" t="n">
        <v>46204</v>
      </c>
      <c r="D451" t="inlineStr">
        <is>
          <t>VÄRMLANDS LÄN</t>
        </is>
      </c>
      <c r="E451" t="inlineStr">
        <is>
          <t>TORSBY</t>
        </is>
      </c>
      <c r="G451" t="n">
        <v>6.6</v>
      </c>
      <c r="H451" t="n">
        <v>0</v>
      </c>
      <c r="I451" t="n">
        <v>0</v>
      </c>
      <c r="J451" t="n">
        <v>0</v>
      </c>
      <c r="K451" t="n">
        <v>0</v>
      </c>
      <c r="L451" t="n">
        <v>0</v>
      </c>
      <c r="M451" t="n">
        <v>0</v>
      </c>
      <c r="N451" t="n">
        <v>0</v>
      </c>
      <c r="O451" t="n">
        <v>0</v>
      </c>
      <c r="P451" t="n">
        <v>0</v>
      </c>
      <c r="Q451" t="n">
        <v>0</v>
      </c>
      <c r="R451" s="2" t="inlineStr"/>
    </row>
    <row r="452" ht="15" customHeight="1">
      <c r="A452" t="inlineStr">
        <is>
          <t>A 906-2025</t>
        </is>
      </c>
      <c r="B452" s="1" t="n">
        <v>45664</v>
      </c>
      <c r="C452" s="1" t="n">
        <v>46204</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54204-2023</t>
        </is>
      </c>
      <c r="B453" s="1" t="n">
        <v>45232</v>
      </c>
      <c r="C453" s="1" t="n">
        <v>46204</v>
      </c>
      <c r="D453" t="inlineStr">
        <is>
          <t>VÄRMLANDS LÄN</t>
        </is>
      </c>
      <c r="E453" t="inlineStr">
        <is>
          <t>TORSBY</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10473-2023</t>
        </is>
      </c>
      <c r="B454" s="1" t="n">
        <v>44981</v>
      </c>
      <c r="C454" s="1" t="n">
        <v>46204</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18365-2025</t>
        </is>
      </c>
      <c r="B455" s="1" t="n">
        <v>45762</v>
      </c>
      <c r="C455" s="1" t="n">
        <v>46204</v>
      </c>
      <c r="D455" t="inlineStr">
        <is>
          <t>VÄRMLANDS LÄN</t>
        </is>
      </c>
      <c r="E455" t="inlineStr">
        <is>
          <t>TORSBY</t>
        </is>
      </c>
      <c r="G455" t="n">
        <v>3.9</v>
      </c>
      <c r="H455" t="n">
        <v>0</v>
      </c>
      <c r="I455" t="n">
        <v>0</v>
      </c>
      <c r="J455" t="n">
        <v>0</v>
      </c>
      <c r="K455" t="n">
        <v>0</v>
      </c>
      <c r="L455" t="n">
        <v>0</v>
      </c>
      <c r="M455" t="n">
        <v>0</v>
      </c>
      <c r="N455" t="n">
        <v>0</v>
      </c>
      <c r="O455" t="n">
        <v>0</v>
      </c>
      <c r="P455" t="n">
        <v>0</v>
      </c>
      <c r="Q455" t="n">
        <v>0</v>
      </c>
      <c r="R455" s="2" t="inlineStr"/>
    </row>
    <row r="456" ht="15" customHeight="1">
      <c r="A456" t="inlineStr">
        <is>
          <t>A 62445-2023</t>
        </is>
      </c>
      <c r="B456" s="1" t="n">
        <v>45268</v>
      </c>
      <c r="C456" s="1" t="n">
        <v>46204</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8284-2023</t>
        </is>
      </c>
      <c r="B457" s="1" t="n">
        <v>44974</v>
      </c>
      <c r="C457" s="1" t="n">
        <v>46204</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2803-2025</t>
        </is>
      </c>
      <c r="B458" s="1" t="n">
        <v>45677</v>
      </c>
      <c r="C458" s="1" t="n">
        <v>46204</v>
      </c>
      <c r="D458" t="inlineStr">
        <is>
          <t>VÄRMLANDS LÄN</t>
        </is>
      </c>
      <c r="E458" t="inlineStr">
        <is>
          <t>TORSBY</t>
        </is>
      </c>
      <c r="F458" t="inlineStr">
        <is>
          <t>Bergvik skog väst AB</t>
        </is>
      </c>
      <c r="G458" t="n">
        <v>0.6</v>
      </c>
      <c r="H458" t="n">
        <v>0</v>
      </c>
      <c r="I458" t="n">
        <v>0</v>
      </c>
      <c r="J458" t="n">
        <v>0</v>
      </c>
      <c r="K458" t="n">
        <v>0</v>
      </c>
      <c r="L458" t="n">
        <v>0</v>
      </c>
      <c r="M458" t="n">
        <v>0</v>
      </c>
      <c r="N458" t="n">
        <v>0</v>
      </c>
      <c r="O458" t="n">
        <v>0</v>
      </c>
      <c r="P458" t="n">
        <v>0</v>
      </c>
      <c r="Q458" t="n">
        <v>0</v>
      </c>
      <c r="R458" s="2" t="inlineStr"/>
    </row>
    <row r="459" ht="15" customHeight="1">
      <c r="A459" t="inlineStr">
        <is>
          <t>A 48239-2022</t>
        </is>
      </c>
      <c r="B459" s="1" t="n">
        <v>44858</v>
      </c>
      <c r="C459" s="1" t="n">
        <v>46204</v>
      </c>
      <c r="D459" t="inlineStr">
        <is>
          <t>VÄRMLANDS LÄN</t>
        </is>
      </c>
      <c r="E459" t="inlineStr">
        <is>
          <t>TORSBY</t>
        </is>
      </c>
      <c r="G459" t="n">
        <v>3.9</v>
      </c>
      <c r="H459" t="n">
        <v>0</v>
      </c>
      <c r="I459" t="n">
        <v>0</v>
      </c>
      <c r="J459" t="n">
        <v>0</v>
      </c>
      <c r="K459" t="n">
        <v>0</v>
      </c>
      <c r="L459" t="n">
        <v>0</v>
      </c>
      <c r="M459" t="n">
        <v>0</v>
      </c>
      <c r="N459" t="n">
        <v>0</v>
      </c>
      <c r="O459" t="n">
        <v>0</v>
      </c>
      <c r="P459" t="n">
        <v>0</v>
      </c>
      <c r="Q459" t="n">
        <v>0</v>
      </c>
      <c r="R459" s="2" t="inlineStr"/>
    </row>
    <row r="460" ht="15" customHeight="1">
      <c r="A460" t="inlineStr">
        <is>
          <t>A 3442-2025</t>
        </is>
      </c>
      <c r="B460" s="1" t="n">
        <v>45680</v>
      </c>
      <c r="C460" s="1" t="n">
        <v>46204</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18330-2024</t>
        </is>
      </c>
      <c r="B461" s="1" t="n">
        <v>45422</v>
      </c>
      <c r="C461" s="1" t="n">
        <v>46204</v>
      </c>
      <c r="D461" t="inlineStr">
        <is>
          <t>VÄRMLANDS LÄN</t>
        </is>
      </c>
      <c r="E461" t="inlineStr">
        <is>
          <t>TORSBY</t>
        </is>
      </c>
      <c r="G461" t="n">
        <v>1.4</v>
      </c>
      <c r="H461" t="n">
        <v>0</v>
      </c>
      <c r="I461" t="n">
        <v>0</v>
      </c>
      <c r="J461" t="n">
        <v>0</v>
      </c>
      <c r="K461" t="n">
        <v>0</v>
      </c>
      <c r="L461" t="n">
        <v>0</v>
      </c>
      <c r="M461" t="n">
        <v>0</v>
      </c>
      <c r="N461" t="n">
        <v>0</v>
      </c>
      <c r="O461" t="n">
        <v>0</v>
      </c>
      <c r="P461" t="n">
        <v>0</v>
      </c>
      <c r="Q461" t="n">
        <v>0</v>
      </c>
      <c r="R461" s="2" t="inlineStr"/>
    </row>
    <row r="462" ht="15" customHeight="1">
      <c r="A462" t="inlineStr">
        <is>
          <t>A 32332-2023</t>
        </is>
      </c>
      <c r="B462" s="1" t="n">
        <v>45110</v>
      </c>
      <c r="C462" s="1" t="n">
        <v>46204</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37913-2022</t>
        </is>
      </c>
      <c r="B463" s="1" t="n">
        <v>44811</v>
      </c>
      <c r="C463" s="1" t="n">
        <v>46204</v>
      </c>
      <c r="D463" t="inlineStr">
        <is>
          <t>VÄRMLANDS LÄN</t>
        </is>
      </c>
      <c r="E463" t="inlineStr">
        <is>
          <t>TORSBY</t>
        </is>
      </c>
      <c r="G463" t="n">
        <v>3.7</v>
      </c>
      <c r="H463" t="n">
        <v>0</v>
      </c>
      <c r="I463" t="n">
        <v>0</v>
      </c>
      <c r="J463" t="n">
        <v>0</v>
      </c>
      <c r="K463" t="n">
        <v>0</v>
      </c>
      <c r="L463" t="n">
        <v>0</v>
      </c>
      <c r="M463" t="n">
        <v>0</v>
      </c>
      <c r="N463" t="n">
        <v>0</v>
      </c>
      <c r="O463" t="n">
        <v>0</v>
      </c>
      <c r="P463" t="n">
        <v>0</v>
      </c>
      <c r="Q463" t="n">
        <v>0</v>
      </c>
      <c r="R463" s="2" t="inlineStr"/>
    </row>
    <row r="464" ht="15" customHeight="1">
      <c r="A464" t="inlineStr">
        <is>
          <t>A 38486-2022</t>
        </is>
      </c>
      <c r="B464" s="1" t="n">
        <v>44813</v>
      </c>
      <c r="C464" s="1" t="n">
        <v>46204</v>
      </c>
      <c r="D464" t="inlineStr">
        <is>
          <t>VÄRMLANDS LÄN</t>
        </is>
      </c>
      <c r="E464" t="inlineStr">
        <is>
          <t>TORSBY</t>
        </is>
      </c>
      <c r="F464" t="inlineStr">
        <is>
          <t>Bergvik skog väst AB</t>
        </is>
      </c>
      <c r="G464" t="n">
        <v>9.6</v>
      </c>
      <c r="H464" t="n">
        <v>0</v>
      </c>
      <c r="I464" t="n">
        <v>0</v>
      </c>
      <c r="J464" t="n">
        <v>0</v>
      </c>
      <c r="K464" t="n">
        <v>0</v>
      </c>
      <c r="L464" t="n">
        <v>0</v>
      </c>
      <c r="M464" t="n">
        <v>0</v>
      </c>
      <c r="N464" t="n">
        <v>0</v>
      </c>
      <c r="O464" t="n">
        <v>0</v>
      </c>
      <c r="P464" t="n">
        <v>0</v>
      </c>
      <c r="Q464" t="n">
        <v>0</v>
      </c>
      <c r="R464" s="2" t="inlineStr"/>
    </row>
    <row r="465" ht="15" customHeight="1">
      <c r="A465" t="inlineStr">
        <is>
          <t>A 61510-2022</t>
        </is>
      </c>
      <c r="B465" s="1" t="n">
        <v>44916</v>
      </c>
      <c r="C465" s="1" t="n">
        <v>46204</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18105-2022</t>
        </is>
      </c>
      <c r="B466" s="1" t="n">
        <v>44684</v>
      </c>
      <c r="C466" s="1" t="n">
        <v>46204</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1120-2023</t>
        </is>
      </c>
      <c r="B467" s="1" t="n">
        <v>44935</v>
      </c>
      <c r="C467" s="1" t="n">
        <v>46204</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56902-2023</t>
        </is>
      </c>
      <c r="B468" s="1" t="n">
        <v>45244</v>
      </c>
      <c r="C468" s="1" t="n">
        <v>46204</v>
      </c>
      <c r="D468" t="inlineStr">
        <is>
          <t>VÄRMLANDS LÄN</t>
        </is>
      </c>
      <c r="E468" t="inlineStr">
        <is>
          <t>TORSBY</t>
        </is>
      </c>
      <c r="G468" t="n">
        <v>17.4</v>
      </c>
      <c r="H468" t="n">
        <v>0</v>
      </c>
      <c r="I468" t="n">
        <v>0</v>
      </c>
      <c r="J468" t="n">
        <v>0</v>
      </c>
      <c r="K468" t="n">
        <v>0</v>
      </c>
      <c r="L468" t="n">
        <v>0</v>
      </c>
      <c r="M468" t="n">
        <v>0</v>
      </c>
      <c r="N468" t="n">
        <v>0</v>
      </c>
      <c r="O468" t="n">
        <v>0</v>
      </c>
      <c r="P468" t="n">
        <v>0</v>
      </c>
      <c r="Q468" t="n">
        <v>0</v>
      </c>
      <c r="R468" s="2" t="inlineStr"/>
    </row>
    <row r="469" ht="15" customHeight="1">
      <c r="A469" t="inlineStr">
        <is>
          <t>A 29908-2022</t>
        </is>
      </c>
      <c r="B469" s="1" t="n">
        <v>44756</v>
      </c>
      <c r="C469" s="1" t="n">
        <v>46204</v>
      </c>
      <c r="D469" t="inlineStr">
        <is>
          <t>VÄRMLANDS LÄN</t>
        </is>
      </c>
      <c r="E469" t="inlineStr">
        <is>
          <t>TORSBY</t>
        </is>
      </c>
      <c r="F469" t="inlineStr">
        <is>
          <t>Kommuner</t>
        </is>
      </c>
      <c r="G469" t="n">
        <v>1.9</v>
      </c>
      <c r="H469" t="n">
        <v>0</v>
      </c>
      <c r="I469" t="n">
        <v>0</v>
      </c>
      <c r="J469" t="n">
        <v>0</v>
      </c>
      <c r="K469" t="n">
        <v>0</v>
      </c>
      <c r="L469" t="n">
        <v>0</v>
      </c>
      <c r="M469" t="n">
        <v>0</v>
      </c>
      <c r="N469" t="n">
        <v>0</v>
      </c>
      <c r="O469" t="n">
        <v>0</v>
      </c>
      <c r="P469" t="n">
        <v>0</v>
      </c>
      <c r="Q469" t="n">
        <v>0</v>
      </c>
      <c r="R469" s="2" t="inlineStr"/>
    </row>
    <row r="470" ht="15" customHeight="1">
      <c r="A470" t="inlineStr">
        <is>
          <t>A 34105-2023</t>
        </is>
      </c>
      <c r="B470" s="1" t="n">
        <v>45126</v>
      </c>
      <c r="C470" s="1" t="n">
        <v>46204</v>
      </c>
      <c r="D470" t="inlineStr">
        <is>
          <t>VÄRMLANDS LÄN</t>
        </is>
      </c>
      <c r="E470" t="inlineStr">
        <is>
          <t>TORSBY</t>
        </is>
      </c>
      <c r="G470" t="n">
        <v>2.4</v>
      </c>
      <c r="H470" t="n">
        <v>0</v>
      </c>
      <c r="I470" t="n">
        <v>0</v>
      </c>
      <c r="J470" t="n">
        <v>0</v>
      </c>
      <c r="K470" t="n">
        <v>0</v>
      </c>
      <c r="L470" t="n">
        <v>0</v>
      </c>
      <c r="M470" t="n">
        <v>0</v>
      </c>
      <c r="N470" t="n">
        <v>0</v>
      </c>
      <c r="O470" t="n">
        <v>0</v>
      </c>
      <c r="P470" t="n">
        <v>0</v>
      </c>
      <c r="Q470" t="n">
        <v>0</v>
      </c>
      <c r="R470" s="2" t="inlineStr"/>
    </row>
    <row r="471" ht="15" customHeight="1">
      <c r="A471" t="inlineStr">
        <is>
          <t>A 28598-2023</t>
        </is>
      </c>
      <c r="B471" s="1" t="n">
        <v>45103</v>
      </c>
      <c r="C471" s="1" t="n">
        <v>46204</v>
      </c>
      <c r="D471" t="inlineStr">
        <is>
          <t>VÄRMLANDS LÄN</t>
        </is>
      </c>
      <c r="E471" t="inlineStr">
        <is>
          <t>TORSBY</t>
        </is>
      </c>
      <c r="G471" t="n">
        <v>1.9</v>
      </c>
      <c r="H471" t="n">
        <v>0</v>
      </c>
      <c r="I471" t="n">
        <v>0</v>
      </c>
      <c r="J471" t="n">
        <v>0</v>
      </c>
      <c r="K471" t="n">
        <v>0</v>
      </c>
      <c r="L471" t="n">
        <v>0</v>
      </c>
      <c r="M471" t="n">
        <v>0</v>
      </c>
      <c r="N471" t="n">
        <v>0</v>
      </c>
      <c r="O471" t="n">
        <v>0</v>
      </c>
      <c r="P471" t="n">
        <v>0</v>
      </c>
      <c r="Q471" t="n">
        <v>0</v>
      </c>
      <c r="R471" s="2" t="inlineStr"/>
    </row>
    <row r="472" ht="15" customHeight="1">
      <c r="A472" t="inlineStr">
        <is>
          <t>A 11776-2024</t>
        </is>
      </c>
      <c r="B472" s="1" t="n">
        <v>45374</v>
      </c>
      <c r="C472" s="1" t="n">
        <v>46204</v>
      </c>
      <c r="D472" t="inlineStr">
        <is>
          <t>VÄRMLANDS LÄN</t>
        </is>
      </c>
      <c r="E472" t="inlineStr">
        <is>
          <t>TORSBY</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38184-2024</t>
        </is>
      </c>
      <c r="B473" s="1" t="n">
        <v>45545</v>
      </c>
      <c r="C473" s="1" t="n">
        <v>46204</v>
      </c>
      <c r="D473" t="inlineStr">
        <is>
          <t>VÄRMLANDS LÄN</t>
        </is>
      </c>
      <c r="E473" t="inlineStr">
        <is>
          <t>TORSBY</t>
        </is>
      </c>
      <c r="G473" t="n">
        <v>2.4</v>
      </c>
      <c r="H473" t="n">
        <v>0</v>
      </c>
      <c r="I473" t="n">
        <v>0</v>
      </c>
      <c r="J473" t="n">
        <v>0</v>
      </c>
      <c r="K473" t="n">
        <v>0</v>
      </c>
      <c r="L473" t="n">
        <v>0</v>
      </c>
      <c r="M473" t="n">
        <v>0</v>
      </c>
      <c r="N473" t="n">
        <v>0</v>
      </c>
      <c r="O473" t="n">
        <v>0</v>
      </c>
      <c r="P473" t="n">
        <v>0</v>
      </c>
      <c r="Q473" t="n">
        <v>0</v>
      </c>
      <c r="R473" s="2" t="inlineStr"/>
    </row>
    <row r="474" ht="15" customHeight="1">
      <c r="A474" t="inlineStr">
        <is>
          <t>A 40009-2022</t>
        </is>
      </c>
      <c r="B474" s="1" t="n">
        <v>44820</v>
      </c>
      <c r="C474" s="1" t="n">
        <v>46204</v>
      </c>
      <c r="D474" t="inlineStr">
        <is>
          <t>VÄRMLANDS LÄN</t>
        </is>
      </c>
      <c r="E474" t="inlineStr">
        <is>
          <t>TORSBY</t>
        </is>
      </c>
      <c r="G474" t="n">
        <v>4.8</v>
      </c>
      <c r="H474" t="n">
        <v>0</v>
      </c>
      <c r="I474" t="n">
        <v>0</v>
      </c>
      <c r="J474" t="n">
        <v>0</v>
      </c>
      <c r="K474" t="n">
        <v>0</v>
      </c>
      <c r="L474" t="n">
        <v>0</v>
      </c>
      <c r="M474" t="n">
        <v>0</v>
      </c>
      <c r="N474" t="n">
        <v>0</v>
      </c>
      <c r="O474" t="n">
        <v>0</v>
      </c>
      <c r="P474" t="n">
        <v>0</v>
      </c>
      <c r="Q474" t="n">
        <v>0</v>
      </c>
      <c r="R474" s="2" t="inlineStr"/>
    </row>
    <row r="475" ht="15" customHeight="1">
      <c r="A475" t="inlineStr">
        <is>
          <t>A 43732-2022</t>
        </is>
      </c>
      <c r="B475" s="1" t="n">
        <v>44837</v>
      </c>
      <c r="C475" s="1" t="n">
        <v>46204</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61428-2022</t>
        </is>
      </c>
      <c r="B476" s="1" t="n">
        <v>44910</v>
      </c>
      <c r="C476" s="1" t="n">
        <v>46204</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61432-2022</t>
        </is>
      </c>
      <c r="B477" s="1" t="n">
        <v>44910</v>
      </c>
      <c r="C477" s="1" t="n">
        <v>46204</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39215-2022</t>
        </is>
      </c>
      <c r="B478" s="1" t="n">
        <v>44817</v>
      </c>
      <c r="C478" s="1" t="n">
        <v>46204</v>
      </c>
      <c r="D478" t="inlineStr">
        <is>
          <t>VÄRMLANDS LÄN</t>
        </is>
      </c>
      <c r="E478" t="inlineStr">
        <is>
          <t>TORSBY</t>
        </is>
      </c>
      <c r="G478" t="n">
        <v>3.8</v>
      </c>
      <c r="H478" t="n">
        <v>0</v>
      </c>
      <c r="I478" t="n">
        <v>0</v>
      </c>
      <c r="J478" t="n">
        <v>0</v>
      </c>
      <c r="K478" t="n">
        <v>0</v>
      </c>
      <c r="L478" t="n">
        <v>0</v>
      </c>
      <c r="M478" t="n">
        <v>0</v>
      </c>
      <c r="N478" t="n">
        <v>0</v>
      </c>
      <c r="O478" t="n">
        <v>0</v>
      </c>
      <c r="P478" t="n">
        <v>0</v>
      </c>
      <c r="Q478" t="n">
        <v>0</v>
      </c>
      <c r="R478" s="2" t="inlineStr"/>
    </row>
    <row r="479" ht="15" customHeight="1">
      <c r="A479" t="inlineStr">
        <is>
          <t>A 39216-2022</t>
        </is>
      </c>
      <c r="B479" s="1" t="n">
        <v>44817</v>
      </c>
      <c r="C479" s="1" t="n">
        <v>46204</v>
      </c>
      <c r="D479" t="inlineStr">
        <is>
          <t>VÄRMLANDS LÄN</t>
        </is>
      </c>
      <c r="E479" t="inlineStr">
        <is>
          <t>TORSBY</t>
        </is>
      </c>
      <c r="G479" t="n">
        <v>6.6</v>
      </c>
      <c r="H479" t="n">
        <v>0</v>
      </c>
      <c r="I479" t="n">
        <v>0</v>
      </c>
      <c r="J479" t="n">
        <v>0</v>
      </c>
      <c r="K479" t="n">
        <v>0</v>
      </c>
      <c r="L479" t="n">
        <v>0</v>
      </c>
      <c r="M479" t="n">
        <v>0</v>
      </c>
      <c r="N479" t="n">
        <v>0</v>
      </c>
      <c r="O479" t="n">
        <v>0</v>
      </c>
      <c r="P479" t="n">
        <v>0</v>
      </c>
      <c r="Q479" t="n">
        <v>0</v>
      </c>
      <c r="R479" s="2" t="inlineStr"/>
    </row>
    <row r="480" ht="15" customHeight="1">
      <c r="A480" t="inlineStr">
        <is>
          <t>A 5814-2024</t>
        </is>
      </c>
      <c r="B480" s="1" t="n">
        <v>45335</v>
      </c>
      <c r="C480" s="1" t="n">
        <v>46204</v>
      </c>
      <c r="D480" t="inlineStr">
        <is>
          <t>VÄRMLANDS LÄN</t>
        </is>
      </c>
      <c r="E480" t="inlineStr">
        <is>
          <t>TORSBY</t>
        </is>
      </c>
      <c r="G480" t="n">
        <v>3.1</v>
      </c>
      <c r="H480" t="n">
        <v>0</v>
      </c>
      <c r="I480" t="n">
        <v>0</v>
      </c>
      <c r="J480" t="n">
        <v>0</v>
      </c>
      <c r="K480" t="n">
        <v>0</v>
      </c>
      <c r="L480" t="n">
        <v>0</v>
      </c>
      <c r="M480" t="n">
        <v>0</v>
      </c>
      <c r="N480" t="n">
        <v>0</v>
      </c>
      <c r="O480" t="n">
        <v>0</v>
      </c>
      <c r="P480" t="n">
        <v>0</v>
      </c>
      <c r="Q480" t="n">
        <v>0</v>
      </c>
      <c r="R480" s="2" t="inlineStr"/>
    </row>
    <row r="481" ht="15" customHeight="1">
      <c r="A481" t="inlineStr">
        <is>
          <t>A 43248-2022</t>
        </is>
      </c>
      <c r="B481" s="1" t="n">
        <v>44834</v>
      </c>
      <c r="C481" s="1" t="n">
        <v>46204</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56098-2024</t>
        </is>
      </c>
      <c r="B482" s="1" t="n">
        <v>45624</v>
      </c>
      <c r="C482" s="1" t="n">
        <v>46204</v>
      </c>
      <c r="D482" t="inlineStr">
        <is>
          <t>VÄRMLANDS LÄN</t>
        </is>
      </c>
      <c r="E482" t="inlineStr">
        <is>
          <t>TORSBY</t>
        </is>
      </c>
      <c r="G482" t="n">
        <v>2.4</v>
      </c>
      <c r="H482" t="n">
        <v>0</v>
      </c>
      <c r="I482" t="n">
        <v>0</v>
      </c>
      <c r="J482" t="n">
        <v>0</v>
      </c>
      <c r="K482" t="n">
        <v>0</v>
      </c>
      <c r="L482" t="n">
        <v>0</v>
      </c>
      <c r="M482" t="n">
        <v>0</v>
      </c>
      <c r="N482" t="n">
        <v>0</v>
      </c>
      <c r="O482" t="n">
        <v>0</v>
      </c>
      <c r="P482" t="n">
        <v>0</v>
      </c>
      <c r="Q482" t="n">
        <v>0</v>
      </c>
      <c r="R482" s="2" t="inlineStr"/>
    </row>
    <row r="483" ht="15" customHeight="1">
      <c r="A483" t="inlineStr">
        <is>
          <t>A 35132-2022</t>
        </is>
      </c>
      <c r="B483" s="1" t="n">
        <v>44797</v>
      </c>
      <c r="C483" s="1" t="n">
        <v>46204</v>
      </c>
      <c r="D483" t="inlineStr">
        <is>
          <t>VÄRMLANDS LÄN</t>
        </is>
      </c>
      <c r="E483" t="inlineStr">
        <is>
          <t>TORSBY</t>
        </is>
      </c>
      <c r="G483" t="n">
        <v>2.1</v>
      </c>
      <c r="H483" t="n">
        <v>0</v>
      </c>
      <c r="I483" t="n">
        <v>0</v>
      </c>
      <c r="J483" t="n">
        <v>0</v>
      </c>
      <c r="K483" t="n">
        <v>0</v>
      </c>
      <c r="L483" t="n">
        <v>0</v>
      </c>
      <c r="M483" t="n">
        <v>0</v>
      </c>
      <c r="N483" t="n">
        <v>0</v>
      </c>
      <c r="O483" t="n">
        <v>0</v>
      </c>
      <c r="P483" t="n">
        <v>0</v>
      </c>
      <c r="Q483" t="n">
        <v>0</v>
      </c>
      <c r="R483" s="2" t="inlineStr"/>
    </row>
    <row r="484" ht="15" customHeight="1">
      <c r="A484" t="inlineStr">
        <is>
          <t>A 68153-2021</t>
        </is>
      </c>
      <c r="B484" s="1" t="n">
        <v>44526</v>
      </c>
      <c r="C484" s="1" t="n">
        <v>46204</v>
      </c>
      <c r="D484" t="inlineStr">
        <is>
          <t>VÄRMLANDS LÄN</t>
        </is>
      </c>
      <c r="E484" t="inlineStr">
        <is>
          <t>TORSBY</t>
        </is>
      </c>
      <c r="G484" t="n">
        <v>1</v>
      </c>
      <c r="H484" t="n">
        <v>0</v>
      </c>
      <c r="I484" t="n">
        <v>0</v>
      </c>
      <c r="J484" t="n">
        <v>0</v>
      </c>
      <c r="K484" t="n">
        <v>0</v>
      </c>
      <c r="L484" t="n">
        <v>0</v>
      </c>
      <c r="M484" t="n">
        <v>0</v>
      </c>
      <c r="N484" t="n">
        <v>0</v>
      </c>
      <c r="O484" t="n">
        <v>0</v>
      </c>
      <c r="P484" t="n">
        <v>0</v>
      </c>
      <c r="Q484" t="n">
        <v>0</v>
      </c>
      <c r="R484" s="2" t="inlineStr"/>
    </row>
    <row r="485" ht="15" customHeight="1">
      <c r="A485" t="inlineStr">
        <is>
          <t>A 46471-2024</t>
        </is>
      </c>
      <c r="B485" s="1" t="n">
        <v>45582</v>
      </c>
      <c r="C485" s="1" t="n">
        <v>46204</v>
      </c>
      <c r="D485" t="inlineStr">
        <is>
          <t>VÄRMLANDS LÄN</t>
        </is>
      </c>
      <c r="E485" t="inlineStr">
        <is>
          <t>TORSBY</t>
        </is>
      </c>
      <c r="G485" t="n">
        <v>2.1</v>
      </c>
      <c r="H485" t="n">
        <v>0</v>
      </c>
      <c r="I485" t="n">
        <v>0</v>
      </c>
      <c r="J485" t="n">
        <v>0</v>
      </c>
      <c r="K485" t="n">
        <v>0</v>
      </c>
      <c r="L485" t="n">
        <v>0</v>
      </c>
      <c r="M485" t="n">
        <v>0</v>
      </c>
      <c r="N485" t="n">
        <v>0</v>
      </c>
      <c r="O485" t="n">
        <v>0</v>
      </c>
      <c r="P485" t="n">
        <v>0</v>
      </c>
      <c r="Q485" t="n">
        <v>0</v>
      </c>
      <c r="R485" s="2" t="inlineStr"/>
    </row>
    <row r="486" ht="15" customHeight="1">
      <c r="A486" t="inlineStr">
        <is>
          <t>A 38286-2023</t>
        </is>
      </c>
      <c r="B486" s="1" t="n">
        <v>45161</v>
      </c>
      <c r="C486" s="1" t="n">
        <v>46204</v>
      </c>
      <c r="D486" t="inlineStr">
        <is>
          <t>VÄRMLANDS LÄN</t>
        </is>
      </c>
      <c r="E486" t="inlineStr">
        <is>
          <t>TORSBY</t>
        </is>
      </c>
      <c r="F486" t="inlineStr">
        <is>
          <t>Kyrkan</t>
        </is>
      </c>
      <c r="G486" t="n">
        <v>6.5</v>
      </c>
      <c r="H486" t="n">
        <v>0</v>
      </c>
      <c r="I486" t="n">
        <v>0</v>
      </c>
      <c r="J486" t="n">
        <v>0</v>
      </c>
      <c r="K486" t="n">
        <v>0</v>
      </c>
      <c r="L486" t="n">
        <v>0</v>
      </c>
      <c r="M486" t="n">
        <v>0</v>
      </c>
      <c r="N486" t="n">
        <v>0</v>
      </c>
      <c r="O486" t="n">
        <v>0</v>
      </c>
      <c r="P486" t="n">
        <v>0</v>
      </c>
      <c r="Q486" t="n">
        <v>0</v>
      </c>
      <c r="R486" s="2" t="inlineStr"/>
    </row>
    <row r="487" ht="15" customHeight="1">
      <c r="A487" t="inlineStr">
        <is>
          <t>A 40858-2023</t>
        </is>
      </c>
      <c r="B487" s="1" t="n">
        <v>45173</v>
      </c>
      <c r="C487" s="1" t="n">
        <v>46204</v>
      </c>
      <c r="D487" t="inlineStr">
        <is>
          <t>VÄRMLANDS LÄN</t>
        </is>
      </c>
      <c r="E487" t="inlineStr">
        <is>
          <t>TORSBY</t>
        </is>
      </c>
      <c r="G487" t="n">
        <v>1.3</v>
      </c>
      <c r="H487" t="n">
        <v>0</v>
      </c>
      <c r="I487" t="n">
        <v>0</v>
      </c>
      <c r="J487" t="n">
        <v>0</v>
      </c>
      <c r="K487" t="n">
        <v>0</v>
      </c>
      <c r="L487" t="n">
        <v>0</v>
      </c>
      <c r="M487" t="n">
        <v>0</v>
      </c>
      <c r="N487" t="n">
        <v>0</v>
      </c>
      <c r="O487" t="n">
        <v>0</v>
      </c>
      <c r="P487" t="n">
        <v>0</v>
      </c>
      <c r="Q487" t="n">
        <v>0</v>
      </c>
      <c r="R487" s="2" t="inlineStr"/>
    </row>
    <row r="488" ht="15" customHeight="1">
      <c r="A488" t="inlineStr">
        <is>
          <t>A 3409-2025</t>
        </is>
      </c>
      <c r="B488" s="1" t="n">
        <v>45680</v>
      </c>
      <c r="C488" s="1" t="n">
        <v>46204</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47452-2024</t>
        </is>
      </c>
      <c r="B489" s="1" t="n">
        <v>45587</v>
      </c>
      <c r="C489" s="1" t="n">
        <v>46204</v>
      </c>
      <c r="D489" t="inlineStr">
        <is>
          <t>VÄRMLANDS LÄN</t>
        </is>
      </c>
      <c r="E489" t="inlineStr">
        <is>
          <t>TORSBY</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12670-2023</t>
        </is>
      </c>
      <c r="B490" s="1" t="n">
        <v>45000</v>
      </c>
      <c r="C490" s="1" t="n">
        <v>46204</v>
      </c>
      <c r="D490" t="inlineStr">
        <is>
          <t>VÄRMLANDS LÄN</t>
        </is>
      </c>
      <c r="E490" t="inlineStr">
        <is>
          <t>TORSBY</t>
        </is>
      </c>
      <c r="G490" t="n">
        <v>3.7</v>
      </c>
      <c r="H490" t="n">
        <v>0</v>
      </c>
      <c r="I490" t="n">
        <v>0</v>
      </c>
      <c r="J490" t="n">
        <v>0</v>
      </c>
      <c r="K490" t="n">
        <v>0</v>
      </c>
      <c r="L490" t="n">
        <v>0</v>
      </c>
      <c r="M490" t="n">
        <v>0</v>
      </c>
      <c r="N490" t="n">
        <v>0</v>
      </c>
      <c r="O490" t="n">
        <v>0</v>
      </c>
      <c r="P490" t="n">
        <v>0</v>
      </c>
      <c r="Q490" t="n">
        <v>0</v>
      </c>
      <c r="R490" s="2" t="inlineStr"/>
    </row>
    <row r="491" ht="15" customHeight="1">
      <c r="A491" t="inlineStr">
        <is>
          <t>A 235-2024</t>
        </is>
      </c>
      <c r="B491" s="1" t="n">
        <v>45294</v>
      </c>
      <c r="C491" s="1" t="n">
        <v>46204</v>
      </c>
      <c r="D491" t="inlineStr">
        <is>
          <t>VÄRMLANDS LÄN</t>
        </is>
      </c>
      <c r="E491" t="inlineStr">
        <is>
          <t>TORSBY</t>
        </is>
      </c>
      <c r="G491" t="n">
        <v>0.8</v>
      </c>
      <c r="H491" t="n">
        <v>0</v>
      </c>
      <c r="I491" t="n">
        <v>0</v>
      </c>
      <c r="J491" t="n">
        <v>0</v>
      </c>
      <c r="K491" t="n">
        <v>0</v>
      </c>
      <c r="L491" t="n">
        <v>0</v>
      </c>
      <c r="M491" t="n">
        <v>0</v>
      </c>
      <c r="N491" t="n">
        <v>0</v>
      </c>
      <c r="O491" t="n">
        <v>0</v>
      </c>
      <c r="P491" t="n">
        <v>0</v>
      </c>
      <c r="Q491" t="n">
        <v>0</v>
      </c>
      <c r="R491" s="2" t="inlineStr"/>
    </row>
    <row r="492" ht="15" customHeight="1">
      <c r="A492" t="inlineStr">
        <is>
          <t>A 57721-2022</t>
        </is>
      </c>
      <c r="B492" s="1" t="n">
        <v>44897</v>
      </c>
      <c r="C492" s="1" t="n">
        <v>46204</v>
      </c>
      <c r="D492" t="inlineStr">
        <is>
          <t>VÄRMLANDS LÄN</t>
        </is>
      </c>
      <c r="E492" t="inlineStr">
        <is>
          <t>TORSBY</t>
        </is>
      </c>
      <c r="G492" t="n">
        <v>3.3</v>
      </c>
      <c r="H492" t="n">
        <v>0</v>
      </c>
      <c r="I492" t="n">
        <v>0</v>
      </c>
      <c r="J492" t="n">
        <v>0</v>
      </c>
      <c r="K492" t="n">
        <v>0</v>
      </c>
      <c r="L492" t="n">
        <v>0</v>
      </c>
      <c r="M492" t="n">
        <v>0</v>
      </c>
      <c r="N492" t="n">
        <v>0</v>
      </c>
      <c r="O492" t="n">
        <v>0</v>
      </c>
      <c r="P492" t="n">
        <v>0</v>
      </c>
      <c r="Q492" t="n">
        <v>0</v>
      </c>
      <c r="R492" s="2" t="inlineStr"/>
    </row>
    <row r="493" ht="15" customHeight="1">
      <c r="A493" t="inlineStr">
        <is>
          <t>A 29042-2023</t>
        </is>
      </c>
      <c r="B493" s="1" t="n">
        <v>45104</v>
      </c>
      <c r="C493" s="1" t="n">
        <v>46204</v>
      </c>
      <c r="D493" t="inlineStr">
        <is>
          <t>VÄRMLANDS LÄN</t>
        </is>
      </c>
      <c r="E493" t="inlineStr">
        <is>
          <t>TORSBY</t>
        </is>
      </c>
      <c r="G493" t="n">
        <v>2.8</v>
      </c>
      <c r="H493" t="n">
        <v>0</v>
      </c>
      <c r="I493" t="n">
        <v>0</v>
      </c>
      <c r="J493" t="n">
        <v>0</v>
      </c>
      <c r="K493" t="n">
        <v>0</v>
      </c>
      <c r="L493" t="n">
        <v>0</v>
      </c>
      <c r="M493" t="n">
        <v>0</v>
      </c>
      <c r="N493" t="n">
        <v>0</v>
      </c>
      <c r="O493" t="n">
        <v>0</v>
      </c>
      <c r="P493" t="n">
        <v>0</v>
      </c>
      <c r="Q493" t="n">
        <v>0</v>
      </c>
      <c r="R493" s="2" t="inlineStr"/>
    </row>
    <row r="494" ht="15" customHeight="1">
      <c r="A494" t="inlineStr">
        <is>
          <t>A 38979-2023</t>
        </is>
      </c>
      <c r="B494" s="1" t="n">
        <v>45163</v>
      </c>
      <c r="C494" s="1" t="n">
        <v>46204</v>
      </c>
      <c r="D494" t="inlineStr">
        <is>
          <t>VÄRMLANDS LÄN</t>
        </is>
      </c>
      <c r="E494" t="inlineStr">
        <is>
          <t>TORSBY</t>
        </is>
      </c>
      <c r="G494" t="n">
        <v>2.3</v>
      </c>
      <c r="H494" t="n">
        <v>0</v>
      </c>
      <c r="I494" t="n">
        <v>0</v>
      </c>
      <c r="J494" t="n">
        <v>0</v>
      </c>
      <c r="K494" t="n">
        <v>0</v>
      </c>
      <c r="L494" t="n">
        <v>0</v>
      </c>
      <c r="M494" t="n">
        <v>0</v>
      </c>
      <c r="N494" t="n">
        <v>0</v>
      </c>
      <c r="O494" t="n">
        <v>0</v>
      </c>
      <c r="P494" t="n">
        <v>0</v>
      </c>
      <c r="Q494" t="n">
        <v>0</v>
      </c>
      <c r="R494" s="2" t="inlineStr"/>
    </row>
    <row r="495" ht="15" customHeight="1">
      <c r="A495" t="inlineStr">
        <is>
          <t>A 20120-2023</t>
        </is>
      </c>
      <c r="B495" s="1" t="n">
        <v>45055</v>
      </c>
      <c r="C495" s="1" t="n">
        <v>46204</v>
      </c>
      <c r="D495" t="inlineStr">
        <is>
          <t>VÄRMLANDS LÄN</t>
        </is>
      </c>
      <c r="E495" t="inlineStr">
        <is>
          <t>TORSBY</t>
        </is>
      </c>
      <c r="G495" t="n">
        <v>7.7</v>
      </c>
      <c r="H495" t="n">
        <v>0</v>
      </c>
      <c r="I495" t="n">
        <v>0</v>
      </c>
      <c r="J495" t="n">
        <v>0</v>
      </c>
      <c r="K495" t="n">
        <v>0</v>
      </c>
      <c r="L495" t="n">
        <v>0</v>
      </c>
      <c r="M495" t="n">
        <v>0</v>
      </c>
      <c r="N495" t="n">
        <v>0</v>
      </c>
      <c r="O495" t="n">
        <v>0</v>
      </c>
      <c r="P495" t="n">
        <v>0</v>
      </c>
      <c r="Q495" t="n">
        <v>0</v>
      </c>
      <c r="R495" s="2" t="inlineStr"/>
    </row>
    <row r="496" ht="15" customHeight="1">
      <c r="A496" t="inlineStr">
        <is>
          <t>A 24995-2024</t>
        </is>
      </c>
      <c r="B496" s="1" t="n">
        <v>45461</v>
      </c>
      <c r="C496" s="1" t="n">
        <v>46204</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4640-2022</t>
        </is>
      </c>
      <c r="B497" s="1" t="n">
        <v>44592</v>
      </c>
      <c r="C497" s="1" t="n">
        <v>46204</v>
      </c>
      <c r="D497" t="inlineStr">
        <is>
          <t>VÄRMLANDS LÄN</t>
        </is>
      </c>
      <c r="E497" t="inlineStr">
        <is>
          <t>TORSBY</t>
        </is>
      </c>
      <c r="G497" t="n">
        <v>9</v>
      </c>
      <c r="H497" t="n">
        <v>0</v>
      </c>
      <c r="I497" t="n">
        <v>0</v>
      </c>
      <c r="J497" t="n">
        <v>0</v>
      </c>
      <c r="K497" t="n">
        <v>0</v>
      </c>
      <c r="L497" t="n">
        <v>0</v>
      </c>
      <c r="M497" t="n">
        <v>0</v>
      </c>
      <c r="N497" t="n">
        <v>0</v>
      </c>
      <c r="O497" t="n">
        <v>0</v>
      </c>
      <c r="P497" t="n">
        <v>0</v>
      </c>
      <c r="Q497" t="n">
        <v>0</v>
      </c>
      <c r="R497" s="2" t="inlineStr"/>
    </row>
    <row r="498" ht="15" customHeight="1">
      <c r="A498" t="inlineStr">
        <is>
          <t>A 731-2024</t>
        </is>
      </c>
      <c r="B498" s="1" t="n">
        <v>45300</v>
      </c>
      <c r="C498" s="1" t="n">
        <v>46204</v>
      </c>
      <c r="D498" t="inlineStr">
        <is>
          <t>VÄRMLANDS LÄN</t>
        </is>
      </c>
      <c r="E498" t="inlineStr">
        <is>
          <t>TORSBY</t>
        </is>
      </c>
      <c r="G498" t="n">
        <v>1.9</v>
      </c>
      <c r="H498" t="n">
        <v>0</v>
      </c>
      <c r="I498" t="n">
        <v>0</v>
      </c>
      <c r="J498" t="n">
        <v>0</v>
      </c>
      <c r="K498" t="n">
        <v>0</v>
      </c>
      <c r="L498" t="n">
        <v>0</v>
      </c>
      <c r="M498" t="n">
        <v>0</v>
      </c>
      <c r="N498" t="n">
        <v>0</v>
      </c>
      <c r="O498" t="n">
        <v>0</v>
      </c>
      <c r="P498" t="n">
        <v>0</v>
      </c>
      <c r="Q498" t="n">
        <v>0</v>
      </c>
      <c r="R498" s="2" t="inlineStr"/>
    </row>
    <row r="499" ht="15" customHeight="1">
      <c r="A499" t="inlineStr">
        <is>
          <t>A 15175-2024</t>
        </is>
      </c>
      <c r="B499" s="1" t="n">
        <v>45400</v>
      </c>
      <c r="C499" s="1" t="n">
        <v>46204</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38252-2023</t>
        </is>
      </c>
      <c r="B500" s="1" t="n">
        <v>45161</v>
      </c>
      <c r="C500" s="1" t="n">
        <v>46204</v>
      </c>
      <c r="D500" t="inlineStr">
        <is>
          <t>VÄRMLANDS LÄN</t>
        </is>
      </c>
      <c r="E500" t="inlineStr">
        <is>
          <t>TORSBY</t>
        </is>
      </c>
      <c r="G500" t="n">
        <v>9.6</v>
      </c>
      <c r="H500" t="n">
        <v>0</v>
      </c>
      <c r="I500" t="n">
        <v>0</v>
      </c>
      <c r="J500" t="n">
        <v>0</v>
      </c>
      <c r="K500" t="n">
        <v>0</v>
      </c>
      <c r="L500" t="n">
        <v>0</v>
      </c>
      <c r="M500" t="n">
        <v>0</v>
      </c>
      <c r="N500" t="n">
        <v>0</v>
      </c>
      <c r="O500" t="n">
        <v>0</v>
      </c>
      <c r="P500" t="n">
        <v>0</v>
      </c>
      <c r="Q500" t="n">
        <v>0</v>
      </c>
      <c r="R500" s="2" t="inlineStr"/>
    </row>
    <row r="501" ht="15" customHeight="1">
      <c r="A501" t="inlineStr">
        <is>
          <t>A 35107-2024</t>
        </is>
      </c>
      <c r="B501" s="1" t="n">
        <v>45529</v>
      </c>
      <c r="C501" s="1" t="n">
        <v>46204</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55092-2022</t>
        </is>
      </c>
      <c r="B502" s="1" t="n">
        <v>44886</v>
      </c>
      <c r="C502" s="1" t="n">
        <v>46204</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38062-2024</t>
        </is>
      </c>
      <c r="B503" s="1" t="n">
        <v>45544</v>
      </c>
      <c r="C503" s="1" t="n">
        <v>46204</v>
      </c>
      <c r="D503" t="inlineStr">
        <is>
          <t>VÄRMLANDS LÄN</t>
        </is>
      </c>
      <c r="E503" t="inlineStr">
        <is>
          <t>TORSBY</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1527-2024</t>
        </is>
      </c>
      <c r="B504" s="1" t="n">
        <v>45306</v>
      </c>
      <c r="C504" s="1" t="n">
        <v>46204</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35762-2024</t>
        </is>
      </c>
      <c r="B505" s="1" t="n">
        <v>45532</v>
      </c>
      <c r="C505" s="1" t="n">
        <v>46204</v>
      </c>
      <c r="D505" t="inlineStr">
        <is>
          <t>VÄRMLANDS LÄN</t>
        </is>
      </c>
      <c r="E505" t="inlineStr">
        <is>
          <t>TORSBY</t>
        </is>
      </c>
      <c r="G505" t="n">
        <v>11.8</v>
      </c>
      <c r="H505" t="n">
        <v>0</v>
      </c>
      <c r="I505" t="n">
        <v>0</v>
      </c>
      <c r="J505" t="n">
        <v>0</v>
      </c>
      <c r="K505" t="n">
        <v>0</v>
      </c>
      <c r="L505" t="n">
        <v>0</v>
      </c>
      <c r="M505" t="n">
        <v>0</v>
      </c>
      <c r="N505" t="n">
        <v>0</v>
      </c>
      <c r="O505" t="n">
        <v>0</v>
      </c>
      <c r="P505" t="n">
        <v>0</v>
      </c>
      <c r="Q505" t="n">
        <v>0</v>
      </c>
      <c r="R505" s="2" t="inlineStr"/>
    </row>
    <row r="506" ht="15" customHeight="1">
      <c r="A506" t="inlineStr">
        <is>
          <t>A 53492-2022</t>
        </is>
      </c>
      <c r="B506" s="1" t="n">
        <v>44879</v>
      </c>
      <c r="C506" s="1" t="n">
        <v>46204</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17687-2024</t>
        </is>
      </c>
      <c r="B507" s="1" t="n">
        <v>45418</v>
      </c>
      <c r="C507" s="1" t="n">
        <v>46204</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16210-2025</t>
        </is>
      </c>
      <c r="B508" s="1" t="n">
        <v>45750</v>
      </c>
      <c r="C508" s="1" t="n">
        <v>46204</v>
      </c>
      <c r="D508" t="inlineStr">
        <is>
          <t>VÄRMLANDS LÄN</t>
        </is>
      </c>
      <c r="E508" t="inlineStr">
        <is>
          <t>TORSBY</t>
        </is>
      </c>
      <c r="F508" t="inlineStr">
        <is>
          <t>Bergvik skog väst AB</t>
        </is>
      </c>
      <c r="G508" t="n">
        <v>10.7</v>
      </c>
      <c r="H508" t="n">
        <v>0</v>
      </c>
      <c r="I508" t="n">
        <v>0</v>
      </c>
      <c r="J508" t="n">
        <v>0</v>
      </c>
      <c r="K508" t="n">
        <v>0</v>
      </c>
      <c r="L508" t="n">
        <v>0</v>
      </c>
      <c r="M508" t="n">
        <v>0</v>
      </c>
      <c r="N508" t="n">
        <v>0</v>
      </c>
      <c r="O508" t="n">
        <v>0</v>
      </c>
      <c r="P508" t="n">
        <v>0</v>
      </c>
      <c r="Q508" t="n">
        <v>0</v>
      </c>
      <c r="R508" s="2" t="inlineStr"/>
    </row>
    <row r="509" ht="15" customHeight="1">
      <c r="A509" t="inlineStr">
        <is>
          <t>A 25629-2024</t>
        </is>
      </c>
      <c r="B509" s="1" t="n">
        <v>45463</v>
      </c>
      <c r="C509" s="1" t="n">
        <v>46204</v>
      </c>
      <c r="D509" t="inlineStr">
        <is>
          <t>VÄRMLANDS LÄN</t>
        </is>
      </c>
      <c r="E509" t="inlineStr">
        <is>
          <t>TORSBY</t>
        </is>
      </c>
      <c r="G509" t="n">
        <v>1.1</v>
      </c>
      <c r="H509" t="n">
        <v>0</v>
      </c>
      <c r="I509" t="n">
        <v>0</v>
      </c>
      <c r="J509" t="n">
        <v>0</v>
      </c>
      <c r="K509" t="n">
        <v>0</v>
      </c>
      <c r="L509" t="n">
        <v>0</v>
      </c>
      <c r="M509" t="n">
        <v>0</v>
      </c>
      <c r="N509" t="n">
        <v>0</v>
      </c>
      <c r="O509" t="n">
        <v>0</v>
      </c>
      <c r="P509" t="n">
        <v>0</v>
      </c>
      <c r="Q509" t="n">
        <v>0</v>
      </c>
      <c r="R509" s="2" t="inlineStr"/>
    </row>
    <row r="510" ht="15" customHeight="1">
      <c r="A510" t="inlineStr">
        <is>
          <t>A 5289-2022</t>
        </is>
      </c>
      <c r="B510" s="1" t="n">
        <v>44594</v>
      </c>
      <c r="C510" s="1" t="n">
        <v>46204</v>
      </c>
      <c r="D510" t="inlineStr">
        <is>
          <t>VÄRMLANDS LÄN</t>
        </is>
      </c>
      <c r="E510" t="inlineStr">
        <is>
          <t>TORSBY</t>
        </is>
      </c>
      <c r="G510" t="n">
        <v>0.8</v>
      </c>
      <c r="H510" t="n">
        <v>0</v>
      </c>
      <c r="I510" t="n">
        <v>0</v>
      </c>
      <c r="J510" t="n">
        <v>0</v>
      </c>
      <c r="K510" t="n">
        <v>0</v>
      </c>
      <c r="L510" t="n">
        <v>0</v>
      </c>
      <c r="M510" t="n">
        <v>0</v>
      </c>
      <c r="N510" t="n">
        <v>0</v>
      </c>
      <c r="O510" t="n">
        <v>0</v>
      </c>
      <c r="P510" t="n">
        <v>0</v>
      </c>
      <c r="Q510" t="n">
        <v>0</v>
      </c>
      <c r="R510" s="2" t="inlineStr"/>
    </row>
    <row r="511" ht="15" customHeight="1">
      <c r="A511" t="inlineStr">
        <is>
          <t>A 7127-2023</t>
        </is>
      </c>
      <c r="B511" s="1" t="n">
        <v>44970</v>
      </c>
      <c r="C511" s="1" t="n">
        <v>46204</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67172-2021</t>
        </is>
      </c>
      <c r="B512" s="1" t="n">
        <v>44523</v>
      </c>
      <c r="C512" s="1" t="n">
        <v>46204</v>
      </c>
      <c r="D512" t="inlineStr">
        <is>
          <t>VÄRMLANDS LÄN</t>
        </is>
      </c>
      <c r="E512" t="inlineStr">
        <is>
          <t>TORSBY</t>
        </is>
      </c>
      <c r="G512" t="n">
        <v>0.5</v>
      </c>
      <c r="H512" t="n">
        <v>0</v>
      </c>
      <c r="I512" t="n">
        <v>0</v>
      </c>
      <c r="J512" t="n">
        <v>0</v>
      </c>
      <c r="K512" t="n">
        <v>0</v>
      </c>
      <c r="L512" t="n">
        <v>0</v>
      </c>
      <c r="M512" t="n">
        <v>0</v>
      </c>
      <c r="N512" t="n">
        <v>0</v>
      </c>
      <c r="O512" t="n">
        <v>0</v>
      </c>
      <c r="P512" t="n">
        <v>0</v>
      </c>
      <c r="Q512" t="n">
        <v>0</v>
      </c>
      <c r="R512" s="2" t="inlineStr"/>
    </row>
    <row r="513" ht="15" customHeight="1">
      <c r="A513" t="inlineStr">
        <is>
          <t>A 3269-2025</t>
        </is>
      </c>
      <c r="B513" s="1" t="n">
        <v>45679</v>
      </c>
      <c r="C513" s="1" t="n">
        <v>46204</v>
      </c>
      <c r="D513" t="inlineStr">
        <is>
          <t>VÄRMLANDS LÄN</t>
        </is>
      </c>
      <c r="E513" t="inlineStr">
        <is>
          <t>TORSBY</t>
        </is>
      </c>
      <c r="G513" t="n">
        <v>6.9</v>
      </c>
      <c r="H513" t="n">
        <v>0</v>
      </c>
      <c r="I513" t="n">
        <v>0</v>
      </c>
      <c r="J513" t="n">
        <v>0</v>
      </c>
      <c r="K513" t="n">
        <v>0</v>
      </c>
      <c r="L513" t="n">
        <v>0</v>
      </c>
      <c r="M513" t="n">
        <v>0</v>
      </c>
      <c r="N513" t="n">
        <v>0</v>
      </c>
      <c r="O513" t="n">
        <v>0</v>
      </c>
      <c r="P513" t="n">
        <v>0</v>
      </c>
      <c r="Q513" t="n">
        <v>0</v>
      </c>
      <c r="R513" s="2" t="inlineStr"/>
    </row>
    <row r="514" ht="15" customHeight="1">
      <c r="A514" t="inlineStr">
        <is>
          <t>A 6968-2025</t>
        </is>
      </c>
      <c r="B514" s="1" t="n">
        <v>45701</v>
      </c>
      <c r="C514" s="1" t="n">
        <v>46204</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16433-2023</t>
        </is>
      </c>
      <c r="B515" s="1" t="n">
        <v>45022</v>
      </c>
      <c r="C515" s="1" t="n">
        <v>46204</v>
      </c>
      <c r="D515" t="inlineStr">
        <is>
          <t>VÄRMLANDS LÄN</t>
        </is>
      </c>
      <c r="E515" t="inlineStr">
        <is>
          <t>TORSBY</t>
        </is>
      </c>
      <c r="G515" t="n">
        <v>2</v>
      </c>
      <c r="H515" t="n">
        <v>0</v>
      </c>
      <c r="I515" t="n">
        <v>0</v>
      </c>
      <c r="J515" t="n">
        <v>0</v>
      </c>
      <c r="K515" t="n">
        <v>0</v>
      </c>
      <c r="L515" t="n">
        <v>0</v>
      </c>
      <c r="M515" t="n">
        <v>0</v>
      </c>
      <c r="N515" t="n">
        <v>0</v>
      </c>
      <c r="O515" t="n">
        <v>0</v>
      </c>
      <c r="P515" t="n">
        <v>0</v>
      </c>
      <c r="Q515" t="n">
        <v>0</v>
      </c>
      <c r="R515" s="2" t="inlineStr"/>
    </row>
    <row r="516" ht="15" customHeight="1">
      <c r="A516" t="inlineStr">
        <is>
          <t>A 30267-2023</t>
        </is>
      </c>
      <c r="B516" s="1" t="n">
        <v>45110</v>
      </c>
      <c r="C516" s="1" t="n">
        <v>46204</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30269-2023</t>
        </is>
      </c>
      <c r="B517" s="1" t="n">
        <v>45110</v>
      </c>
      <c r="C517" s="1" t="n">
        <v>46204</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35724-2022</t>
        </is>
      </c>
      <c r="B518" s="1" t="n">
        <v>44799</v>
      </c>
      <c r="C518" s="1" t="n">
        <v>46204</v>
      </c>
      <c r="D518" t="inlineStr">
        <is>
          <t>VÄRMLANDS LÄN</t>
        </is>
      </c>
      <c r="E518" t="inlineStr">
        <is>
          <t>TORSBY</t>
        </is>
      </c>
      <c r="G518" t="n">
        <v>3.9</v>
      </c>
      <c r="H518" t="n">
        <v>0</v>
      </c>
      <c r="I518" t="n">
        <v>0</v>
      </c>
      <c r="J518" t="n">
        <v>0</v>
      </c>
      <c r="K518" t="n">
        <v>0</v>
      </c>
      <c r="L518" t="n">
        <v>0</v>
      </c>
      <c r="M518" t="n">
        <v>0</v>
      </c>
      <c r="N518" t="n">
        <v>0</v>
      </c>
      <c r="O518" t="n">
        <v>0</v>
      </c>
      <c r="P518" t="n">
        <v>0</v>
      </c>
      <c r="Q518" t="n">
        <v>0</v>
      </c>
      <c r="R518" s="2" t="inlineStr"/>
    </row>
    <row r="519" ht="15" customHeight="1">
      <c r="A519" t="inlineStr">
        <is>
          <t>A 52940-2024</t>
        </is>
      </c>
      <c r="B519" s="1" t="n">
        <v>45610</v>
      </c>
      <c r="C519" s="1" t="n">
        <v>46204</v>
      </c>
      <c r="D519" t="inlineStr">
        <is>
          <t>VÄRMLANDS LÄN</t>
        </is>
      </c>
      <c r="E519" t="inlineStr">
        <is>
          <t>TORSBY</t>
        </is>
      </c>
      <c r="G519" t="n">
        <v>3.7</v>
      </c>
      <c r="H519" t="n">
        <v>0</v>
      </c>
      <c r="I519" t="n">
        <v>0</v>
      </c>
      <c r="J519" t="n">
        <v>0</v>
      </c>
      <c r="K519" t="n">
        <v>0</v>
      </c>
      <c r="L519" t="n">
        <v>0</v>
      </c>
      <c r="M519" t="n">
        <v>0</v>
      </c>
      <c r="N519" t="n">
        <v>0</v>
      </c>
      <c r="O519" t="n">
        <v>0</v>
      </c>
      <c r="P519" t="n">
        <v>0</v>
      </c>
      <c r="Q519" t="n">
        <v>0</v>
      </c>
      <c r="R519" s="2" t="inlineStr"/>
    </row>
    <row r="520" ht="15" customHeight="1">
      <c r="A520" t="inlineStr">
        <is>
          <t>A 41504-2024</t>
        </is>
      </c>
      <c r="B520" s="1" t="n">
        <v>45560</v>
      </c>
      <c r="C520" s="1" t="n">
        <v>46204</v>
      </c>
      <c r="D520" t="inlineStr">
        <is>
          <t>VÄRMLANDS LÄN</t>
        </is>
      </c>
      <c r="E520" t="inlineStr">
        <is>
          <t>TORSBY</t>
        </is>
      </c>
      <c r="G520" t="n">
        <v>4.7</v>
      </c>
      <c r="H520" t="n">
        <v>0</v>
      </c>
      <c r="I520" t="n">
        <v>0</v>
      </c>
      <c r="J520" t="n">
        <v>0</v>
      </c>
      <c r="K520" t="n">
        <v>0</v>
      </c>
      <c r="L520" t="n">
        <v>0</v>
      </c>
      <c r="M520" t="n">
        <v>0</v>
      </c>
      <c r="N520" t="n">
        <v>0</v>
      </c>
      <c r="O520" t="n">
        <v>0</v>
      </c>
      <c r="P520" t="n">
        <v>0</v>
      </c>
      <c r="Q520" t="n">
        <v>0</v>
      </c>
      <c r="R520" s="2" t="inlineStr"/>
    </row>
    <row r="521" ht="15" customHeight="1">
      <c r="A521" t="inlineStr">
        <is>
          <t>A 70785-2021</t>
        </is>
      </c>
      <c r="B521" s="1" t="n">
        <v>44537</v>
      </c>
      <c r="C521" s="1" t="n">
        <v>46204</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74375-2021</t>
        </is>
      </c>
      <c r="B522" s="1" t="n">
        <v>44559</v>
      </c>
      <c r="C522" s="1" t="n">
        <v>46204</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6438-2022</t>
        </is>
      </c>
      <c r="B523" s="1" t="n">
        <v>44601</v>
      </c>
      <c r="C523" s="1" t="n">
        <v>46204</v>
      </c>
      <c r="D523" t="inlineStr">
        <is>
          <t>VÄRMLANDS LÄN</t>
        </is>
      </c>
      <c r="E523" t="inlineStr">
        <is>
          <t>TORSBY</t>
        </is>
      </c>
      <c r="G523" t="n">
        <v>2.9</v>
      </c>
      <c r="H523" t="n">
        <v>0</v>
      </c>
      <c r="I523" t="n">
        <v>0</v>
      </c>
      <c r="J523" t="n">
        <v>0</v>
      </c>
      <c r="K523" t="n">
        <v>0</v>
      </c>
      <c r="L523" t="n">
        <v>0</v>
      </c>
      <c r="M523" t="n">
        <v>0</v>
      </c>
      <c r="N523" t="n">
        <v>0</v>
      </c>
      <c r="O523" t="n">
        <v>0</v>
      </c>
      <c r="P523" t="n">
        <v>0</v>
      </c>
      <c r="Q523" t="n">
        <v>0</v>
      </c>
      <c r="R523" s="2" t="inlineStr"/>
    </row>
    <row r="524" ht="15" customHeight="1">
      <c r="A524" t="inlineStr">
        <is>
          <t>A 4172-2022</t>
        </is>
      </c>
      <c r="B524" s="1" t="n">
        <v>44588</v>
      </c>
      <c r="C524" s="1" t="n">
        <v>46204</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30380-2025</t>
        </is>
      </c>
      <c r="B525" s="1" t="n">
        <v>45827</v>
      </c>
      <c r="C525" s="1" t="n">
        <v>46204</v>
      </c>
      <c r="D525" t="inlineStr">
        <is>
          <t>VÄRMLANDS LÄN</t>
        </is>
      </c>
      <c r="E525" t="inlineStr">
        <is>
          <t>TORSBY</t>
        </is>
      </c>
      <c r="G525" t="n">
        <v>5.8</v>
      </c>
      <c r="H525" t="n">
        <v>0</v>
      </c>
      <c r="I525" t="n">
        <v>0</v>
      </c>
      <c r="J525" t="n">
        <v>0</v>
      </c>
      <c r="K525" t="n">
        <v>0</v>
      </c>
      <c r="L525" t="n">
        <v>0</v>
      </c>
      <c r="M525" t="n">
        <v>0</v>
      </c>
      <c r="N525" t="n">
        <v>0</v>
      </c>
      <c r="O525" t="n">
        <v>0</v>
      </c>
      <c r="P525" t="n">
        <v>0</v>
      </c>
      <c r="Q525" t="n">
        <v>0</v>
      </c>
      <c r="R525" s="2" t="inlineStr"/>
    </row>
    <row r="526" ht="15" customHeight="1">
      <c r="A526" t="inlineStr">
        <is>
          <t>A 45056-2022</t>
        </is>
      </c>
      <c r="B526" s="1" t="n">
        <v>44841</v>
      </c>
      <c r="C526" s="1" t="n">
        <v>46204</v>
      </c>
      <c r="D526" t="inlineStr">
        <is>
          <t>VÄRMLANDS LÄN</t>
        </is>
      </c>
      <c r="E526" t="inlineStr">
        <is>
          <t>TORSBY</t>
        </is>
      </c>
      <c r="G526" t="n">
        <v>1.9</v>
      </c>
      <c r="H526" t="n">
        <v>0</v>
      </c>
      <c r="I526" t="n">
        <v>0</v>
      </c>
      <c r="J526" t="n">
        <v>0</v>
      </c>
      <c r="K526" t="n">
        <v>0</v>
      </c>
      <c r="L526" t="n">
        <v>0</v>
      </c>
      <c r="M526" t="n">
        <v>0</v>
      </c>
      <c r="N526" t="n">
        <v>0</v>
      </c>
      <c r="O526" t="n">
        <v>0</v>
      </c>
      <c r="P526" t="n">
        <v>0</v>
      </c>
      <c r="Q526" t="n">
        <v>0</v>
      </c>
      <c r="R526" s="2" t="inlineStr"/>
    </row>
    <row r="527" ht="15" customHeight="1">
      <c r="A527" t="inlineStr">
        <is>
          <t>A 33782-2023</t>
        </is>
      </c>
      <c r="B527" s="1" t="n">
        <v>45120</v>
      </c>
      <c r="C527" s="1" t="n">
        <v>46204</v>
      </c>
      <c r="D527" t="inlineStr">
        <is>
          <t>VÄRMLANDS LÄN</t>
        </is>
      </c>
      <c r="E527" t="inlineStr">
        <is>
          <t>TORSBY</t>
        </is>
      </c>
      <c r="G527" t="n">
        <v>4.1</v>
      </c>
      <c r="H527" t="n">
        <v>0</v>
      </c>
      <c r="I527" t="n">
        <v>0</v>
      </c>
      <c r="J527" t="n">
        <v>0</v>
      </c>
      <c r="K527" t="n">
        <v>0</v>
      </c>
      <c r="L527" t="n">
        <v>0</v>
      </c>
      <c r="M527" t="n">
        <v>0</v>
      </c>
      <c r="N527" t="n">
        <v>0</v>
      </c>
      <c r="O527" t="n">
        <v>0</v>
      </c>
      <c r="P527" t="n">
        <v>0</v>
      </c>
      <c r="Q527" t="n">
        <v>0</v>
      </c>
      <c r="R527" s="2" t="inlineStr"/>
    </row>
    <row r="528" ht="15" customHeight="1">
      <c r="A528" t="inlineStr">
        <is>
          <t>A 38771-2025</t>
        </is>
      </c>
      <c r="B528" s="1" t="n">
        <v>45887</v>
      </c>
      <c r="C528" s="1" t="n">
        <v>46204</v>
      </c>
      <c r="D528" t="inlineStr">
        <is>
          <t>VÄRMLANDS LÄN</t>
        </is>
      </c>
      <c r="E528" t="inlineStr">
        <is>
          <t>TORSBY</t>
        </is>
      </c>
      <c r="G528" t="n">
        <v>2.7</v>
      </c>
      <c r="H528" t="n">
        <v>0</v>
      </c>
      <c r="I528" t="n">
        <v>0</v>
      </c>
      <c r="J528" t="n">
        <v>0</v>
      </c>
      <c r="K528" t="n">
        <v>0</v>
      </c>
      <c r="L528" t="n">
        <v>0</v>
      </c>
      <c r="M528" t="n">
        <v>0</v>
      </c>
      <c r="N528" t="n">
        <v>0</v>
      </c>
      <c r="O528" t="n">
        <v>0</v>
      </c>
      <c r="P528" t="n">
        <v>0</v>
      </c>
      <c r="Q528" t="n">
        <v>0</v>
      </c>
      <c r="R528" s="2" t="inlineStr"/>
    </row>
    <row r="529" ht="15" customHeight="1">
      <c r="A529" t="inlineStr">
        <is>
          <t>A 30388-2025</t>
        </is>
      </c>
      <c r="B529" s="1" t="n">
        <v>45827</v>
      </c>
      <c r="C529" s="1" t="n">
        <v>46204</v>
      </c>
      <c r="D529" t="inlineStr">
        <is>
          <t>VÄRMLANDS LÄN</t>
        </is>
      </c>
      <c r="E529" t="inlineStr">
        <is>
          <t>TORSBY</t>
        </is>
      </c>
      <c r="G529" t="n">
        <v>1.3</v>
      </c>
      <c r="H529" t="n">
        <v>0</v>
      </c>
      <c r="I529" t="n">
        <v>0</v>
      </c>
      <c r="J529" t="n">
        <v>0</v>
      </c>
      <c r="K529" t="n">
        <v>0</v>
      </c>
      <c r="L529" t="n">
        <v>0</v>
      </c>
      <c r="M529" t="n">
        <v>0</v>
      </c>
      <c r="N529" t="n">
        <v>0</v>
      </c>
      <c r="O529" t="n">
        <v>0</v>
      </c>
      <c r="P529" t="n">
        <v>0</v>
      </c>
      <c r="Q529" t="n">
        <v>0</v>
      </c>
      <c r="R529" s="2" t="inlineStr"/>
    </row>
    <row r="530" ht="15" customHeight="1">
      <c r="A530" t="inlineStr">
        <is>
          <t>A 30153-2025</t>
        </is>
      </c>
      <c r="B530" s="1" t="n">
        <v>45827</v>
      </c>
      <c r="C530" s="1" t="n">
        <v>46204</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56107-2024</t>
        </is>
      </c>
      <c r="B531" s="1" t="n">
        <v>45624</v>
      </c>
      <c r="C531" s="1" t="n">
        <v>46204</v>
      </c>
      <c r="D531" t="inlineStr">
        <is>
          <t>VÄRMLANDS LÄN</t>
        </is>
      </c>
      <c r="E531" t="inlineStr">
        <is>
          <t>TORSBY</t>
        </is>
      </c>
      <c r="G531" t="n">
        <v>1.3</v>
      </c>
      <c r="H531" t="n">
        <v>0</v>
      </c>
      <c r="I531" t="n">
        <v>0</v>
      </c>
      <c r="J531" t="n">
        <v>0</v>
      </c>
      <c r="K531" t="n">
        <v>0</v>
      </c>
      <c r="L531" t="n">
        <v>0</v>
      </c>
      <c r="M531" t="n">
        <v>0</v>
      </c>
      <c r="N531" t="n">
        <v>0</v>
      </c>
      <c r="O531" t="n">
        <v>0</v>
      </c>
      <c r="P531" t="n">
        <v>0</v>
      </c>
      <c r="Q531" t="n">
        <v>0</v>
      </c>
      <c r="R531" s="2" t="inlineStr"/>
    </row>
    <row r="532" ht="15" customHeight="1">
      <c r="A532" t="inlineStr">
        <is>
          <t>A 42414-2024</t>
        </is>
      </c>
      <c r="B532" s="1" t="n">
        <v>45565</v>
      </c>
      <c r="C532" s="1" t="n">
        <v>46204</v>
      </c>
      <c r="D532" t="inlineStr">
        <is>
          <t>VÄRMLANDS LÄN</t>
        </is>
      </c>
      <c r="E532" t="inlineStr">
        <is>
          <t>TORSBY</t>
        </is>
      </c>
      <c r="F532" t="inlineStr">
        <is>
          <t>Bergvik skog väst AB</t>
        </is>
      </c>
      <c r="G532" t="n">
        <v>0.7</v>
      </c>
      <c r="H532" t="n">
        <v>0</v>
      </c>
      <c r="I532" t="n">
        <v>0</v>
      </c>
      <c r="J532" t="n">
        <v>0</v>
      </c>
      <c r="K532" t="n">
        <v>0</v>
      </c>
      <c r="L532" t="n">
        <v>0</v>
      </c>
      <c r="M532" t="n">
        <v>0</v>
      </c>
      <c r="N532" t="n">
        <v>0</v>
      </c>
      <c r="O532" t="n">
        <v>0</v>
      </c>
      <c r="P532" t="n">
        <v>0</v>
      </c>
      <c r="Q532" t="n">
        <v>0</v>
      </c>
      <c r="R532" s="2" t="inlineStr"/>
    </row>
    <row r="533" ht="15" customHeight="1">
      <c r="A533" t="inlineStr">
        <is>
          <t>A 26124-2024</t>
        </is>
      </c>
      <c r="B533" s="1" t="n">
        <v>45468</v>
      </c>
      <c r="C533" s="1" t="n">
        <v>46204</v>
      </c>
      <c r="D533" t="inlineStr">
        <is>
          <t>VÄRMLANDS LÄN</t>
        </is>
      </c>
      <c r="E533" t="inlineStr">
        <is>
          <t>TORSBY</t>
        </is>
      </c>
      <c r="G533" t="n">
        <v>5.7</v>
      </c>
      <c r="H533" t="n">
        <v>0</v>
      </c>
      <c r="I533" t="n">
        <v>0</v>
      </c>
      <c r="J533" t="n">
        <v>0</v>
      </c>
      <c r="K533" t="n">
        <v>0</v>
      </c>
      <c r="L533" t="n">
        <v>0</v>
      </c>
      <c r="M533" t="n">
        <v>0</v>
      </c>
      <c r="N533" t="n">
        <v>0</v>
      </c>
      <c r="O533" t="n">
        <v>0</v>
      </c>
      <c r="P533" t="n">
        <v>0</v>
      </c>
      <c r="Q533" t="n">
        <v>0</v>
      </c>
      <c r="R533" s="2" t="inlineStr"/>
    </row>
    <row r="534" ht="15" customHeight="1">
      <c r="A534" t="inlineStr">
        <is>
          <t>A 30026-2025</t>
        </is>
      </c>
      <c r="B534" s="1" t="n">
        <v>45826</v>
      </c>
      <c r="C534" s="1" t="n">
        <v>46204</v>
      </c>
      <c r="D534" t="inlineStr">
        <is>
          <t>VÄRMLANDS LÄN</t>
        </is>
      </c>
      <c r="E534" t="inlineStr">
        <is>
          <t>TORSBY</t>
        </is>
      </c>
      <c r="G534" t="n">
        <v>0.9</v>
      </c>
      <c r="H534" t="n">
        <v>0</v>
      </c>
      <c r="I534" t="n">
        <v>0</v>
      </c>
      <c r="J534" t="n">
        <v>0</v>
      </c>
      <c r="K534" t="n">
        <v>0</v>
      </c>
      <c r="L534" t="n">
        <v>0</v>
      </c>
      <c r="M534" t="n">
        <v>0</v>
      </c>
      <c r="N534" t="n">
        <v>0</v>
      </c>
      <c r="O534" t="n">
        <v>0</v>
      </c>
      <c r="P534" t="n">
        <v>0</v>
      </c>
      <c r="Q534" t="n">
        <v>0</v>
      </c>
      <c r="R534" s="2" t="inlineStr"/>
    </row>
    <row r="535" ht="15" customHeight="1">
      <c r="A535" t="inlineStr">
        <is>
          <t>A 24896-2023</t>
        </is>
      </c>
      <c r="B535" s="1" t="n">
        <v>45085</v>
      </c>
      <c r="C535" s="1" t="n">
        <v>46204</v>
      </c>
      <c r="D535" t="inlineStr">
        <is>
          <t>VÄRMLANDS LÄN</t>
        </is>
      </c>
      <c r="E535" t="inlineStr">
        <is>
          <t>TORSBY</t>
        </is>
      </c>
      <c r="F535" t="inlineStr">
        <is>
          <t>Bergvik skog väst AB</t>
        </is>
      </c>
      <c r="G535" t="n">
        <v>4.7</v>
      </c>
      <c r="H535" t="n">
        <v>0</v>
      </c>
      <c r="I535" t="n">
        <v>0</v>
      </c>
      <c r="J535" t="n">
        <v>0</v>
      </c>
      <c r="K535" t="n">
        <v>0</v>
      </c>
      <c r="L535" t="n">
        <v>0</v>
      </c>
      <c r="M535" t="n">
        <v>0</v>
      </c>
      <c r="N535" t="n">
        <v>0</v>
      </c>
      <c r="O535" t="n">
        <v>0</v>
      </c>
      <c r="P535" t="n">
        <v>0</v>
      </c>
      <c r="Q535" t="n">
        <v>0</v>
      </c>
      <c r="R535" s="2" t="inlineStr"/>
    </row>
    <row r="536" ht="15" customHeight="1">
      <c r="A536" t="inlineStr">
        <is>
          <t>A 30151-2025</t>
        </is>
      </c>
      <c r="B536" s="1" t="n">
        <v>45827</v>
      </c>
      <c r="C536" s="1" t="n">
        <v>46204</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11878-2024</t>
        </is>
      </c>
      <c r="B537" s="1" t="n">
        <v>45376</v>
      </c>
      <c r="C537" s="1" t="n">
        <v>46204</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30333-2025</t>
        </is>
      </c>
      <c r="B538" s="1" t="n">
        <v>45827</v>
      </c>
      <c r="C538" s="1" t="n">
        <v>46204</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7311-2026</t>
        </is>
      </c>
      <c r="B539" s="1" t="n">
        <v>46058</v>
      </c>
      <c r="C539" s="1" t="n">
        <v>46204</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46166-2024</t>
        </is>
      </c>
      <c r="B540" s="1" t="n">
        <v>45581</v>
      </c>
      <c r="C540" s="1" t="n">
        <v>46204</v>
      </c>
      <c r="D540" t="inlineStr">
        <is>
          <t>VÄRMLANDS LÄN</t>
        </is>
      </c>
      <c r="E540" t="inlineStr">
        <is>
          <t>TORSBY</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30717-2025</t>
        </is>
      </c>
      <c r="B541" s="1" t="n">
        <v>45831</v>
      </c>
      <c r="C541" s="1" t="n">
        <v>46204</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53381-2022</t>
        </is>
      </c>
      <c r="B542" s="1" t="n">
        <v>44879</v>
      </c>
      <c r="C542" s="1" t="n">
        <v>46204</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7766-2026</t>
        </is>
      </c>
      <c r="B543" s="1" t="n">
        <v>46059</v>
      </c>
      <c r="C543" s="1" t="n">
        <v>46204</v>
      </c>
      <c r="D543" t="inlineStr">
        <is>
          <t>VÄRMLANDS LÄN</t>
        </is>
      </c>
      <c r="E543" t="inlineStr">
        <is>
          <t>TORSBY</t>
        </is>
      </c>
      <c r="G543" t="n">
        <v>6.9</v>
      </c>
      <c r="H543" t="n">
        <v>0</v>
      </c>
      <c r="I543" t="n">
        <v>0</v>
      </c>
      <c r="J543" t="n">
        <v>0</v>
      </c>
      <c r="K543" t="n">
        <v>0</v>
      </c>
      <c r="L543" t="n">
        <v>0</v>
      </c>
      <c r="M543" t="n">
        <v>0</v>
      </c>
      <c r="N543" t="n">
        <v>0</v>
      </c>
      <c r="O543" t="n">
        <v>0</v>
      </c>
      <c r="P543" t="n">
        <v>0</v>
      </c>
      <c r="Q543" t="n">
        <v>0</v>
      </c>
      <c r="R543" s="2" t="inlineStr"/>
    </row>
    <row r="544" ht="15" customHeight="1">
      <c r="A544" t="inlineStr">
        <is>
          <t>A 51843-2022</t>
        </is>
      </c>
      <c r="B544" s="1" t="n">
        <v>44872</v>
      </c>
      <c r="C544" s="1" t="n">
        <v>46204</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30738-2025</t>
        </is>
      </c>
      <c r="B545" s="1" t="n">
        <v>45831</v>
      </c>
      <c r="C545" s="1" t="n">
        <v>46204</v>
      </c>
      <c r="D545" t="inlineStr">
        <is>
          <t>VÄRMLANDS LÄN</t>
        </is>
      </c>
      <c r="E545" t="inlineStr">
        <is>
          <t>TORSBY</t>
        </is>
      </c>
      <c r="G545" t="n">
        <v>8.1</v>
      </c>
      <c r="H545" t="n">
        <v>0</v>
      </c>
      <c r="I545" t="n">
        <v>0</v>
      </c>
      <c r="J545" t="n">
        <v>0</v>
      </c>
      <c r="K545" t="n">
        <v>0</v>
      </c>
      <c r="L545" t="n">
        <v>0</v>
      </c>
      <c r="M545" t="n">
        <v>0</v>
      </c>
      <c r="N545" t="n">
        <v>0</v>
      </c>
      <c r="O545" t="n">
        <v>0</v>
      </c>
      <c r="P545" t="n">
        <v>0</v>
      </c>
      <c r="Q545" t="n">
        <v>0</v>
      </c>
      <c r="R545" s="2" t="inlineStr"/>
    </row>
    <row r="546" ht="15" customHeight="1">
      <c r="A546" t="inlineStr">
        <is>
          <t>A 6534-2025</t>
        </is>
      </c>
      <c r="B546" s="1" t="n">
        <v>45699</v>
      </c>
      <c r="C546" s="1" t="n">
        <v>46204</v>
      </c>
      <c r="D546" t="inlineStr">
        <is>
          <t>VÄRMLANDS LÄN</t>
        </is>
      </c>
      <c r="E546" t="inlineStr">
        <is>
          <t>TORSBY</t>
        </is>
      </c>
      <c r="F546" t="inlineStr">
        <is>
          <t>Kommuner</t>
        </is>
      </c>
      <c r="G546" t="n">
        <v>0.1</v>
      </c>
      <c r="H546" t="n">
        <v>0</v>
      </c>
      <c r="I546" t="n">
        <v>0</v>
      </c>
      <c r="J546" t="n">
        <v>0</v>
      </c>
      <c r="K546" t="n">
        <v>0</v>
      </c>
      <c r="L546" t="n">
        <v>0</v>
      </c>
      <c r="M546" t="n">
        <v>0</v>
      </c>
      <c r="N546" t="n">
        <v>0</v>
      </c>
      <c r="O546" t="n">
        <v>0</v>
      </c>
      <c r="P546" t="n">
        <v>0</v>
      </c>
      <c r="Q546" t="n">
        <v>0</v>
      </c>
      <c r="R546" s="2" t="inlineStr"/>
    </row>
    <row r="547" ht="15" customHeight="1">
      <c r="A547" t="inlineStr">
        <is>
          <t>A 7178-2025</t>
        </is>
      </c>
      <c r="B547" s="1" t="n">
        <v>45702</v>
      </c>
      <c r="C547" s="1" t="n">
        <v>46204</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22634-2023</t>
        </is>
      </c>
      <c r="B548" s="1" t="n">
        <v>45071</v>
      </c>
      <c r="C548" s="1" t="n">
        <v>46204</v>
      </c>
      <c r="D548" t="inlineStr">
        <is>
          <t>VÄRMLANDS LÄN</t>
        </is>
      </c>
      <c r="E548" t="inlineStr">
        <is>
          <t>TORSBY</t>
        </is>
      </c>
      <c r="F548" t="inlineStr">
        <is>
          <t>Bergvik skog väst AB</t>
        </is>
      </c>
      <c r="G548" t="n">
        <v>0.2</v>
      </c>
      <c r="H548" t="n">
        <v>0</v>
      </c>
      <c r="I548" t="n">
        <v>0</v>
      </c>
      <c r="J548" t="n">
        <v>0</v>
      </c>
      <c r="K548" t="n">
        <v>0</v>
      </c>
      <c r="L548" t="n">
        <v>0</v>
      </c>
      <c r="M548" t="n">
        <v>0</v>
      </c>
      <c r="N548" t="n">
        <v>0</v>
      </c>
      <c r="O548" t="n">
        <v>0</v>
      </c>
      <c r="P548" t="n">
        <v>0</v>
      </c>
      <c r="Q548" t="n">
        <v>0</v>
      </c>
      <c r="R548" s="2" t="inlineStr"/>
    </row>
    <row r="549" ht="15" customHeight="1">
      <c r="A549" t="inlineStr">
        <is>
          <t>A 7214-2025</t>
        </is>
      </c>
      <c r="B549" s="1" t="n">
        <v>45702</v>
      </c>
      <c r="C549" s="1" t="n">
        <v>46204</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7322-2026</t>
        </is>
      </c>
      <c r="B550" s="1" t="n">
        <v>46058</v>
      </c>
      <c r="C550" s="1" t="n">
        <v>46204</v>
      </c>
      <c r="D550" t="inlineStr">
        <is>
          <t>VÄRMLANDS LÄN</t>
        </is>
      </c>
      <c r="E550" t="inlineStr">
        <is>
          <t>TORSBY</t>
        </is>
      </c>
      <c r="G550" t="n">
        <v>1.3</v>
      </c>
      <c r="H550" t="n">
        <v>0</v>
      </c>
      <c r="I550" t="n">
        <v>0</v>
      </c>
      <c r="J550" t="n">
        <v>0</v>
      </c>
      <c r="K550" t="n">
        <v>0</v>
      </c>
      <c r="L550" t="n">
        <v>0</v>
      </c>
      <c r="M550" t="n">
        <v>0</v>
      </c>
      <c r="N550" t="n">
        <v>0</v>
      </c>
      <c r="O550" t="n">
        <v>0</v>
      </c>
      <c r="P550" t="n">
        <v>0</v>
      </c>
      <c r="Q550" t="n">
        <v>0</v>
      </c>
      <c r="R550" s="2" t="inlineStr"/>
    </row>
    <row r="551" ht="15" customHeight="1">
      <c r="A551" t="inlineStr">
        <is>
          <t>A 27347-2024</t>
        </is>
      </c>
      <c r="B551" s="1" t="n">
        <v>45473</v>
      </c>
      <c r="C551" s="1" t="n">
        <v>46204</v>
      </c>
      <c r="D551" t="inlineStr">
        <is>
          <t>VÄRMLANDS LÄN</t>
        </is>
      </c>
      <c r="E551" t="inlineStr">
        <is>
          <t>TORSBY</t>
        </is>
      </c>
      <c r="G551" t="n">
        <v>1.2</v>
      </c>
      <c r="H551" t="n">
        <v>0</v>
      </c>
      <c r="I551" t="n">
        <v>0</v>
      </c>
      <c r="J551" t="n">
        <v>0</v>
      </c>
      <c r="K551" t="n">
        <v>0</v>
      </c>
      <c r="L551" t="n">
        <v>0</v>
      </c>
      <c r="M551" t="n">
        <v>0</v>
      </c>
      <c r="N551" t="n">
        <v>0</v>
      </c>
      <c r="O551" t="n">
        <v>0</v>
      </c>
      <c r="P551" t="n">
        <v>0</v>
      </c>
      <c r="Q551" t="n">
        <v>0</v>
      </c>
      <c r="R551" s="2" t="inlineStr"/>
    </row>
    <row r="552" ht="15" customHeight="1">
      <c r="A552" t="inlineStr">
        <is>
          <t>A 41377-2021</t>
        </is>
      </c>
      <c r="B552" s="1" t="n">
        <v>44424</v>
      </c>
      <c r="C552" s="1" t="n">
        <v>46204</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54766-2023</t>
        </is>
      </c>
      <c r="B553" s="1" t="n">
        <v>45236</v>
      </c>
      <c r="C553" s="1" t="n">
        <v>46204</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38808-2025</t>
        </is>
      </c>
      <c r="B554" s="1" t="n">
        <v>45887</v>
      </c>
      <c r="C554" s="1" t="n">
        <v>46204</v>
      </c>
      <c r="D554" t="inlineStr">
        <is>
          <t>VÄRMLANDS LÄN</t>
        </is>
      </c>
      <c r="E554" t="inlineStr">
        <is>
          <t>TORSBY</t>
        </is>
      </c>
      <c r="G554" t="n">
        <v>4.6</v>
      </c>
      <c r="H554" t="n">
        <v>0</v>
      </c>
      <c r="I554" t="n">
        <v>0</v>
      </c>
      <c r="J554" t="n">
        <v>0</v>
      </c>
      <c r="K554" t="n">
        <v>0</v>
      </c>
      <c r="L554" t="n">
        <v>0</v>
      </c>
      <c r="M554" t="n">
        <v>0</v>
      </c>
      <c r="N554" t="n">
        <v>0</v>
      </c>
      <c r="O554" t="n">
        <v>0</v>
      </c>
      <c r="P554" t="n">
        <v>0</v>
      </c>
      <c r="Q554" t="n">
        <v>0</v>
      </c>
      <c r="R554" s="2" t="inlineStr"/>
    </row>
    <row r="555" ht="15" customHeight="1">
      <c r="A555" t="inlineStr">
        <is>
          <t>A 31335-2025</t>
        </is>
      </c>
      <c r="B555" s="1" t="n">
        <v>45833</v>
      </c>
      <c r="C555" s="1" t="n">
        <v>46204</v>
      </c>
      <c r="D555" t="inlineStr">
        <is>
          <t>VÄRMLANDS LÄN</t>
        </is>
      </c>
      <c r="E555" t="inlineStr">
        <is>
          <t>TORSBY</t>
        </is>
      </c>
      <c r="G555" t="n">
        <v>0.9</v>
      </c>
      <c r="H555" t="n">
        <v>0</v>
      </c>
      <c r="I555" t="n">
        <v>0</v>
      </c>
      <c r="J555" t="n">
        <v>0</v>
      </c>
      <c r="K555" t="n">
        <v>0</v>
      </c>
      <c r="L555" t="n">
        <v>0</v>
      </c>
      <c r="M555" t="n">
        <v>0</v>
      </c>
      <c r="N555" t="n">
        <v>0</v>
      </c>
      <c r="O555" t="n">
        <v>0</v>
      </c>
      <c r="P555" t="n">
        <v>0</v>
      </c>
      <c r="Q555" t="n">
        <v>0</v>
      </c>
      <c r="R555" s="2" t="inlineStr"/>
    </row>
    <row r="556" ht="15" customHeight="1">
      <c r="A556" t="inlineStr">
        <is>
          <t>A 9381-2024</t>
        </is>
      </c>
      <c r="B556" s="1" t="n">
        <v>45359</v>
      </c>
      <c r="C556" s="1" t="n">
        <v>46204</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20847-2023</t>
        </is>
      </c>
      <c r="B557" s="1" t="n">
        <v>45056</v>
      </c>
      <c r="C557" s="1" t="n">
        <v>46204</v>
      </c>
      <c r="D557" t="inlineStr">
        <is>
          <t>VÄRMLANDS LÄN</t>
        </is>
      </c>
      <c r="E557" t="inlineStr">
        <is>
          <t>TORSBY</t>
        </is>
      </c>
      <c r="G557" t="n">
        <v>13.9</v>
      </c>
      <c r="H557" t="n">
        <v>0</v>
      </c>
      <c r="I557" t="n">
        <v>0</v>
      </c>
      <c r="J557" t="n">
        <v>0</v>
      </c>
      <c r="K557" t="n">
        <v>0</v>
      </c>
      <c r="L557" t="n">
        <v>0</v>
      </c>
      <c r="M557" t="n">
        <v>0</v>
      </c>
      <c r="N557" t="n">
        <v>0</v>
      </c>
      <c r="O557" t="n">
        <v>0</v>
      </c>
      <c r="P557" t="n">
        <v>0</v>
      </c>
      <c r="Q557" t="n">
        <v>0</v>
      </c>
      <c r="R557" s="2" t="inlineStr"/>
    </row>
    <row r="558" ht="15" customHeight="1">
      <c r="A558" t="inlineStr">
        <is>
          <t>A 31416-2025</t>
        </is>
      </c>
      <c r="B558" s="1" t="n">
        <v>45833</v>
      </c>
      <c r="C558" s="1" t="n">
        <v>46204</v>
      </c>
      <c r="D558" t="inlineStr">
        <is>
          <t>VÄRMLANDS LÄN</t>
        </is>
      </c>
      <c r="E558" t="inlineStr">
        <is>
          <t>TORSBY</t>
        </is>
      </c>
      <c r="G558" t="n">
        <v>0.8</v>
      </c>
      <c r="H558" t="n">
        <v>0</v>
      </c>
      <c r="I558" t="n">
        <v>0</v>
      </c>
      <c r="J558" t="n">
        <v>0</v>
      </c>
      <c r="K558" t="n">
        <v>0</v>
      </c>
      <c r="L558" t="n">
        <v>0</v>
      </c>
      <c r="M558" t="n">
        <v>0</v>
      </c>
      <c r="N558" t="n">
        <v>0</v>
      </c>
      <c r="O558" t="n">
        <v>0</v>
      </c>
      <c r="P558" t="n">
        <v>0</v>
      </c>
      <c r="Q558" t="n">
        <v>0</v>
      </c>
      <c r="R558" s="2" t="inlineStr"/>
    </row>
    <row r="559" ht="15" customHeight="1">
      <c r="A559" t="inlineStr">
        <is>
          <t>A 38738-2025</t>
        </is>
      </c>
      <c r="B559" s="1" t="n">
        <v>45887</v>
      </c>
      <c r="C559" s="1" t="n">
        <v>46204</v>
      </c>
      <c r="D559" t="inlineStr">
        <is>
          <t>VÄRMLANDS LÄN</t>
        </is>
      </c>
      <c r="E559" t="inlineStr">
        <is>
          <t>TORSBY</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54777-2023</t>
        </is>
      </c>
      <c r="B560" s="1" t="n">
        <v>45236</v>
      </c>
      <c r="C560" s="1" t="n">
        <v>46204</v>
      </c>
      <c r="D560" t="inlineStr">
        <is>
          <t>VÄRMLANDS LÄN</t>
        </is>
      </c>
      <c r="E560" t="inlineStr">
        <is>
          <t>TORSBY</t>
        </is>
      </c>
      <c r="F560" t="inlineStr">
        <is>
          <t>Bergvik skog väst AB</t>
        </is>
      </c>
      <c r="G560" t="n">
        <v>7.9</v>
      </c>
      <c r="H560" t="n">
        <v>0</v>
      </c>
      <c r="I560" t="n">
        <v>0</v>
      </c>
      <c r="J560" t="n">
        <v>0</v>
      </c>
      <c r="K560" t="n">
        <v>0</v>
      </c>
      <c r="L560" t="n">
        <v>0</v>
      </c>
      <c r="M560" t="n">
        <v>0</v>
      </c>
      <c r="N560" t="n">
        <v>0</v>
      </c>
      <c r="O560" t="n">
        <v>0</v>
      </c>
      <c r="P560" t="n">
        <v>0</v>
      </c>
      <c r="Q560" t="n">
        <v>0</v>
      </c>
      <c r="R560" s="2" t="inlineStr"/>
    </row>
    <row r="561" ht="15" customHeight="1">
      <c r="A561" t="inlineStr">
        <is>
          <t>A 7623-2026</t>
        </is>
      </c>
      <c r="B561" s="1" t="n">
        <v>46062</v>
      </c>
      <c r="C561" s="1" t="n">
        <v>46204</v>
      </c>
      <c r="D561" t="inlineStr">
        <is>
          <t>VÄRMLANDS LÄN</t>
        </is>
      </c>
      <c r="E561" t="inlineStr">
        <is>
          <t>TORSBY</t>
        </is>
      </c>
      <c r="G561" t="n">
        <v>3.1</v>
      </c>
      <c r="H561" t="n">
        <v>0</v>
      </c>
      <c r="I561" t="n">
        <v>0</v>
      </c>
      <c r="J561" t="n">
        <v>0</v>
      </c>
      <c r="K561" t="n">
        <v>0</v>
      </c>
      <c r="L561" t="n">
        <v>0</v>
      </c>
      <c r="M561" t="n">
        <v>0</v>
      </c>
      <c r="N561" t="n">
        <v>0</v>
      </c>
      <c r="O561" t="n">
        <v>0</v>
      </c>
      <c r="P561" t="n">
        <v>0</v>
      </c>
      <c r="Q561" t="n">
        <v>0</v>
      </c>
      <c r="R561" s="2" t="inlineStr"/>
    </row>
    <row r="562" ht="15" customHeight="1">
      <c r="A562" t="inlineStr">
        <is>
          <t>A 25949-2024</t>
        </is>
      </c>
      <c r="B562" s="1" t="n">
        <v>45467</v>
      </c>
      <c r="C562" s="1" t="n">
        <v>46204</v>
      </c>
      <c r="D562" t="inlineStr">
        <is>
          <t>VÄRMLANDS LÄN</t>
        </is>
      </c>
      <c r="E562" t="inlineStr">
        <is>
          <t>TORSBY</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31850-2025</t>
        </is>
      </c>
      <c r="B563" s="1" t="n">
        <v>45834</v>
      </c>
      <c r="C563" s="1" t="n">
        <v>46204</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37401-2022</t>
        </is>
      </c>
      <c r="B564" s="1" t="n">
        <v>44809</v>
      </c>
      <c r="C564" s="1" t="n">
        <v>46204</v>
      </c>
      <c r="D564" t="inlineStr">
        <is>
          <t>VÄRMLANDS LÄN</t>
        </is>
      </c>
      <c r="E564" t="inlineStr">
        <is>
          <t>TORSBY</t>
        </is>
      </c>
      <c r="G564" t="n">
        <v>1.2</v>
      </c>
      <c r="H564" t="n">
        <v>0</v>
      </c>
      <c r="I564" t="n">
        <v>0</v>
      </c>
      <c r="J564" t="n">
        <v>0</v>
      </c>
      <c r="K564" t="n">
        <v>0</v>
      </c>
      <c r="L564" t="n">
        <v>0</v>
      </c>
      <c r="M564" t="n">
        <v>0</v>
      </c>
      <c r="N564" t="n">
        <v>0</v>
      </c>
      <c r="O564" t="n">
        <v>0</v>
      </c>
      <c r="P564" t="n">
        <v>0</v>
      </c>
      <c r="Q564" t="n">
        <v>0</v>
      </c>
      <c r="R564" s="2" t="inlineStr"/>
    </row>
    <row r="565" ht="15" customHeight="1">
      <c r="A565" t="inlineStr">
        <is>
          <t>A 31906-2025</t>
        </is>
      </c>
      <c r="B565" s="1" t="n">
        <v>45834</v>
      </c>
      <c r="C565" s="1" t="n">
        <v>46204</v>
      </c>
      <c r="D565" t="inlineStr">
        <is>
          <t>VÄRMLANDS LÄN</t>
        </is>
      </c>
      <c r="E565" t="inlineStr">
        <is>
          <t>TORSBY</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7069-2022</t>
        </is>
      </c>
      <c r="B566" s="1" t="n">
        <v>44603</v>
      </c>
      <c r="C566" s="1" t="n">
        <v>46204</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21255-2023</t>
        </is>
      </c>
      <c r="B567" s="1" t="n">
        <v>45058</v>
      </c>
      <c r="C567" s="1" t="n">
        <v>46204</v>
      </c>
      <c r="D567" t="inlineStr">
        <is>
          <t>VÄRMLANDS LÄN</t>
        </is>
      </c>
      <c r="E567" t="inlineStr">
        <is>
          <t>TORSBY</t>
        </is>
      </c>
      <c r="G567" t="n">
        <v>3.6</v>
      </c>
      <c r="H567" t="n">
        <v>0</v>
      </c>
      <c r="I567" t="n">
        <v>0</v>
      </c>
      <c r="J567" t="n">
        <v>0</v>
      </c>
      <c r="K567" t="n">
        <v>0</v>
      </c>
      <c r="L567" t="n">
        <v>0</v>
      </c>
      <c r="M567" t="n">
        <v>0</v>
      </c>
      <c r="N567" t="n">
        <v>0</v>
      </c>
      <c r="O567" t="n">
        <v>0</v>
      </c>
      <c r="P567" t="n">
        <v>0</v>
      </c>
      <c r="Q567" t="n">
        <v>0</v>
      </c>
      <c r="R567" s="2" t="inlineStr"/>
    </row>
    <row r="568" ht="15" customHeight="1">
      <c r="A568" t="inlineStr">
        <is>
          <t>A 32134-2025</t>
        </is>
      </c>
      <c r="B568" s="1" t="n">
        <v>45835</v>
      </c>
      <c r="C568" s="1" t="n">
        <v>46204</v>
      </c>
      <c r="D568" t="inlineStr">
        <is>
          <t>VÄRMLANDS LÄN</t>
        </is>
      </c>
      <c r="E568" t="inlineStr">
        <is>
          <t>TORSBY</t>
        </is>
      </c>
      <c r="G568" t="n">
        <v>8.5</v>
      </c>
      <c r="H568" t="n">
        <v>0</v>
      </c>
      <c r="I568" t="n">
        <v>0</v>
      </c>
      <c r="J568" t="n">
        <v>0</v>
      </c>
      <c r="K568" t="n">
        <v>0</v>
      </c>
      <c r="L568" t="n">
        <v>0</v>
      </c>
      <c r="M568" t="n">
        <v>0</v>
      </c>
      <c r="N568" t="n">
        <v>0</v>
      </c>
      <c r="O568" t="n">
        <v>0</v>
      </c>
      <c r="P568" t="n">
        <v>0</v>
      </c>
      <c r="Q568" t="n">
        <v>0</v>
      </c>
      <c r="R568" s="2" t="inlineStr"/>
    </row>
    <row r="569" ht="15" customHeight="1">
      <c r="A569" t="inlineStr">
        <is>
          <t>A 62090-2024</t>
        </is>
      </c>
      <c r="B569" s="1" t="n">
        <v>45656</v>
      </c>
      <c r="C569" s="1" t="n">
        <v>46204</v>
      </c>
      <c r="D569" t="inlineStr">
        <is>
          <t>VÄRMLANDS LÄN</t>
        </is>
      </c>
      <c r="E569" t="inlineStr">
        <is>
          <t>TORSBY</t>
        </is>
      </c>
      <c r="G569" t="n">
        <v>2.8</v>
      </c>
      <c r="H569" t="n">
        <v>0</v>
      </c>
      <c r="I569" t="n">
        <v>0</v>
      </c>
      <c r="J569" t="n">
        <v>0</v>
      </c>
      <c r="K569" t="n">
        <v>0</v>
      </c>
      <c r="L569" t="n">
        <v>0</v>
      </c>
      <c r="M569" t="n">
        <v>0</v>
      </c>
      <c r="N569" t="n">
        <v>0</v>
      </c>
      <c r="O569" t="n">
        <v>0</v>
      </c>
      <c r="P569" t="n">
        <v>0</v>
      </c>
      <c r="Q569" t="n">
        <v>0</v>
      </c>
      <c r="R569" s="2" t="inlineStr"/>
    </row>
    <row r="570" ht="15" customHeight="1">
      <c r="A570" t="inlineStr">
        <is>
          <t>A 62092-2024</t>
        </is>
      </c>
      <c r="B570" s="1" t="n">
        <v>45656</v>
      </c>
      <c r="C570" s="1" t="n">
        <v>46204</v>
      </c>
      <c r="D570" t="inlineStr">
        <is>
          <t>VÄRMLANDS LÄN</t>
        </is>
      </c>
      <c r="E570" t="inlineStr">
        <is>
          <t>TORSBY</t>
        </is>
      </c>
      <c r="G570" t="n">
        <v>3.7</v>
      </c>
      <c r="H570" t="n">
        <v>0</v>
      </c>
      <c r="I570" t="n">
        <v>0</v>
      </c>
      <c r="J570" t="n">
        <v>0</v>
      </c>
      <c r="K570" t="n">
        <v>0</v>
      </c>
      <c r="L570" t="n">
        <v>0</v>
      </c>
      <c r="M570" t="n">
        <v>0</v>
      </c>
      <c r="N570" t="n">
        <v>0</v>
      </c>
      <c r="O570" t="n">
        <v>0</v>
      </c>
      <c r="P570" t="n">
        <v>0</v>
      </c>
      <c r="Q570" t="n">
        <v>0</v>
      </c>
      <c r="R570" s="2" t="inlineStr"/>
    </row>
    <row r="571" ht="15" customHeight="1">
      <c r="A571" t="inlineStr">
        <is>
          <t>A 32191-2025</t>
        </is>
      </c>
      <c r="B571" s="1" t="n">
        <v>45835</v>
      </c>
      <c r="C571" s="1" t="n">
        <v>46204</v>
      </c>
      <c r="D571" t="inlineStr">
        <is>
          <t>VÄRMLANDS LÄN</t>
        </is>
      </c>
      <c r="E571" t="inlineStr">
        <is>
          <t>TORSBY</t>
        </is>
      </c>
      <c r="F571" t="inlineStr">
        <is>
          <t>Bergvik skog väst AB</t>
        </is>
      </c>
      <c r="G571" t="n">
        <v>4.5</v>
      </c>
      <c r="H571" t="n">
        <v>0</v>
      </c>
      <c r="I571" t="n">
        <v>0</v>
      </c>
      <c r="J571" t="n">
        <v>0</v>
      </c>
      <c r="K571" t="n">
        <v>0</v>
      </c>
      <c r="L571" t="n">
        <v>0</v>
      </c>
      <c r="M571" t="n">
        <v>0</v>
      </c>
      <c r="N571" t="n">
        <v>0</v>
      </c>
      <c r="O571" t="n">
        <v>0</v>
      </c>
      <c r="P571" t="n">
        <v>0</v>
      </c>
      <c r="Q571" t="n">
        <v>0</v>
      </c>
      <c r="R571" s="2" t="inlineStr"/>
    </row>
    <row r="572" ht="15" customHeight="1">
      <c r="A572" t="inlineStr">
        <is>
          <t>A 8038-2026</t>
        </is>
      </c>
      <c r="B572" s="1" t="n">
        <v>46063</v>
      </c>
      <c r="C572" s="1" t="n">
        <v>46204</v>
      </c>
      <c r="D572" t="inlineStr">
        <is>
          <t>VÄRMLANDS LÄN</t>
        </is>
      </c>
      <c r="E572" t="inlineStr">
        <is>
          <t>TORSBY</t>
        </is>
      </c>
      <c r="G572" t="n">
        <v>1.8</v>
      </c>
      <c r="H572" t="n">
        <v>0</v>
      </c>
      <c r="I572" t="n">
        <v>0</v>
      </c>
      <c r="J572" t="n">
        <v>0</v>
      </c>
      <c r="K572" t="n">
        <v>0</v>
      </c>
      <c r="L572" t="n">
        <v>0</v>
      </c>
      <c r="M572" t="n">
        <v>0</v>
      </c>
      <c r="N572" t="n">
        <v>0</v>
      </c>
      <c r="O572" t="n">
        <v>0</v>
      </c>
      <c r="P572" t="n">
        <v>0</v>
      </c>
      <c r="Q572" t="n">
        <v>0</v>
      </c>
      <c r="R572" s="2" t="inlineStr"/>
    </row>
    <row r="573" ht="15" customHeight="1">
      <c r="A573" t="inlineStr">
        <is>
          <t>A 32618-2025</t>
        </is>
      </c>
      <c r="B573" s="1" t="n">
        <v>45838</v>
      </c>
      <c r="C573" s="1" t="n">
        <v>46204</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32988-2024</t>
        </is>
      </c>
      <c r="B574" s="1" t="n">
        <v>45517</v>
      </c>
      <c r="C574" s="1" t="n">
        <v>46204</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22421-2024</t>
        </is>
      </c>
      <c r="B575" s="1" t="n">
        <v>45446</v>
      </c>
      <c r="C575" s="1" t="n">
        <v>46204</v>
      </c>
      <c r="D575" t="inlineStr">
        <is>
          <t>VÄRMLANDS LÄN</t>
        </is>
      </c>
      <c r="E575" t="inlineStr">
        <is>
          <t>TORSBY</t>
        </is>
      </c>
      <c r="G575" t="n">
        <v>8.9</v>
      </c>
      <c r="H575" t="n">
        <v>0</v>
      </c>
      <c r="I575" t="n">
        <v>0</v>
      </c>
      <c r="J575" t="n">
        <v>0</v>
      </c>
      <c r="K575" t="n">
        <v>0</v>
      </c>
      <c r="L575" t="n">
        <v>0</v>
      </c>
      <c r="M575" t="n">
        <v>0</v>
      </c>
      <c r="N575" t="n">
        <v>0</v>
      </c>
      <c r="O575" t="n">
        <v>0</v>
      </c>
      <c r="P575" t="n">
        <v>0</v>
      </c>
      <c r="Q575" t="n">
        <v>0</v>
      </c>
      <c r="R575" s="2" t="inlineStr"/>
    </row>
    <row r="576" ht="15" customHeight="1">
      <c r="A576" t="inlineStr">
        <is>
          <t>A 32995-2025</t>
        </is>
      </c>
      <c r="B576" s="1" t="n">
        <v>45839</v>
      </c>
      <c r="C576" s="1" t="n">
        <v>46204</v>
      </c>
      <c r="D576" t="inlineStr">
        <is>
          <t>VÄRMLANDS LÄN</t>
        </is>
      </c>
      <c r="E576" t="inlineStr">
        <is>
          <t>TORSBY</t>
        </is>
      </c>
      <c r="G576" t="n">
        <v>5.5</v>
      </c>
      <c r="H576" t="n">
        <v>0</v>
      </c>
      <c r="I576" t="n">
        <v>0</v>
      </c>
      <c r="J576" t="n">
        <v>0</v>
      </c>
      <c r="K576" t="n">
        <v>0</v>
      </c>
      <c r="L576" t="n">
        <v>0</v>
      </c>
      <c r="M576" t="n">
        <v>0</v>
      </c>
      <c r="N576" t="n">
        <v>0</v>
      </c>
      <c r="O576" t="n">
        <v>0</v>
      </c>
      <c r="P576" t="n">
        <v>0</v>
      </c>
      <c r="Q576" t="n">
        <v>0</v>
      </c>
      <c r="R576" s="2" t="inlineStr"/>
    </row>
    <row r="577" ht="15" customHeight="1">
      <c r="A577" t="inlineStr">
        <is>
          <t>A 59872-2023</t>
        </is>
      </c>
      <c r="B577" s="1" t="n">
        <v>45257</v>
      </c>
      <c r="C577" s="1" t="n">
        <v>46204</v>
      </c>
      <c r="D577" t="inlineStr">
        <is>
          <t>VÄRMLANDS LÄN</t>
        </is>
      </c>
      <c r="E577" t="inlineStr">
        <is>
          <t>TORSBY</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43157-2021</t>
        </is>
      </c>
      <c r="B578" s="1" t="n">
        <v>44431</v>
      </c>
      <c r="C578" s="1" t="n">
        <v>46204</v>
      </c>
      <c r="D578" t="inlineStr">
        <is>
          <t>VÄRMLANDS LÄN</t>
        </is>
      </c>
      <c r="E578" t="inlineStr">
        <is>
          <t>TORSBY</t>
        </is>
      </c>
      <c r="G578" t="n">
        <v>12</v>
      </c>
      <c r="H578" t="n">
        <v>0</v>
      </c>
      <c r="I578" t="n">
        <v>0</v>
      </c>
      <c r="J578" t="n">
        <v>0</v>
      </c>
      <c r="K578" t="n">
        <v>0</v>
      </c>
      <c r="L578" t="n">
        <v>0</v>
      </c>
      <c r="M578" t="n">
        <v>0</v>
      </c>
      <c r="N578" t="n">
        <v>0</v>
      </c>
      <c r="O578" t="n">
        <v>0</v>
      </c>
      <c r="P578" t="n">
        <v>0</v>
      </c>
      <c r="Q578" t="n">
        <v>0</v>
      </c>
      <c r="R578" s="2" t="inlineStr"/>
    </row>
    <row r="579" ht="15" customHeight="1">
      <c r="A579" t="inlineStr">
        <is>
          <t>A 17024-2024</t>
        </is>
      </c>
      <c r="B579" s="1" t="n">
        <v>45412</v>
      </c>
      <c r="C579" s="1" t="n">
        <v>46204</v>
      </c>
      <c r="D579" t="inlineStr">
        <is>
          <t>VÄRMLANDS LÄN</t>
        </is>
      </c>
      <c r="E579" t="inlineStr">
        <is>
          <t>TORSBY</t>
        </is>
      </c>
      <c r="G579" t="n">
        <v>0.6</v>
      </c>
      <c r="H579" t="n">
        <v>0</v>
      </c>
      <c r="I579" t="n">
        <v>0</v>
      </c>
      <c r="J579" t="n">
        <v>0</v>
      </c>
      <c r="K579" t="n">
        <v>0</v>
      </c>
      <c r="L579" t="n">
        <v>0</v>
      </c>
      <c r="M579" t="n">
        <v>0</v>
      </c>
      <c r="N579" t="n">
        <v>0</v>
      </c>
      <c r="O579" t="n">
        <v>0</v>
      </c>
      <c r="P579" t="n">
        <v>0</v>
      </c>
      <c r="Q579" t="n">
        <v>0</v>
      </c>
      <c r="R579" s="2" t="inlineStr"/>
    </row>
    <row r="580" ht="15" customHeight="1">
      <c r="A580" t="inlineStr">
        <is>
          <t>A 12574-2025</t>
        </is>
      </c>
      <c r="B580" s="1" t="n">
        <v>45732</v>
      </c>
      <c r="C580" s="1" t="n">
        <v>46204</v>
      </c>
      <c r="D580" t="inlineStr">
        <is>
          <t>VÄRMLANDS LÄN</t>
        </is>
      </c>
      <c r="E580" t="inlineStr">
        <is>
          <t>TORSBY</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32331-2025</t>
        </is>
      </c>
      <c r="B581" s="1" t="n">
        <v>45836</v>
      </c>
      <c r="C581" s="1" t="n">
        <v>46204</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32342-2025</t>
        </is>
      </c>
      <c r="B582" s="1" t="n">
        <v>45837</v>
      </c>
      <c r="C582" s="1" t="n">
        <v>46204</v>
      </c>
      <c r="D582" t="inlineStr">
        <is>
          <t>VÄRMLANDS LÄN</t>
        </is>
      </c>
      <c r="E582" t="inlineStr">
        <is>
          <t>TORSBY</t>
        </is>
      </c>
      <c r="G582" t="n">
        <v>8.1</v>
      </c>
      <c r="H582" t="n">
        <v>0</v>
      </c>
      <c r="I582" t="n">
        <v>0</v>
      </c>
      <c r="J582" t="n">
        <v>0</v>
      </c>
      <c r="K582" t="n">
        <v>0</v>
      </c>
      <c r="L582" t="n">
        <v>0</v>
      </c>
      <c r="M582" t="n">
        <v>0</v>
      </c>
      <c r="N582" t="n">
        <v>0</v>
      </c>
      <c r="O582" t="n">
        <v>0</v>
      </c>
      <c r="P582" t="n">
        <v>0</v>
      </c>
      <c r="Q582" t="n">
        <v>0</v>
      </c>
      <c r="R582" s="2" t="inlineStr"/>
    </row>
    <row r="583" ht="15" customHeight="1">
      <c r="A583" t="inlineStr">
        <is>
          <t>A 32433-2025</t>
        </is>
      </c>
      <c r="B583" s="1" t="n">
        <v>45838</v>
      </c>
      <c r="C583" s="1" t="n">
        <v>46204</v>
      </c>
      <c r="D583" t="inlineStr">
        <is>
          <t>VÄRMLANDS LÄN</t>
        </is>
      </c>
      <c r="E583" t="inlineStr">
        <is>
          <t>TORSBY</t>
        </is>
      </c>
      <c r="G583" t="n">
        <v>0.6</v>
      </c>
      <c r="H583" t="n">
        <v>0</v>
      </c>
      <c r="I583" t="n">
        <v>0</v>
      </c>
      <c r="J583" t="n">
        <v>0</v>
      </c>
      <c r="K583" t="n">
        <v>0</v>
      </c>
      <c r="L583" t="n">
        <v>0</v>
      </c>
      <c r="M583" t="n">
        <v>0</v>
      </c>
      <c r="N583" t="n">
        <v>0</v>
      </c>
      <c r="O583" t="n">
        <v>0</v>
      </c>
      <c r="P583" t="n">
        <v>0</v>
      </c>
      <c r="Q583" t="n">
        <v>0</v>
      </c>
      <c r="R583" s="2" t="inlineStr"/>
    </row>
    <row r="584" ht="15" customHeight="1">
      <c r="A584" t="inlineStr">
        <is>
          <t>A 32622-2025</t>
        </is>
      </c>
      <c r="B584" s="1" t="n">
        <v>45838</v>
      </c>
      <c r="C584" s="1" t="n">
        <v>46204</v>
      </c>
      <c r="D584" t="inlineStr">
        <is>
          <t>VÄRMLANDS LÄN</t>
        </is>
      </c>
      <c r="E584" t="inlineStr">
        <is>
          <t>TORSBY</t>
        </is>
      </c>
      <c r="G584" t="n">
        <v>4.6</v>
      </c>
      <c r="H584" t="n">
        <v>0</v>
      </c>
      <c r="I584" t="n">
        <v>0</v>
      </c>
      <c r="J584" t="n">
        <v>0</v>
      </c>
      <c r="K584" t="n">
        <v>0</v>
      </c>
      <c r="L584" t="n">
        <v>0</v>
      </c>
      <c r="M584" t="n">
        <v>0</v>
      </c>
      <c r="N584" t="n">
        <v>0</v>
      </c>
      <c r="O584" t="n">
        <v>0</v>
      </c>
      <c r="P584" t="n">
        <v>0</v>
      </c>
      <c r="Q584" t="n">
        <v>0</v>
      </c>
      <c r="R584" s="2" t="inlineStr"/>
    </row>
    <row r="585" ht="15" customHeight="1">
      <c r="A585" t="inlineStr">
        <is>
          <t>A 8297-2026</t>
        </is>
      </c>
      <c r="B585" s="1" t="n">
        <v>46064</v>
      </c>
      <c r="C585" s="1" t="n">
        <v>46204</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32555-2025</t>
        </is>
      </c>
      <c r="B586" s="1" t="n">
        <v>45838</v>
      </c>
      <c r="C586" s="1" t="n">
        <v>46204</v>
      </c>
      <c r="D586" t="inlineStr">
        <is>
          <t>VÄRMLANDS LÄN</t>
        </is>
      </c>
      <c r="E586" t="inlineStr">
        <is>
          <t>TORSBY</t>
        </is>
      </c>
      <c r="G586" t="n">
        <v>3.8</v>
      </c>
      <c r="H586" t="n">
        <v>0</v>
      </c>
      <c r="I586" t="n">
        <v>0</v>
      </c>
      <c r="J586" t="n">
        <v>0</v>
      </c>
      <c r="K586" t="n">
        <v>0</v>
      </c>
      <c r="L586" t="n">
        <v>0</v>
      </c>
      <c r="M586" t="n">
        <v>0</v>
      </c>
      <c r="N586" t="n">
        <v>0</v>
      </c>
      <c r="O586" t="n">
        <v>0</v>
      </c>
      <c r="P586" t="n">
        <v>0</v>
      </c>
      <c r="Q586" t="n">
        <v>0</v>
      </c>
      <c r="R586" s="2" t="inlineStr"/>
    </row>
    <row r="587" ht="15" customHeight="1">
      <c r="A587" t="inlineStr">
        <is>
          <t>A 32345-2025</t>
        </is>
      </c>
      <c r="B587" s="1" t="n">
        <v>45837</v>
      </c>
      <c r="C587" s="1" t="n">
        <v>46204</v>
      </c>
      <c r="D587" t="inlineStr">
        <is>
          <t>VÄRMLANDS LÄN</t>
        </is>
      </c>
      <c r="E587" t="inlineStr">
        <is>
          <t>TORSBY</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8222-2026</t>
        </is>
      </c>
      <c r="B588" s="1" t="n">
        <v>46064</v>
      </c>
      <c r="C588" s="1" t="n">
        <v>46204</v>
      </c>
      <c r="D588" t="inlineStr">
        <is>
          <t>VÄRMLANDS LÄN</t>
        </is>
      </c>
      <c r="E588" t="inlineStr">
        <is>
          <t>TORSBY</t>
        </is>
      </c>
      <c r="G588" t="n">
        <v>9.1</v>
      </c>
      <c r="H588" t="n">
        <v>0</v>
      </c>
      <c r="I588" t="n">
        <v>0</v>
      </c>
      <c r="J588" t="n">
        <v>0</v>
      </c>
      <c r="K588" t="n">
        <v>0</v>
      </c>
      <c r="L588" t="n">
        <v>0</v>
      </c>
      <c r="M588" t="n">
        <v>0</v>
      </c>
      <c r="N588" t="n">
        <v>0</v>
      </c>
      <c r="O588" t="n">
        <v>0</v>
      </c>
      <c r="P588" t="n">
        <v>0</v>
      </c>
      <c r="Q588" t="n">
        <v>0</v>
      </c>
      <c r="R588" s="2" t="inlineStr"/>
    </row>
    <row r="589" ht="15" customHeight="1">
      <c r="A589" t="inlineStr">
        <is>
          <t>A 8263-2026</t>
        </is>
      </c>
      <c r="B589" s="1" t="n">
        <v>46064</v>
      </c>
      <c r="C589" s="1" t="n">
        <v>46204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8147-2026</t>
        </is>
      </c>
      <c r="B590" s="1" t="n">
        <v>46064</v>
      </c>
      <c r="C590" s="1" t="n">
        <v>46204</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8149-2026</t>
        </is>
      </c>
      <c r="B591" s="1" t="n">
        <v>46064</v>
      </c>
      <c r="C591" s="1" t="n">
        <v>46204</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8164-2026</t>
        </is>
      </c>
      <c r="B592" s="1" t="n">
        <v>46064</v>
      </c>
      <c r="C592" s="1" t="n">
        <v>46204</v>
      </c>
      <c r="D592" t="inlineStr">
        <is>
          <t>VÄRMLANDS LÄN</t>
        </is>
      </c>
      <c r="E592" t="inlineStr">
        <is>
          <t>TORSBY</t>
        </is>
      </c>
      <c r="G592" t="n">
        <v>2.4</v>
      </c>
      <c r="H592" t="n">
        <v>0</v>
      </c>
      <c r="I592" t="n">
        <v>0</v>
      </c>
      <c r="J592" t="n">
        <v>0</v>
      </c>
      <c r="K592" t="n">
        <v>0</v>
      </c>
      <c r="L592" t="n">
        <v>0</v>
      </c>
      <c r="M592" t="n">
        <v>0</v>
      </c>
      <c r="N592" t="n">
        <v>0</v>
      </c>
      <c r="O592" t="n">
        <v>0</v>
      </c>
      <c r="P592" t="n">
        <v>0</v>
      </c>
      <c r="Q592" t="n">
        <v>0</v>
      </c>
      <c r="R592" s="2" t="inlineStr"/>
    </row>
    <row r="593" ht="15" customHeight="1">
      <c r="A593" t="inlineStr">
        <is>
          <t>A 8224-2026</t>
        </is>
      </c>
      <c r="B593" s="1" t="n">
        <v>46064</v>
      </c>
      <c r="C593" s="1" t="n">
        <v>46204</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30789-2024</t>
        </is>
      </c>
      <c r="B594" s="1" t="n">
        <v>45497</v>
      </c>
      <c r="C594" s="1" t="n">
        <v>46204</v>
      </c>
      <c r="D594" t="inlineStr">
        <is>
          <t>VÄRMLANDS LÄN</t>
        </is>
      </c>
      <c r="E594" t="inlineStr">
        <is>
          <t>TORSBY</t>
        </is>
      </c>
      <c r="G594" t="n">
        <v>5.2</v>
      </c>
      <c r="H594" t="n">
        <v>0</v>
      </c>
      <c r="I594" t="n">
        <v>0</v>
      </c>
      <c r="J594" t="n">
        <v>0</v>
      </c>
      <c r="K594" t="n">
        <v>0</v>
      </c>
      <c r="L594" t="n">
        <v>0</v>
      </c>
      <c r="M594" t="n">
        <v>0</v>
      </c>
      <c r="N594" t="n">
        <v>0</v>
      </c>
      <c r="O594" t="n">
        <v>0</v>
      </c>
      <c r="P594" t="n">
        <v>0</v>
      </c>
      <c r="Q594" t="n">
        <v>0</v>
      </c>
      <c r="R594" s="2" t="inlineStr"/>
    </row>
    <row r="595" ht="15" customHeight="1">
      <c r="A595" t="inlineStr">
        <is>
          <t>A 14998-2026</t>
        </is>
      </c>
      <c r="B595" s="1" t="n">
        <v>46104</v>
      </c>
      <c r="C595" s="1" t="n">
        <v>46204</v>
      </c>
      <c r="D595" t="inlineStr">
        <is>
          <t>VÄRMLANDS LÄN</t>
        </is>
      </c>
      <c r="E595" t="inlineStr">
        <is>
          <t>TORSBY</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38905-2025</t>
        </is>
      </c>
      <c r="B596" s="1" t="n">
        <v>45884</v>
      </c>
      <c r="C596" s="1" t="n">
        <v>46204</v>
      </c>
      <c r="D596" t="inlineStr">
        <is>
          <t>VÄRMLANDS LÄN</t>
        </is>
      </c>
      <c r="E596" t="inlineStr">
        <is>
          <t>TORSBY</t>
        </is>
      </c>
      <c r="G596" t="n">
        <v>5.4</v>
      </c>
      <c r="H596" t="n">
        <v>0</v>
      </c>
      <c r="I596" t="n">
        <v>0</v>
      </c>
      <c r="J596" t="n">
        <v>0</v>
      </c>
      <c r="K596" t="n">
        <v>0</v>
      </c>
      <c r="L596" t="n">
        <v>0</v>
      </c>
      <c r="M596" t="n">
        <v>0</v>
      </c>
      <c r="N596" t="n">
        <v>0</v>
      </c>
      <c r="O596" t="n">
        <v>0</v>
      </c>
      <c r="P596" t="n">
        <v>0</v>
      </c>
      <c r="Q596" t="n">
        <v>0</v>
      </c>
      <c r="R596" s="2" t="inlineStr"/>
    </row>
    <row r="597" ht="15" customHeight="1">
      <c r="A597" t="inlineStr">
        <is>
          <t>A 33192-2025</t>
        </is>
      </c>
      <c r="B597" s="1" t="n">
        <v>45840</v>
      </c>
      <c r="C597" s="1" t="n">
        <v>46204</v>
      </c>
      <c r="D597" t="inlineStr">
        <is>
          <t>VÄRMLANDS LÄN</t>
        </is>
      </c>
      <c r="E597" t="inlineStr">
        <is>
          <t>TORSBY</t>
        </is>
      </c>
      <c r="G597" t="n">
        <v>1.5</v>
      </c>
      <c r="H597" t="n">
        <v>0</v>
      </c>
      <c r="I597" t="n">
        <v>0</v>
      </c>
      <c r="J597" t="n">
        <v>0</v>
      </c>
      <c r="K597" t="n">
        <v>0</v>
      </c>
      <c r="L597" t="n">
        <v>0</v>
      </c>
      <c r="M597" t="n">
        <v>0</v>
      </c>
      <c r="N597" t="n">
        <v>0</v>
      </c>
      <c r="O597" t="n">
        <v>0</v>
      </c>
      <c r="P597" t="n">
        <v>0</v>
      </c>
      <c r="Q597" t="n">
        <v>0</v>
      </c>
      <c r="R597" s="2" t="inlineStr"/>
    </row>
    <row r="598" ht="15" customHeight="1">
      <c r="A598" t="inlineStr">
        <is>
          <t>A 33221-2025</t>
        </is>
      </c>
      <c r="B598" s="1" t="n">
        <v>45840</v>
      </c>
      <c r="C598" s="1" t="n">
        <v>46204</v>
      </c>
      <c r="D598" t="inlineStr">
        <is>
          <t>VÄRMLANDS LÄN</t>
        </is>
      </c>
      <c r="E598" t="inlineStr">
        <is>
          <t>TORSBY</t>
        </is>
      </c>
      <c r="F598" t="inlineStr">
        <is>
          <t>Bergvik skog väst AB</t>
        </is>
      </c>
      <c r="G598" t="n">
        <v>4.9</v>
      </c>
      <c r="H598" t="n">
        <v>0</v>
      </c>
      <c r="I598" t="n">
        <v>0</v>
      </c>
      <c r="J598" t="n">
        <v>0</v>
      </c>
      <c r="K598" t="n">
        <v>0</v>
      </c>
      <c r="L598" t="n">
        <v>0</v>
      </c>
      <c r="M598" t="n">
        <v>0</v>
      </c>
      <c r="N598" t="n">
        <v>0</v>
      </c>
      <c r="O598" t="n">
        <v>0</v>
      </c>
      <c r="P598" t="n">
        <v>0</v>
      </c>
      <c r="Q598" t="n">
        <v>0</v>
      </c>
      <c r="R598" s="2" t="inlineStr"/>
    </row>
    <row r="599" ht="15" customHeight="1">
      <c r="A599" t="inlineStr">
        <is>
          <t>A 33567-2025</t>
        </is>
      </c>
      <c r="B599" s="1" t="n">
        <v>45841</v>
      </c>
      <c r="C599" s="1" t="n">
        <v>46204</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27101-2024</t>
        </is>
      </c>
      <c r="B600" s="1" t="n">
        <v>45471</v>
      </c>
      <c r="C600" s="1" t="n">
        <v>46204</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27116-2024</t>
        </is>
      </c>
      <c r="B601" s="1" t="n">
        <v>45471</v>
      </c>
      <c r="C601" s="1" t="n">
        <v>46204</v>
      </c>
      <c r="D601" t="inlineStr">
        <is>
          <t>VÄRMLANDS LÄN</t>
        </is>
      </c>
      <c r="E601" t="inlineStr">
        <is>
          <t>TORSBY</t>
        </is>
      </c>
      <c r="G601" t="n">
        <v>0.3</v>
      </c>
      <c r="H601" t="n">
        <v>0</v>
      </c>
      <c r="I601" t="n">
        <v>0</v>
      </c>
      <c r="J601" t="n">
        <v>0</v>
      </c>
      <c r="K601" t="n">
        <v>0</v>
      </c>
      <c r="L601" t="n">
        <v>0</v>
      </c>
      <c r="M601" t="n">
        <v>0</v>
      </c>
      <c r="N601" t="n">
        <v>0</v>
      </c>
      <c r="O601" t="n">
        <v>0</v>
      </c>
      <c r="P601" t="n">
        <v>0</v>
      </c>
      <c r="Q601" t="n">
        <v>0</v>
      </c>
      <c r="R601" s="2" t="inlineStr"/>
    </row>
    <row r="602" ht="15" customHeight="1">
      <c r="A602" t="inlineStr">
        <is>
          <t>A 32983-2025</t>
        </is>
      </c>
      <c r="B602" s="1" t="n">
        <v>45839</v>
      </c>
      <c r="C602" s="1" t="n">
        <v>46204</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58540-2025</t>
        </is>
      </c>
      <c r="B603" s="1" t="n">
        <v>45985</v>
      </c>
      <c r="C603" s="1" t="n">
        <v>46204</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8317-2026</t>
        </is>
      </c>
      <c r="B604" s="1" t="n">
        <v>46064</v>
      </c>
      <c r="C604" s="1" t="n">
        <v>46204</v>
      </c>
      <c r="D604" t="inlineStr">
        <is>
          <t>VÄRMLANDS LÄN</t>
        </is>
      </c>
      <c r="E604" t="inlineStr">
        <is>
          <t>TORSBY</t>
        </is>
      </c>
      <c r="F604" t="inlineStr">
        <is>
          <t>Bergvik skog väst AB</t>
        </is>
      </c>
      <c r="G604" t="n">
        <v>1.5</v>
      </c>
      <c r="H604" t="n">
        <v>0</v>
      </c>
      <c r="I604" t="n">
        <v>0</v>
      </c>
      <c r="J604" t="n">
        <v>0</v>
      </c>
      <c r="K604" t="n">
        <v>0</v>
      </c>
      <c r="L604" t="n">
        <v>0</v>
      </c>
      <c r="M604" t="n">
        <v>0</v>
      </c>
      <c r="N604" t="n">
        <v>0</v>
      </c>
      <c r="O604" t="n">
        <v>0</v>
      </c>
      <c r="P604" t="n">
        <v>0</v>
      </c>
      <c r="Q604" t="n">
        <v>0</v>
      </c>
      <c r="R604" s="2" t="inlineStr"/>
    </row>
    <row r="605" ht="15" customHeight="1">
      <c r="A605" t="inlineStr">
        <is>
          <t>A 8165-2026</t>
        </is>
      </c>
      <c r="B605" s="1" t="n">
        <v>46064</v>
      </c>
      <c r="C605" s="1" t="n">
        <v>46204</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39258-2025</t>
        </is>
      </c>
      <c r="B606" s="1" t="n">
        <v>45889</v>
      </c>
      <c r="C606" s="1" t="n">
        <v>46204</v>
      </c>
      <c r="D606" t="inlineStr">
        <is>
          <t>VÄRMLANDS LÄN</t>
        </is>
      </c>
      <c r="E606" t="inlineStr">
        <is>
          <t>TORSBY</t>
        </is>
      </c>
      <c r="F606" t="inlineStr">
        <is>
          <t>Bergvik skog väst AB</t>
        </is>
      </c>
      <c r="G606" t="n">
        <v>12.1</v>
      </c>
      <c r="H606" t="n">
        <v>0</v>
      </c>
      <c r="I606" t="n">
        <v>0</v>
      </c>
      <c r="J606" t="n">
        <v>0</v>
      </c>
      <c r="K606" t="n">
        <v>0</v>
      </c>
      <c r="L606" t="n">
        <v>0</v>
      </c>
      <c r="M606" t="n">
        <v>0</v>
      </c>
      <c r="N606" t="n">
        <v>0</v>
      </c>
      <c r="O606" t="n">
        <v>0</v>
      </c>
      <c r="P606" t="n">
        <v>0</v>
      </c>
      <c r="Q606" t="n">
        <v>0</v>
      </c>
      <c r="R606" s="2" t="inlineStr"/>
    </row>
    <row r="607" ht="15" customHeight="1">
      <c r="A607" t="inlineStr">
        <is>
          <t>A 47619-2024</t>
        </is>
      </c>
      <c r="B607" s="1" t="n">
        <v>45588</v>
      </c>
      <c r="C607" s="1" t="n">
        <v>46204</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41130-2022</t>
        </is>
      </c>
      <c r="B608" s="1" t="n">
        <v>44825</v>
      </c>
      <c r="C608" s="1" t="n">
        <v>46204</v>
      </c>
      <c r="D608" t="inlineStr">
        <is>
          <t>VÄRMLANDS LÄN</t>
        </is>
      </c>
      <c r="E608" t="inlineStr">
        <is>
          <t>TORSBY</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8705-2026</t>
        </is>
      </c>
      <c r="B609" s="1" t="n">
        <v>46066</v>
      </c>
      <c r="C609" s="1" t="n">
        <v>46204</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14023-2025</t>
        </is>
      </c>
      <c r="B610" s="1" t="n">
        <v>45740</v>
      </c>
      <c r="C610" s="1" t="n">
        <v>46204</v>
      </c>
      <c r="D610" t="inlineStr">
        <is>
          <t>VÄRMLANDS LÄN</t>
        </is>
      </c>
      <c r="E610" t="inlineStr">
        <is>
          <t>TORSBY</t>
        </is>
      </c>
      <c r="G610" t="n">
        <v>2.4</v>
      </c>
      <c r="H610" t="n">
        <v>0</v>
      </c>
      <c r="I610" t="n">
        <v>0</v>
      </c>
      <c r="J610" t="n">
        <v>0</v>
      </c>
      <c r="K610" t="n">
        <v>0</v>
      </c>
      <c r="L610" t="n">
        <v>0</v>
      </c>
      <c r="M610" t="n">
        <v>0</v>
      </c>
      <c r="N610" t="n">
        <v>0</v>
      </c>
      <c r="O610" t="n">
        <v>0</v>
      </c>
      <c r="P610" t="n">
        <v>0</v>
      </c>
      <c r="Q610" t="n">
        <v>0</v>
      </c>
      <c r="R610" s="2" t="inlineStr"/>
    </row>
    <row r="611" ht="15" customHeight="1">
      <c r="A611" t="inlineStr">
        <is>
          <t>A 2009-2025</t>
        </is>
      </c>
      <c r="B611" s="1" t="n">
        <v>45672</v>
      </c>
      <c r="C611" s="1" t="n">
        <v>46204</v>
      </c>
      <c r="D611" t="inlineStr">
        <is>
          <t>VÄRMLANDS LÄN</t>
        </is>
      </c>
      <c r="E611" t="inlineStr">
        <is>
          <t>TORSBY</t>
        </is>
      </c>
      <c r="G611" t="n">
        <v>3.3</v>
      </c>
      <c r="H611" t="n">
        <v>0</v>
      </c>
      <c r="I611" t="n">
        <v>0</v>
      </c>
      <c r="J611" t="n">
        <v>0</v>
      </c>
      <c r="K611" t="n">
        <v>0</v>
      </c>
      <c r="L611" t="n">
        <v>0</v>
      </c>
      <c r="M611" t="n">
        <v>0</v>
      </c>
      <c r="N611" t="n">
        <v>0</v>
      </c>
      <c r="O611" t="n">
        <v>0</v>
      </c>
      <c r="P611" t="n">
        <v>0</v>
      </c>
      <c r="Q611" t="n">
        <v>0</v>
      </c>
      <c r="R611" s="2" t="inlineStr"/>
    </row>
    <row r="612" ht="15" customHeight="1">
      <c r="A612" t="inlineStr">
        <is>
          <t>A 34268-2025</t>
        </is>
      </c>
      <c r="B612" s="1" t="n">
        <v>45845</v>
      </c>
      <c r="C612" s="1" t="n">
        <v>46204</v>
      </c>
      <c r="D612" t="inlineStr">
        <is>
          <t>VÄRMLANDS LÄN</t>
        </is>
      </c>
      <c r="E612" t="inlineStr">
        <is>
          <t>TORSBY</t>
        </is>
      </c>
      <c r="F612" t="inlineStr">
        <is>
          <t>Bergvik skog väst AB</t>
        </is>
      </c>
      <c r="G612" t="n">
        <v>19.7</v>
      </c>
      <c r="H612" t="n">
        <v>0</v>
      </c>
      <c r="I612" t="n">
        <v>0</v>
      </c>
      <c r="J612" t="n">
        <v>0</v>
      </c>
      <c r="K612" t="n">
        <v>0</v>
      </c>
      <c r="L612" t="n">
        <v>0</v>
      </c>
      <c r="M612" t="n">
        <v>0</v>
      </c>
      <c r="N612" t="n">
        <v>0</v>
      </c>
      <c r="O612" t="n">
        <v>0</v>
      </c>
      <c r="P612" t="n">
        <v>0</v>
      </c>
      <c r="Q612" t="n">
        <v>0</v>
      </c>
      <c r="R612" s="2" t="inlineStr"/>
    </row>
    <row r="613" ht="15" customHeight="1">
      <c r="A613" t="inlineStr">
        <is>
          <t>A 39039-2025</t>
        </is>
      </c>
      <c r="B613" s="1" t="n">
        <v>45888</v>
      </c>
      <c r="C613" s="1" t="n">
        <v>46204</v>
      </c>
      <c r="D613" t="inlineStr">
        <is>
          <t>VÄRMLANDS LÄN</t>
        </is>
      </c>
      <c r="E613" t="inlineStr">
        <is>
          <t>TORSBY</t>
        </is>
      </c>
      <c r="G613" t="n">
        <v>1.8</v>
      </c>
      <c r="H613" t="n">
        <v>0</v>
      </c>
      <c r="I613" t="n">
        <v>0</v>
      </c>
      <c r="J613" t="n">
        <v>0</v>
      </c>
      <c r="K613" t="n">
        <v>0</v>
      </c>
      <c r="L613" t="n">
        <v>0</v>
      </c>
      <c r="M613" t="n">
        <v>0</v>
      </c>
      <c r="N613" t="n">
        <v>0</v>
      </c>
      <c r="O613" t="n">
        <v>0</v>
      </c>
      <c r="P613" t="n">
        <v>0</v>
      </c>
      <c r="Q613" t="n">
        <v>0</v>
      </c>
      <c r="R613" s="2" t="inlineStr"/>
    </row>
    <row r="614" ht="15" customHeight="1">
      <c r="A614" t="inlineStr">
        <is>
          <t>A 34140-2025</t>
        </is>
      </c>
      <c r="B614" s="1" t="n">
        <v>45845</v>
      </c>
      <c r="C614" s="1" t="n">
        <v>46204</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51823-2024</t>
        </is>
      </c>
      <c r="B615" s="1" t="n">
        <v>45607</v>
      </c>
      <c r="C615" s="1" t="n">
        <v>46204</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14581-2023</t>
        </is>
      </c>
      <c r="B616" s="1" t="n">
        <v>45013</v>
      </c>
      <c r="C616" s="1" t="n">
        <v>46204</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39652-2025</t>
        </is>
      </c>
      <c r="B617" s="1" t="n">
        <v>45890</v>
      </c>
      <c r="C617" s="1" t="n">
        <v>46204</v>
      </c>
      <c r="D617" t="inlineStr">
        <is>
          <t>VÄRMLANDS LÄN</t>
        </is>
      </c>
      <c r="E617" t="inlineStr">
        <is>
          <t>TORSBY</t>
        </is>
      </c>
      <c r="G617" t="n">
        <v>3.1</v>
      </c>
      <c r="H617" t="n">
        <v>0</v>
      </c>
      <c r="I617" t="n">
        <v>0</v>
      </c>
      <c r="J617" t="n">
        <v>0</v>
      </c>
      <c r="K617" t="n">
        <v>0</v>
      </c>
      <c r="L617" t="n">
        <v>0</v>
      </c>
      <c r="M617" t="n">
        <v>0</v>
      </c>
      <c r="N617" t="n">
        <v>0</v>
      </c>
      <c r="O617" t="n">
        <v>0</v>
      </c>
      <c r="P617" t="n">
        <v>0</v>
      </c>
      <c r="Q617" t="n">
        <v>0</v>
      </c>
      <c r="R617" s="2" t="inlineStr"/>
    </row>
    <row r="618" ht="15" customHeight="1">
      <c r="A618" t="inlineStr">
        <is>
          <t>A 54865-2022</t>
        </is>
      </c>
      <c r="B618" s="1" t="n">
        <v>44884</v>
      </c>
      <c r="C618" s="1" t="n">
        <v>46204</v>
      </c>
      <c r="D618" t="inlineStr">
        <is>
          <t>VÄRMLANDS LÄN</t>
        </is>
      </c>
      <c r="E618" t="inlineStr">
        <is>
          <t>TORSBY</t>
        </is>
      </c>
      <c r="G618" t="n">
        <v>2.3</v>
      </c>
      <c r="H618" t="n">
        <v>0</v>
      </c>
      <c r="I618" t="n">
        <v>0</v>
      </c>
      <c r="J618" t="n">
        <v>0</v>
      </c>
      <c r="K618" t="n">
        <v>0</v>
      </c>
      <c r="L618" t="n">
        <v>0</v>
      </c>
      <c r="M618" t="n">
        <v>0</v>
      </c>
      <c r="N618" t="n">
        <v>0</v>
      </c>
      <c r="O618" t="n">
        <v>0</v>
      </c>
      <c r="P618" t="n">
        <v>0</v>
      </c>
      <c r="Q618" t="n">
        <v>0</v>
      </c>
      <c r="R618" s="2" t="inlineStr"/>
    </row>
    <row r="619" ht="15" customHeight="1">
      <c r="A619" t="inlineStr">
        <is>
          <t>A 61157-2023</t>
        </is>
      </c>
      <c r="B619" s="1" t="n">
        <v>45261</v>
      </c>
      <c r="C619" s="1" t="n">
        <v>46204</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8281-2023</t>
        </is>
      </c>
      <c r="B620" s="1" t="n">
        <v>44974</v>
      </c>
      <c r="C620" s="1" t="n">
        <v>46204</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2662-2024</t>
        </is>
      </c>
      <c r="B621" s="1" t="n">
        <v>45314</v>
      </c>
      <c r="C621" s="1" t="n">
        <v>46204</v>
      </c>
      <c r="D621" t="inlineStr">
        <is>
          <t>VÄRMLANDS LÄN</t>
        </is>
      </c>
      <c r="E621" t="inlineStr">
        <is>
          <t>TORSBY</t>
        </is>
      </c>
      <c r="G621" t="n">
        <v>1.7</v>
      </c>
      <c r="H621" t="n">
        <v>0</v>
      </c>
      <c r="I621" t="n">
        <v>0</v>
      </c>
      <c r="J621" t="n">
        <v>0</v>
      </c>
      <c r="K621" t="n">
        <v>0</v>
      </c>
      <c r="L621" t="n">
        <v>0</v>
      </c>
      <c r="M621" t="n">
        <v>0</v>
      </c>
      <c r="N621" t="n">
        <v>0</v>
      </c>
      <c r="O621" t="n">
        <v>0</v>
      </c>
      <c r="P621" t="n">
        <v>0</v>
      </c>
      <c r="Q621" t="n">
        <v>0</v>
      </c>
      <c r="R621" s="2" t="inlineStr"/>
    </row>
    <row r="622" ht="15" customHeight="1">
      <c r="A622" t="inlineStr">
        <is>
          <t>A 8033-2022</t>
        </is>
      </c>
      <c r="B622" s="1" t="n">
        <v>44609</v>
      </c>
      <c r="C622" s="1" t="n">
        <v>46204</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34179-2025</t>
        </is>
      </c>
      <c r="B623" s="1" t="n">
        <v>45845</v>
      </c>
      <c r="C623" s="1" t="n">
        <v>46204</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34137-2025</t>
        </is>
      </c>
      <c r="B624" s="1" t="n">
        <v>45845</v>
      </c>
      <c r="C624" s="1" t="n">
        <v>46204</v>
      </c>
      <c r="D624" t="inlineStr">
        <is>
          <t>VÄRMLANDS LÄN</t>
        </is>
      </c>
      <c r="E624" t="inlineStr">
        <is>
          <t>TORSBY</t>
        </is>
      </c>
      <c r="G624" t="n">
        <v>1.2</v>
      </c>
      <c r="H624" t="n">
        <v>0</v>
      </c>
      <c r="I624" t="n">
        <v>0</v>
      </c>
      <c r="J624" t="n">
        <v>0</v>
      </c>
      <c r="K624" t="n">
        <v>0</v>
      </c>
      <c r="L624" t="n">
        <v>0</v>
      </c>
      <c r="M624" t="n">
        <v>0</v>
      </c>
      <c r="N624" t="n">
        <v>0</v>
      </c>
      <c r="O624" t="n">
        <v>0</v>
      </c>
      <c r="P624" t="n">
        <v>0</v>
      </c>
      <c r="Q624" t="n">
        <v>0</v>
      </c>
      <c r="R624" s="2" t="inlineStr"/>
    </row>
    <row r="625" ht="15" customHeight="1">
      <c r="A625" t="inlineStr">
        <is>
          <t>A 34138-2025</t>
        </is>
      </c>
      <c r="B625" s="1" t="n">
        <v>45845</v>
      </c>
      <c r="C625" s="1" t="n">
        <v>46204</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34146-2025</t>
        </is>
      </c>
      <c r="B626" s="1" t="n">
        <v>45845</v>
      </c>
      <c r="C626" s="1" t="n">
        <v>46204</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34451-2025</t>
        </is>
      </c>
      <c r="B627" s="1" t="n">
        <v>45846</v>
      </c>
      <c r="C627" s="1" t="n">
        <v>46204</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34480-2025</t>
        </is>
      </c>
      <c r="B628" s="1" t="n">
        <v>45847</v>
      </c>
      <c r="C628" s="1" t="n">
        <v>46204</v>
      </c>
      <c r="D628" t="inlineStr">
        <is>
          <t>VÄRMLANDS LÄN</t>
        </is>
      </c>
      <c r="E628" t="inlineStr">
        <is>
          <t>TORSBY</t>
        </is>
      </c>
      <c r="F628" t="inlineStr">
        <is>
          <t>Övriga Aktiebolag</t>
        </is>
      </c>
      <c r="G628" t="n">
        <v>13.4</v>
      </c>
      <c r="H628" t="n">
        <v>0</v>
      </c>
      <c r="I628" t="n">
        <v>0</v>
      </c>
      <c r="J628" t="n">
        <v>0</v>
      </c>
      <c r="K628" t="n">
        <v>0</v>
      </c>
      <c r="L628" t="n">
        <v>0</v>
      </c>
      <c r="M628" t="n">
        <v>0</v>
      </c>
      <c r="N628" t="n">
        <v>0</v>
      </c>
      <c r="O628" t="n">
        <v>0</v>
      </c>
      <c r="P628" t="n">
        <v>0</v>
      </c>
      <c r="Q628" t="n">
        <v>0</v>
      </c>
      <c r="R628" s="2" t="inlineStr"/>
    </row>
    <row r="629" ht="15" customHeight="1">
      <c r="A629" t="inlineStr">
        <is>
          <t>A 1166-2023</t>
        </is>
      </c>
      <c r="B629" s="1" t="n">
        <v>44935</v>
      </c>
      <c r="C629" s="1" t="n">
        <v>46204</v>
      </c>
      <c r="D629" t="inlineStr">
        <is>
          <t>VÄRMLANDS LÄN</t>
        </is>
      </c>
      <c r="E629" t="inlineStr">
        <is>
          <t>TORSBY</t>
        </is>
      </c>
      <c r="G629" t="n">
        <v>3.9</v>
      </c>
      <c r="H629" t="n">
        <v>0</v>
      </c>
      <c r="I629" t="n">
        <v>0</v>
      </c>
      <c r="J629" t="n">
        <v>0</v>
      </c>
      <c r="K629" t="n">
        <v>0</v>
      </c>
      <c r="L629" t="n">
        <v>0</v>
      </c>
      <c r="M629" t="n">
        <v>0</v>
      </c>
      <c r="N629" t="n">
        <v>0</v>
      </c>
      <c r="O629" t="n">
        <v>0</v>
      </c>
      <c r="P629" t="n">
        <v>0</v>
      </c>
      <c r="Q629" t="n">
        <v>0</v>
      </c>
      <c r="R629" s="2" t="inlineStr"/>
    </row>
    <row r="630" ht="15" customHeight="1">
      <c r="A630" t="inlineStr">
        <is>
          <t>A 34495-2025</t>
        </is>
      </c>
      <c r="B630" s="1" t="n">
        <v>45847</v>
      </c>
      <c r="C630" s="1" t="n">
        <v>46204</v>
      </c>
      <c r="D630" t="inlineStr">
        <is>
          <t>VÄRMLANDS LÄN</t>
        </is>
      </c>
      <c r="E630" t="inlineStr">
        <is>
          <t>TORSBY</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11121-2024</t>
        </is>
      </c>
      <c r="B631" s="1" t="n">
        <v>45371</v>
      </c>
      <c r="C631" s="1" t="n">
        <v>46204</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59097-2022</t>
        </is>
      </c>
      <c r="B632" s="1" t="n">
        <v>44904</v>
      </c>
      <c r="C632" s="1" t="n">
        <v>46204</v>
      </c>
      <c r="D632" t="inlineStr">
        <is>
          <t>VÄRMLANDS LÄN</t>
        </is>
      </c>
      <c r="E632" t="inlineStr">
        <is>
          <t>TORSBY</t>
        </is>
      </c>
      <c r="G632" t="n">
        <v>6.6</v>
      </c>
      <c r="H632" t="n">
        <v>0</v>
      </c>
      <c r="I632" t="n">
        <v>0</v>
      </c>
      <c r="J632" t="n">
        <v>0</v>
      </c>
      <c r="K632" t="n">
        <v>0</v>
      </c>
      <c r="L632" t="n">
        <v>0</v>
      </c>
      <c r="M632" t="n">
        <v>0</v>
      </c>
      <c r="N632" t="n">
        <v>0</v>
      </c>
      <c r="O632" t="n">
        <v>0</v>
      </c>
      <c r="P632" t="n">
        <v>0</v>
      </c>
      <c r="Q632" t="n">
        <v>0</v>
      </c>
      <c r="R632" s="2" t="inlineStr"/>
    </row>
    <row r="633" ht="15" customHeight="1">
      <c r="A633" t="inlineStr">
        <is>
          <t>A 8958-2026</t>
        </is>
      </c>
      <c r="B633" s="1" t="n">
        <v>46069</v>
      </c>
      <c r="C633" s="1" t="n">
        <v>46204</v>
      </c>
      <c r="D633" t="inlineStr">
        <is>
          <t>VÄRMLANDS LÄN</t>
        </is>
      </c>
      <c r="E633" t="inlineStr">
        <is>
          <t>TORSBY</t>
        </is>
      </c>
      <c r="F633" t="inlineStr">
        <is>
          <t>Bergvik skog väst AB</t>
        </is>
      </c>
      <c r="G633" t="n">
        <v>11.9</v>
      </c>
      <c r="H633" t="n">
        <v>0</v>
      </c>
      <c r="I633" t="n">
        <v>0</v>
      </c>
      <c r="J633" t="n">
        <v>0</v>
      </c>
      <c r="K633" t="n">
        <v>0</v>
      </c>
      <c r="L633" t="n">
        <v>0</v>
      </c>
      <c r="M633" t="n">
        <v>0</v>
      </c>
      <c r="N633" t="n">
        <v>0</v>
      </c>
      <c r="O633" t="n">
        <v>0</v>
      </c>
      <c r="P633" t="n">
        <v>0</v>
      </c>
      <c r="Q633" t="n">
        <v>0</v>
      </c>
      <c r="R633" s="2" t="inlineStr"/>
    </row>
    <row r="634" ht="15" customHeight="1">
      <c r="A634" t="inlineStr">
        <is>
          <t>A 40195-2025</t>
        </is>
      </c>
      <c r="B634" s="1" t="n">
        <v>45894</v>
      </c>
      <c r="C634" s="1" t="n">
        <v>46204</v>
      </c>
      <c r="D634" t="inlineStr">
        <is>
          <t>VÄRMLANDS LÄN</t>
        </is>
      </c>
      <c r="E634" t="inlineStr">
        <is>
          <t>TORSBY</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40051-2025</t>
        </is>
      </c>
      <c r="B635" s="1" t="n">
        <v>45894</v>
      </c>
      <c r="C635" s="1" t="n">
        <v>46204</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34370-2025</t>
        </is>
      </c>
      <c r="B636" s="1" t="n">
        <v>45846</v>
      </c>
      <c r="C636" s="1" t="n">
        <v>46204</v>
      </c>
      <c r="D636" t="inlineStr">
        <is>
          <t>VÄRMLANDS LÄN</t>
        </is>
      </c>
      <c r="E636" t="inlineStr">
        <is>
          <t>TORSBY</t>
        </is>
      </c>
      <c r="G636" t="n">
        <v>4.6</v>
      </c>
      <c r="H636" t="n">
        <v>0</v>
      </c>
      <c r="I636" t="n">
        <v>0</v>
      </c>
      <c r="J636" t="n">
        <v>0</v>
      </c>
      <c r="K636" t="n">
        <v>0</v>
      </c>
      <c r="L636" t="n">
        <v>0</v>
      </c>
      <c r="M636" t="n">
        <v>0</v>
      </c>
      <c r="N636" t="n">
        <v>0</v>
      </c>
      <c r="O636" t="n">
        <v>0</v>
      </c>
      <c r="P636" t="n">
        <v>0</v>
      </c>
      <c r="Q636" t="n">
        <v>0</v>
      </c>
      <c r="R636" s="2" t="inlineStr"/>
    </row>
    <row r="637" ht="15" customHeight="1">
      <c r="A637" t="inlineStr">
        <is>
          <t>A 18115-2025</t>
        </is>
      </c>
      <c r="B637" s="1" t="n">
        <v>45761</v>
      </c>
      <c r="C637" s="1" t="n">
        <v>46204</v>
      </c>
      <c r="D637" t="inlineStr">
        <is>
          <t>VÄRMLANDS LÄN</t>
        </is>
      </c>
      <c r="E637" t="inlineStr">
        <is>
          <t>TORSBY</t>
        </is>
      </c>
      <c r="G637" t="n">
        <v>2.5</v>
      </c>
      <c r="H637" t="n">
        <v>0</v>
      </c>
      <c r="I637" t="n">
        <v>0</v>
      </c>
      <c r="J637" t="n">
        <v>0</v>
      </c>
      <c r="K637" t="n">
        <v>0</v>
      </c>
      <c r="L637" t="n">
        <v>0</v>
      </c>
      <c r="M637" t="n">
        <v>0</v>
      </c>
      <c r="N637" t="n">
        <v>0</v>
      </c>
      <c r="O637" t="n">
        <v>0</v>
      </c>
      <c r="P637" t="n">
        <v>0</v>
      </c>
      <c r="Q637" t="n">
        <v>0</v>
      </c>
      <c r="R637" s="2" t="inlineStr"/>
    </row>
    <row r="638" ht="15" customHeight="1">
      <c r="A638" t="inlineStr">
        <is>
          <t>A 18096-2025</t>
        </is>
      </c>
      <c r="B638" s="1" t="n">
        <v>45761</v>
      </c>
      <c r="C638" s="1" t="n">
        <v>46204</v>
      </c>
      <c r="D638" t="inlineStr">
        <is>
          <t>VÄRMLANDS LÄN</t>
        </is>
      </c>
      <c r="E638" t="inlineStr">
        <is>
          <t>TORSBY</t>
        </is>
      </c>
      <c r="G638" t="n">
        <v>3.6</v>
      </c>
      <c r="H638" t="n">
        <v>0</v>
      </c>
      <c r="I638" t="n">
        <v>0</v>
      </c>
      <c r="J638" t="n">
        <v>0</v>
      </c>
      <c r="K638" t="n">
        <v>0</v>
      </c>
      <c r="L638" t="n">
        <v>0</v>
      </c>
      <c r="M638" t="n">
        <v>0</v>
      </c>
      <c r="N638" t="n">
        <v>0</v>
      </c>
      <c r="O638" t="n">
        <v>0</v>
      </c>
      <c r="P638" t="n">
        <v>0</v>
      </c>
      <c r="Q638" t="n">
        <v>0</v>
      </c>
      <c r="R638" s="2" t="inlineStr"/>
    </row>
    <row r="639" ht="15" customHeight="1">
      <c r="A639" t="inlineStr">
        <is>
          <t>A 33078-2024</t>
        </is>
      </c>
      <c r="B639" s="1" t="n">
        <v>45517</v>
      </c>
      <c r="C639" s="1" t="n">
        <v>46204</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36175-2024</t>
        </is>
      </c>
      <c r="B640" s="1" t="n">
        <v>45534</v>
      </c>
      <c r="C640" s="1" t="n">
        <v>46204</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28035-2024</t>
        </is>
      </c>
      <c r="B641" s="1" t="n">
        <v>45476</v>
      </c>
      <c r="C641" s="1" t="n">
        <v>46204</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40590-2021</t>
        </is>
      </c>
      <c r="B642" s="1" t="n">
        <v>44420</v>
      </c>
      <c r="C642" s="1" t="n">
        <v>46204</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10218-2023</t>
        </is>
      </c>
      <c r="B643" s="1" t="n">
        <v>44986</v>
      </c>
      <c r="C643" s="1" t="n">
        <v>46204</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40729-2025</t>
        </is>
      </c>
      <c r="B644" s="1" t="n">
        <v>45897</v>
      </c>
      <c r="C644" s="1" t="n">
        <v>46204</v>
      </c>
      <c r="D644" t="inlineStr">
        <is>
          <t>VÄRMLANDS LÄN</t>
        </is>
      </c>
      <c r="E644" t="inlineStr">
        <is>
          <t>TORSBY</t>
        </is>
      </c>
      <c r="F644" t="inlineStr">
        <is>
          <t>Bergvik skog väst AB</t>
        </is>
      </c>
      <c r="G644" t="n">
        <v>25.4</v>
      </c>
      <c r="H644" t="n">
        <v>0</v>
      </c>
      <c r="I644" t="n">
        <v>0</v>
      </c>
      <c r="J644" t="n">
        <v>0</v>
      </c>
      <c r="K644" t="n">
        <v>0</v>
      </c>
      <c r="L644" t="n">
        <v>0</v>
      </c>
      <c r="M644" t="n">
        <v>0</v>
      </c>
      <c r="N644" t="n">
        <v>0</v>
      </c>
      <c r="O644" t="n">
        <v>0</v>
      </c>
      <c r="P644" t="n">
        <v>0</v>
      </c>
      <c r="Q644" t="n">
        <v>0</v>
      </c>
      <c r="R644" s="2" t="inlineStr"/>
    </row>
    <row r="645" ht="15" customHeight="1">
      <c r="A645" t="inlineStr">
        <is>
          <t>A 31316-2025</t>
        </is>
      </c>
      <c r="B645" s="1" t="n">
        <v>45833</v>
      </c>
      <c r="C645" s="1" t="n">
        <v>46204</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35185-2025</t>
        </is>
      </c>
      <c r="B646" s="1" t="n">
        <v>45853</v>
      </c>
      <c r="C646" s="1" t="n">
        <v>46204</v>
      </c>
      <c r="D646" t="inlineStr">
        <is>
          <t>VÄRMLANDS LÄN</t>
        </is>
      </c>
      <c r="E646" t="inlineStr">
        <is>
          <t>TORSBY</t>
        </is>
      </c>
      <c r="F646" t="inlineStr">
        <is>
          <t>Bergvik skog väst AB</t>
        </is>
      </c>
      <c r="G646" t="n">
        <v>4</v>
      </c>
      <c r="H646" t="n">
        <v>0</v>
      </c>
      <c r="I646" t="n">
        <v>0</v>
      </c>
      <c r="J646" t="n">
        <v>0</v>
      </c>
      <c r="K646" t="n">
        <v>0</v>
      </c>
      <c r="L646" t="n">
        <v>0</v>
      </c>
      <c r="M646" t="n">
        <v>0</v>
      </c>
      <c r="N646" t="n">
        <v>0</v>
      </c>
      <c r="O646" t="n">
        <v>0</v>
      </c>
      <c r="P646" t="n">
        <v>0</v>
      </c>
      <c r="Q646" t="n">
        <v>0</v>
      </c>
      <c r="R646" s="2" t="inlineStr"/>
    </row>
    <row r="647" ht="15" customHeight="1">
      <c r="A647" t="inlineStr">
        <is>
          <t>A 15085-2023</t>
        </is>
      </c>
      <c r="B647" s="1" t="n">
        <v>45016</v>
      </c>
      <c r="C647" s="1" t="n">
        <v>46204</v>
      </c>
      <c r="D647" t="inlineStr">
        <is>
          <t>VÄRMLANDS LÄN</t>
        </is>
      </c>
      <c r="E647" t="inlineStr">
        <is>
          <t>TORSBY</t>
        </is>
      </c>
      <c r="G647" t="n">
        <v>2.2</v>
      </c>
      <c r="H647" t="n">
        <v>0</v>
      </c>
      <c r="I647" t="n">
        <v>0</v>
      </c>
      <c r="J647" t="n">
        <v>0</v>
      </c>
      <c r="K647" t="n">
        <v>0</v>
      </c>
      <c r="L647" t="n">
        <v>0</v>
      </c>
      <c r="M647" t="n">
        <v>0</v>
      </c>
      <c r="N647" t="n">
        <v>0</v>
      </c>
      <c r="O647" t="n">
        <v>0</v>
      </c>
      <c r="P647" t="n">
        <v>0</v>
      </c>
      <c r="Q647" t="n">
        <v>0</v>
      </c>
      <c r="R647" s="2" t="inlineStr"/>
    </row>
    <row r="648" ht="15" customHeight="1">
      <c r="A648" t="inlineStr">
        <is>
          <t>A 44083-2023</t>
        </is>
      </c>
      <c r="B648" s="1" t="n">
        <v>45182</v>
      </c>
      <c r="C648" s="1" t="n">
        <v>46204</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40519-2025</t>
        </is>
      </c>
      <c r="B649" s="1" t="n">
        <v>45896</v>
      </c>
      <c r="C649" s="1" t="n">
        <v>46204</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47141-2022</t>
        </is>
      </c>
      <c r="B650" s="1" t="n">
        <v>44852</v>
      </c>
      <c r="C650" s="1" t="n">
        <v>46204</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42834-2024</t>
        </is>
      </c>
      <c r="B651" s="1" t="n">
        <v>45566</v>
      </c>
      <c r="C651" s="1" t="n">
        <v>46204</v>
      </c>
      <c r="D651" t="inlineStr">
        <is>
          <t>VÄRMLANDS LÄN</t>
        </is>
      </c>
      <c r="E651" t="inlineStr">
        <is>
          <t>TORSBY</t>
        </is>
      </c>
      <c r="G651" t="n">
        <v>5.8</v>
      </c>
      <c r="H651" t="n">
        <v>0</v>
      </c>
      <c r="I651" t="n">
        <v>0</v>
      </c>
      <c r="J651" t="n">
        <v>0</v>
      </c>
      <c r="K651" t="n">
        <v>0</v>
      </c>
      <c r="L651" t="n">
        <v>0</v>
      </c>
      <c r="M651" t="n">
        <v>0</v>
      </c>
      <c r="N651" t="n">
        <v>0</v>
      </c>
      <c r="O651" t="n">
        <v>0</v>
      </c>
      <c r="P651" t="n">
        <v>0</v>
      </c>
      <c r="Q651" t="n">
        <v>0</v>
      </c>
      <c r="R651" s="2" t="inlineStr"/>
    </row>
    <row r="652" ht="15" customHeight="1">
      <c r="A652" t="inlineStr">
        <is>
          <t>A 20985-2024</t>
        </is>
      </c>
      <c r="B652" s="1" t="n">
        <v>45439</v>
      </c>
      <c r="C652" s="1" t="n">
        <v>46204</v>
      </c>
      <c r="D652" t="inlineStr">
        <is>
          <t>VÄRMLANDS LÄN</t>
        </is>
      </c>
      <c r="E652" t="inlineStr">
        <is>
          <t>TORSBY</t>
        </is>
      </c>
      <c r="G652" t="n">
        <v>3.2</v>
      </c>
      <c r="H652" t="n">
        <v>0</v>
      </c>
      <c r="I652" t="n">
        <v>0</v>
      </c>
      <c r="J652" t="n">
        <v>0</v>
      </c>
      <c r="K652" t="n">
        <v>0</v>
      </c>
      <c r="L652" t="n">
        <v>0</v>
      </c>
      <c r="M652" t="n">
        <v>0</v>
      </c>
      <c r="N652" t="n">
        <v>0</v>
      </c>
      <c r="O652" t="n">
        <v>0</v>
      </c>
      <c r="P652" t="n">
        <v>0</v>
      </c>
      <c r="Q652" t="n">
        <v>0</v>
      </c>
      <c r="R652" s="2" t="inlineStr"/>
    </row>
    <row r="653" ht="15" customHeight="1">
      <c r="A653" t="inlineStr">
        <is>
          <t>A 35191-2025</t>
        </is>
      </c>
      <c r="B653" s="1" t="n">
        <v>45853</v>
      </c>
      <c r="C653" s="1" t="n">
        <v>46204</v>
      </c>
      <c r="D653" t="inlineStr">
        <is>
          <t>VÄRMLANDS LÄN</t>
        </is>
      </c>
      <c r="E653" t="inlineStr">
        <is>
          <t>TORSBY</t>
        </is>
      </c>
      <c r="F653" t="inlineStr">
        <is>
          <t>Bergvik skog väst AB</t>
        </is>
      </c>
      <c r="G653" t="n">
        <v>9.9</v>
      </c>
      <c r="H653" t="n">
        <v>0</v>
      </c>
      <c r="I653" t="n">
        <v>0</v>
      </c>
      <c r="J653" t="n">
        <v>0</v>
      </c>
      <c r="K653" t="n">
        <v>0</v>
      </c>
      <c r="L653" t="n">
        <v>0</v>
      </c>
      <c r="M653" t="n">
        <v>0</v>
      </c>
      <c r="N653" t="n">
        <v>0</v>
      </c>
      <c r="O653" t="n">
        <v>0</v>
      </c>
      <c r="P653" t="n">
        <v>0</v>
      </c>
      <c r="Q653" t="n">
        <v>0</v>
      </c>
      <c r="R653" s="2" t="inlineStr"/>
    </row>
    <row r="654" ht="15" customHeight="1">
      <c r="A654" t="inlineStr">
        <is>
          <t>A 41168-2025</t>
        </is>
      </c>
      <c r="B654" s="1" t="n">
        <v>45898</v>
      </c>
      <c r="C654" s="1" t="n">
        <v>46204</v>
      </c>
      <c r="D654" t="inlineStr">
        <is>
          <t>VÄRMLANDS LÄN</t>
        </is>
      </c>
      <c r="E654" t="inlineStr">
        <is>
          <t>TORSBY</t>
        </is>
      </c>
      <c r="F654" t="inlineStr">
        <is>
          <t>Övriga Aktiebolag</t>
        </is>
      </c>
      <c r="G654" t="n">
        <v>5</v>
      </c>
      <c r="H654" t="n">
        <v>0</v>
      </c>
      <c r="I654" t="n">
        <v>0</v>
      </c>
      <c r="J654" t="n">
        <v>0</v>
      </c>
      <c r="K654" t="n">
        <v>0</v>
      </c>
      <c r="L654" t="n">
        <v>0</v>
      </c>
      <c r="M654" t="n">
        <v>0</v>
      </c>
      <c r="N654" t="n">
        <v>0</v>
      </c>
      <c r="O654" t="n">
        <v>0</v>
      </c>
      <c r="P654" t="n">
        <v>0</v>
      </c>
      <c r="Q654" t="n">
        <v>0</v>
      </c>
      <c r="R654" s="2" t="inlineStr"/>
    </row>
    <row r="655" ht="15" customHeight="1">
      <c r="A655" t="inlineStr">
        <is>
          <t>A 41232-2025</t>
        </is>
      </c>
      <c r="B655" s="1" t="n">
        <v>45898</v>
      </c>
      <c r="C655" s="1" t="n">
        <v>46204</v>
      </c>
      <c r="D655" t="inlineStr">
        <is>
          <t>VÄRMLANDS LÄN</t>
        </is>
      </c>
      <c r="E655" t="inlineStr">
        <is>
          <t>TORSBY</t>
        </is>
      </c>
      <c r="F655" t="inlineStr">
        <is>
          <t>Övriga Aktiebolag</t>
        </is>
      </c>
      <c r="G655" t="n">
        <v>1</v>
      </c>
      <c r="H655" t="n">
        <v>0</v>
      </c>
      <c r="I655" t="n">
        <v>0</v>
      </c>
      <c r="J655" t="n">
        <v>0</v>
      </c>
      <c r="K655" t="n">
        <v>0</v>
      </c>
      <c r="L655" t="n">
        <v>0</v>
      </c>
      <c r="M655" t="n">
        <v>0</v>
      </c>
      <c r="N655" t="n">
        <v>0</v>
      </c>
      <c r="O655" t="n">
        <v>0</v>
      </c>
      <c r="P655" t="n">
        <v>0</v>
      </c>
      <c r="Q655" t="n">
        <v>0</v>
      </c>
      <c r="R655" s="2" t="inlineStr"/>
    </row>
    <row r="656" ht="15" customHeight="1">
      <c r="A656" t="inlineStr">
        <is>
          <t>A 35408-2025</t>
        </is>
      </c>
      <c r="B656" s="1" t="n">
        <v>45855</v>
      </c>
      <c r="C656" s="1" t="n">
        <v>46204</v>
      </c>
      <c r="D656" t="inlineStr">
        <is>
          <t>VÄRMLANDS LÄN</t>
        </is>
      </c>
      <c r="E656" t="inlineStr">
        <is>
          <t>TORSBY</t>
        </is>
      </c>
      <c r="F656" t="inlineStr">
        <is>
          <t>Bergvik skog väst AB</t>
        </is>
      </c>
      <c r="G656" t="n">
        <v>3</v>
      </c>
      <c r="H656" t="n">
        <v>0</v>
      </c>
      <c r="I656" t="n">
        <v>0</v>
      </c>
      <c r="J656" t="n">
        <v>0</v>
      </c>
      <c r="K656" t="n">
        <v>0</v>
      </c>
      <c r="L656" t="n">
        <v>0</v>
      </c>
      <c r="M656" t="n">
        <v>0</v>
      </c>
      <c r="N656" t="n">
        <v>0</v>
      </c>
      <c r="O656" t="n">
        <v>0</v>
      </c>
      <c r="P656" t="n">
        <v>0</v>
      </c>
      <c r="Q656" t="n">
        <v>0</v>
      </c>
      <c r="R656" s="2" t="inlineStr"/>
    </row>
    <row r="657" ht="15" customHeight="1">
      <c r="A657" t="inlineStr">
        <is>
          <t>A 46343-2024</t>
        </is>
      </c>
      <c r="B657" s="1" t="n">
        <v>45582</v>
      </c>
      <c r="C657" s="1" t="n">
        <v>46204</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3678-2024</t>
        </is>
      </c>
      <c r="B658" s="1" t="n">
        <v>45321</v>
      </c>
      <c r="C658" s="1" t="n">
        <v>46204</v>
      </c>
      <c r="D658" t="inlineStr">
        <is>
          <t>VÄRMLANDS LÄN</t>
        </is>
      </c>
      <c r="E658" t="inlineStr">
        <is>
          <t>TORSBY</t>
        </is>
      </c>
      <c r="G658" t="n">
        <v>24.6</v>
      </c>
      <c r="H658" t="n">
        <v>0</v>
      </c>
      <c r="I658" t="n">
        <v>0</v>
      </c>
      <c r="J658" t="n">
        <v>0</v>
      </c>
      <c r="K658" t="n">
        <v>0</v>
      </c>
      <c r="L658" t="n">
        <v>0</v>
      </c>
      <c r="M658" t="n">
        <v>0</v>
      </c>
      <c r="N658" t="n">
        <v>0</v>
      </c>
      <c r="O658" t="n">
        <v>0</v>
      </c>
      <c r="P658" t="n">
        <v>0</v>
      </c>
      <c r="Q658" t="n">
        <v>0</v>
      </c>
      <c r="R658" s="2" t="inlineStr"/>
    </row>
    <row r="659" ht="15" customHeight="1">
      <c r="A659" t="inlineStr">
        <is>
          <t>A 51386-2023</t>
        </is>
      </c>
      <c r="B659" s="1" t="n">
        <v>45219</v>
      </c>
      <c r="C659" s="1" t="n">
        <v>46204</v>
      </c>
      <c r="D659" t="inlineStr">
        <is>
          <t>VÄRMLANDS LÄN</t>
        </is>
      </c>
      <c r="E659" t="inlineStr">
        <is>
          <t>TORSBY</t>
        </is>
      </c>
      <c r="G659" t="n">
        <v>1.9</v>
      </c>
      <c r="H659" t="n">
        <v>0</v>
      </c>
      <c r="I659" t="n">
        <v>0</v>
      </c>
      <c r="J659" t="n">
        <v>0</v>
      </c>
      <c r="K659" t="n">
        <v>0</v>
      </c>
      <c r="L659" t="n">
        <v>0</v>
      </c>
      <c r="M659" t="n">
        <v>0</v>
      </c>
      <c r="N659" t="n">
        <v>0</v>
      </c>
      <c r="O659" t="n">
        <v>0</v>
      </c>
      <c r="P659" t="n">
        <v>0</v>
      </c>
      <c r="Q659" t="n">
        <v>0</v>
      </c>
      <c r="R659" s="2" t="inlineStr"/>
    </row>
    <row r="660" ht="15" customHeight="1">
      <c r="A660" t="inlineStr">
        <is>
          <t>A 41137-2025</t>
        </is>
      </c>
      <c r="B660" s="1" t="n">
        <v>45898</v>
      </c>
      <c r="C660" s="1" t="n">
        <v>46204</v>
      </c>
      <c r="D660" t="inlineStr">
        <is>
          <t>VÄRMLANDS LÄN</t>
        </is>
      </c>
      <c r="E660" t="inlineStr">
        <is>
          <t>TORSBY</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41209-2025</t>
        </is>
      </c>
      <c r="B661" s="1" t="n">
        <v>45898</v>
      </c>
      <c r="C661" s="1" t="n">
        <v>46204</v>
      </c>
      <c r="D661" t="inlineStr">
        <is>
          <t>VÄRMLANDS LÄN</t>
        </is>
      </c>
      <c r="E661" t="inlineStr">
        <is>
          <t>TORSBY</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38084-2023</t>
        </is>
      </c>
      <c r="B662" s="1" t="n">
        <v>45160</v>
      </c>
      <c r="C662" s="1" t="n">
        <v>46204</v>
      </c>
      <c r="D662" t="inlineStr">
        <is>
          <t>VÄRMLANDS LÄN</t>
        </is>
      </c>
      <c r="E662" t="inlineStr">
        <is>
          <t>TORSBY</t>
        </is>
      </c>
      <c r="G662" t="n">
        <v>1.4</v>
      </c>
      <c r="H662" t="n">
        <v>0</v>
      </c>
      <c r="I662" t="n">
        <v>0</v>
      </c>
      <c r="J662" t="n">
        <v>0</v>
      </c>
      <c r="K662" t="n">
        <v>0</v>
      </c>
      <c r="L662" t="n">
        <v>0</v>
      </c>
      <c r="M662" t="n">
        <v>0</v>
      </c>
      <c r="N662" t="n">
        <v>0</v>
      </c>
      <c r="O662" t="n">
        <v>0</v>
      </c>
      <c r="P662" t="n">
        <v>0</v>
      </c>
      <c r="Q662" t="n">
        <v>0</v>
      </c>
      <c r="R662" s="2" t="inlineStr"/>
    </row>
    <row r="663" ht="15" customHeight="1">
      <c r="A663" t="inlineStr">
        <is>
          <t>A 41293-2025</t>
        </is>
      </c>
      <c r="B663" s="1" t="n">
        <v>45898</v>
      </c>
      <c r="C663" s="1" t="n">
        <v>46204</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8967-2026</t>
        </is>
      </c>
      <c r="B664" s="1" t="n">
        <v>46069</v>
      </c>
      <c r="C664" s="1" t="n">
        <v>46204</v>
      </c>
      <c r="D664" t="inlineStr">
        <is>
          <t>VÄRMLANDS LÄN</t>
        </is>
      </c>
      <c r="E664" t="inlineStr">
        <is>
          <t>TORSBY</t>
        </is>
      </c>
      <c r="F664" t="inlineStr">
        <is>
          <t>Bergvik skog väst AB</t>
        </is>
      </c>
      <c r="G664" t="n">
        <v>22.5</v>
      </c>
      <c r="H664" t="n">
        <v>0</v>
      </c>
      <c r="I664" t="n">
        <v>0</v>
      </c>
      <c r="J664" t="n">
        <v>0</v>
      </c>
      <c r="K664" t="n">
        <v>0</v>
      </c>
      <c r="L664" t="n">
        <v>0</v>
      </c>
      <c r="M664" t="n">
        <v>0</v>
      </c>
      <c r="N664" t="n">
        <v>0</v>
      </c>
      <c r="O664" t="n">
        <v>0</v>
      </c>
      <c r="P664" t="n">
        <v>0</v>
      </c>
      <c r="Q664" t="n">
        <v>0</v>
      </c>
      <c r="R664" s="2" t="inlineStr"/>
    </row>
    <row r="665" ht="15" customHeight="1">
      <c r="A665" t="inlineStr">
        <is>
          <t>A 41189-2025</t>
        </is>
      </c>
      <c r="B665" s="1" t="n">
        <v>45898</v>
      </c>
      <c r="C665" s="1" t="n">
        <v>46204</v>
      </c>
      <c r="D665" t="inlineStr">
        <is>
          <t>VÄRMLANDS LÄN</t>
        </is>
      </c>
      <c r="E665" t="inlineStr">
        <is>
          <t>TORSBY</t>
        </is>
      </c>
      <c r="F665" t="inlineStr">
        <is>
          <t>Övriga Aktiebolag</t>
        </is>
      </c>
      <c r="G665" t="n">
        <v>10.3</v>
      </c>
      <c r="H665" t="n">
        <v>0</v>
      </c>
      <c r="I665" t="n">
        <v>0</v>
      </c>
      <c r="J665" t="n">
        <v>0</v>
      </c>
      <c r="K665" t="n">
        <v>0</v>
      </c>
      <c r="L665" t="n">
        <v>0</v>
      </c>
      <c r="M665" t="n">
        <v>0</v>
      </c>
      <c r="N665" t="n">
        <v>0</v>
      </c>
      <c r="O665" t="n">
        <v>0</v>
      </c>
      <c r="P665" t="n">
        <v>0</v>
      </c>
      <c r="Q665" t="n">
        <v>0</v>
      </c>
      <c r="R665" s="2" t="inlineStr"/>
    </row>
    <row r="666" ht="15" customHeight="1">
      <c r="A666" t="inlineStr">
        <is>
          <t>A 41194-2025</t>
        </is>
      </c>
      <c r="B666" s="1" t="n">
        <v>45898</v>
      </c>
      <c r="C666" s="1" t="n">
        <v>46204</v>
      </c>
      <c r="D666" t="inlineStr">
        <is>
          <t>VÄRMLANDS LÄN</t>
        </is>
      </c>
      <c r="E666" t="inlineStr">
        <is>
          <t>TORSBY</t>
        </is>
      </c>
      <c r="F666" t="inlineStr">
        <is>
          <t>Bergvik skog väst AB</t>
        </is>
      </c>
      <c r="G666" t="n">
        <v>5.6</v>
      </c>
      <c r="H666" t="n">
        <v>0</v>
      </c>
      <c r="I666" t="n">
        <v>0</v>
      </c>
      <c r="J666" t="n">
        <v>0</v>
      </c>
      <c r="K666" t="n">
        <v>0</v>
      </c>
      <c r="L666" t="n">
        <v>0</v>
      </c>
      <c r="M666" t="n">
        <v>0</v>
      </c>
      <c r="N666" t="n">
        <v>0</v>
      </c>
      <c r="O666" t="n">
        <v>0</v>
      </c>
      <c r="P666" t="n">
        <v>0</v>
      </c>
      <c r="Q666" t="n">
        <v>0</v>
      </c>
      <c r="R666" s="2" t="inlineStr"/>
    </row>
    <row r="667" ht="15" customHeight="1">
      <c r="A667" t="inlineStr">
        <is>
          <t>A 9240-2026</t>
        </is>
      </c>
      <c r="B667" s="1" t="n">
        <v>46070</v>
      </c>
      <c r="C667" s="1" t="n">
        <v>46204</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54885-2022</t>
        </is>
      </c>
      <c r="B668" s="1" t="n">
        <v>44886</v>
      </c>
      <c r="C668" s="1" t="n">
        <v>46204</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24111-2025</t>
        </is>
      </c>
      <c r="B669" s="1" t="n">
        <v>45796</v>
      </c>
      <c r="C669" s="1" t="n">
        <v>46204</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41376-2025</t>
        </is>
      </c>
      <c r="B670" s="1" t="n">
        <v>45900</v>
      </c>
      <c r="C670" s="1" t="n">
        <v>46204</v>
      </c>
      <c r="D670" t="inlineStr">
        <is>
          <t>VÄRMLANDS LÄN</t>
        </is>
      </c>
      <c r="E670" t="inlineStr">
        <is>
          <t>TORSBY</t>
        </is>
      </c>
      <c r="G670" t="n">
        <v>1</v>
      </c>
      <c r="H670" t="n">
        <v>0</v>
      </c>
      <c r="I670" t="n">
        <v>0</v>
      </c>
      <c r="J670" t="n">
        <v>0</v>
      </c>
      <c r="K670" t="n">
        <v>0</v>
      </c>
      <c r="L670" t="n">
        <v>0</v>
      </c>
      <c r="M670" t="n">
        <v>0</v>
      </c>
      <c r="N670" t="n">
        <v>0</v>
      </c>
      <c r="O670" t="n">
        <v>0</v>
      </c>
      <c r="P670" t="n">
        <v>0</v>
      </c>
      <c r="Q670" t="n">
        <v>0</v>
      </c>
      <c r="R670" s="2" t="inlineStr"/>
    </row>
    <row r="671" ht="15" customHeight="1">
      <c r="A671" t="inlineStr">
        <is>
          <t>A 38298-2021</t>
        </is>
      </c>
      <c r="B671" s="1" t="n">
        <v>44406</v>
      </c>
      <c r="C671" s="1" t="n">
        <v>46204</v>
      </c>
      <c r="D671" t="inlineStr">
        <is>
          <t>VÄRMLANDS LÄN</t>
        </is>
      </c>
      <c r="E671" t="inlineStr">
        <is>
          <t>TORSBY</t>
        </is>
      </c>
      <c r="G671" t="n">
        <v>3.3</v>
      </c>
      <c r="H671" t="n">
        <v>0</v>
      </c>
      <c r="I671" t="n">
        <v>0</v>
      </c>
      <c r="J671" t="n">
        <v>0</v>
      </c>
      <c r="K671" t="n">
        <v>0</v>
      </c>
      <c r="L671" t="n">
        <v>0</v>
      </c>
      <c r="M671" t="n">
        <v>0</v>
      </c>
      <c r="N671" t="n">
        <v>0</v>
      </c>
      <c r="O671" t="n">
        <v>0</v>
      </c>
      <c r="P671" t="n">
        <v>0</v>
      </c>
      <c r="Q671" t="n">
        <v>0</v>
      </c>
      <c r="R671" s="2" t="inlineStr"/>
    </row>
    <row r="672" ht="15" customHeight="1">
      <c r="A672" t="inlineStr">
        <is>
          <t>A 17562-2024</t>
        </is>
      </c>
      <c r="B672" s="1" t="n">
        <v>45415</v>
      </c>
      <c r="C672" s="1" t="n">
        <v>46204</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35552-2025</t>
        </is>
      </c>
      <c r="B673" s="1" t="n">
        <v>45856</v>
      </c>
      <c r="C673" s="1" t="n">
        <v>46204</v>
      </c>
      <c r="D673" t="inlineStr">
        <is>
          <t>VÄRMLANDS LÄN</t>
        </is>
      </c>
      <c r="E673" t="inlineStr">
        <is>
          <t>TORSBY</t>
        </is>
      </c>
      <c r="F673" t="inlineStr">
        <is>
          <t>Bergvik skog väst AB</t>
        </is>
      </c>
      <c r="G673" t="n">
        <v>12.3</v>
      </c>
      <c r="H673" t="n">
        <v>0</v>
      </c>
      <c r="I673" t="n">
        <v>0</v>
      </c>
      <c r="J673" t="n">
        <v>0</v>
      </c>
      <c r="K673" t="n">
        <v>0</v>
      </c>
      <c r="L673" t="n">
        <v>0</v>
      </c>
      <c r="M673" t="n">
        <v>0</v>
      </c>
      <c r="N673" t="n">
        <v>0</v>
      </c>
      <c r="O673" t="n">
        <v>0</v>
      </c>
      <c r="P673" t="n">
        <v>0</v>
      </c>
      <c r="Q673" t="n">
        <v>0</v>
      </c>
      <c r="R673" s="2" t="inlineStr"/>
    </row>
    <row r="674" ht="15" customHeight="1">
      <c r="A674" t="inlineStr">
        <is>
          <t>A 42354-2025</t>
        </is>
      </c>
      <c r="B674" s="1" t="n">
        <v>45904</v>
      </c>
      <c r="C674" s="1" t="n">
        <v>46204</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35855-2025</t>
        </is>
      </c>
      <c r="B675" s="1" t="n">
        <v>45861</v>
      </c>
      <c r="C675" s="1" t="n">
        <v>46204</v>
      </c>
      <c r="D675" t="inlineStr">
        <is>
          <t>VÄRMLANDS LÄN</t>
        </is>
      </c>
      <c r="E675" t="inlineStr">
        <is>
          <t>TORSBY</t>
        </is>
      </c>
      <c r="G675" t="n">
        <v>0.6</v>
      </c>
      <c r="H675" t="n">
        <v>0</v>
      </c>
      <c r="I675" t="n">
        <v>0</v>
      </c>
      <c r="J675" t="n">
        <v>0</v>
      </c>
      <c r="K675" t="n">
        <v>0</v>
      </c>
      <c r="L675" t="n">
        <v>0</v>
      </c>
      <c r="M675" t="n">
        <v>0</v>
      </c>
      <c r="N675" t="n">
        <v>0</v>
      </c>
      <c r="O675" t="n">
        <v>0</v>
      </c>
      <c r="P675" t="n">
        <v>0</v>
      </c>
      <c r="Q675" t="n">
        <v>0</v>
      </c>
      <c r="R675" s="2" t="inlineStr"/>
    </row>
    <row r="676" ht="15" customHeight="1">
      <c r="A676" t="inlineStr">
        <is>
          <t>A 42149-2025</t>
        </is>
      </c>
      <c r="B676" s="1" t="n">
        <v>45904</v>
      </c>
      <c r="C676" s="1" t="n">
        <v>46204</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42349-2025</t>
        </is>
      </c>
      <c r="B677" s="1" t="n">
        <v>45904</v>
      </c>
      <c r="C677" s="1" t="n">
        <v>46204</v>
      </c>
      <c r="D677" t="inlineStr">
        <is>
          <t>VÄRMLANDS LÄN</t>
        </is>
      </c>
      <c r="E677" t="inlineStr">
        <is>
          <t>TORSBY</t>
        </is>
      </c>
      <c r="G677" t="n">
        <v>0.2</v>
      </c>
      <c r="H677" t="n">
        <v>0</v>
      </c>
      <c r="I677" t="n">
        <v>0</v>
      </c>
      <c r="J677" t="n">
        <v>0</v>
      </c>
      <c r="K677" t="n">
        <v>0</v>
      </c>
      <c r="L677" t="n">
        <v>0</v>
      </c>
      <c r="M677" t="n">
        <v>0</v>
      </c>
      <c r="N677" t="n">
        <v>0</v>
      </c>
      <c r="O677" t="n">
        <v>0</v>
      </c>
      <c r="P677" t="n">
        <v>0</v>
      </c>
      <c r="Q677" t="n">
        <v>0</v>
      </c>
      <c r="R677" s="2" t="inlineStr"/>
    </row>
    <row r="678" ht="15" customHeight="1">
      <c r="A678" t="inlineStr">
        <is>
          <t>A 42352-2025</t>
        </is>
      </c>
      <c r="B678" s="1" t="n">
        <v>45904</v>
      </c>
      <c r="C678" s="1" t="n">
        <v>46204</v>
      </c>
      <c r="D678" t="inlineStr">
        <is>
          <t>VÄRMLANDS LÄN</t>
        </is>
      </c>
      <c r="E678" t="inlineStr">
        <is>
          <t>TORSBY</t>
        </is>
      </c>
      <c r="G678" t="n">
        <v>0.1</v>
      </c>
      <c r="H678" t="n">
        <v>0</v>
      </c>
      <c r="I678" t="n">
        <v>0</v>
      </c>
      <c r="J678" t="n">
        <v>0</v>
      </c>
      <c r="K678" t="n">
        <v>0</v>
      </c>
      <c r="L678" t="n">
        <v>0</v>
      </c>
      <c r="M678" t="n">
        <v>0</v>
      </c>
      <c r="N678" t="n">
        <v>0</v>
      </c>
      <c r="O678" t="n">
        <v>0</v>
      </c>
      <c r="P678" t="n">
        <v>0</v>
      </c>
      <c r="Q678" t="n">
        <v>0</v>
      </c>
      <c r="R678" s="2" t="inlineStr"/>
    </row>
    <row r="679" ht="15" customHeight="1">
      <c r="A679" t="inlineStr">
        <is>
          <t>A 9245-2026</t>
        </is>
      </c>
      <c r="B679" s="1" t="n">
        <v>46070</v>
      </c>
      <c r="C679" s="1" t="n">
        <v>46204</v>
      </c>
      <c r="D679" t="inlineStr">
        <is>
          <t>VÄRMLANDS LÄN</t>
        </is>
      </c>
      <c r="E679" t="inlineStr">
        <is>
          <t>TORSBY</t>
        </is>
      </c>
      <c r="G679" t="n">
        <v>0.6</v>
      </c>
      <c r="H679" t="n">
        <v>0</v>
      </c>
      <c r="I679" t="n">
        <v>0</v>
      </c>
      <c r="J679" t="n">
        <v>0</v>
      </c>
      <c r="K679" t="n">
        <v>0</v>
      </c>
      <c r="L679" t="n">
        <v>0</v>
      </c>
      <c r="M679" t="n">
        <v>0</v>
      </c>
      <c r="N679" t="n">
        <v>0</v>
      </c>
      <c r="O679" t="n">
        <v>0</v>
      </c>
      <c r="P679" t="n">
        <v>0</v>
      </c>
      <c r="Q679" t="n">
        <v>0</v>
      </c>
      <c r="R679" s="2" t="inlineStr"/>
    </row>
    <row r="680" ht="15" customHeight="1">
      <c r="A680" t="inlineStr">
        <is>
          <t>A 9248-2026</t>
        </is>
      </c>
      <c r="B680" s="1" t="n">
        <v>46070</v>
      </c>
      <c r="C680" s="1" t="n">
        <v>46204</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40470-2023</t>
        </is>
      </c>
      <c r="B681" s="1" t="n">
        <v>45170</v>
      </c>
      <c r="C681" s="1" t="n">
        <v>46204</v>
      </c>
      <c r="D681" t="inlineStr">
        <is>
          <t>VÄRMLANDS LÄN</t>
        </is>
      </c>
      <c r="E681" t="inlineStr">
        <is>
          <t>TORSBY</t>
        </is>
      </c>
      <c r="G681" t="n">
        <v>0.9</v>
      </c>
      <c r="H681" t="n">
        <v>0</v>
      </c>
      <c r="I681" t="n">
        <v>0</v>
      </c>
      <c r="J681" t="n">
        <v>0</v>
      </c>
      <c r="K681" t="n">
        <v>0</v>
      </c>
      <c r="L681" t="n">
        <v>0</v>
      </c>
      <c r="M681" t="n">
        <v>0</v>
      </c>
      <c r="N681" t="n">
        <v>0</v>
      </c>
      <c r="O681" t="n">
        <v>0</v>
      </c>
      <c r="P681" t="n">
        <v>0</v>
      </c>
      <c r="Q681" t="n">
        <v>0</v>
      </c>
      <c r="R681" s="2" t="inlineStr"/>
    </row>
    <row r="682" ht="15" customHeight="1">
      <c r="A682" t="inlineStr">
        <is>
          <t>A 42350-2025</t>
        </is>
      </c>
      <c r="B682" s="1" t="n">
        <v>45904</v>
      </c>
      <c r="C682" s="1" t="n">
        <v>46204</v>
      </c>
      <c r="D682" t="inlineStr">
        <is>
          <t>VÄRMLANDS LÄN</t>
        </is>
      </c>
      <c r="E682" t="inlineStr">
        <is>
          <t>TORSBY</t>
        </is>
      </c>
      <c r="G682" t="n">
        <v>0.2</v>
      </c>
      <c r="H682" t="n">
        <v>0</v>
      </c>
      <c r="I682" t="n">
        <v>0</v>
      </c>
      <c r="J682" t="n">
        <v>0</v>
      </c>
      <c r="K682" t="n">
        <v>0</v>
      </c>
      <c r="L682" t="n">
        <v>0</v>
      </c>
      <c r="M682" t="n">
        <v>0</v>
      </c>
      <c r="N682" t="n">
        <v>0</v>
      </c>
      <c r="O682" t="n">
        <v>0</v>
      </c>
      <c r="P682" t="n">
        <v>0</v>
      </c>
      <c r="Q682" t="n">
        <v>0</v>
      </c>
      <c r="R682" s="2" t="inlineStr"/>
    </row>
    <row r="683" ht="15" customHeight="1">
      <c r="A683" t="inlineStr">
        <is>
          <t>A 35980-2025</t>
        </is>
      </c>
      <c r="B683" s="1" t="n">
        <v>45863</v>
      </c>
      <c r="C683" s="1" t="n">
        <v>46204</v>
      </c>
      <c r="D683" t="inlineStr">
        <is>
          <t>VÄRMLANDS LÄN</t>
        </is>
      </c>
      <c r="E683" t="inlineStr">
        <is>
          <t>TORSBY</t>
        </is>
      </c>
      <c r="F683" t="inlineStr">
        <is>
          <t>Bergvik skog väst AB</t>
        </is>
      </c>
      <c r="G683" t="n">
        <v>2.7</v>
      </c>
      <c r="H683" t="n">
        <v>0</v>
      </c>
      <c r="I683" t="n">
        <v>0</v>
      </c>
      <c r="J683" t="n">
        <v>0</v>
      </c>
      <c r="K683" t="n">
        <v>0</v>
      </c>
      <c r="L683" t="n">
        <v>0</v>
      </c>
      <c r="M683" t="n">
        <v>0</v>
      </c>
      <c r="N683" t="n">
        <v>0</v>
      </c>
      <c r="O683" t="n">
        <v>0</v>
      </c>
      <c r="P683" t="n">
        <v>0</v>
      </c>
      <c r="Q683" t="n">
        <v>0</v>
      </c>
      <c r="R683" s="2" t="inlineStr"/>
    </row>
    <row r="684" ht="15" customHeight="1">
      <c r="A684" t="inlineStr">
        <is>
          <t>A 1092-2025</t>
        </is>
      </c>
      <c r="B684" s="1" t="n">
        <v>45666</v>
      </c>
      <c r="C684" s="1" t="n">
        <v>46204</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42152-2025</t>
        </is>
      </c>
      <c r="B685" s="1" t="n">
        <v>45904</v>
      </c>
      <c r="C685" s="1" t="n">
        <v>46204</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42273-2025</t>
        </is>
      </c>
      <c r="B686" s="1" t="n">
        <v>45904</v>
      </c>
      <c r="C686" s="1" t="n">
        <v>46204</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21585-2024</t>
        </is>
      </c>
      <c r="B687" s="1" t="n">
        <v>45441</v>
      </c>
      <c r="C687" s="1" t="n">
        <v>46204</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30958-2025</t>
        </is>
      </c>
      <c r="B688" s="1" t="n">
        <v>45832</v>
      </c>
      <c r="C688" s="1" t="n">
        <v>46204</v>
      </c>
      <c r="D688" t="inlineStr">
        <is>
          <t>VÄRMLANDS LÄN</t>
        </is>
      </c>
      <c r="E688" t="inlineStr">
        <is>
          <t>TORSBY</t>
        </is>
      </c>
      <c r="G688" t="n">
        <v>28.5</v>
      </c>
      <c r="H688" t="n">
        <v>0</v>
      </c>
      <c r="I688" t="n">
        <v>0</v>
      </c>
      <c r="J688" t="n">
        <v>0</v>
      </c>
      <c r="K688" t="n">
        <v>0</v>
      </c>
      <c r="L688" t="n">
        <v>0</v>
      </c>
      <c r="M688" t="n">
        <v>0</v>
      </c>
      <c r="N688" t="n">
        <v>0</v>
      </c>
      <c r="O688" t="n">
        <v>0</v>
      </c>
      <c r="P688" t="n">
        <v>0</v>
      </c>
      <c r="Q688" t="n">
        <v>0</v>
      </c>
      <c r="R688" s="2" t="inlineStr"/>
    </row>
    <row r="689" ht="15" customHeight="1">
      <c r="A689" t="inlineStr">
        <is>
          <t>A 42742-2025</t>
        </is>
      </c>
      <c r="B689" s="1" t="n">
        <v>45908</v>
      </c>
      <c r="C689" s="1" t="n">
        <v>46204</v>
      </c>
      <c r="D689" t="inlineStr">
        <is>
          <t>VÄRMLANDS LÄN</t>
        </is>
      </c>
      <c r="E689" t="inlineStr">
        <is>
          <t>TORSBY</t>
        </is>
      </c>
      <c r="F689" t="inlineStr">
        <is>
          <t>Bergvik skog väst AB</t>
        </is>
      </c>
      <c r="G689" t="n">
        <v>0.5</v>
      </c>
      <c r="H689" t="n">
        <v>0</v>
      </c>
      <c r="I689" t="n">
        <v>0</v>
      </c>
      <c r="J689" t="n">
        <v>0</v>
      </c>
      <c r="K689" t="n">
        <v>0</v>
      </c>
      <c r="L689" t="n">
        <v>0</v>
      </c>
      <c r="M689" t="n">
        <v>0</v>
      </c>
      <c r="N689" t="n">
        <v>0</v>
      </c>
      <c r="O689" t="n">
        <v>0</v>
      </c>
      <c r="P689" t="n">
        <v>0</v>
      </c>
      <c r="Q689" t="n">
        <v>0</v>
      </c>
      <c r="R689" s="2" t="inlineStr"/>
    </row>
    <row r="690" ht="15" customHeight="1">
      <c r="A690" t="inlineStr">
        <is>
          <t>A 34534-2024</t>
        </is>
      </c>
      <c r="B690" s="1" t="n">
        <v>45525</v>
      </c>
      <c r="C690" s="1" t="n">
        <v>46204</v>
      </c>
      <c r="D690" t="inlineStr">
        <is>
          <t>VÄRMLANDS LÄN</t>
        </is>
      </c>
      <c r="E690" t="inlineStr">
        <is>
          <t>TORSBY</t>
        </is>
      </c>
      <c r="G690" t="n">
        <v>1.5</v>
      </c>
      <c r="H690" t="n">
        <v>0</v>
      </c>
      <c r="I690" t="n">
        <v>0</v>
      </c>
      <c r="J690" t="n">
        <v>0</v>
      </c>
      <c r="K690" t="n">
        <v>0</v>
      </c>
      <c r="L690" t="n">
        <v>0</v>
      </c>
      <c r="M690" t="n">
        <v>0</v>
      </c>
      <c r="N690" t="n">
        <v>0</v>
      </c>
      <c r="O690" t="n">
        <v>0</v>
      </c>
      <c r="P690" t="n">
        <v>0</v>
      </c>
      <c r="Q690" t="n">
        <v>0</v>
      </c>
      <c r="R690" s="2" t="inlineStr"/>
    </row>
    <row r="691" ht="15" customHeight="1">
      <c r="A691" t="inlineStr">
        <is>
          <t>A 42966-2025</t>
        </is>
      </c>
      <c r="B691" s="1" t="n">
        <v>45909</v>
      </c>
      <c r="C691" s="1" t="n">
        <v>46204</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30836-2025</t>
        </is>
      </c>
      <c r="B692" s="1" t="n">
        <v>45831</v>
      </c>
      <c r="C692" s="1" t="n">
        <v>46204</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42965-2025</t>
        </is>
      </c>
      <c r="B693" s="1" t="n">
        <v>45909</v>
      </c>
      <c r="C693" s="1" t="n">
        <v>46204</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63032-2023</t>
        </is>
      </c>
      <c r="B694" s="1" t="n">
        <v>45272</v>
      </c>
      <c r="C694" s="1" t="n">
        <v>46204</v>
      </c>
      <c r="D694" t="inlineStr">
        <is>
          <t>VÄRMLANDS LÄN</t>
        </is>
      </c>
      <c r="E694" t="inlineStr">
        <is>
          <t>TORSBY</t>
        </is>
      </c>
      <c r="G694" t="n">
        <v>2.8</v>
      </c>
      <c r="H694" t="n">
        <v>0</v>
      </c>
      <c r="I694" t="n">
        <v>0</v>
      </c>
      <c r="J694" t="n">
        <v>0</v>
      </c>
      <c r="K694" t="n">
        <v>0</v>
      </c>
      <c r="L694" t="n">
        <v>0</v>
      </c>
      <c r="M694" t="n">
        <v>0</v>
      </c>
      <c r="N694" t="n">
        <v>0</v>
      </c>
      <c r="O694" t="n">
        <v>0</v>
      </c>
      <c r="P694" t="n">
        <v>0</v>
      </c>
      <c r="Q694" t="n">
        <v>0</v>
      </c>
      <c r="R694" s="2" t="inlineStr"/>
    </row>
    <row r="695" ht="15" customHeight="1">
      <c r="A695" t="inlineStr">
        <is>
          <t>A 36256-2025</t>
        </is>
      </c>
      <c r="B695" s="1" t="n">
        <v>45867</v>
      </c>
      <c r="C695" s="1" t="n">
        <v>46204</v>
      </c>
      <c r="D695" t="inlineStr">
        <is>
          <t>VÄRMLANDS LÄN</t>
        </is>
      </c>
      <c r="E695" t="inlineStr">
        <is>
          <t>TORSBY</t>
        </is>
      </c>
      <c r="F695" t="inlineStr">
        <is>
          <t>Bergvik skog väst AB</t>
        </is>
      </c>
      <c r="G695" t="n">
        <v>5.6</v>
      </c>
      <c r="H695" t="n">
        <v>0</v>
      </c>
      <c r="I695" t="n">
        <v>0</v>
      </c>
      <c r="J695" t="n">
        <v>0</v>
      </c>
      <c r="K695" t="n">
        <v>0</v>
      </c>
      <c r="L695" t="n">
        <v>0</v>
      </c>
      <c r="M695" t="n">
        <v>0</v>
      </c>
      <c r="N695" t="n">
        <v>0</v>
      </c>
      <c r="O695" t="n">
        <v>0</v>
      </c>
      <c r="P695" t="n">
        <v>0</v>
      </c>
      <c r="Q695" t="n">
        <v>0</v>
      </c>
      <c r="R695" s="2" t="inlineStr"/>
    </row>
    <row r="696" ht="15" customHeight="1">
      <c r="A696" t="inlineStr">
        <is>
          <t>A 34500-2024</t>
        </is>
      </c>
      <c r="B696" s="1" t="n">
        <v>45525</v>
      </c>
      <c r="C696" s="1" t="n">
        <v>46204</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36258-2025</t>
        </is>
      </c>
      <c r="B697" s="1" t="n">
        <v>45867</v>
      </c>
      <c r="C697" s="1" t="n">
        <v>46204</v>
      </c>
      <c r="D697" t="inlineStr">
        <is>
          <t>VÄRMLANDS LÄN</t>
        </is>
      </c>
      <c r="E697" t="inlineStr">
        <is>
          <t>TORSBY</t>
        </is>
      </c>
      <c r="F697" t="inlineStr">
        <is>
          <t>Bergvik skog väst AB</t>
        </is>
      </c>
      <c r="G697" t="n">
        <v>13.7</v>
      </c>
      <c r="H697" t="n">
        <v>0</v>
      </c>
      <c r="I697" t="n">
        <v>0</v>
      </c>
      <c r="J697" t="n">
        <v>0</v>
      </c>
      <c r="K697" t="n">
        <v>0</v>
      </c>
      <c r="L697" t="n">
        <v>0</v>
      </c>
      <c r="M697" t="n">
        <v>0</v>
      </c>
      <c r="N697" t="n">
        <v>0</v>
      </c>
      <c r="O697" t="n">
        <v>0</v>
      </c>
      <c r="P697" t="n">
        <v>0</v>
      </c>
      <c r="Q697" t="n">
        <v>0</v>
      </c>
      <c r="R697" s="2" t="inlineStr"/>
    </row>
    <row r="698" ht="15" customHeight="1">
      <c r="A698" t="inlineStr">
        <is>
          <t>A 36279-2025</t>
        </is>
      </c>
      <c r="B698" s="1" t="n">
        <v>45867</v>
      </c>
      <c r="C698" s="1" t="n">
        <v>46204</v>
      </c>
      <c r="D698" t="inlineStr">
        <is>
          <t>VÄRMLANDS LÄN</t>
        </is>
      </c>
      <c r="E698" t="inlineStr">
        <is>
          <t>TORSBY</t>
        </is>
      </c>
      <c r="G698" t="n">
        <v>1.9</v>
      </c>
      <c r="H698" t="n">
        <v>0</v>
      </c>
      <c r="I698" t="n">
        <v>0</v>
      </c>
      <c r="J698" t="n">
        <v>0</v>
      </c>
      <c r="K698" t="n">
        <v>0</v>
      </c>
      <c r="L698" t="n">
        <v>0</v>
      </c>
      <c r="M698" t="n">
        <v>0</v>
      </c>
      <c r="N698" t="n">
        <v>0</v>
      </c>
      <c r="O698" t="n">
        <v>0</v>
      </c>
      <c r="P698" t="n">
        <v>0</v>
      </c>
      <c r="Q698" t="n">
        <v>0</v>
      </c>
      <c r="R698" s="2" t="inlineStr"/>
    </row>
    <row r="699" ht="15" customHeight="1">
      <c r="A699" t="inlineStr">
        <is>
          <t>A 20191-2025</t>
        </is>
      </c>
      <c r="B699" s="1" t="n">
        <v>45772</v>
      </c>
      <c r="C699" s="1" t="n">
        <v>46204</v>
      </c>
      <c r="D699" t="inlineStr">
        <is>
          <t>VÄRMLANDS LÄN</t>
        </is>
      </c>
      <c r="E699" t="inlineStr">
        <is>
          <t>TORSBY</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10515-2026</t>
        </is>
      </c>
      <c r="B700" s="1" t="n">
        <v>46077</v>
      </c>
      <c r="C700" s="1" t="n">
        <v>46204</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33146-2025</t>
        </is>
      </c>
      <c r="B701" s="1" t="n">
        <v>45840</v>
      </c>
      <c r="C701" s="1" t="n">
        <v>46204</v>
      </c>
      <c r="D701" t="inlineStr">
        <is>
          <t>VÄRMLANDS LÄN</t>
        </is>
      </c>
      <c r="E701" t="inlineStr">
        <is>
          <t>TORSBY</t>
        </is>
      </c>
      <c r="G701" t="n">
        <v>4.8</v>
      </c>
      <c r="H701" t="n">
        <v>0</v>
      </c>
      <c r="I701" t="n">
        <v>0</v>
      </c>
      <c r="J701" t="n">
        <v>0</v>
      </c>
      <c r="K701" t="n">
        <v>0</v>
      </c>
      <c r="L701" t="n">
        <v>0</v>
      </c>
      <c r="M701" t="n">
        <v>0</v>
      </c>
      <c r="N701" t="n">
        <v>0</v>
      </c>
      <c r="O701" t="n">
        <v>0</v>
      </c>
      <c r="P701" t="n">
        <v>0</v>
      </c>
      <c r="Q701" t="n">
        <v>0</v>
      </c>
      <c r="R701" s="2" t="inlineStr"/>
    </row>
    <row r="702" ht="15" customHeight="1">
      <c r="A702" t="inlineStr">
        <is>
          <t>A 25961-2025</t>
        </is>
      </c>
      <c r="B702" s="1" t="n">
        <v>45804</v>
      </c>
      <c r="C702" s="1" t="n">
        <v>46204</v>
      </c>
      <c r="D702" t="inlineStr">
        <is>
          <t>VÄRMLANDS LÄN</t>
        </is>
      </c>
      <c r="E702" t="inlineStr">
        <is>
          <t>TORSBY</t>
        </is>
      </c>
      <c r="G702" t="n">
        <v>17.8</v>
      </c>
      <c r="H702" t="n">
        <v>0</v>
      </c>
      <c r="I702" t="n">
        <v>0</v>
      </c>
      <c r="J702" t="n">
        <v>0</v>
      </c>
      <c r="K702" t="n">
        <v>0</v>
      </c>
      <c r="L702" t="n">
        <v>0</v>
      </c>
      <c r="M702" t="n">
        <v>0</v>
      </c>
      <c r="N702" t="n">
        <v>0</v>
      </c>
      <c r="O702" t="n">
        <v>0</v>
      </c>
      <c r="P702" t="n">
        <v>0</v>
      </c>
      <c r="Q702" t="n">
        <v>0</v>
      </c>
      <c r="R702" s="2" t="inlineStr"/>
    </row>
    <row r="703" ht="15" customHeight="1">
      <c r="A703" t="inlineStr">
        <is>
          <t>A 56634-2024</t>
        </is>
      </c>
      <c r="B703" s="1" t="n">
        <v>45625</v>
      </c>
      <c r="C703" s="1" t="n">
        <v>46204</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10684-2026</t>
        </is>
      </c>
      <c r="B704" s="1" t="n">
        <v>46078</v>
      </c>
      <c r="C704" s="1" t="n">
        <v>46204</v>
      </c>
      <c r="D704" t="inlineStr">
        <is>
          <t>VÄRMLANDS LÄN</t>
        </is>
      </c>
      <c r="E704" t="inlineStr">
        <is>
          <t>TORSBY</t>
        </is>
      </c>
      <c r="G704" t="n">
        <v>1.6</v>
      </c>
      <c r="H704" t="n">
        <v>0</v>
      </c>
      <c r="I704" t="n">
        <v>0</v>
      </c>
      <c r="J704" t="n">
        <v>0</v>
      </c>
      <c r="K704" t="n">
        <v>0</v>
      </c>
      <c r="L704" t="n">
        <v>0</v>
      </c>
      <c r="M704" t="n">
        <v>0</v>
      </c>
      <c r="N704" t="n">
        <v>0</v>
      </c>
      <c r="O704" t="n">
        <v>0</v>
      </c>
      <c r="P704" t="n">
        <v>0</v>
      </c>
      <c r="Q704" t="n">
        <v>0</v>
      </c>
      <c r="R704" s="2" t="inlineStr"/>
    </row>
    <row r="705" ht="15" customHeight="1">
      <c r="A705" t="inlineStr">
        <is>
          <t>A 42720-2025</t>
        </is>
      </c>
      <c r="B705" s="1" t="n">
        <v>45908</v>
      </c>
      <c r="C705" s="1" t="n">
        <v>46204</v>
      </c>
      <c r="D705" t="inlineStr">
        <is>
          <t>VÄRMLANDS LÄN</t>
        </is>
      </c>
      <c r="E705" t="inlineStr">
        <is>
          <t>TORSBY</t>
        </is>
      </c>
      <c r="F705" t="inlineStr">
        <is>
          <t>Bergvik skog väst AB</t>
        </is>
      </c>
      <c r="G705" t="n">
        <v>6.8</v>
      </c>
      <c r="H705" t="n">
        <v>0</v>
      </c>
      <c r="I705" t="n">
        <v>0</v>
      </c>
      <c r="J705" t="n">
        <v>0</v>
      </c>
      <c r="K705" t="n">
        <v>0</v>
      </c>
      <c r="L705" t="n">
        <v>0</v>
      </c>
      <c r="M705" t="n">
        <v>0</v>
      </c>
      <c r="N705" t="n">
        <v>0</v>
      </c>
      <c r="O705" t="n">
        <v>0</v>
      </c>
      <c r="P705" t="n">
        <v>0</v>
      </c>
      <c r="Q705" t="n">
        <v>0</v>
      </c>
      <c r="R705" s="2" t="inlineStr"/>
    </row>
    <row r="706" ht="15" customHeight="1">
      <c r="A706" t="inlineStr">
        <is>
          <t>A 36548-2025</t>
        </is>
      </c>
      <c r="B706" s="1" t="n">
        <v>45869</v>
      </c>
      <c r="C706" s="1" t="n">
        <v>46204</v>
      </c>
      <c r="D706" t="inlineStr">
        <is>
          <t>VÄRMLANDS LÄN</t>
        </is>
      </c>
      <c r="E706" t="inlineStr">
        <is>
          <t>TORSBY</t>
        </is>
      </c>
      <c r="G706" t="n">
        <v>7.1</v>
      </c>
      <c r="H706" t="n">
        <v>0</v>
      </c>
      <c r="I706" t="n">
        <v>0</v>
      </c>
      <c r="J706" t="n">
        <v>0</v>
      </c>
      <c r="K706" t="n">
        <v>0</v>
      </c>
      <c r="L706" t="n">
        <v>0</v>
      </c>
      <c r="M706" t="n">
        <v>0</v>
      </c>
      <c r="N706" t="n">
        <v>0</v>
      </c>
      <c r="O706" t="n">
        <v>0</v>
      </c>
      <c r="P706" t="n">
        <v>0</v>
      </c>
      <c r="Q706" t="n">
        <v>0</v>
      </c>
      <c r="R706" s="2" t="inlineStr"/>
    </row>
    <row r="707" ht="15" customHeight="1">
      <c r="A707" t="inlineStr">
        <is>
          <t>A 52689-2024</t>
        </is>
      </c>
      <c r="B707" s="1" t="n">
        <v>45610</v>
      </c>
      <c r="C707" s="1" t="n">
        <v>46204</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64432-2023</t>
        </is>
      </c>
      <c r="B708" s="1" t="n">
        <v>45280</v>
      </c>
      <c r="C708" s="1" t="n">
        <v>46204</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6708-2023</t>
        </is>
      </c>
      <c r="B709" s="1" t="n">
        <v>44960</v>
      </c>
      <c r="C709" s="1" t="n">
        <v>46204</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43614-2025</t>
        </is>
      </c>
      <c r="B710" s="1" t="n">
        <v>45911</v>
      </c>
      <c r="C710" s="1" t="n">
        <v>46204</v>
      </c>
      <c r="D710" t="inlineStr">
        <is>
          <t>VÄRMLANDS LÄN</t>
        </is>
      </c>
      <c r="E710" t="inlineStr">
        <is>
          <t>TORSBY</t>
        </is>
      </c>
      <c r="F710" t="inlineStr">
        <is>
          <t>Bergvik skog väst AB</t>
        </is>
      </c>
      <c r="G710" t="n">
        <v>3</v>
      </c>
      <c r="H710" t="n">
        <v>0</v>
      </c>
      <c r="I710" t="n">
        <v>0</v>
      </c>
      <c r="J710" t="n">
        <v>0</v>
      </c>
      <c r="K710" t="n">
        <v>0</v>
      </c>
      <c r="L710" t="n">
        <v>0</v>
      </c>
      <c r="M710" t="n">
        <v>0</v>
      </c>
      <c r="N710" t="n">
        <v>0</v>
      </c>
      <c r="O710" t="n">
        <v>0</v>
      </c>
      <c r="P710" t="n">
        <v>0</v>
      </c>
      <c r="Q710" t="n">
        <v>0</v>
      </c>
      <c r="R710" s="2" t="inlineStr"/>
    </row>
    <row r="711" ht="15" customHeight="1">
      <c r="A711" t="inlineStr">
        <is>
          <t>A 30074-2024</t>
        </is>
      </c>
      <c r="B711" s="1" t="n">
        <v>45489</v>
      </c>
      <c r="C711" s="1" t="n">
        <v>46204</v>
      </c>
      <c r="D711" t="inlineStr">
        <is>
          <t>VÄRMLANDS LÄN</t>
        </is>
      </c>
      <c r="E711" t="inlineStr">
        <is>
          <t>TORSBY</t>
        </is>
      </c>
      <c r="F711" t="inlineStr">
        <is>
          <t>Kyrkan</t>
        </is>
      </c>
      <c r="G711" t="n">
        <v>6.5</v>
      </c>
      <c r="H711" t="n">
        <v>0</v>
      </c>
      <c r="I711" t="n">
        <v>0</v>
      </c>
      <c r="J711" t="n">
        <v>0</v>
      </c>
      <c r="K711" t="n">
        <v>0</v>
      </c>
      <c r="L711" t="n">
        <v>0</v>
      </c>
      <c r="M711" t="n">
        <v>0</v>
      </c>
      <c r="N711" t="n">
        <v>0</v>
      </c>
      <c r="O711" t="n">
        <v>0</v>
      </c>
      <c r="P711" t="n">
        <v>0</v>
      </c>
      <c r="Q711" t="n">
        <v>0</v>
      </c>
      <c r="R711" s="2" t="inlineStr"/>
    </row>
    <row r="712" ht="15" customHeight="1">
      <c r="A712" t="inlineStr">
        <is>
          <t>A 56815-2023</t>
        </is>
      </c>
      <c r="B712" s="1" t="n">
        <v>45244</v>
      </c>
      <c r="C712" s="1" t="n">
        <v>46204</v>
      </c>
      <c r="D712" t="inlineStr">
        <is>
          <t>VÄRMLANDS LÄN</t>
        </is>
      </c>
      <c r="E712" t="inlineStr">
        <is>
          <t>TORSBY</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65713-2021</t>
        </is>
      </c>
      <c r="B713" s="1" t="n">
        <v>44516</v>
      </c>
      <c r="C713" s="1" t="n">
        <v>46204</v>
      </c>
      <c r="D713" t="inlineStr">
        <is>
          <t>VÄRMLANDS LÄN</t>
        </is>
      </c>
      <c r="E713" t="inlineStr">
        <is>
          <t>TORSBY</t>
        </is>
      </c>
      <c r="G713" t="n">
        <v>7</v>
      </c>
      <c r="H713" t="n">
        <v>0</v>
      </c>
      <c r="I713" t="n">
        <v>0</v>
      </c>
      <c r="J713" t="n">
        <v>0</v>
      </c>
      <c r="K713" t="n">
        <v>0</v>
      </c>
      <c r="L713" t="n">
        <v>0</v>
      </c>
      <c r="M713" t="n">
        <v>0</v>
      </c>
      <c r="N713" t="n">
        <v>0</v>
      </c>
      <c r="O713" t="n">
        <v>0</v>
      </c>
      <c r="P713" t="n">
        <v>0</v>
      </c>
      <c r="Q713" t="n">
        <v>0</v>
      </c>
      <c r="R713" s="2" t="inlineStr"/>
    </row>
    <row r="714" ht="15" customHeight="1">
      <c r="A714" t="inlineStr">
        <is>
          <t>A 43608-2025</t>
        </is>
      </c>
      <c r="B714" s="1" t="n">
        <v>45911</v>
      </c>
      <c r="C714" s="1" t="n">
        <v>46204</v>
      </c>
      <c r="D714" t="inlineStr">
        <is>
          <t>VÄRMLANDS LÄN</t>
        </is>
      </c>
      <c r="E714" t="inlineStr">
        <is>
          <t>TORSBY</t>
        </is>
      </c>
      <c r="F714" t="inlineStr">
        <is>
          <t>Bergvik skog väst AB</t>
        </is>
      </c>
      <c r="G714" t="n">
        <v>6</v>
      </c>
      <c r="H714" t="n">
        <v>0</v>
      </c>
      <c r="I714" t="n">
        <v>0</v>
      </c>
      <c r="J714" t="n">
        <v>0</v>
      </c>
      <c r="K714" t="n">
        <v>0</v>
      </c>
      <c r="L714" t="n">
        <v>0</v>
      </c>
      <c r="M714" t="n">
        <v>0</v>
      </c>
      <c r="N714" t="n">
        <v>0</v>
      </c>
      <c r="O714" t="n">
        <v>0</v>
      </c>
      <c r="P714" t="n">
        <v>0</v>
      </c>
      <c r="Q714" t="n">
        <v>0</v>
      </c>
      <c r="R714" s="2" t="inlineStr"/>
    </row>
    <row r="715" ht="15" customHeight="1">
      <c r="A715" t="inlineStr">
        <is>
          <t>A 43304-2025</t>
        </is>
      </c>
      <c r="B715" s="1" t="n">
        <v>45910</v>
      </c>
      <c r="C715" s="1" t="n">
        <v>46204</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10536-2026</t>
        </is>
      </c>
      <c r="B716" s="1" t="n">
        <v>46077</v>
      </c>
      <c r="C716" s="1" t="n">
        <v>46204</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1512-2025</t>
        </is>
      </c>
      <c r="B717" s="1" t="n">
        <v>45670</v>
      </c>
      <c r="C717" s="1" t="n">
        <v>46204</v>
      </c>
      <c r="D717" t="inlineStr">
        <is>
          <t>VÄRMLANDS LÄN</t>
        </is>
      </c>
      <c r="E717" t="inlineStr">
        <is>
          <t>TORSBY</t>
        </is>
      </c>
      <c r="G717" t="n">
        <v>2.7</v>
      </c>
      <c r="H717" t="n">
        <v>0</v>
      </c>
      <c r="I717" t="n">
        <v>0</v>
      </c>
      <c r="J717" t="n">
        <v>0</v>
      </c>
      <c r="K717" t="n">
        <v>0</v>
      </c>
      <c r="L717" t="n">
        <v>0</v>
      </c>
      <c r="M717" t="n">
        <v>0</v>
      </c>
      <c r="N717" t="n">
        <v>0</v>
      </c>
      <c r="O717" t="n">
        <v>0</v>
      </c>
      <c r="P717" t="n">
        <v>0</v>
      </c>
      <c r="Q717" t="n">
        <v>0</v>
      </c>
      <c r="R717" s="2" t="inlineStr"/>
    </row>
    <row r="718" ht="15" customHeight="1">
      <c r="A718" t="inlineStr">
        <is>
          <t>A 1104-2025</t>
        </is>
      </c>
      <c r="B718" s="1" t="n">
        <v>45666</v>
      </c>
      <c r="C718" s="1" t="n">
        <v>46204</v>
      </c>
      <c r="D718" t="inlineStr">
        <is>
          <t>VÄRMLANDS LÄN</t>
        </is>
      </c>
      <c r="E718" t="inlineStr">
        <is>
          <t>TORSBY</t>
        </is>
      </c>
      <c r="G718" t="n">
        <v>6.9</v>
      </c>
      <c r="H718" t="n">
        <v>0</v>
      </c>
      <c r="I718" t="n">
        <v>0</v>
      </c>
      <c r="J718" t="n">
        <v>0</v>
      </c>
      <c r="K718" t="n">
        <v>0</v>
      </c>
      <c r="L718" t="n">
        <v>0</v>
      </c>
      <c r="M718" t="n">
        <v>0</v>
      </c>
      <c r="N718" t="n">
        <v>0</v>
      </c>
      <c r="O718" t="n">
        <v>0</v>
      </c>
      <c r="P718" t="n">
        <v>0</v>
      </c>
      <c r="Q718" t="n">
        <v>0</v>
      </c>
      <c r="R718" s="2" t="inlineStr"/>
    </row>
    <row r="719" ht="15" customHeight="1">
      <c r="A719" t="inlineStr">
        <is>
          <t>A 43313-2025</t>
        </is>
      </c>
      <c r="B719" s="1" t="n">
        <v>45910</v>
      </c>
      <c r="C719" s="1" t="n">
        <v>46204</v>
      </c>
      <c r="D719" t="inlineStr">
        <is>
          <t>VÄRMLANDS LÄN</t>
        </is>
      </c>
      <c r="E719" t="inlineStr">
        <is>
          <t>TORSBY</t>
        </is>
      </c>
      <c r="F719" t="inlineStr">
        <is>
          <t>Övriga Aktiebolag</t>
        </is>
      </c>
      <c r="G719" t="n">
        <v>9.5</v>
      </c>
      <c r="H719" t="n">
        <v>0</v>
      </c>
      <c r="I719" t="n">
        <v>0</v>
      </c>
      <c r="J719" t="n">
        <v>0</v>
      </c>
      <c r="K719" t="n">
        <v>0</v>
      </c>
      <c r="L719" t="n">
        <v>0</v>
      </c>
      <c r="M719" t="n">
        <v>0</v>
      </c>
      <c r="N719" t="n">
        <v>0</v>
      </c>
      <c r="O719" t="n">
        <v>0</v>
      </c>
      <c r="P719" t="n">
        <v>0</v>
      </c>
      <c r="Q719" t="n">
        <v>0</v>
      </c>
      <c r="R719" s="2" t="inlineStr"/>
    </row>
    <row r="720" ht="15" customHeight="1">
      <c r="A720" t="inlineStr">
        <is>
          <t>A 13723-2023</t>
        </is>
      </c>
      <c r="B720" s="1" t="n">
        <v>45007</v>
      </c>
      <c r="C720" s="1" t="n">
        <v>46204</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24657-2024</t>
        </is>
      </c>
      <c r="B721" s="1" t="n">
        <v>45460</v>
      </c>
      <c r="C721" s="1" t="n">
        <v>46204</v>
      </c>
      <c r="D721" t="inlineStr">
        <is>
          <t>VÄRMLANDS LÄN</t>
        </is>
      </c>
      <c r="E721" t="inlineStr">
        <is>
          <t>TORSBY</t>
        </is>
      </c>
      <c r="G721" t="n">
        <v>1.6</v>
      </c>
      <c r="H721" t="n">
        <v>0</v>
      </c>
      <c r="I721" t="n">
        <v>0</v>
      </c>
      <c r="J721" t="n">
        <v>0</v>
      </c>
      <c r="K721" t="n">
        <v>0</v>
      </c>
      <c r="L721" t="n">
        <v>0</v>
      </c>
      <c r="M721" t="n">
        <v>0</v>
      </c>
      <c r="N721" t="n">
        <v>0</v>
      </c>
      <c r="O721" t="n">
        <v>0</v>
      </c>
      <c r="P721" t="n">
        <v>0</v>
      </c>
      <c r="Q721" t="n">
        <v>0</v>
      </c>
      <c r="R721" s="2" t="inlineStr"/>
    </row>
    <row r="722" ht="15" customHeight="1">
      <c r="A722" t="inlineStr">
        <is>
          <t>A 52532-2023</t>
        </is>
      </c>
      <c r="B722" s="1" t="n">
        <v>45225</v>
      </c>
      <c r="C722" s="1" t="n">
        <v>46204</v>
      </c>
      <c r="D722" t="inlineStr">
        <is>
          <t>VÄRMLANDS LÄN</t>
        </is>
      </c>
      <c r="E722" t="inlineStr">
        <is>
          <t>TORSBY</t>
        </is>
      </c>
      <c r="G722" t="n">
        <v>0.4</v>
      </c>
      <c r="H722" t="n">
        <v>0</v>
      </c>
      <c r="I722" t="n">
        <v>0</v>
      </c>
      <c r="J722" t="n">
        <v>0</v>
      </c>
      <c r="K722" t="n">
        <v>0</v>
      </c>
      <c r="L722" t="n">
        <v>0</v>
      </c>
      <c r="M722" t="n">
        <v>0</v>
      </c>
      <c r="N722" t="n">
        <v>0</v>
      </c>
      <c r="O722" t="n">
        <v>0</v>
      </c>
      <c r="P722" t="n">
        <v>0</v>
      </c>
      <c r="Q722" t="n">
        <v>0</v>
      </c>
      <c r="R722" s="2" t="inlineStr"/>
    </row>
    <row r="723" ht="15" customHeight="1">
      <c r="A723" t="inlineStr">
        <is>
          <t>A 43787-2025</t>
        </is>
      </c>
      <c r="B723" s="1" t="n">
        <v>45912</v>
      </c>
      <c r="C723" s="1" t="n">
        <v>46204</v>
      </c>
      <c r="D723" t="inlineStr">
        <is>
          <t>VÄRMLANDS LÄN</t>
        </is>
      </c>
      <c r="E723" t="inlineStr">
        <is>
          <t>TORSBY</t>
        </is>
      </c>
      <c r="G723" t="n">
        <v>13.1</v>
      </c>
      <c r="H723" t="n">
        <v>0</v>
      </c>
      <c r="I723" t="n">
        <v>0</v>
      </c>
      <c r="J723" t="n">
        <v>0</v>
      </c>
      <c r="K723" t="n">
        <v>0</v>
      </c>
      <c r="L723" t="n">
        <v>0</v>
      </c>
      <c r="M723" t="n">
        <v>0</v>
      </c>
      <c r="N723" t="n">
        <v>0</v>
      </c>
      <c r="O723" t="n">
        <v>0</v>
      </c>
      <c r="P723" t="n">
        <v>0</v>
      </c>
      <c r="Q723" t="n">
        <v>0</v>
      </c>
      <c r="R723" s="2" t="inlineStr"/>
    </row>
    <row r="724" ht="15" customHeight="1">
      <c r="A724" t="inlineStr">
        <is>
          <t>A 59425-2021</t>
        </is>
      </c>
      <c r="B724" s="1" t="n">
        <v>44491</v>
      </c>
      <c r="C724" s="1" t="n">
        <v>46204</v>
      </c>
      <c r="D724" t="inlineStr">
        <is>
          <t>VÄRMLANDS LÄN</t>
        </is>
      </c>
      <c r="E724" t="inlineStr">
        <is>
          <t>TORSBY</t>
        </is>
      </c>
      <c r="F724" t="inlineStr">
        <is>
          <t>Bergvik skog väst AB</t>
        </is>
      </c>
      <c r="G724" t="n">
        <v>14.9</v>
      </c>
      <c r="H724" t="n">
        <v>0</v>
      </c>
      <c r="I724" t="n">
        <v>0</v>
      </c>
      <c r="J724" t="n">
        <v>0</v>
      </c>
      <c r="K724" t="n">
        <v>0</v>
      </c>
      <c r="L724" t="n">
        <v>0</v>
      </c>
      <c r="M724" t="n">
        <v>0</v>
      </c>
      <c r="N724" t="n">
        <v>0</v>
      </c>
      <c r="O724" t="n">
        <v>0</v>
      </c>
      <c r="P724" t="n">
        <v>0</v>
      </c>
      <c r="Q724" t="n">
        <v>0</v>
      </c>
      <c r="R724" s="2" t="inlineStr"/>
    </row>
    <row r="725" ht="15" customHeight="1">
      <c r="A725" t="inlineStr">
        <is>
          <t>A 69878-2021</t>
        </is>
      </c>
      <c r="B725" s="1" t="n">
        <v>44532</v>
      </c>
      <c r="C725" s="1" t="n">
        <v>46204</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21518-2024</t>
        </is>
      </c>
      <c r="B726" s="1" t="n">
        <v>45441</v>
      </c>
      <c r="C726" s="1" t="n">
        <v>46204</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44156-2025</t>
        </is>
      </c>
      <c r="B727" s="1" t="n">
        <v>45915</v>
      </c>
      <c r="C727" s="1" t="n">
        <v>46204</v>
      </c>
      <c r="D727" t="inlineStr">
        <is>
          <t>VÄRMLANDS LÄN</t>
        </is>
      </c>
      <c r="E727" t="inlineStr">
        <is>
          <t>TORSBY</t>
        </is>
      </c>
      <c r="F727" t="inlineStr">
        <is>
          <t>Kyrkan</t>
        </is>
      </c>
      <c r="G727" t="n">
        <v>3.2</v>
      </c>
      <c r="H727" t="n">
        <v>0</v>
      </c>
      <c r="I727" t="n">
        <v>0</v>
      </c>
      <c r="J727" t="n">
        <v>0</v>
      </c>
      <c r="K727" t="n">
        <v>0</v>
      </c>
      <c r="L727" t="n">
        <v>0</v>
      </c>
      <c r="M727" t="n">
        <v>0</v>
      </c>
      <c r="N727" t="n">
        <v>0</v>
      </c>
      <c r="O727" t="n">
        <v>0</v>
      </c>
      <c r="P727" t="n">
        <v>0</v>
      </c>
      <c r="Q727" t="n">
        <v>0</v>
      </c>
      <c r="R727" s="2" t="inlineStr"/>
    </row>
    <row r="728" ht="15" customHeight="1">
      <c r="A728" t="inlineStr">
        <is>
          <t>A 44133-2025</t>
        </is>
      </c>
      <c r="B728" s="1" t="n">
        <v>45915</v>
      </c>
      <c r="C728" s="1" t="n">
        <v>46204</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44055-2025</t>
        </is>
      </c>
      <c r="B729" s="1" t="n">
        <v>45915</v>
      </c>
      <c r="C729" s="1" t="n">
        <v>46204</v>
      </c>
      <c r="D729" t="inlineStr">
        <is>
          <t>VÄRMLANDS LÄN</t>
        </is>
      </c>
      <c r="E729" t="inlineStr">
        <is>
          <t>TORSBY</t>
        </is>
      </c>
      <c r="F729" t="inlineStr">
        <is>
          <t>Kyrkan</t>
        </is>
      </c>
      <c r="G729" t="n">
        <v>5.4</v>
      </c>
      <c r="H729" t="n">
        <v>0</v>
      </c>
      <c r="I729" t="n">
        <v>0</v>
      </c>
      <c r="J729" t="n">
        <v>0</v>
      </c>
      <c r="K729" t="n">
        <v>0</v>
      </c>
      <c r="L729" t="n">
        <v>0</v>
      </c>
      <c r="M729" t="n">
        <v>0</v>
      </c>
      <c r="N729" t="n">
        <v>0</v>
      </c>
      <c r="O729" t="n">
        <v>0</v>
      </c>
      <c r="P729" t="n">
        <v>0</v>
      </c>
      <c r="Q729" t="n">
        <v>0</v>
      </c>
      <c r="R729" s="2" t="inlineStr"/>
    </row>
    <row r="730" ht="15" customHeight="1">
      <c r="A730" t="inlineStr">
        <is>
          <t>A 21790-2023</t>
        </is>
      </c>
      <c r="B730" s="1" t="n">
        <v>45067</v>
      </c>
      <c r="C730" s="1" t="n">
        <v>46204</v>
      </c>
      <c r="D730" t="inlineStr">
        <is>
          <t>VÄRMLANDS LÄN</t>
        </is>
      </c>
      <c r="E730" t="inlineStr">
        <is>
          <t>TORSBY</t>
        </is>
      </c>
      <c r="F730" t="inlineStr">
        <is>
          <t>Övriga statliga verk och myndigheter</t>
        </is>
      </c>
      <c r="G730" t="n">
        <v>1.1</v>
      </c>
      <c r="H730" t="n">
        <v>0</v>
      </c>
      <c r="I730" t="n">
        <v>0</v>
      </c>
      <c r="J730" t="n">
        <v>0</v>
      </c>
      <c r="K730" t="n">
        <v>0</v>
      </c>
      <c r="L730" t="n">
        <v>0</v>
      </c>
      <c r="M730" t="n">
        <v>0</v>
      </c>
      <c r="N730" t="n">
        <v>0</v>
      </c>
      <c r="O730" t="n">
        <v>0</v>
      </c>
      <c r="P730" t="n">
        <v>0</v>
      </c>
      <c r="Q730" t="n">
        <v>0</v>
      </c>
      <c r="R730" s="2" t="inlineStr"/>
    </row>
    <row r="731" ht="15" customHeight="1">
      <c r="A731" t="inlineStr">
        <is>
          <t>A 29936-2024</t>
        </is>
      </c>
      <c r="B731" s="1" t="n">
        <v>45488</v>
      </c>
      <c r="C731" s="1" t="n">
        <v>46204</v>
      </c>
      <c r="D731" t="inlineStr">
        <is>
          <t>VÄRMLANDS LÄN</t>
        </is>
      </c>
      <c r="E731" t="inlineStr">
        <is>
          <t>TORSBY</t>
        </is>
      </c>
      <c r="F731" t="inlineStr">
        <is>
          <t>Kommuner</t>
        </is>
      </c>
      <c r="G731" t="n">
        <v>1.3</v>
      </c>
      <c r="H731" t="n">
        <v>0</v>
      </c>
      <c r="I731" t="n">
        <v>0</v>
      </c>
      <c r="J731" t="n">
        <v>0</v>
      </c>
      <c r="K731" t="n">
        <v>0</v>
      </c>
      <c r="L731" t="n">
        <v>0</v>
      </c>
      <c r="M731" t="n">
        <v>0</v>
      </c>
      <c r="N731" t="n">
        <v>0</v>
      </c>
      <c r="O731" t="n">
        <v>0</v>
      </c>
      <c r="P731" t="n">
        <v>0</v>
      </c>
      <c r="Q731" t="n">
        <v>0</v>
      </c>
      <c r="R731" s="2" t="inlineStr"/>
    </row>
    <row r="732" ht="15" customHeight="1">
      <c r="A732" t="inlineStr">
        <is>
          <t>A 44141-2025</t>
        </is>
      </c>
      <c r="B732" s="1" t="n">
        <v>45915</v>
      </c>
      <c r="C732" s="1" t="n">
        <v>46204</v>
      </c>
      <c r="D732" t="inlineStr">
        <is>
          <t>VÄRMLANDS LÄN</t>
        </is>
      </c>
      <c r="E732" t="inlineStr">
        <is>
          <t>TORSBY</t>
        </is>
      </c>
      <c r="F732" t="inlineStr">
        <is>
          <t>Kyrkan</t>
        </is>
      </c>
      <c r="G732" t="n">
        <v>2.4</v>
      </c>
      <c r="H732" t="n">
        <v>0</v>
      </c>
      <c r="I732" t="n">
        <v>0</v>
      </c>
      <c r="J732" t="n">
        <v>0</v>
      </c>
      <c r="K732" t="n">
        <v>0</v>
      </c>
      <c r="L732" t="n">
        <v>0</v>
      </c>
      <c r="M732" t="n">
        <v>0</v>
      </c>
      <c r="N732" t="n">
        <v>0</v>
      </c>
      <c r="O732" t="n">
        <v>0</v>
      </c>
      <c r="P732" t="n">
        <v>0</v>
      </c>
      <c r="Q732" t="n">
        <v>0</v>
      </c>
      <c r="R732" s="2" t="inlineStr"/>
    </row>
    <row r="733" ht="15" customHeight="1">
      <c r="A733" t="inlineStr">
        <is>
          <t>A 44507-2025</t>
        </is>
      </c>
      <c r="B733" s="1" t="n">
        <v>45916</v>
      </c>
      <c r="C733" s="1" t="n">
        <v>46204</v>
      </c>
      <c r="D733" t="inlineStr">
        <is>
          <t>VÄRMLANDS LÄN</t>
        </is>
      </c>
      <c r="E733" t="inlineStr">
        <is>
          <t>TORSBY</t>
        </is>
      </c>
      <c r="F733" t="inlineStr">
        <is>
          <t>Bergvik skog väst AB</t>
        </is>
      </c>
      <c r="G733" t="n">
        <v>10.9</v>
      </c>
      <c r="H733" t="n">
        <v>0</v>
      </c>
      <c r="I733" t="n">
        <v>0</v>
      </c>
      <c r="J733" t="n">
        <v>0</v>
      </c>
      <c r="K733" t="n">
        <v>0</v>
      </c>
      <c r="L733" t="n">
        <v>0</v>
      </c>
      <c r="M733" t="n">
        <v>0</v>
      </c>
      <c r="N733" t="n">
        <v>0</v>
      </c>
      <c r="O733" t="n">
        <v>0</v>
      </c>
      <c r="P733" t="n">
        <v>0</v>
      </c>
      <c r="Q733" t="n">
        <v>0</v>
      </c>
      <c r="R733" s="2" t="inlineStr"/>
    </row>
    <row r="734" ht="15" customHeight="1">
      <c r="A734" t="inlineStr">
        <is>
          <t>A 5351-2024</t>
        </is>
      </c>
      <c r="B734" s="1" t="n">
        <v>45331</v>
      </c>
      <c r="C734" s="1" t="n">
        <v>46204</v>
      </c>
      <c r="D734" t="inlineStr">
        <is>
          <t>VÄRMLANDS LÄN</t>
        </is>
      </c>
      <c r="E734" t="inlineStr">
        <is>
          <t>TORSBY</t>
        </is>
      </c>
      <c r="G734" t="n">
        <v>8.9</v>
      </c>
      <c r="H734" t="n">
        <v>0</v>
      </c>
      <c r="I734" t="n">
        <v>0</v>
      </c>
      <c r="J734" t="n">
        <v>0</v>
      </c>
      <c r="K734" t="n">
        <v>0</v>
      </c>
      <c r="L734" t="n">
        <v>0</v>
      </c>
      <c r="M734" t="n">
        <v>0</v>
      </c>
      <c r="N734" t="n">
        <v>0</v>
      </c>
      <c r="O734" t="n">
        <v>0</v>
      </c>
      <c r="P734" t="n">
        <v>0</v>
      </c>
      <c r="Q734" t="n">
        <v>0</v>
      </c>
      <c r="R734" s="2" t="inlineStr"/>
    </row>
    <row r="735" ht="15" customHeight="1">
      <c r="A735" t="inlineStr">
        <is>
          <t>A 19159-2025</t>
        </is>
      </c>
      <c r="B735" s="1" t="n">
        <v>45769</v>
      </c>
      <c r="C735" s="1" t="n">
        <v>46204</v>
      </c>
      <c r="D735" t="inlineStr">
        <is>
          <t>VÄRMLANDS LÄN</t>
        </is>
      </c>
      <c r="E735" t="inlineStr">
        <is>
          <t>TORSBY</t>
        </is>
      </c>
      <c r="F735" t="inlineStr">
        <is>
          <t>Bergvik skog väst AB</t>
        </is>
      </c>
      <c r="G735" t="n">
        <v>10.2</v>
      </c>
      <c r="H735" t="n">
        <v>0</v>
      </c>
      <c r="I735" t="n">
        <v>0</v>
      </c>
      <c r="J735" t="n">
        <v>0</v>
      </c>
      <c r="K735" t="n">
        <v>0</v>
      </c>
      <c r="L735" t="n">
        <v>0</v>
      </c>
      <c r="M735" t="n">
        <v>0</v>
      </c>
      <c r="N735" t="n">
        <v>0</v>
      </c>
      <c r="O735" t="n">
        <v>0</v>
      </c>
      <c r="P735" t="n">
        <v>0</v>
      </c>
      <c r="Q735" t="n">
        <v>0</v>
      </c>
      <c r="R735" s="2" t="inlineStr"/>
    </row>
    <row r="736" ht="15" customHeight="1">
      <c r="A736" t="inlineStr">
        <is>
          <t>A 46221-2023</t>
        </is>
      </c>
      <c r="B736" s="1" t="n">
        <v>45196</v>
      </c>
      <c r="C736" s="1" t="n">
        <v>46204</v>
      </c>
      <c r="D736" t="inlineStr">
        <is>
          <t>VÄRMLANDS LÄN</t>
        </is>
      </c>
      <c r="E736" t="inlineStr">
        <is>
          <t>TORSBY</t>
        </is>
      </c>
      <c r="G736" t="n">
        <v>6.5</v>
      </c>
      <c r="H736" t="n">
        <v>0</v>
      </c>
      <c r="I736" t="n">
        <v>0</v>
      </c>
      <c r="J736" t="n">
        <v>0</v>
      </c>
      <c r="K736" t="n">
        <v>0</v>
      </c>
      <c r="L736" t="n">
        <v>0</v>
      </c>
      <c r="M736" t="n">
        <v>0</v>
      </c>
      <c r="N736" t="n">
        <v>0</v>
      </c>
      <c r="O736" t="n">
        <v>0</v>
      </c>
      <c r="P736" t="n">
        <v>0</v>
      </c>
      <c r="Q736" t="n">
        <v>0</v>
      </c>
      <c r="R736" s="2" t="inlineStr"/>
    </row>
    <row r="737" ht="15" customHeight="1">
      <c r="A737" t="inlineStr">
        <is>
          <t>A 10332-2026</t>
        </is>
      </c>
      <c r="B737" s="1" t="n">
        <v>46076</v>
      </c>
      <c r="C737" s="1" t="n">
        <v>46204</v>
      </c>
      <c r="D737" t="inlineStr">
        <is>
          <t>VÄRMLANDS LÄN</t>
        </is>
      </c>
      <c r="E737" t="inlineStr">
        <is>
          <t>TORSBY</t>
        </is>
      </c>
      <c r="G737" t="n">
        <v>5.7</v>
      </c>
      <c r="H737" t="n">
        <v>0</v>
      </c>
      <c r="I737" t="n">
        <v>0</v>
      </c>
      <c r="J737" t="n">
        <v>0</v>
      </c>
      <c r="K737" t="n">
        <v>0</v>
      </c>
      <c r="L737" t="n">
        <v>0</v>
      </c>
      <c r="M737" t="n">
        <v>0</v>
      </c>
      <c r="N737" t="n">
        <v>0</v>
      </c>
      <c r="O737" t="n">
        <v>0</v>
      </c>
      <c r="P737" t="n">
        <v>0</v>
      </c>
      <c r="Q737" t="n">
        <v>0</v>
      </c>
      <c r="R737" s="2" t="inlineStr"/>
    </row>
    <row r="738" ht="15" customHeight="1">
      <c r="A738" t="inlineStr">
        <is>
          <t>A 51199-2023</t>
        </is>
      </c>
      <c r="B738" s="1" t="n">
        <v>45219</v>
      </c>
      <c r="C738" s="1" t="n">
        <v>46204</v>
      </c>
      <c r="D738" t="inlineStr">
        <is>
          <t>VÄRMLANDS LÄN</t>
        </is>
      </c>
      <c r="E738" t="inlineStr">
        <is>
          <t>TORSBY</t>
        </is>
      </c>
      <c r="G738" t="n">
        <v>4.8</v>
      </c>
      <c r="H738" t="n">
        <v>0</v>
      </c>
      <c r="I738" t="n">
        <v>0</v>
      </c>
      <c r="J738" t="n">
        <v>0</v>
      </c>
      <c r="K738" t="n">
        <v>0</v>
      </c>
      <c r="L738" t="n">
        <v>0</v>
      </c>
      <c r="M738" t="n">
        <v>0</v>
      </c>
      <c r="N738" t="n">
        <v>0</v>
      </c>
      <c r="O738" t="n">
        <v>0</v>
      </c>
      <c r="P738" t="n">
        <v>0</v>
      </c>
      <c r="Q738" t="n">
        <v>0</v>
      </c>
      <c r="R738" s="2" t="inlineStr"/>
    </row>
    <row r="739" ht="15" customHeight="1">
      <c r="A739" t="inlineStr">
        <is>
          <t>A 36856-2025</t>
        </is>
      </c>
      <c r="B739" s="1" t="n">
        <v>45874</v>
      </c>
      <c r="C739" s="1" t="n">
        <v>46204</v>
      </c>
      <c r="D739" t="inlineStr">
        <is>
          <t>VÄRMLANDS LÄN</t>
        </is>
      </c>
      <c r="E739" t="inlineStr">
        <is>
          <t>TORSBY</t>
        </is>
      </c>
      <c r="G739" t="n">
        <v>4.4</v>
      </c>
      <c r="H739" t="n">
        <v>0</v>
      </c>
      <c r="I739" t="n">
        <v>0</v>
      </c>
      <c r="J739" t="n">
        <v>0</v>
      </c>
      <c r="K739" t="n">
        <v>0</v>
      </c>
      <c r="L739" t="n">
        <v>0</v>
      </c>
      <c r="M739" t="n">
        <v>0</v>
      </c>
      <c r="N739" t="n">
        <v>0</v>
      </c>
      <c r="O739" t="n">
        <v>0</v>
      </c>
      <c r="P739" t="n">
        <v>0</v>
      </c>
      <c r="Q739" t="n">
        <v>0</v>
      </c>
      <c r="R739" s="2" t="inlineStr"/>
    </row>
    <row r="740" ht="15" customHeight="1">
      <c r="A740" t="inlineStr">
        <is>
          <t>A 45245-2025</t>
        </is>
      </c>
      <c r="B740" s="1" t="n">
        <v>45919</v>
      </c>
      <c r="C740" s="1" t="n">
        <v>46204</v>
      </c>
      <c r="D740" t="inlineStr">
        <is>
          <t>VÄRMLANDS LÄN</t>
        </is>
      </c>
      <c r="E740" t="inlineStr">
        <is>
          <t>TORSBY</t>
        </is>
      </c>
      <c r="F740" t="inlineStr">
        <is>
          <t>Kyrkan</t>
        </is>
      </c>
      <c r="G740" t="n">
        <v>2.8</v>
      </c>
      <c r="H740" t="n">
        <v>0</v>
      </c>
      <c r="I740" t="n">
        <v>0</v>
      </c>
      <c r="J740" t="n">
        <v>0</v>
      </c>
      <c r="K740" t="n">
        <v>0</v>
      </c>
      <c r="L740" t="n">
        <v>0</v>
      </c>
      <c r="M740" t="n">
        <v>0</v>
      </c>
      <c r="N740" t="n">
        <v>0</v>
      </c>
      <c r="O740" t="n">
        <v>0</v>
      </c>
      <c r="P740" t="n">
        <v>0</v>
      </c>
      <c r="Q740" t="n">
        <v>0</v>
      </c>
      <c r="R740" s="2" t="inlineStr"/>
    </row>
    <row r="741" ht="15" customHeight="1">
      <c r="A741" t="inlineStr">
        <is>
          <t>A 45043-2025</t>
        </is>
      </c>
      <c r="B741" s="1" t="n">
        <v>45918</v>
      </c>
      <c r="C741" s="1" t="n">
        <v>46204</v>
      </c>
      <c r="D741" t="inlineStr">
        <is>
          <t>VÄRMLANDS LÄN</t>
        </is>
      </c>
      <c r="E741" t="inlineStr">
        <is>
          <t>TORSBY</t>
        </is>
      </c>
      <c r="G741" t="n">
        <v>1.4</v>
      </c>
      <c r="H741" t="n">
        <v>0</v>
      </c>
      <c r="I741" t="n">
        <v>0</v>
      </c>
      <c r="J741" t="n">
        <v>0</v>
      </c>
      <c r="K741" t="n">
        <v>0</v>
      </c>
      <c r="L741" t="n">
        <v>0</v>
      </c>
      <c r="M741" t="n">
        <v>0</v>
      </c>
      <c r="N741" t="n">
        <v>0</v>
      </c>
      <c r="O741" t="n">
        <v>0</v>
      </c>
      <c r="P741" t="n">
        <v>0</v>
      </c>
      <c r="Q741" t="n">
        <v>0</v>
      </c>
      <c r="R741" s="2" t="inlineStr"/>
    </row>
    <row r="742" ht="15" customHeight="1">
      <c r="A742" t="inlineStr">
        <is>
          <t>A 44808-2025</t>
        </is>
      </c>
      <c r="B742" s="1" t="n">
        <v>45918</v>
      </c>
      <c r="C742" s="1" t="n">
        <v>46204</v>
      </c>
      <c r="D742" t="inlineStr">
        <is>
          <t>VÄRMLANDS LÄN</t>
        </is>
      </c>
      <c r="E742" t="inlineStr">
        <is>
          <t>TORSBY</t>
        </is>
      </c>
      <c r="G742" t="n">
        <v>7.2</v>
      </c>
      <c r="H742" t="n">
        <v>0</v>
      </c>
      <c r="I742" t="n">
        <v>0</v>
      </c>
      <c r="J742" t="n">
        <v>0</v>
      </c>
      <c r="K742" t="n">
        <v>0</v>
      </c>
      <c r="L742" t="n">
        <v>0</v>
      </c>
      <c r="M742" t="n">
        <v>0</v>
      </c>
      <c r="N742" t="n">
        <v>0</v>
      </c>
      <c r="O742" t="n">
        <v>0</v>
      </c>
      <c r="P742" t="n">
        <v>0</v>
      </c>
      <c r="Q742" t="n">
        <v>0</v>
      </c>
      <c r="R742" s="2" t="inlineStr"/>
    </row>
    <row r="743" ht="15" customHeight="1">
      <c r="A743" t="inlineStr">
        <is>
          <t>A 45108-2025</t>
        </is>
      </c>
      <c r="B743" s="1" t="n">
        <v>45919</v>
      </c>
      <c r="C743" s="1" t="n">
        <v>46204</v>
      </c>
      <c r="D743" t="inlineStr">
        <is>
          <t>VÄRMLANDS LÄN</t>
        </is>
      </c>
      <c r="E743" t="inlineStr">
        <is>
          <t>TORSBY</t>
        </is>
      </c>
      <c r="F743" t="inlineStr">
        <is>
          <t>Bergvik skog väst AB</t>
        </is>
      </c>
      <c r="G743" t="n">
        <v>24.4</v>
      </c>
      <c r="H743" t="n">
        <v>0</v>
      </c>
      <c r="I743" t="n">
        <v>0</v>
      </c>
      <c r="J743" t="n">
        <v>0</v>
      </c>
      <c r="K743" t="n">
        <v>0</v>
      </c>
      <c r="L743" t="n">
        <v>0</v>
      </c>
      <c r="M743" t="n">
        <v>0</v>
      </c>
      <c r="N743" t="n">
        <v>0</v>
      </c>
      <c r="O743" t="n">
        <v>0</v>
      </c>
      <c r="P743" t="n">
        <v>0</v>
      </c>
      <c r="Q743" t="n">
        <v>0</v>
      </c>
      <c r="R743" s="2" t="inlineStr"/>
    </row>
    <row r="744" ht="15" customHeight="1">
      <c r="A744" t="inlineStr">
        <is>
          <t>A 37260-2025</t>
        </is>
      </c>
      <c r="B744" s="1" t="n">
        <v>45876</v>
      </c>
      <c r="C744" s="1" t="n">
        <v>46204</v>
      </c>
      <c r="D744" t="inlineStr">
        <is>
          <t>VÄRMLANDS LÄN</t>
        </is>
      </c>
      <c r="E744" t="inlineStr">
        <is>
          <t>TORSBY</t>
        </is>
      </c>
      <c r="F744" t="inlineStr">
        <is>
          <t>Bergvik skog väst AB</t>
        </is>
      </c>
      <c r="G744" t="n">
        <v>4.3</v>
      </c>
      <c r="H744" t="n">
        <v>0</v>
      </c>
      <c r="I744" t="n">
        <v>0</v>
      </c>
      <c r="J744" t="n">
        <v>0</v>
      </c>
      <c r="K744" t="n">
        <v>0</v>
      </c>
      <c r="L744" t="n">
        <v>0</v>
      </c>
      <c r="M744" t="n">
        <v>0</v>
      </c>
      <c r="N744" t="n">
        <v>0</v>
      </c>
      <c r="O744" t="n">
        <v>0</v>
      </c>
      <c r="P744" t="n">
        <v>0</v>
      </c>
      <c r="Q744" t="n">
        <v>0</v>
      </c>
      <c r="R744" s="2" t="inlineStr"/>
    </row>
    <row r="745" ht="15" customHeight="1">
      <c r="A745" t="inlineStr">
        <is>
          <t>A 44794-2025</t>
        </is>
      </c>
      <c r="B745" s="1" t="n">
        <v>45918</v>
      </c>
      <c r="C745" s="1" t="n">
        <v>46204</v>
      </c>
      <c r="D745" t="inlineStr">
        <is>
          <t>VÄRMLANDS LÄN</t>
        </is>
      </c>
      <c r="E745" t="inlineStr">
        <is>
          <t>TORSBY</t>
        </is>
      </c>
      <c r="G745" t="n">
        <v>3.4</v>
      </c>
      <c r="H745" t="n">
        <v>0</v>
      </c>
      <c r="I745" t="n">
        <v>0</v>
      </c>
      <c r="J745" t="n">
        <v>0</v>
      </c>
      <c r="K745" t="n">
        <v>0</v>
      </c>
      <c r="L745" t="n">
        <v>0</v>
      </c>
      <c r="M745" t="n">
        <v>0</v>
      </c>
      <c r="N745" t="n">
        <v>0</v>
      </c>
      <c r="O745" t="n">
        <v>0</v>
      </c>
      <c r="P745" t="n">
        <v>0</v>
      </c>
      <c r="Q745" t="n">
        <v>0</v>
      </c>
      <c r="R745" s="2" t="inlineStr"/>
    </row>
    <row r="746" ht="15" customHeight="1">
      <c r="A746" t="inlineStr">
        <is>
          <t>A 44817-2025</t>
        </is>
      </c>
      <c r="B746" s="1" t="n">
        <v>45918</v>
      </c>
      <c r="C746" s="1" t="n">
        <v>46204</v>
      </c>
      <c r="D746" t="inlineStr">
        <is>
          <t>VÄRMLANDS LÄN</t>
        </is>
      </c>
      <c r="E746" t="inlineStr">
        <is>
          <t>TORSBY</t>
        </is>
      </c>
      <c r="F746" t="inlineStr">
        <is>
          <t>Bergvik skog väst AB</t>
        </is>
      </c>
      <c r="G746" t="n">
        <v>6.2</v>
      </c>
      <c r="H746" t="n">
        <v>0</v>
      </c>
      <c r="I746" t="n">
        <v>0</v>
      </c>
      <c r="J746" t="n">
        <v>0</v>
      </c>
      <c r="K746" t="n">
        <v>0</v>
      </c>
      <c r="L746" t="n">
        <v>0</v>
      </c>
      <c r="M746" t="n">
        <v>0</v>
      </c>
      <c r="N746" t="n">
        <v>0</v>
      </c>
      <c r="O746" t="n">
        <v>0</v>
      </c>
      <c r="P746" t="n">
        <v>0</v>
      </c>
      <c r="Q746" t="n">
        <v>0</v>
      </c>
      <c r="R746" s="2" t="inlineStr"/>
    </row>
    <row r="747" ht="15" customHeight="1">
      <c r="A747" t="inlineStr">
        <is>
          <t>A 44292-2025</t>
        </is>
      </c>
      <c r="B747" s="1" t="n">
        <v>45915</v>
      </c>
      <c r="C747" s="1" t="n">
        <v>46204</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20898-2023</t>
        </is>
      </c>
      <c r="B748" s="1" t="n">
        <v>45059</v>
      </c>
      <c r="C748" s="1" t="n">
        <v>46204</v>
      </c>
      <c r="D748" t="inlineStr">
        <is>
          <t>VÄRMLANDS LÄN</t>
        </is>
      </c>
      <c r="E748" t="inlineStr">
        <is>
          <t>TORSBY</t>
        </is>
      </c>
      <c r="G748" t="n">
        <v>3.1</v>
      </c>
      <c r="H748" t="n">
        <v>0</v>
      </c>
      <c r="I748" t="n">
        <v>0</v>
      </c>
      <c r="J748" t="n">
        <v>0</v>
      </c>
      <c r="K748" t="n">
        <v>0</v>
      </c>
      <c r="L748" t="n">
        <v>0</v>
      </c>
      <c r="M748" t="n">
        <v>0</v>
      </c>
      <c r="N748" t="n">
        <v>0</v>
      </c>
      <c r="O748" t="n">
        <v>0</v>
      </c>
      <c r="P748" t="n">
        <v>0</v>
      </c>
      <c r="Q748" t="n">
        <v>0</v>
      </c>
      <c r="R748" s="2" t="inlineStr"/>
    </row>
    <row r="749" ht="15" customHeight="1">
      <c r="A749" t="inlineStr">
        <is>
          <t>A 60314-2023</t>
        </is>
      </c>
      <c r="B749" s="1" t="n">
        <v>45258</v>
      </c>
      <c r="C749" s="1" t="n">
        <v>46204</v>
      </c>
      <c r="D749" t="inlineStr">
        <is>
          <t>VÄRMLANDS LÄN</t>
        </is>
      </c>
      <c r="E749" t="inlineStr">
        <is>
          <t>TORSBY</t>
        </is>
      </c>
      <c r="G749" t="n">
        <v>0.1</v>
      </c>
      <c r="H749" t="n">
        <v>0</v>
      </c>
      <c r="I749" t="n">
        <v>0</v>
      </c>
      <c r="J749" t="n">
        <v>0</v>
      </c>
      <c r="K749" t="n">
        <v>0</v>
      </c>
      <c r="L749" t="n">
        <v>0</v>
      </c>
      <c r="M749" t="n">
        <v>0</v>
      </c>
      <c r="N749" t="n">
        <v>0</v>
      </c>
      <c r="O749" t="n">
        <v>0</v>
      </c>
      <c r="P749" t="n">
        <v>0</v>
      </c>
      <c r="Q749" t="n">
        <v>0</v>
      </c>
      <c r="R749" s="2" t="inlineStr"/>
    </row>
    <row r="750" ht="15" customHeight="1">
      <c r="A750" t="inlineStr">
        <is>
          <t>A 41270-2023</t>
        </is>
      </c>
      <c r="B750" s="1" t="n">
        <v>45174</v>
      </c>
      <c r="C750" s="1" t="n">
        <v>46204</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50852-2023</t>
        </is>
      </c>
      <c r="B751" s="1" t="n">
        <v>45218</v>
      </c>
      <c r="C751" s="1" t="n">
        <v>46204</v>
      </c>
      <c r="D751" t="inlineStr">
        <is>
          <t>VÄRMLANDS LÄN</t>
        </is>
      </c>
      <c r="E751" t="inlineStr">
        <is>
          <t>TORSBY</t>
        </is>
      </c>
      <c r="G751" t="n">
        <v>3.8</v>
      </c>
      <c r="H751" t="n">
        <v>0</v>
      </c>
      <c r="I751" t="n">
        <v>0</v>
      </c>
      <c r="J751" t="n">
        <v>0</v>
      </c>
      <c r="K751" t="n">
        <v>0</v>
      </c>
      <c r="L751" t="n">
        <v>0</v>
      </c>
      <c r="M751" t="n">
        <v>0</v>
      </c>
      <c r="N751" t="n">
        <v>0</v>
      </c>
      <c r="O751" t="n">
        <v>0</v>
      </c>
      <c r="P751" t="n">
        <v>0</v>
      </c>
      <c r="Q751" t="n">
        <v>0</v>
      </c>
      <c r="R751" s="2" t="inlineStr"/>
    </row>
    <row r="752" ht="15" customHeight="1">
      <c r="A752" t="inlineStr">
        <is>
          <t>A 27677-2024</t>
        </is>
      </c>
      <c r="B752" s="1" t="n">
        <v>45475</v>
      </c>
      <c r="C752" s="1" t="n">
        <v>46204</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27678-2024</t>
        </is>
      </c>
      <c r="B753" s="1" t="n">
        <v>45475</v>
      </c>
      <c r="C753" s="1" t="n">
        <v>46204</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26042-2024</t>
        </is>
      </c>
      <c r="B754" s="1" t="n">
        <v>45468</v>
      </c>
      <c r="C754" s="1" t="n">
        <v>46204</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44901-2025</t>
        </is>
      </c>
      <c r="B755" s="1" t="n">
        <v>45918</v>
      </c>
      <c r="C755" s="1" t="n">
        <v>46204</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15464-2025</t>
        </is>
      </c>
      <c r="B756" s="1" t="n">
        <v>45747</v>
      </c>
      <c r="C756" s="1" t="n">
        <v>46204</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52580-2023</t>
        </is>
      </c>
      <c r="B757" s="1" t="n">
        <v>45225</v>
      </c>
      <c r="C757" s="1" t="n">
        <v>46204</v>
      </c>
      <c r="D757" t="inlineStr">
        <is>
          <t>VÄRMLANDS LÄN</t>
        </is>
      </c>
      <c r="E757" t="inlineStr">
        <is>
          <t>TORSBY</t>
        </is>
      </c>
      <c r="G757" t="n">
        <v>3.3</v>
      </c>
      <c r="H757" t="n">
        <v>0</v>
      </c>
      <c r="I757" t="n">
        <v>0</v>
      </c>
      <c r="J757" t="n">
        <v>0</v>
      </c>
      <c r="K757" t="n">
        <v>0</v>
      </c>
      <c r="L757" t="n">
        <v>0</v>
      </c>
      <c r="M757" t="n">
        <v>0</v>
      </c>
      <c r="N757" t="n">
        <v>0</v>
      </c>
      <c r="O757" t="n">
        <v>0</v>
      </c>
      <c r="P757" t="n">
        <v>0</v>
      </c>
      <c r="Q757" t="n">
        <v>0</v>
      </c>
      <c r="R757" s="2" t="inlineStr"/>
    </row>
    <row r="758" ht="15" customHeight="1">
      <c r="A758" t="inlineStr">
        <is>
          <t>A 52982-2023</t>
        </is>
      </c>
      <c r="B758" s="1" t="n">
        <v>45226</v>
      </c>
      <c r="C758" s="1" t="n">
        <v>46204</v>
      </c>
      <c r="D758" t="inlineStr">
        <is>
          <t>VÄRMLANDS LÄN</t>
        </is>
      </c>
      <c r="E758" t="inlineStr">
        <is>
          <t>TORSBY</t>
        </is>
      </c>
      <c r="G758" t="n">
        <v>35.5</v>
      </c>
      <c r="H758" t="n">
        <v>0</v>
      </c>
      <c r="I758" t="n">
        <v>0</v>
      </c>
      <c r="J758" t="n">
        <v>0</v>
      </c>
      <c r="K758" t="n">
        <v>0</v>
      </c>
      <c r="L758" t="n">
        <v>0</v>
      </c>
      <c r="M758" t="n">
        <v>0</v>
      </c>
      <c r="N758" t="n">
        <v>0</v>
      </c>
      <c r="O758" t="n">
        <v>0</v>
      </c>
      <c r="P758" t="n">
        <v>0</v>
      </c>
      <c r="Q758" t="n">
        <v>0</v>
      </c>
      <c r="R758" s="2" t="inlineStr"/>
    </row>
    <row r="759" ht="15" customHeight="1">
      <c r="A759" t="inlineStr">
        <is>
          <t>A 58976-2024</t>
        </is>
      </c>
      <c r="B759" s="1" t="n">
        <v>45636</v>
      </c>
      <c r="C759" s="1" t="n">
        <v>46204</v>
      </c>
      <c r="D759" t="inlineStr">
        <is>
          <t>VÄRMLANDS LÄN</t>
        </is>
      </c>
      <c r="E759" t="inlineStr">
        <is>
          <t>TORSBY</t>
        </is>
      </c>
      <c r="G759" t="n">
        <v>0.6</v>
      </c>
      <c r="H759" t="n">
        <v>0</v>
      </c>
      <c r="I759" t="n">
        <v>0</v>
      </c>
      <c r="J759" t="n">
        <v>0</v>
      </c>
      <c r="K759" t="n">
        <v>0</v>
      </c>
      <c r="L759" t="n">
        <v>0</v>
      </c>
      <c r="M759" t="n">
        <v>0</v>
      </c>
      <c r="N759" t="n">
        <v>0</v>
      </c>
      <c r="O759" t="n">
        <v>0</v>
      </c>
      <c r="P759" t="n">
        <v>0</v>
      </c>
      <c r="Q759" t="n">
        <v>0</v>
      </c>
      <c r="R759" s="2" t="inlineStr"/>
    </row>
    <row r="760" ht="15" customHeight="1">
      <c r="A760" t="inlineStr">
        <is>
          <t>A 59613-2024</t>
        </is>
      </c>
      <c r="B760" s="1" t="n">
        <v>45638</v>
      </c>
      <c r="C760" s="1" t="n">
        <v>46204</v>
      </c>
      <c r="D760" t="inlineStr">
        <is>
          <t>VÄRMLANDS LÄN</t>
        </is>
      </c>
      <c r="E760" t="inlineStr">
        <is>
          <t>TORSBY</t>
        </is>
      </c>
      <c r="G760" t="n">
        <v>4.6</v>
      </c>
      <c r="H760" t="n">
        <v>0</v>
      </c>
      <c r="I760" t="n">
        <v>0</v>
      </c>
      <c r="J760" t="n">
        <v>0</v>
      </c>
      <c r="K760" t="n">
        <v>0</v>
      </c>
      <c r="L760" t="n">
        <v>0</v>
      </c>
      <c r="M760" t="n">
        <v>0</v>
      </c>
      <c r="N760" t="n">
        <v>0</v>
      </c>
      <c r="O760" t="n">
        <v>0</v>
      </c>
      <c r="P760" t="n">
        <v>0</v>
      </c>
      <c r="Q760" t="n">
        <v>0</v>
      </c>
      <c r="R760" s="2" t="inlineStr"/>
    </row>
    <row r="761" ht="15" customHeight="1">
      <c r="A761" t="inlineStr">
        <is>
          <t>A 18339-2024</t>
        </is>
      </c>
      <c r="B761" s="1" t="n">
        <v>45422</v>
      </c>
      <c r="C761" s="1" t="n">
        <v>46204</v>
      </c>
      <c r="D761" t="inlineStr">
        <is>
          <t>VÄRMLANDS LÄN</t>
        </is>
      </c>
      <c r="E761" t="inlineStr">
        <is>
          <t>TORSBY</t>
        </is>
      </c>
      <c r="G761" t="n">
        <v>0.6</v>
      </c>
      <c r="H761" t="n">
        <v>0</v>
      </c>
      <c r="I761" t="n">
        <v>0</v>
      </c>
      <c r="J761" t="n">
        <v>0</v>
      </c>
      <c r="K761" t="n">
        <v>0</v>
      </c>
      <c r="L761" t="n">
        <v>0</v>
      </c>
      <c r="M761" t="n">
        <v>0</v>
      </c>
      <c r="N761" t="n">
        <v>0</v>
      </c>
      <c r="O761" t="n">
        <v>0</v>
      </c>
      <c r="P761" t="n">
        <v>0</v>
      </c>
      <c r="Q761" t="n">
        <v>0</v>
      </c>
      <c r="R761" s="2" t="inlineStr"/>
    </row>
    <row r="762" ht="15" customHeight="1">
      <c r="A762" t="inlineStr">
        <is>
          <t>A 54033-2021</t>
        </is>
      </c>
      <c r="B762" s="1" t="n">
        <v>44470</v>
      </c>
      <c r="C762" s="1" t="n">
        <v>46204</v>
      </c>
      <c r="D762" t="inlineStr">
        <is>
          <t>VÄRMLANDS LÄN</t>
        </is>
      </c>
      <c r="E762" t="inlineStr">
        <is>
          <t>TORSBY</t>
        </is>
      </c>
      <c r="G762" t="n">
        <v>6</v>
      </c>
      <c r="H762" t="n">
        <v>0</v>
      </c>
      <c r="I762" t="n">
        <v>0</v>
      </c>
      <c r="J762" t="n">
        <v>0</v>
      </c>
      <c r="K762" t="n">
        <v>0</v>
      </c>
      <c r="L762" t="n">
        <v>0</v>
      </c>
      <c r="M762" t="n">
        <v>0</v>
      </c>
      <c r="N762" t="n">
        <v>0</v>
      </c>
      <c r="O762" t="n">
        <v>0</v>
      </c>
      <c r="P762" t="n">
        <v>0</v>
      </c>
      <c r="Q762" t="n">
        <v>0</v>
      </c>
      <c r="R762" s="2" t="inlineStr"/>
    </row>
    <row r="763" ht="15" customHeight="1">
      <c r="A763" t="inlineStr">
        <is>
          <t>A 58062-2021</t>
        </is>
      </c>
      <c r="B763" s="1" t="n">
        <v>44487</v>
      </c>
      <c r="C763" s="1" t="n">
        <v>46204</v>
      </c>
      <c r="D763" t="inlineStr">
        <is>
          <t>VÄRMLANDS LÄN</t>
        </is>
      </c>
      <c r="E763" t="inlineStr">
        <is>
          <t>TORSBY</t>
        </is>
      </c>
      <c r="G763" t="n">
        <v>6</v>
      </c>
      <c r="H763" t="n">
        <v>0</v>
      </c>
      <c r="I763" t="n">
        <v>0</v>
      </c>
      <c r="J763" t="n">
        <v>0</v>
      </c>
      <c r="K763" t="n">
        <v>0</v>
      </c>
      <c r="L763" t="n">
        <v>0</v>
      </c>
      <c r="M763" t="n">
        <v>0</v>
      </c>
      <c r="N763" t="n">
        <v>0</v>
      </c>
      <c r="O763" t="n">
        <v>0</v>
      </c>
      <c r="P763" t="n">
        <v>0</v>
      </c>
      <c r="Q763" t="n">
        <v>0</v>
      </c>
      <c r="R763" s="2" t="inlineStr"/>
    </row>
    <row r="764" ht="15" customHeight="1">
      <c r="A764" t="inlineStr">
        <is>
          <t>A 59941-2023</t>
        </is>
      </c>
      <c r="B764" s="1" t="n">
        <v>45257</v>
      </c>
      <c r="C764" s="1" t="n">
        <v>46204</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49840-2024</t>
        </is>
      </c>
      <c r="B765" s="1" t="n">
        <v>45597</v>
      </c>
      <c r="C765" s="1" t="n">
        <v>46204</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13561-2023</t>
        </is>
      </c>
      <c r="B766" s="1" t="n">
        <v>45006</v>
      </c>
      <c r="C766" s="1" t="n">
        <v>46204</v>
      </c>
      <c r="D766" t="inlineStr">
        <is>
          <t>VÄRMLANDS LÄN</t>
        </is>
      </c>
      <c r="E766" t="inlineStr">
        <is>
          <t>TORSBY</t>
        </is>
      </c>
      <c r="G766" t="n">
        <v>4.2</v>
      </c>
      <c r="H766" t="n">
        <v>0</v>
      </c>
      <c r="I766" t="n">
        <v>0</v>
      </c>
      <c r="J766" t="n">
        <v>0</v>
      </c>
      <c r="K766" t="n">
        <v>0</v>
      </c>
      <c r="L766" t="n">
        <v>0</v>
      </c>
      <c r="M766" t="n">
        <v>0</v>
      </c>
      <c r="N766" t="n">
        <v>0</v>
      </c>
      <c r="O766" t="n">
        <v>0</v>
      </c>
      <c r="P766" t="n">
        <v>0</v>
      </c>
      <c r="Q766" t="n">
        <v>0</v>
      </c>
      <c r="R766" s="2" t="inlineStr"/>
    </row>
    <row r="767" ht="15" customHeight="1">
      <c r="A767" t="inlineStr">
        <is>
          <t>A 19675-2023</t>
        </is>
      </c>
      <c r="B767" s="1" t="n">
        <v>45051</v>
      </c>
      <c r="C767" s="1" t="n">
        <v>46204</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57216-2023</t>
        </is>
      </c>
      <c r="B768" s="1" t="n">
        <v>45245</v>
      </c>
      <c r="C768" s="1" t="n">
        <v>46204</v>
      </c>
      <c r="D768" t="inlineStr">
        <is>
          <t>VÄRMLANDS LÄN</t>
        </is>
      </c>
      <c r="E768" t="inlineStr">
        <is>
          <t>TORSBY</t>
        </is>
      </c>
      <c r="G768" t="n">
        <v>2.8</v>
      </c>
      <c r="H768" t="n">
        <v>0</v>
      </c>
      <c r="I768" t="n">
        <v>0</v>
      </c>
      <c r="J768" t="n">
        <v>0</v>
      </c>
      <c r="K768" t="n">
        <v>0</v>
      </c>
      <c r="L768" t="n">
        <v>0</v>
      </c>
      <c r="M768" t="n">
        <v>0</v>
      </c>
      <c r="N768" t="n">
        <v>0</v>
      </c>
      <c r="O768" t="n">
        <v>0</v>
      </c>
      <c r="P768" t="n">
        <v>0</v>
      </c>
      <c r="Q768" t="n">
        <v>0</v>
      </c>
      <c r="R768" s="2" t="inlineStr"/>
    </row>
    <row r="769" ht="15" customHeight="1">
      <c r="A769" t="inlineStr">
        <is>
          <t>A 6653-2025</t>
        </is>
      </c>
      <c r="B769" s="1" t="n">
        <v>45700</v>
      </c>
      <c r="C769" s="1" t="n">
        <v>46204</v>
      </c>
      <c r="D769" t="inlineStr">
        <is>
          <t>VÄRMLANDS LÄN</t>
        </is>
      </c>
      <c r="E769" t="inlineStr">
        <is>
          <t>TORSBY</t>
        </is>
      </c>
      <c r="G769" t="n">
        <v>1.3</v>
      </c>
      <c r="H769" t="n">
        <v>0</v>
      </c>
      <c r="I769" t="n">
        <v>0</v>
      </c>
      <c r="J769" t="n">
        <v>0</v>
      </c>
      <c r="K769" t="n">
        <v>0</v>
      </c>
      <c r="L769" t="n">
        <v>0</v>
      </c>
      <c r="M769" t="n">
        <v>0</v>
      </c>
      <c r="N769" t="n">
        <v>0</v>
      </c>
      <c r="O769" t="n">
        <v>0</v>
      </c>
      <c r="P769" t="n">
        <v>0</v>
      </c>
      <c r="Q769" t="n">
        <v>0</v>
      </c>
      <c r="R769" s="2" t="inlineStr"/>
    </row>
    <row r="770" ht="15" customHeight="1">
      <c r="A770" t="inlineStr">
        <is>
          <t>A 61565-2024</t>
        </is>
      </c>
      <c r="B770" s="1" t="n">
        <v>45646</v>
      </c>
      <c r="C770" s="1" t="n">
        <v>46204</v>
      </c>
      <c r="D770" t="inlineStr">
        <is>
          <t>VÄRMLANDS LÄN</t>
        </is>
      </c>
      <c r="E770" t="inlineStr">
        <is>
          <t>TORSBY</t>
        </is>
      </c>
      <c r="F770" t="inlineStr">
        <is>
          <t>Bergvik skog väst AB</t>
        </is>
      </c>
      <c r="G770" t="n">
        <v>14.4</v>
      </c>
      <c r="H770" t="n">
        <v>0</v>
      </c>
      <c r="I770" t="n">
        <v>0</v>
      </c>
      <c r="J770" t="n">
        <v>0</v>
      </c>
      <c r="K770" t="n">
        <v>0</v>
      </c>
      <c r="L770" t="n">
        <v>0</v>
      </c>
      <c r="M770" t="n">
        <v>0</v>
      </c>
      <c r="N770" t="n">
        <v>0</v>
      </c>
      <c r="O770" t="n">
        <v>0</v>
      </c>
      <c r="P770" t="n">
        <v>0</v>
      </c>
      <c r="Q770" t="n">
        <v>0</v>
      </c>
      <c r="R770" s="2" t="inlineStr"/>
    </row>
    <row r="771" ht="15" customHeight="1">
      <c r="A771" t="inlineStr">
        <is>
          <t>A 36790-2024</t>
        </is>
      </c>
      <c r="B771" s="1" t="n">
        <v>45538</v>
      </c>
      <c r="C771" s="1" t="n">
        <v>46204</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50372-2024</t>
        </is>
      </c>
      <c r="B772" s="1" t="n">
        <v>45601</v>
      </c>
      <c r="C772" s="1" t="n">
        <v>46204</v>
      </c>
      <c r="D772" t="inlineStr">
        <is>
          <t>VÄRMLANDS LÄN</t>
        </is>
      </c>
      <c r="E772" t="inlineStr">
        <is>
          <t>TORSBY</t>
        </is>
      </c>
      <c r="F772" t="inlineStr">
        <is>
          <t>Övriga Aktiebolag</t>
        </is>
      </c>
      <c r="G772" t="n">
        <v>1.9</v>
      </c>
      <c r="H772" t="n">
        <v>0</v>
      </c>
      <c r="I772" t="n">
        <v>0</v>
      </c>
      <c r="J772" t="n">
        <v>0</v>
      </c>
      <c r="K772" t="n">
        <v>0</v>
      </c>
      <c r="L772" t="n">
        <v>0</v>
      </c>
      <c r="M772" t="n">
        <v>0</v>
      </c>
      <c r="N772" t="n">
        <v>0</v>
      </c>
      <c r="O772" t="n">
        <v>0</v>
      </c>
      <c r="P772" t="n">
        <v>0</v>
      </c>
      <c r="Q772" t="n">
        <v>0</v>
      </c>
      <c r="R772" s="2" t="inlineStr"/>
    </row>
    <row r="773" ht="15" customHeight="1">
      <c r="A773" t="inlineStr">
        <is>
          <t>A 44976-2025</t>
        </is>
      </c>
      <c r="B773" s="1" t="n">
        <v>45918</v>
      </c>
      <c r="C773" s="1" t="n">
        <v>46204</v>
      </c>
      <c r="D773" t="inlineStr">
        <is>
          <t>VÄRMLANDS LÄN</t>
        </is>
      </c>
      <c r="E773" t="inlineStr">
        <is>
          <t>TORSBY</t>
        </is>
      </c>
      <c r="F773" t="inlineStr">
        <is>
          <t>Bergvik skog väst AB</t>
        </is>
      </c>
      <c r="G773" t="n">
        <v>2.6</v>
      </c>
      <c r="H773" t="n">
        <v>0</v>
      </c>
      <c r="I773" t="n">
        <v>0</v>
      </c>
      <c r="J773" t="n">
        <v>0</v>
      </c>
      <c r="K773" t="n">
        <v>0</v>
      </c>
      <c r="L773" t="n">
        <v>0</v>
      </c>
      <c r="M773" t="n">
        <v>0</v>
      </c>
      <c r="N773" t="n">
        <v>0</v>
      </c>
      <c r="O773" t="n">
        <v>0</v>
      </c>
      <c r="P773" t="n">
        <v>0</v>
      </c>
      <c r="Q773" t="n">
        <v>0</v>
      </c>
      <c r="R773" s="2" t="inlineStr"/>
    </row>
    <row r="774" ht="15" customHeight="1">
      <c r="A774" t="inlineStr">
        <is>
          <t>A 37334-2025</t>
        </is>
      </c>
      <c r="B774" s="1" t="n">
        <v>45876</v>
      </c>
      <c r="C774" s="1" t="n">
        <v>46204</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37339-2025</t>
        </is>
      </c>
      <c r="B775" s="1" t="n">
        <v>45876</v>
      </c>
      <c r="C775" s="1" t="n">
        <v>46204</v>
      </c>
      <c r="D775" t="inlineStr">
        <is>
          <t>VÄRMLANDS LÄN</t>
        </is>
      </c>
      <c r="E775" t="inlineStr">
        <is>
          <t>TORSBY</t>
        </is>
      </c>
      <c r="G775" t="n">
        <v>0.7</v>
      </c>
      <c r="H775" t="n">
        <v>0</v>
      </c>
      <c r="I775" t="n">
        <v>0</v>
      </c>
      <c r="J775" t="n">
        <v>0</v>
      </c>
      <c r="K775" t="n">
        <v>0</v>
      </c>
      <c r="L775" t="n">
        <v>0</v>
      </c>
      <c r="M775" t="n">
        <v>0</v>
      </c>
      <c r="N775" t="n">
        <v>0</v>
      </c>
      <c r="O775" t="n">
        <v>0</v>
      </c>
      <c r="P775" t="n">
        <v>0</v>
      </c>
      <c r="Q775" t="n">
        <v>0</v>
      </c>
      <c r="R775" s="2" t="inlineStr"/>
    </row>
    <row r="776" ht="15" customHeight="1">
      <c r="A776" t="inlineStr">
        <is>
          <t>A 3397-2022</t>
        </is>
      </c>
      <c r="B776" s="1" t="n">
        <v>44585</v>
      </c>
      <c r="C776" s="1" t="n">
        <v>46204</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45380-2025</t>
        </is>
      </c>
      <c r="B777" s="1" t="n">
        <v>45922</v>
      </c>
      <c r="C777" s="1" t="n">
        <v>46204</v>
      </c>
      <c r="D777" t="inlineStr">
        <is>
          <t>VÄRMLANDS LÄN</t>
        </is>
      </c>
      <c r="E777" t="inlineStr">
        <is>
          <t>TORSBY</t>
        </is>
      </c>
      <c r="G777" t="n">
        <v>4.8</v>
      </c>
      <c r="H777" t="n">
        <v>0</v>
      </c>
      <c r="I777" t="n">
        <v>0</v>
      </c>
      <c r="J777" t="n">
        <v>0</v>
      </c>
      <c r="K777" t="n">
        <v>0</v>
      </c>
      <c r="L777" t="n">
        <v>0</v>
      </c>
      <c r="M777" t="n">
        <v>0</v>
      </c>
      <c r="N777" t="n">
        <v>0</v>
      </c>
      <c r="O777" t="n">
        <v>0</v>
      </c>
      <c r="P777" t="n">
        <v>0</v>
      </c>
      <c r="Q777" t="n">
        <v>0</v>
      </c>
      <c r="R777" s="2" t="inlineStr"/>
    </row>
    <row r="778" ht="15" customHeight="1">
      <c r="A778" t="inlineStr">
        <is>
          <t>A 10295-2026</t>
        </is>
      </c>
      <c r="B778" s="1" t="n">
        <v>46076</v>
      </c>
      <c r="C778" s="1" t="n">
        <v>46204</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54029-2021</t>
        </is>
      </c>
      <c r="B779" s="1" t="n">
        <v>44470</v>
      </c>
      <c r="C779" s="1" t="n">
        <v>46204</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41315-2022</t>
        </is>
      </c>
      <c r="B780" s="1" t="n">
        <v>44826</v>
      </c>
      <c r="C780" s="1" t="n">
        <v>46204</v>
      </c>
      <c r="D780" t="inlineStr">
        <is>
          <t>VÄRMLANDS LÄN</t>
        </is>
      </c>
      <c r="E780" t="inlineStr">
        <is>
          <t>TORSBY</t>
        </is>
      </c>
      <c r="G780" t="n">
        <v>5.5</v>
      </c>
      <c r="H780" t="n">
        <v>0</v>
      </c>
      <c r="I780" t="n">
        <v>0</v>
      </c>
      <c r="J780" t="n">
        <v>0</v>
      </c>
      <c r="K780" t="n">
        <v>0</v>
      </c>
      <c r="L780" t="n">
        <v>0</v>
      </c>
      <c r="M780" t="n">
        <v>0</v>
      </c>
      <c r="N780" t="n">
        <v>0</v>
      </c>
      <c r="O780" t="n">
        <v>0</v>
      </c>
      <c r="P780" t="n">
        <v>0</v>
      </c>
      <c r="Q780" t="n">
        <v>0</v>
      </c>
      <c r="R780" s="2" t="inlineStr"/>
    </row>
    <row r="781" ht="15" customHeight="1">
      <c r="A781" t="inlineStr">
        <is>
          <t>A 41322-2022</t>
        </is>
      </c>
      <c r="B781" s="1" t="n">
        <v>44826</v>
      </c>
      <c r="C781" s="1" t="n">
        <v>46204</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50138-2023</t>
        </is>
      </c>
      <c r="B782" s="1" t="n">
        <v>45215</v>
      </c>
      <c r="C782" s="1" t="n">
        <v>46204</v>
      </c>
      <c r="D782" t="inlineStr">
        <is>
          <t>VÄRMLANDS LÄN</t>
        </is>
      </c>
      <c r="E782" t="inlineStr">
        <is>
          <t>TORSBY</t>
        </is>
      </c>
      <c r="G782" t="n">
        <v>2.6</v>
      </c>
      <c r="H782" t="n">
        <v>0</v>
      </c>
      <c r="I782" t="n">
        <v>0</v>
      </c>
      <c r="J782" t="n">
        <v>0</v>
      </c>
      <c r="K782" t="n">
        <v>0</v>
      </c>
      <c r="L782" t="n">
        <v>0</v>
      </c>
      <c r="M782" t="n">
        <v>0</v>
      </c>
      <c r="N782" t="n">
        <v>0</v>
      </c>
      <c r="O782" t="n">
        <v>0</v>
      </c>
      <c r="P782" t="n">
        <v>0</v>
      </c>
      <c r="Q782" t="n">
        <v>0</v>
      </c>
      <c r="R782" s="2" t="inlineStr"/>
    </row>
    <row r="783" ht="15" customHeight="1">
      <c r="A783" t="inlineStr">
        <is>
          <t>A 7927-2024</t>
        </is>
      </c>
      <c r="B783" s="1" t="n">
        <v>45350</v>
      </c>
      <c r="C783" s="1" t="n">
        <v>46204</v>
      </c>
      <c r="D783" t="inlineStr">
        <is>
          <t>VÄRMLANDS LÄN</t>
        </is>
      </c>
      <c r="E783" t="inlineStr">
        <is>
          <t>TORSBY</t>
        </is>
      </c>
      <c r="G783" t="n">
        <v>3.3</v>
      </c>
      <c r="H783" t="n">
        <v>0</v>
      </c>
      <c r="I783" t="n">
        <v>0</v>
      </c>
      <c r="J783" t="n">
        <v>0</v>
      </c>
      <c r="K783" t="n">
        <v>0</v>
      </c>
      <c r="L783" t="n">
        <v>0</v>
      </c>
      <c r="M783" t="n">
        <v>0</v>
      </c>
      <c r="N783" t="n">
        <v>0</v>
      </c>
      <c r="O783" t="n">
        <v>0</v>
      </c>
      <c r="P783" t="n">
        <v>0</v>
      </c>
      <c r="Q783" t="n">
        <v>0</v>
      </c>
      <c r="R783" s="2" t="inlineStr"/>
    </row>
    <row r="784" ht="15" customHeight="1">
      <c r="A784" t="inlineStr">
        <is>
          <t>A 37230-2025</t>
        </is>
      </c>
      <c r="B784" s="1" t="n">
        <v>45876</v>
      </c>
      <c r="C784" s="1" t="n">
        <v>46204</v>
      </c>
      <c r="D784" t="inlineStr">
        <is>
          <t>VÄRMLANDS LÄN</t>
        </is>
      </c>
      <c r="E784" t="inlineStr">
        <is>
          <t>TORSBY</t>
        </is>
      </c>
      <c r="F784" t="inlineStr">
        <is>
          <t>Bergvik skog väst AB</t>
        </is>
      </c>
      <c r="G784" t="n">
        <v>7.2</v>
      </c>
      <c r="H784" t="n">
        <v>0</v>
      </c>
      <c r="I784" t="n">
        <v>0</v>
      </c>
      <c r="J784" t="n">
        <v>0</v>
      </c>
      <c r="K784" t="n">
        <v>0</v>
      </c>
      <c r="L784" t="n">
        <v>0</v>
      </c>
      <c r="M784" t="n">
        <v>0</v>
      </c>
      <c r="N784" t="n">
        <v>0</v>
      </c>
      <c r="O784" t="n">
        <v>0</v>
      </c>
      <c r="P784" t="n">
        <v>0</v>
      </c>
      <c r="Q784" t="n">
        <v>0</v>
      </c>
      <c r="R784" s="2" t="inlineStr"/>
    </row>
    <row r="785" ht="15" customHeight="1">
      <c r="A785" t="inlineStr">
        <is>
          <t>A 40718-2022</t>
        </is>
      </c>
      <c r="B785" s="1" t="n">
        <v>44824</v>
      </c>
      <c r="C785" s="1" t="n">
        <v>46204</v>
      </c>
      <c r="D785" t="inlineStr">
        <is>
          <t>VÄRMLANDS LÄN</t>
        </is>
      </c>
      <c r="E785" t="inlineStr">
        <is>
          <t>TORSBY</t>
        </is>
      </c>
      <c r="G785" t="n">
        <v>2.6</v>
      </c>
      <c r="H785" t="n">
        <v>0</v>
      </c>
      <c r="I785" t="n">
        <v>0</v>
      </c>
      <c r="J785" t="n">
        <v>0</v>
      </c>
      <c r="K785" t="n">
        <v>0</v>
      </c>
      <c r="L785" t="n">
        <v>0</v>
      </c>
      <c r="M785" t="n">
        <v>0</v>
      </c>
      <c r="N785" t="n">
        <v>0</v>
      </c>
      <c r="O785" t="n">
        <v>0</v>
      </c>
      <c r="P785" t="n">
        <v>0</v>
      </c>
      <c r="Q785" t="n">
        <v>0</v>
      </c>
      <c r="R785" s="2" t="inlineStr"/>
    </row>
    <row r="786" ht="15" customHeight="1">
      <c r="A786" t="inlineStr">
        <is>
          <t>A 22386-2025</t>
        </is>
      </c>
      <c r="B786" s="1" t="n">
        <v>45786</v>
      </c>
      <c r="C786" s="1" t="n">
        <v>46204</v>
      </c>
      <c r="D786" t="inlineStr">
        <is>
          <t>VÄRMLANDS LÄN</t>
        </is>
      </c>
      <c r="E786" t="inlineStr">
        <is>
          <t>TORSBY</t>
        </is>
      </c>
      <c r="G786" t="n">
        <v>5.2</v>
      </c>
      <c r="H786" t="n">
        <v>0</v>
      </c>
      <c r="I786" t="n">
        <v>0</v>
      </c>
      <c r="J786" t="n">
        <v>0</v>
      </c>
      <c r="K786" t="n">
        <v>0</v>
      </c>
      <c r="L786" t="n">
        <v>0</v>
      </c>
      <c r="M786" t="n">
        <v>0</v>
      </c>
      <c r="N786" t="n">
        <v>0</v>
      </c>
      <c r="O786" t="n">
        <v>0</v>
      </c>
      <c r="P786" t="n">
        <v>0</v>
      </c>
      <c r="Q786" t="n">
        <v>0</v>
      </c>
      <c r="R786" s="2" t="inlineStr"/>
    </row>
    <row r="787" ht="15" customHeight="1">
      <c r="A787" t="inlineStr">
        <is>
          <t>A 37348-2025</t>
        </is>
      </c>
      <c r="B787" s="1" t="n">
        <v>45876</v>
      </c>
      <c r="C787" s="1" t="n">
        <v>46204</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36674-2023</t>
        </is>
      </c>
      <c r="B788" s="1" t="n">
        <v>45153</v>
      </c>
      <c r="C788" s="1" t="n">
        <v>46204</v>
      </c>
      <c r="D788" t="inlineStr">
        <is>
          <t>VÄRMLANDS LÄN</t>
        </is>
      </c>
      <c r="E788" t="inlineStr">
        <is>
          <t>TORSBY</t>
        </is>
      </c>
      <c r="G788" t="n">
        <v>4.9</v>
      </c>
      <c r="H788" t="n">
        <v>0</v>
      </c>
      <c r="I788" t="n">
        <v>0</v>
      </c>
      <c r="J788" t="n">
        <v>0</v>
      </c>
      <c r="K788" t="n">
        <v>0</v>
      </c>
      <c r="L788" t="n">
        <v>0</v>
      </c>
      <c r="M788" t="n">
        <v>0</v>
      </c>
      <c r="N788" t="n">
        <v>0</v>
      </c>
      <c r="O788" t="n">
        <v>0</v>
      </c>
      <c r="P788" t="n">
        <v>0</v>
      </c>
      <c r="Q788" t="n">
        <v>0</v>
      </c>
      <c r="R788" s="2" t="inlineStr"/>
    </row>
    <row r="789" ht="15" customHeight="1">
      <c r="A789" t="inlineStr">
        <is>
          <t>A 28005-2024</t>
        </is>
      </c>
      <c r="B789" s="1" t="n">
        <v>45476</v>
      </c>
      <c r="C789" s="1" t="n">
        <v>46204</v>
      </c>
      <c r="D789" t="inlineStr">
        <is>
          <t>VÄRMLANDS LÄN</t>
        </is>
      </c>
      <c r="E789" t="inlineStr">
        <is>
          <t>TORSBY</t>
        </is>
      </c>
      <c r="G789" t="n">
        <v>4.5</v>
      </c>
      <c r="H789" t="n">
        <v>0</v>
      </c>
      <c r="I789" t="n">
        <v>0</v>
      </c>
      <c r="J789" t="n">
        <v>0</v>
      </c>
      <c r="K789" t="n">
        <v>0</v>
      </c>
      <c r="L789" t="n">
        <v>0</v>
      </c>
      <c r="M789" t="n">
        <v>0</v>
      </c>
      <c r="N789" t="n">
        <v>0</v>
      </c>
      <c r="O789" t="n">
        <v>0</v>
      </c>
      <c r="P789" t="n">
        <v>0</v>
      </c>
      <c r="Q789" t="n">
        <v>0</v>
      </c>
      <c r="R789" s="2" t="inlineStr"/>
    </row>
    <row r="790" ht="15" customHeight="1">
      <c r="A790" t="inlineStr">
        <is>
          <t>A 45152-2023</t>
        </is>
      </c>
      <c r="B790" s="1" t="n">
        <v>45191</v>
      </c>
      <c r="C790" s="1" t="n">
        <v>46204</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42701-2022</t>
        </is>
      </c>
      <c r="B791" s="1" t="n">
        <v>44832</v>
      </c>
      <c r="C791" s="1" t="n">
        <v>46204</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45357-2025</t>
        </is>
      </c>
      <c r="B792" s="1" t="n">
        <v>45922</v>
      </c>
      <c r="C792" s="1" t="n">
        <v>46204</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45360-2025</t>
        </is>
      </c>
      <c r="B793" s="1" t="n">
        <v>45922</v>
      </c>
      <c r="C793" s="1" t="n">
        <v>46204</v>
      </c>
      <c r="D793" t="inlineStr">
        <is>
          <t>VÄRMLANDS LÄN</t>
        </is>
      </c>
      <c r="E793" t="inlineStr">
        <is>
          <t>TORSBY</t>
        </is>
      </c>
      <c r="F793" t="inlineStr">
        <is>
          <t>Kommuner</t>
        </is>
      </c>
      <c r="G793" t="n">
        <v>1.1</v>
      </c>
      <c r="H793" t="n">
        <v>0</v>
      </c>
      <c r="I793" t="n">
        <v>0</v>
      </c>
      <c r="J793" t="n">
        <v>0</v>
      </c>
      <c r="K793" t="n">
        <v>0</v>
      </c>
      <c r="L793" t="n">
        <v>0</v>
      </c>
      <c r="M793" t="n">
        <v>0</v>
      </c>
      <c r="N793" t="n">
        <v>0</v>
      </c>
      <c r="O793" t="n">
        <v>0</v>
      </c>
      <c r="P793" t="n">
        <v>0</v>
      </c>
      <c r="Q793" t="n">
        <v>0</v>
      </c>
      <c r="R793" s="2" t="inlineStr"/>
    </row>
    <row r="794" ht="15" customHeight="1">
      <c r="A794" t="inlineStr">
        <is>
          <t>A 37566-2025</t>
        </is>
      </c>
      <c r="B794" s="1" t="n">
        <v>45880</v>
      </c>
      <c r="C794" s="1" t="n">
        <v>46204</v>
      </c>
      <c r="D794" t="inlineStr">
        <is>
          <t>VÄRMLANDS LÄN</t>
        </is>
      </c>
      <c r="E794" t="inlineStr">
        <is>
          <t>TORSBY</t>
        </is>
      </c>
      <c r="G794" t="n">
        <v>3.6</v>
      </c>
      <c r="H794" t="n">
        <v>0</v>
      </c>
      <c r="I794" t="n">
        <v>0</v>
      </c>
      <c r="J794" t="n">
        <v>0</v>
      </c>
      <c r="K794" t="n">
        <v>0</v>
      </c>
      <c r="L794" t="n">
        <v>0</v>
      </c>
      <c r="M794" t="n">
        <v>0</v>
      </c>
      <c r="N794" t="n">
        <v>0</v>
      </c>
      <c r="O794" t="n">
        <v>0</v>
      </c>
      <c r="P794" t="n">
        <v>0</v>
      </c>
      <c r="Q794" t="n">
        <v>0</v>
      </c>
      <c r="R794" s="2" t="inlineStr"/>
    </row>
    <row r="795" ht="15" customHeight="1">
      <c r="A795" t="inlineStr">
        <is>
          <t>A 45508-2025</t>
        </is>
      </c>
      <c r="B795" s="1" t="n">
        <v>45922</v>
      </c>
      <c r="C795" s="1" t="n">
        <v>46204</v>
      </c>
      <c r="D795" t="inlineStr">
        <is>
          <t>VÄRMLANDS LÄN</t>
        </is>
      </c>
      <c r="E795" t="inlineStr">
        <is>
          <t>TORSBY</t>
        </is>
      </c>
      <c r="G795" t="n">
        <v>2.5</v>
      </c>
      <c r="H795" t="n">
        <v>0</v>
      </c>
      <c r="I795" t="n">
        <v>0</v>
      </c>
      <c r="J795" t="n">
        <v>0</v>
      </c>
      <c r="K795" t="n">
        <v>0</v>
      </c>
      <c r="L795" t="n">
        <v>0</v>
      </c>
      <c r="M795" t="n">
        <v>0</v>
      </c>
      <c r="N795" t="n">
        <v>0</v>
      </c>
      <c r="O795" t="n">
        <v>0</v>
      </c>
      <c r="P795" t="n">
        <v>0</v>
      </c>
      <c r="Q795" t="n">
        <v>0</v>
      </c>
      <c r="R795" s="2" t="inlineStr"/>
    </row>
    <row r="796" ht="15" customHeight="1">
      <c r="A796" t="inlineStr">
        <is>
          <t>A 45679-2025</t>
        </is>
      </c>
      <c r="B796" s="1" t="n">
        <v>45923</v>
      </c>
      <c r="C796" s="1" t="n">
        <v>46204</v>
      </c>
      <c r="D796" t="inlineStr">
        <is>
          <t>VÄRMLANDS LÄN</t>
        </is>
      </c>
      <c r="E796" t="inlineStr">
        <is>
          <t>TORSBY</t>
        </is>
      </c>
      <c r="F796" t="inlineStr">
        <is>
          <t>Bergvik skog väst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45825-2025</t>
        </is>
      </c>
      <c r="B797" s="1" t="n">
        <v>45923</v>
      </c>
      <c r="C797" s="1" t="n">
        <v>46204</v>
      </c>
      <c r="D797" t="inlineStr">
        <is>
          <t>VÄRMLANDS LÄN</t>
        </is>
      </c>
      <c r="E797" t="inlineStr">
        <is>
          <t>TORSBY</t>
        </is>
      </c>
      <c r="G797" t="n">
        <v>11.4</v>
      </c>
      <c r="H797" t="n">
        <v>0</v>
      </c>
      <c r="I797" t="n">
        <v>0</v>
      </c>
      <c r="J797" t="n">
        <v>0</v>
      </c>
      <c r="K797" t="n">
        <v>0</v>
      </c>
      <c r="L797" t="n">
        <v>0</v>
      </c>
      <c r="M797" t="n">
        <v>0</v>
      </c>
      <c r="N797" t="n">
        <v>0</v>
      </c>
      <c r="O797" t="n">
        <v>0</v>
      </c>
      <c r="P797" t="n">
        <v>0</v>
      </c>
      <c r="Q797" t="n">
        <v>0</v>
      </c>
      <c r="R797" s="2" t="inlineStr"/>
    </row>
    <row r="798" ht="15" customHeight="1">
      <c r="A798" t="inlineStr">
        <is>
          <t>A 37575-2025</t>
        </is>
      </c>
      <c r="B798" s="1" t="n">
        <v>45880</v>
      </c>
      <c r="C798" s="1" t="n">
        <v>46204</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1123-2023</t>
        </is>
      </c>
      <c r="B799" s="1" t="n">
        <v>44935</v>
      </c>
      <c r="C799" s="1" t="n">
        <v>46204</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45967-2025</t>
        </is>
      </c>
      <c r="B800" s="1" t="n">
        <v>45924</v>
      </c>
      <c r="C800" s="1" t="n">
        <v>46204</v>
      </c>
      <c r="D800" t="inlineStr">
        <is>
          <t>VÄRMLANDS LÄN</t>
        </is>
      </c>
      <c r="E800" t="inlineStr">
        <is>
          <t>TORSBY</t>
        </is>
      </c>
      <c r="F800" t="inlineStr">
        <is>
          <t>Övriga Aktiebolag</t>
        </is>
      </c>
      <c r="G800" t="n">
        <v>1.9</v>
      </c>
      <c r="H800" t="n">
        <v>0</v>
      </c>
      <c r="I800" t="n">
        <v>0</v>
      </c>
      <c r="J800" t="n">
        <v>0</v>
      </c>
      <c r="K800" t="n">
        <v>0</v>
      </c>
      <c r="L800" t="n">
        <v>0</v>
      </c>
      <c r="M800" t="n">
        <v>0</v>
      </c>
      <c r="N800" t="n">
        <v>0</v>
      </c>
      <c r="O800" t="n">
        <v>0</v>
      </c>
      <c r="P800" t="n">
        <v>0</v>
      </c>
      <c r="Q800" t="n">
        <v>0</v>
      </c>
      <c r="R800" s="2" t="inlineStr"/>
    </row>
    <row r="801" ht="15" customHeight="1">
      <c r="A801" t="inlineStr">
        <is>
          <t>A 37736-2025</t>
        </is>
      </c>
      <c r="B801" s="1" t="n">
        <v>45880</v>
      </c>
      <c r="C801" s="1" t="n">
        <v>46204</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52447-2022</t>
        </is>
      </c>
      <c r="B802" s="1" t="n">
        <v>44874</v>
      </c>
      <c r="C802" s="1" t="n">
        <v>46204</v>
      </c>
      <c r="D802" t="inlineStr">
        <is>
          <t>VÄRMLANDS LÄN</t>
        </is>
      </c>
      <c r="E802" t="inlineStr">
        <is>
          <t>TORSBY</t>
        </is>
      </c>
      <c r="G802" t="n">
        <v>1</v>
      </c>
      <c r="H802" t="n">
        <v>0</v>
      </c>
      <c r="I802" t="n">
        <v>0</v>
      </c>
      <c r="J802" t="n">
        <v>0</v>
      </c>
      <c r="K802" t="n">
        <v>0</v>
      </c>
      <c r="L802" t="n">
        <v>0</v>
      </c>
      <c r="M802" t="n">
        <v>0</v>
      </c>
      <c r="N802" t="n">
        <v>0</v>
      </c>
      <c r="O802" t="n">
        <v>0</v>
      </c>
      <c r="P802" t="n">
        <v>0</v>
      </c>
      <c r="Q802" t="n">
        <v>0</v>
      </c>
      <c r="R802" s="2" t="inlineStr"/>
    </row>
    <row r="803" ht="15" customHeight="1">
      <c r="A803" t="inlineStr">
        <is>
          <t>A 45966-2025</t>
        </is>
      </c>
      <c r="B803" s="1" t="n">
        <v>45924</v>
      </c>
      <c r="C803" s="1" t="n">
        <v>46204</v>
      </c>
      <c r="D803" t="inlineStr">
        <is>
          <t>VÄRMLANDS LÄN</t>
        </is>
      </c>
      <c r="E803" t="inlineStr">
        <is>
          <t>TORSBY</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22687-2023</t>
        </is>
      </c>
      <c r="B804" s="1" t="n">
        <v>45071</v>
      </c>
      <c r="C804" s="1" t="n">
        <v>46204</v>
      </c>
      <c r="D804" t="inlineStr">
        <is>
          <t>VÄRMLANDS LÄN</t>
        </is>
      </c>
      <c r="E804" t="inlineStr">
        <is>
          <t>TORSBY</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10533-2026</t>
        </is>
      </c>
      <c r="B805" s="1" t="n">
        <v>46077</v>
      </c>
      <c r="C805" s="1" t="n">
        <v>46204</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24630-2024</t>
        </is>
      </c>
      <c r="B806" s="1" t="n">
        <v>45460</v>
      </c>
      <c r="C806" s="1" t="n">
        <v>46204</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46493-2025</t>
        </is>
      </c>
      <c r="B807" s="1" t="n">
        <v>45925</v>
      </c>
      <c r="C807" s="1" t="n">
        <v>46204</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38086-2023</t>
        </is>
      </c>
      <c r="B808" s="1" t="n">
        <v>45160</v>
      </c>
      <c r="C808" s="1" t="n">
        <v>46204</v>
      </c>
      <c r="D808" t="inlineStr">
        <is>
          <t>VÄRMLANDS LÄN</t>
        </is>
      </c>
      <c r="E808" t="inlineStr">
        <is>
          <t>TORSBY</t>
        </is>
      </c>
      <c r="G808" t="n">
        <v>6.2</v>
      </c>
      <c r="H808" t="n">
        <v>0</v>
      </c>
      <c r="I808" t="n">
        <v>0</v>
      </c>
      <c r="J808" t="n">
        <v>0</v>
      </c>
      <c r="K808" t="n">
        <v>0</v>
      </c>
      <c r="L808" t="n">
        <v>0</v>
      </c>
      <c r="M808" t="n">
        <v>0</v>
      </c>
      <c r="N808" t="n">
        <v>0</v>
      </c>
      <c r="O808" t="n">
        <v>0</v>
      </c>
      <c r="P808" t="n">
        <v>0</v>
      </c>
      <c r="Q808" t="n">
        <v>0</v>
      </c>
      <c r="R808" s="2" t="inlineStr"/>
    </row>
    <row r="809" ht="15" customHeight="1">
      <c r="A809" t="inlineStr">
        <is>
          <t>A 38699-2022</t>
        </is>
      </c>
      <c r="B809" s="1" t="n">
        <v>44814</v>
      </c>
      <c r="C809" s="1" t="n">
        <v>46204</v>
      </c>
      <c r="D809" t="inlineStr">
        <is>
          <t>VÄRMLANDS LÄN</t>
        </is>
      </c>
      <c r="E809" t="inlineStr">
        <is>
          <t>TORSBY</t>
        </is>
      </c>
      <c r="F809" t="inlineStr">
        <is>
          <t>Bergvik skog väst AB</t>
        </is>
      </c>
      <c r="G809" t="n">
        <v>22.6</v>
      </c>
      <c r="H809" t="n">
        <v>0</v>
      </c>
      <c r="I809" t="n">
        <v>0</v>
      </c>
      <c r="J809" t="n">
        <v>0</v>
      </c>
      <c r="K809" t="n">
        <v>0</v>
      </c>
      <c r="L809" t="n">
        <v>0</v>
      </c>
      <c r="M809" t="n">
        <v>0</v>
      </c>
      <c r="N809" t="n">
        <v>0</v>
      </c>
      <c r="O809" t="n">
        <v>0</v>
      </c>
      <c r="P809" t="n">
        <v>0</v>
      </c>
      <c r="Q809" t="n">
        <v>0</v>
      </c>
      <c r="R809" s="2" t="inlineStr"/>
    </row>
    <row r="810" ht="15" customHeight="1">
      <c r="A810" t="inlineStr">
        <is>
          <t>A 46921-2025</t>
        </is>
      </c>
      <c r="B810" s="1" t="n">
        <v>45929</v>
      </c>
      <c r="C810" s="1" t="n">
        <v>46204</v>
      </c>
      <c r="D810" t="inlineStr">
        <is>
          <t>VÄRMLANDS LÄN</t>
        </is>
      </c>
      <c r="E810" t="inlineStr">
        <is>
          <t>TORSBY</t>
        </is>
      </c>
      <c r="G810" t="n">
        <v>7</v>
      </c>
      <c r="H810" t="n">
        <v>0</v>
      </c>
      <c r="I810" t="n">
        <v>0</v>
      </c>
      <c r="J810" t="n">
        <v>0</v>
      </c>
      <c r="K810" t="n">
        <v>0</v>
      </c>
      <c r="L810" t="n">
        <v>0</v>
      </c>
      <c r="M810" t="n">
        <v>0</v>
      </c>
      <c r="N810" t="n">
        <v>0</v>
      </c>
      <c r="O810" t="n">
        <v>0</v>
      </c>
      <c r="P810" t="n">
        <v>0</v>
      </c>
      <c r="Q810" t="n">
        <v>0</v>
      </c>
      <c r="R810" s="2" t="inlineStr"/>
    </row>
    <row r="811" ht="15" customHeight="1">
      <c r="A811" t="inlineStr">
        <is>
          <t>A 46865-2025</t>
        </is>
      </c>
      <c r="B811" s="1" t="n">
        <v>45929</v>
      </c>
      <c r="C811" s="1" t="n">
        <v>46204</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37818-2025</t>
        </is>
      </c>
      <c r="B812" s="1" t="n">
        <v>45881</v>
      </c>
      <c r="C812" s="1" t="n">
        <v>46204</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10277-2026</t>
        </is>
      </c>
      <c r="B813" s="1" t="n">
        <v>46076</v>
      </c>
      <c r="C813" s="1" t="n">
        <v>46204</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47694-2022</t>
        </is>
      </c>
      <c r="B814" s="1" t="n">
        <v>44854</v>
      </c>
      <c r="C814" s="1" t="n">
        <v>46204</v>
      </c>
      <c r="D814" t="inlineStr">
        <is>
          <t>VÄRMLANDS LÄN</t>
        </is>
      </c>
      <c r="E814" t="inlineStr">
        <is>
          <t>TORSBY</t>
        </is>
      </c>
      <c r="G814" t="n">
        <v>7.9</v>
      </c>
      <c r="H814" t="n">
        <v>0</v>
      </c>
      <c r="I814" t="n">
        <v>0</v>
      </c>
      <c r="J814" t="n">
        <v>0</v>
      </c>
      <c r="K814" t="n">
        <v>0</v>
      </c>
      <c r="L814" t="n">
        <v>0</v>
      </c>
      <c r="M814" t="n">
        <v>0</v>
      </c>
      <c r="N814" t="n">
        <v>0</v>
      </c>
      <c r="O814" t="n">
        <v>0</v>
      </c>
      <c r="P814" t="n">
        <v>0</v>
      </c>
      <c r="Q814" t="n">
        <v>0</v>
      </c>
      <c r="R814" s="2" t="inlineStr"/>
    </row>
    <row r="815" ht="15" customHeight="1">
      <c r="A815" t="inlineStr">
        <is>
          <t>A 47047-2025</t>
        </is>
      </c>
      <c r="B815" s="1" t="n">
        <v>45929</v>
      </c>
      <c r="C815" s="1" t="n">
        <v>46204</v>
      </c>
      <c r="D815" t="inlineStr">
        <is>
          <t>VÄRMLANDS LÄN</t>
        </is>
      </c>
      <c r="E815" t="inlineStr">
        <is>
          <t>TORSBY</t>
        </is>
      </c>
      <c r="F815" t="inlineStr">
        <is>
          <t>Kyrkan</t>
        </is>
      </c>
      <c r="G815" t="n">
        <v>6.6</v>
      </c>
      <c r="H815" t="n">
        <v>0</v>
      </c>
      <c r="I815" t="n">
        <v>0</v>
      </c>
      <c r="J815" t="n">
        <v>0</v>
      </c>
      <c r="K815" t="n">
        <v>0</v>
      </c>
      <c r="L815" t="n">
        <v>0</v>
      </c>
      <c r="M815" t="n">
        <v>0</v>
      </c>
      <c r="N815" t="n">
        <v>0</v>
      </c>
      <c r="O815" t="n">
        <v>0</v>
      </c>
      <c r="P815" t="n">
        <v>0</v>
      </c>
      <c r="Q815" t="n">
        <v>0</v>
      </c>
      <c r="R815" s="2" t="inlineStr"/>
    </row>
    <row r="816" ht="15" customHeight="1">
      <c r="A816" t="inlineStr">
        <is>
          <t>A 1432-2025</t>
        </is>
      </c>
      <c r="B816" s="1" t="n">
        <v>45669</v>
      </c>
      <c r="C816" s="1" t="n">
        <v>46204</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10871-2026</t>
        </is>
      </c>
      <c r="B817" s="1" t="n">
        <v>46078</v>
      </c>
      <c r="C817" s="1" t="n">
        <v>46204</v>
      </c>
      <c r="D817" t="inlineStr">
        <is>
          <t>VÄRMLANDS LÄN</t>
        </is>
      </c>
      <c r="E817" t="inlineStr">
        <is>
          <t>TORSBY</t>
        </is>
      </c>
      <c r="G817" t="n">
        <v>4.4</v>
      </c>
      <c r="H817" t="n">
        <v>0</v>
      </c>
      <c r="I817" t="n">
        <v>0</v>
      </c>
      <c r="J817" t="n">
        <v>0</v>
      </c>
      <c r="K817" t="n">
        <v>0</v>
      </c>
      <c r="L817" t="n">
        <v>0</v>
      </c>
      <c r="M817" t="n">
        <v>0</v>
      </c>
      <c r="N817" t="n">
        <v>0</v>
      </c>
      <c r="O817" t="n">
        <v>0</v>
      </c>
      <c r="P817" t="n">
        <v>0</v>
      </c>
      <c r="Q817" t="n">
        <v>0</v>
      </c>
      <c r="R817" s="2" t="inlineStr"/>
    </row>
    <row r="818" ht="15" customHeight="1">
      <c r="A818" t="inlineStr">
        <is>
          <t>A 375-2025</t>
        </is>
      </c>
      <c r="B818" s="1" t="n">
        <v>45661</v>
      </c>
      <c r="C818" s="1" t="n">
        <v>46204</v>
      </c>
      <c r="D818" t="inlineStr">
        <is>
          <t>VÄRMLANDS LÄN</t>
        </is>
      </c>
      <c r="E818" t="inlineStr">
        <is>
          <t>TORSBY</t>
        </is>
      </c>
      <c r="G818" t="n">
        <v>5.5</v>
      </c>
      <c r="H818" t="n">
        <v>0</v>
      </c>
      <c r="I818" t="n">
        <v>0</v>
      </c>
      <c r="J818" t="n">
        <v>0</v>
      </c>
      <c r="K818" t="n">
        <v>0</v>
      </c>
      <c r="L818" t="n">
        <v>0</v>
      </c>
      <c r="M818" t="n">
        <v>0</v>
      </c>
      <c r="N818" t="n">
        <v>0</v>
      </c>
      <c r="O818" t="n">
        <v>0</v>
      </c>
      <c r="P818" t="n">
        <v>0</v>
      </c>
      <c r="Q818" t="n">
        <v>0</v>
      </c>
      <c r="R818" s="2" t="inlineStr"/>
    </row>
    <row r="819" ht="15" customHeight="1">
      <c r="A819" t="inlineStr">
        <is>
          <t>A 46550-2025</t>
        </is>
      </c>
      <c r="B819" s="1" t="n">
        <v>45926</v>
      </c>
      <c r="C819" s="1" t="n">
        <v>46204</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11274-2026</t>
        </is>
      </c>
      <c r="B820" s="1" t="n">
        <v>46080</v>
      </c>
      <c r="C820" s="1" t="n">
        <v>46204</v>
      </c>
      <c r="D820" t="inlineStr">
        <is>
          <t>VÄRMLANDS LÄN</t>
        </is>
      </c>
      <c r="E820" t="inlineStr">
        <is>
          <t>TORSBY</t>
        </is>
      </c>
      <c r="G820" t="n">
        <v>2.9</v>
      </c>
      <c r="H820" t="n">
        <v>0</v>
      </c>
      <c r="I820" t="n">
        <v>0</v>
      </c>
      <c r="J820" t="n">
        <v>0</v>
      </c>
      <c r="K820" t="n">
        <v>0</v>
      </c>
      <c r="L820" t="n">
        <v>0</v>
      </c>
      <c r="M820" t="n">
        <v>0</v>
      </c>
      <c r="N820" t="n">
        <v>0</v>
      </c>
      <c r="O820" t="n">
        <v>0</v>
      </c>
      <c r="P820" t="n">
        <v>0</v>
      </c>
      <c r="Q820" t="n">
        <v>0</v>
      </c>
      <c r="R820" s="2" t="inlineStr"/>
    </row>
    <row r="821" ht="15" customHeight="1">
      <c r="A821" t="inlineStr">
        <is>
          <t>A 53652-2023</t>
        </is>
      </c>
      <c r="B821" s="1" t="n">
        <v>45224</v>
      </c>
      <c r="C821" s="1" t="n">
        <v>46204</v>
      </c>
      <c r="D821" t="inlineStr">
        <is>
          <t>VÄRMLANDS LÄN</t>
        </is>
      </c>
      <c r="E821" t="inlineStr">
        <is>
          <t>TORSBY</t>
        </is>
      </c>
      <c r="F821" t="inlineStr">
        <is>
          <t>Övriga statliga verk och myndigheter</t>
        </is>
      </c>
      <c r="G821" t="n">
        <v>0.8</v>
      </c>
      <c r="H821" t="n">
        <v>0</v>
      </c>
      <c r="I821" t="n">
        <v>0</v>
      </c>
      <c r="J821" t="n">
        <v>0</v>
      </c>
      <c r="K821" t="n">
        <v>0</v>
      </c>
      <c r="L821" t="n">
        <v>0</v>
      </c>
      <c r="M821" t="n">
        <v>0</v>
      </c>
      <c r="N821" t="n">
        <v>0</v>
      </c>
      <c r="O821" t="n">
        <v>0</v>
      </c>
      <c r="P821" t="n">
        <v>0</v>
      </c>
      <c r="Q821" t="n">
        <v>0</v>
      </c>
      <c r="R821" s="2" t="inlineStr"/>
    </row>
    <row r="822" ht="15" customHeight="1">
      <c r="A822" t="inlineStr">
        <is>
          <t>A 43599-2023</t>
        </is>
      </c>
      <c r="B822" s="1" t="n">
        <v>45184</v>
      </c>
      <c r="C822" s="1" t="n">
        <v>46204</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38076-2024</t>
        </is>
      </c>
      <c r="B823" s="1" t="n">
        <v>45544</v>
      </c>
      <c r="C823" s="1" t="n">
        <v>46204</v>
      </c>
      <c r="D823" t="inlineStr">
        <is>
          <t>VÄRMLANDS LÄN</t>
        </is>
      </c>
      <c r="E823" t="inlineStr">
        <is>
          <t>TORSBY</t>
        </is>
      </c>
      <c r="G823" t="n">
        <v>6.3</v>
      </c>
      <c r="H823" t="n">
        <v>0</v>
      </c>
      <c r="I823" t="n">
        <v>0</v>
      </c>
      <c r="J823" t="n">
        <v>0</v>
      </c>
      <c r="K823" t="n">
        <v>0</v>
      </c>
      <c r="L823" t="n">
        <v>0</v>
      </c>
      <c r="M823" t="n">
        <v>0</v>
      </c>
      <c r="N823" t="n">
        <v>0</v>
      </c>
      <c r="O823" t="n">
        <v>0</v>
      </c>
      <c r="P823" t="n">
        <v>0</v>
      </c>
      <c r="Q823" t="n">
        <v>0</v>
      </c>
      <c r="R823" s="2" t="inlineStr"/>
    </row>
    <row r="824" ht="15" customHeight="1">
      <c r="A824" t="inlineStr">
        <is>
          <t>A 44325-2024</t>
        </is>
      </c>
      <c r="B824" s="1" t="n">
        <v>45573</v>
      </c>
      <c r="C824" s="1" t="n">
        <v>46204</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47049-2025</t>
        </is>
      </c>
      <c r="B825" s="1" t="n">
        <v>45929</v>
      </c>
      <c r="C825" s="1" t="n">
        <v>46204</v>
      </c>
      <c r="D825" t="inlineStr">
        <is>
          <t>VÄRMLANDS LÄN</t>
        </is>
      </c>
      <c r="E825" t="inlineStr">
        <is>
          <t>TORSBY</t>
        </is>
      </c>
      <c r="G825" t="n">
        <v>3.1</v>
      </c>
      <c r="H825" t="n">
        <v>0</v>
      </c>
      <c r="I825" t="n">
        <v>0</v>
      </c>
      <c r="J825" t="n">
        <v>0</v>
      </c>
      <c r="K825" t="n">
        <v>0</v>
      </c>
      <c r="L825" t="n">
        <v>0</v>
      </c>
      <c r="M825" t="n">
        <v>0</v>
      </c>
      <c r="N825" t="n">
        <v>0</v>
      </c>
      <c r="O825" t="n">
        <v>0</v>
      </c>
      <c r="P825" t="n">
        <v>0</v>
      </c>
      <c r="Q825" t="n">
        <v>0</v>
      </c>
      <c r="R825" s="2" t="inlineStr"/>
    </row>
    <row r="826" ht="15" customHeight="1">
      <c r="A826" t="inlineStr">
        <is>
          <t>A 9056-2023</t>
        </is>
      </c>
      <c r="B826" s="1" t="n">
        <v>44979</v>
      </c>
      <c r="C826" s="1" t="n">
        <v>46204</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47545-2025</t>
        </is>
      </c>
      <c r="B827" s="1" t="n">
        <v>45931</v>
      </c>
      <c r="C827" s="1" t="n">
        <v>46204</v>
      </c>
      <c r="D827" t="inlineStr">
        <is>
          <t>VÄRMLANDS LÄN</t>
        </is>
      </c>
      <c r="E827" t="inlineStr">
        <is>
          <t>TORSBY</t>
        </is>
      </c>
      <c r="F827" t="inlineStr">
        <is>
          <t>Bergvik skog väst AB</t>
        </is>
      </c>
      <c r="G827" t="n">
        <v>6.8</v>
      </c>
      <c r="H827" t="n">
        <v>0</v>
      </c>
      <c r="I827" t="n">
        <v>0</v>
      </c>
      <c r="J827" t="n">
        <v>0</v>
      </c>
      <c r="K827" t="n">
        <v>0</v>
      </c>
      <c r="L827" t="n">
        <v>0</v>
      </c>
      <c r="M827" t="n">
        <v>0</v>
      </c>
      <c r="N827" t="n">
        <v>0</v>
      </c>
      <c r="O827" t="n">
        <v>0</v>
      </c>
      <c r="P827" t="n">
        <v>0</v>
      </c>
      <c r="Q827" t="n">
        <v>0</v>
      </c>
      <c r="R827" s="2" t="inlineStr"/>
    </row>
    <row r="828" ht="15" customHeight="1">
      <c r="A828" t="inlineStr">
        <is>
          <t>A 47621-2025</t>
        </is>
      </c>
      <c r="B828" s="1" t="n">
        <v>45931</v>
      </c>
      <c r="C828" s="1" t="n">
        <v>46204</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10976-2026</t>
        </is>
      </c>
      <c r="B829" s="1" t="n">
        <v>46079</v>
      </c>
      <c r="C829" s="1" t="n">
        <v>46204</v>
      </c>
      <c r="D829" t="inlineStr">
        <is>
          <t>VÄRMLANDS LÄN</t>
        </is>
      </c>
      <c r="E829" t="inlineStr">
        <is>
          <t>TORSBY</t>
        </is>
      </c>
      <c r="F829" t="inlineStr">
        <is>
          <t>Bergvik skog väst AB</t>
        </is>
      </c>
      <c r="G829" t="n">
        <v>6.6</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46204</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47366-2025</t>
        </is>
      </c>
      <c r="B831" s="1" t="n">
        <v>45930</v>
      </c>
      <c r="C831" s="1" t="n">
        <v>46204</v>
      </c>
      <c r="D831" t="inlineStr">
        <is>
          <t>VÄRMLANDS LÄN</t>
        </is>
      </c>
      <c r="E831" t="inlineStr">
        <is>
          <t>TORSBY</t>
        </is>
      </c>
      <c r="G831" t="n">
        <v>5.9</v>
      </c>
      <c r="H831" t="n">
        <v>0</v>
      </c>
      <c r="I831" t="n">
        <v>0</v>
      </c>
      <c r="J831" t="n">
        <v>0</v>
      </c>
      <c r="K831" t="n">
        <v>0</v>
      </c>
      <c r="L831" t="n">
        <v>0</v>
      </c>
      <c r="M831" t="n">
        <v>0</v>
      </c>
      <c r="N831" t="n">
        <v>0</v>
      </c>
      <c r="O831" t="n">
        <v>0</v>
      </c>
      <c r="P831" t="n">
        <v>0</v>
      </c>
      <c r="Q831" t="n">
        <v>0</v>
      </c>
      <c r="R831" s="2" t="inlineStr"/>
    </row>
    <row r="832" ht="15" customHeight="1">
      <c r="A832" t="inlineStr">
        <is>
          <t>A 11711-2026</t>
        </is>
      </c>
      <c r="B832" s="1" t="n">
        <v>46084</v>
      </c>
      <c r="C832" s="1" t="n">
        <v>46204</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11765-2026</t>
        </is>
      </c>
      <c r="B833" s="1" t="n">
        <v>46084</v>
      </c>
      <c r="C833" s="1" t="n">
        <v>46204</v>
      </c>
      <c r="D833" t="inlineStr">
        <is>
          <t>VÄRMLANDS LÄN</t>
        </is>
      </c>
      <c r="E833" t="inlineStr">
        <is>
          <t>TORSBY</t>
        </is>
      </c>
      <c r="G833" t="n">
        <v>5.2</v>
      </c>
      <c r="H833" t="n">
        <v>0</v>
      </c>
      <c r="I833" t="n">
        <v>0</v>
      </c>
      <c r="J833" t="n">
        <v>0</v>
      </c>
      <c r="K833" t="n">
        <v>0</v>
      </c>
      <c r="L833" t="n">
        <v>0</v>
      </c>
      <c r="M833" t="n">
        <v>0</v>
      </c>
      <c r="N833" t="n">
        <v>0</v>
      </c>
      <c r="O833" t="n">
        <v>0</v>
      </c>
      <c r="P833" t="n">
        <v>0</v>
      </c>
      <c r="Q833" t="n">
        <v>0</v>
      </c>
      <c r="R833" s="2" t="inlineStr"/>
    </row>
    <row r="834" ht="15" customHeight="1">
      <c r="A834" t="inlineStr">
        <is>
          <t>A 11692-2026</t>
        </is>
      </c>
      <c r="B834" s="1" t="n">
        <v>46084</v>
      </c>
      <c r="C834" s="1" t="n">
        <v>46204</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47736-2025</t>
        </is>
      </c>
      <c r="B835" s="1" t="n">
        <v>45931</v>
      </c>
      <c r="C835" s="1" t="n">
        <v>46204</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11362-2026</t>
        </is>
      </c>
      <c r="B836" s="1" t="n">
        <v>46083</v>
      </c>
      <c r="C836" s="1" t="n">
        <v>46204</v>
      </c>
      <c r="D836" t="inlineStr">
        <is>
          <t>VÄRMLANDS LÄN</t>
        </is>
      </c>
      <c r="E836" t="inlineStr">
        <is>
          <t>TORSBY</t>
        </is>
      </c>
      <c r="G836" t="n">
        <v>3.6</v>
      </c>
      <c r="H836" t="n">
        <v>0</v>
      </c>
      <c r="I836" t="n">
        <v>0</v>
      </c>
      <c r="J836" t="n">
        <v>0</v>
      </c>
      <c r="K836" t="n">
        <v>0</v>
      </c>
      <c r="L836" t="n">
        <v>0</v>
      </c>
      <c r="M836" t="n">
        <v>0</v>
      </c>
      <c r="N836" t="n">
        <v>0</v>
      </c>
      <c r="O836" t="n">
        <v>0</v>
      </c>
      <c r="P836" t="n">
        <v>0</v>
      </c>
      <c r="Q836" t="n">
        <v>0</v>
      </c>
      <c r="R836" s="2" t="inlineStr"/>
    </row>
    <row r="837" ht="15" customHeight="1">
      <c r="A837" t="inlineStr">
        <is>
          <t>A 48020-2025</t>
        </is>
      </c>
      <c r="B837" s="1" t="n">
        <v>45932</v>
      </c>
      <c r="C837" s="1" t="n">
        <v>46204</v>
      </c>
      <c r="D837" t="inlineStr">
        <is>
          <t>VÄRMLANDS LÄN</t>
        </is>
      </c>
      <c r="E837" t="inlineStr">
        <is>
          <t>TORSBY</t>
        </is>
      </c>
      <c r="F837" t="inlineStr">
        <is>
          <t>Bergvik skog väst AB</t>
        </is>
      </c>
      <c r="G837" t="n">
        <v>4.5</v>
      </c>
      <c r="H837" t="n">
        <v>0</v>
      </c>
      <c r="I837" t="n">
        <v>0</v>
      </c>
      <c r="J837" t="n">
        <v>0</v>
      </c>
      <c r="K837" t="n">
        <v>0</v>
      </c>
      <c r="L837" t="n">
        <v>0</v>
      </c>
      <c r="M837" t="n">
        <v>0</v>
      </c>
      <c r="N837" t="n">
        <v>0</v>
      </c>
      <c r="O837" t="n">
        <v>0</v>
      </c>
      <c r="P837" t="n">
        <v>0</v>
      </c>
      <c r="Q837" t="n">
        <v>0</v>
      </c>
      <c r="R837" s="2" t="inlineStr"/>
    </row>
    <row r="838" ht="15" customHeight="1">
      <c r="A838" t="inlineStr">
        <is>
          <t>A 11722-2026</t>
        </is>
      </c>
      <c r="B838" s="1" t="n">
        <v>46084</v>
      </c>
      <c r="C838" s="1" t="n">
        <v>46204</v>
      </c>
      <c r="D838" t="inlineStr">
        <is>
          <t>VÄRMLANDS LÄN</t>
        </is>
      </c>
      <c r="E838" t="inlineStr">
        <is>
          <t>TORSBY</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11489-2026</t>
        </is>
      </c>
      <c r="B839" s="1" t="n">
        <v>46083</v>
      </c>
      <c r="C839" s="1" t="n">
        <v>46204</v>
      </c>
      <c r="D839" t="inlineStr">
        <is>
          <t>VÄRMLANDS LÄN</t>
        </is>
      </c>
      <c r="E839" t="inlineStr">
        <is>
          <t>TORSBY</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48375-2025</t>
        </is>
      </c>
      <c r="B840" s="1" t="n">
        <v>45933</v>
      </c>
      <c r="C840" s="1" t="n">
        <v>46204</v>
      </c>
      <c r="D840" t="inlineStr">
        <is>
          <t>VÄRMLANDS LÄN</t>
        </is>
      </c>
      <c r="E840" t="inlineStr">
        <is>
          <t>TORSBY</t>
        </is>
      </c>
      <c r="G840" t="n">
        <v>2.5</v>
      </c>
      <c r="H840" t="n">
        <v>0</v>
      </c>
      <c r="I840" t="n">
        <v>0</v>
      </c>
      <c r="J840" t="n">
        <v>0</v>
      </c>
      <c r="K840" t="n">
        <v>0</v>
      </c>
      <c r="L840" t="n">
        <v>0</v>
      </c>
      <c r="M840" t="n">
        <v>0</v>
      </c>
      <c r="N840" t="n">
        <v>0</v>
      </c>
      <c r="O840" t="n">
        <v>0</v>
      </c>
      <c r="P840" t="n">
        <v>0</v>
      </c>
      <c r="Q840" t="n">
        <v>0</v>
      </c>
      <c r="R840" s="2" t="inlineStr"/>
    </row>
    <row r="841" ht="15" customHeight="1">
      <c r="A841" t="inlineStr">
        <is>
          <t>A 11583-2026</t>
        </is>
      </c>
      <c r="B841" s="1" t="n">
        <v>46084</v>
      </c>
      <c r="C841" s="1" t="n">
        <v>46204</v>
      </c>
      <c r="D841" t="inlineStr">
        <is>
          <t>VÄRMLANDS LÄN</t>
        </is>
      </c>
      <c r="E841" t="inlineStr">
        <is>
          <t>TORSBY</t>
        </is>
      </c>
      <c r="G841" t="n">
        <v>6.8</v>
      </c>
      <c r="H841" t="n">
        <v>0</v>
      </c>
      <c r="I841" t="n">
        <v>0</v>
      </c>
      <c r="J841" t="n">
        <v>0</v>
      </c>
      <c r="K841" t="n">
        <v>0</v>
      </c>
      <c r="L841" t="n">
        <v>0</v>
      </c>
      <c r="M841" t="n">
        <v>0</v>
      </c>
      <c r="N841" t="n">
        <v>0</v>
      </c>
      <c r="O841" t="n">
        <v>0</v>
      </c>
      <c r="P841" t="n">
        <v>0</v>
      </c>
      <c r="Q841" t="n">
        <v>0</v>
      </c>
      <c r="R841" s="2" t="inlineStr"/>
    </row>
    <row r="842" ht="15" customHeight="1">
      <c r="A842" t="inlineStr">
        <is>
          <t>A 9793-2024</t>
        </is>
      </c>
      <c r="B842" s="1" t="n">
        <v>45362</v>
      </c>
      <c r="C842" s="1" t="n">
        <v>46204</v>
      </c>
      <c r="D842" t="inlineStr">
        <is>
          <t>VÄRMLANDS LÄN</t>
        </is>
      </c>
      <c r="E842" t="inlineStr">
        <is>
          <t>TORSBY</t>
        </is>
      </c>
      <c r="G842" t="n">
        <v>6</v>
      </c>
      <c r="H842" t="n">
        <v>0</v>
      </c>
      <c r="I842" t="n">
        <v>0</v>
      </c>
      <c r="J842" t="n">
        <v>0</v>
      </c>
      <c r="K842" t="n">
        <v>0</v>
      </c>
      <c r="L842" t="n">
        <v>0</v>
      </c>
      <c r="M842" t="n">
        <v>0</v>
      </c>
      <c r="N842" t="n">
        <v>0</v>
      </c>
      <c r="O842" t="n">
        <v>0</v>
      </c>
      <c r="P842" t="n">
        <v>0</v>
      </c>
      <c r="Q842" t="n">
        <v>0</v>
      </c>
      <c r="R842" s="2" t="inlineStr"/>
    </row>
    <row r="843" ht="15" customHeight="1">
      <c r="A843" t="inlineStr">
        <is>
          <t>A 60525-2023</t>
        </is>
      </c>
      <c r="B843" s="1" t="n">
        <v>45259</v>
      </c>
      <c r="C843" s="1" t="n">
        <v>46204</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11901-2026</t>
        </is>
      </c>
      <c r="B844" s="1" t="n">
        <v>46085</v>
      </c>
      <c r="C844" s="1" t="n">
        <v>46204</v>
      </c>
      <c r="D844" t="inlineStr">
        <is>
          <t>VÄRMLANDS LÄN</t>
        </is>
      </c>
      <c r="E844" t="inlineStr">
        <is>
          <t>TORSBY</t>
        </is>
      </c>
      <c r="G844" t="n">
        <v>6.6</v>
      </c>
      <c r="H844" t="n">
        <v>0</v>
      </c>
      <c r="I844" t="n">
        <v>0</v>
      </c>
      <c r="J844" t="n">
        <v>0</v>
      </c>
      <c r="K844" t="n">
        <v>0</v>
      </c>
      <c r="L844" t="n">
        <v>0</v>
      </c>
      <c r="M844" t="n">
        <v>0</v>
      </c>
      <c r="N844" t="n">
        <v>0</v>
      </c>
      <c r="O844" t="n">
        <v>0</v>
      </c>
      <c r="P844" t="n">
        <v>0</v>
      </c>
      <c r="Q844" t="n">
        <v>0</v>
      </c>
      <c r="R844" s="2" t="inlineStr"/>
    </row>
    <row r="845" ht="15" customHeight="1">
      <c r="A845" t="inlineStr">
        <is>
          <t>A 11909-2026</t>
        </is>
      </c>
      <c r="B845" s="1" t="n">
        <v>46085</v>
      </c>
      <c r="C845" s="1" t="n">
        <v>46204</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55428-2022</t>
        </is>
      </c>
      <c r="B846" s="1" t="n">
        <v>44887</v>
      </c>
      <c r="C846" s="1" t="n">
        <v>46204</v>
      </c>
      <c r="D846" t="inlineStr">
        <is>
          <t>VÄRMLANDS LÄN</t>
        </is>
      </c>
      <c r="E846" t="inlineStr">
        <is>
          <t>TORSBY</t>
        </is>
      </c>
      <c r="G846" t="n">
        <v>1.1</v>
      </c>
      <c r="H846" t="n">
        <v>0</v>
      </c>
      <c r="I846" t="n">
        <v>0</v>
      </c>
      <c r="J846" t="n">
        <v>0</v>
      </c>
      <c r="K846" t="n">
        <v>0</v>
      </c>
      <c r="L846" t="n">
        <v>0</v>
      </c>
      <c r="M846" t="n">
        <v>0</v>
      </c>
      <c r="N846" t="n">
        <v>0</v>
      </c>
      <c r="O846" t="n">
        <v>0</v>
      </c>
      <c r="P846" t="n">
        <v>0</v>
      </c>
      <c r="Q846" t="n">
        <v>0</v>
      </c>
      <c r="R846" s="2" t="inlineStr"/>
    </row>
    <row r="847" ht="15" customHeight="1">
      <c r="A847" t="inlineStr">
        <is>
          <t>A 43037-2024</t>
        </is>
      </c>
      <c r="B847" s="1" t="n">
        <v>45567</v>
      </c>
      <c r="C847" s="1" t="n">
        <v>46204</v>
      </c>
      <c r="D847" t="inlineStr">
        <is>
          <t>VÄRMLANDS LÄN</t>
        </is>
      </c>
      <c r="E847" t="inlineStr">
        <is>
          <t>TORSBY</t>
        </is>
      </c>
      <c r="F847" t="inlineStr">
        <is>
          <t>Bergvik skog väst AB</t>
        </is>
      </c>
      <c r="G847" t="n">
        <v>0.5</v>
      </c>
      <c r="H847" t="n">
        <v>0</v>
      </c>
      <c r="I847" t="n">
        <v>0</v>
      </c>
      <c r="J847" t="n">
        <v>0</v>
      </c>
      <c r="K847" t="n">
        <v>0</v>
      </c>
      <c r="L847" t="n">
        <v>0</v>
      </c>
      <c r="M847" t="n">
        <v>0</v>
      </c>
      <c r="N847" t="n">
        <v>0</v>
      </c>
      <c r="O847" t="n">
        <v>0</v>
      </c>
      <c r="P847" t="n">
        <v>0</v>
      </c>
      <c r="Q847" t="n">
        <v>0</v>
      </c>
      <c r="R847" s="2" t="inlineStr"/>
    </row>
    <row r="848" ht="15" customHeight="1">
      <c r="A848" t="inlineStr">
        <is>
          <t>A 23572-2023</t>
        </is>
      </c>
      <c r="B848" s="1" t="n">
        <v>45077</v>
      </c>
      <c r="C848" s="1" t="n">
        <v>46204</v>
      </c>
      <c r="D848" t="inlineStr">
        <is>
          <t>VÄRMLANDS LÄN</t>
        </is>
      </c>
      <c r="E848" t="inlineStr">
        <is>
          <t>TORSBY</t>
        </is>
      </c>
      <c r="G848" t="n">
        <v>4.4</v>
      </c>
      <c r="H848" t="n">
        <v>0</v>
      </c>
      <c r="I848" t="n">
        <v>0</v>
      </c>
      <c r="J848" t="n">
        <v>0</v>
      </c>
      <c r="K848" t="n">
        <v>0</v>
      </c>
      <c r="L848" t="n">
        <v>0</v>
      </c>
      <c r="M848" t="n">
        <v>0</v>
      </c>
      <c r="N848" t="n">
        <v>0</v>
      </c>
      <c r="O848" t="n">
        <v>0</v>
      </c>
      <c r="P848" t="n">
        <v>0</v>
      </c>
      <c r="Q848" t="n">
        <v>0</v>
      </c>
      <c r="R848" s="2" t="inlineStr"/>
    </row>
    <row r="849" ht="15" customHeight="1">
      <c r="A849" t="inlineStr">
        <is>
          <t>A 53499-2023</t>
        </is>
      </c>
      <c r="B849" s="1" t="n">
        <v>45223</v>
      </c>
      <c r="C849" s="1" t="n">
        <v>46204</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47927-2025</t>
        </is>
      </c>
      <c r="B850" s="1" t="n">
        <v>45932</v>
      </c>
      <c r="C850" s="1" t="n">
        <v>46204</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48214-2025</t>
        </is>
      </c>
      <c r="B851" s="1" t="n">
        <v>45933</v>
      </c>
      <c r="C851" s="1" t="n">
        <v>46204</v>
      </c>
      <c r="D851" t="inlineStr">
        <is>
          <t>VÄRMLANDS LÄN</t>
        </is>
      </c>
      <c r="E851" t="inlineStr">
        <is>
          <t>TORSBY</t>
        </is>
      </c>
      <c r="G851" t="n">
        <v>0.6</v>
      </c>
      <c r="H851" t="n">
        <v>0</v>
      </c>
      <c r="I851" t="n">
        <v>0</v>
      </c>
      <c r="J851" t="n">
        <v>0</v>
      </c>
      <c r="K851" t="n">
        <v>0</v>
      </c>
      <c r="L851" t="n">
        <v>0</v>
      </c>
      <c r="M851" t="n">
        <v>0</v>
      </c>
      <c r="N851" t="n">
        <v>0</v>
      </c>
      <c r="O851" t="n">
        <v>0</v>
      </c>
      <c r="P851" t="n">
        <v>0</v>
      </c>
      <c r="Q851" t="n">
        <v>0</v>
      </c>
      <c r="R851" s="2" t="inlineStr"/>
    </row>
    <row r="852" ht="15" customHeight="1">
      <c r="A852" t="inlineStr">
        <is>
          <t>A 54528-2023</t>
        </is>
      </c>
      <c r="B852" s="1" t="n">
        <v>45233</v>
      </c>
      <c r="C852" s="1" t="n">
        <v>46204</v>
      </c>
      <c r="D852" t="inlineStr">
        <is>
          <t>VÄRMLANDS LÄN</t>
        </is>
      </c>
      <c r="E852" t="inlineStr">
        <is>
          <t>TORSBY</t>
        </is>
      </c>
      <c r="G852" t="n">
        <v>1.1</v>
      </c>
      <c r="H852" t="n">
        <v>0</v>
      </c>
      <c r="I852" t="n">
        <v>0</v>
      </c>
      <c r="J852" t="n">
        <v>0</v>
      </c>
      <c r="K852" t="n">
        <v>0</v>
      </c>
      <c r="L852" t="n">
        <v>0</v>
      </c>
      <c r="M852" t="n">
        <v>0</v>
      </c>
      <c r="N852" t="n">
        <v>0</v>
      </c>
      <c r="O852" t="n">
        <v>0</v>
      </c>
      <c r="P852" t="n">
        <v>0</v>
      </c>
      <c r="Q852" t="n">
        <v>0</v>
      </c>
      <c r="R852" s="2" t="inlineStr"/>
    </row>
    <row r="853" ht="15" customHeight="1">
      <c r="A853" t="inlineStr">
        <is>
          <t>A 52239-2024</t>
        </is>
      </c>
      <c r="B853" s="1" t="n">
        <v>45608</v>
      </c>
      <c r="C853" s="1" t="n">
        <v>46204</v>
      </c>
      <c r="D853" t="inlineStr">
        <is>
          <t>VÄRMLANDS LÄN</t>
        </is>
      </c>
      <c r="E853" t="inlineStr">
        <is>
          <t>TORSBY</t>
        </is>
      </c>
      <c r="F853" t="inlineStr">
        <is>
          <t>Bergvik skog väst AB</t>
        </is>
      </c>
      <c r="G853" t="n">
        <v>3.4</v>
      </c>
      <c r="H853" t="n">
        <v>0</v>
      </c>
      <c r="I853" t="n">
        <v>0</v>
      </c>
      <c r="J853" t="n">
        <v>0</v>
      </c>
      <c r="K853" t="n">
        <v>0</v>
      </c>
      <c r="L853" t="n">
        <v>0</v>
      </c>
      <c r="M853" t="n">
        <v>0</v>
      </c>
      <c r="N853" t="n">
        <v>0</v>
      </c>
      <c r="O853" t="n">
        <v>0</v>
      </c>
      <c r="P853" t="n">
        <v>0</v>
      </c>
      <c r="Q853" t="n">
        <v>0</v>
      </c>
      <c r="R853" s="2" t="inlineStr"/>
    </row>
    <row r="854" ht="15" customHeight="1">
      <c r="A854" t="inlineStr">
        <is>
          <t>A 46424-2023</t>
        </is>
      </c>
      <c r="B854" s="1" t="n">
        <v>45197</v>
      </c>
      <c r="C854" s="1" t="n">
        <v>46204</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34667-2022</t>
        </is>
      </c>
      <c r="B855" s="1" t="n">
        <v>44795</v>
      </c>
      <c r="C855" s="1" t="n">
        <v>46204</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48499-2025</t>
        </is>
      </c>
      <c r="B856" s="1" t="n">
        <v>45936</v>
      </c>
      <c r="C856" s="1" t="n">
        <v>46204</v>
      </c>
      <c r="D856" t="inlineStr">
        <is>
          <t>VÄRMLANDS LÄN</t>
        </is>
      </c>
      <c r="E856" t="inlineStr">
        <is>
          <t>TORSBY</t>
        </is>
      </c>
      <c r="F856" t="inlineStr">
        <is>
          <t>Bergvik skog väst AB</t>
        </is>
      </c>
      <c r="G856" t="n">
        <v>2.4</v>
      </c>
      <c r="H856" t="n">
        <v>0</v>
      </c>
      <c r="I856" t="n">
        <v>0</v>
      </c>
      <c r="J856" t="n">
        <v>0</v>
      </c>
      <c r="K856" t="n">
        <v>0</v>
      </c>
      <c r="L856" t="n">
        <v>0</v>
      </c>
      <c r="M856" t="n">
        <v>0</v>
      </c>
      <c r="N856" t="n">
        <v>0</v>
      </c>
      <c r="O856" t="n">
        <v>0</v>
      </c>
      <c r="P856" t="n">
        <v>0</v>
      </c>
      <c r="Q856" t="n">
        <v>0</v>
      </c>
      <c r="R856" s="2" t="inlineStr"/>
    </row>
    <row r="857" ht="15" customHeight="1">
      <c r="A857" t="inlineStr">
        <is>
          <t>A 38662-2025</t>
        </is>
      </c>
      <c r="B857" s="1" t="n">
        <v>45884</v>
      </c>
      <c r="C857" s="1" t="n">
        <v>46204</v>
      </c>
      <c r="D857" t="inlineStr">
        <is>
          <t>VÄRMLANDS LÄN</t>
        </is>
      </c>
      <c r="E857" t="inlineStr">
        <is>
          <t>TORSBY</t>
        </is>
      </c>
      <c r="F857" t="inlineStr">
        <is>
          <t>Bergvik skog väst AB</t>
        </is>
      </c>
      <c r="G857" t="n">
        <v>5.1</v>
      </c>
      <c r="H857" t="n">
        <v>0</v>
      </c>
      <c r="I857" t="n">
        <v>0</v>
      </c>
      <c r="J857" t="n">
        <v>0</v>
      </c>
      <c r="K857" t="n">
        <v>0</v>
      </c>
      <c r="L857" t="n">
        <v>0</v>
      </c>
      <c r="M857" t="n">
        <v>0</v>
      </c>
      <c r="N857" t="n">
        <v>0</v>
      </c>
      <c r="O857" t="n">
        <v>0</v>
      </c>
      <c r="P857" t="n">
        <v>0</v>
      </c>
      <c r="Q857" t="n">
        <v>0</v>
      </c>
      <c r="R857" s="2" t="inlineStr"/>
    </row>
    <row r="858" ht="15" customHeight="1">
      <c r="A858" t="inlineStr">
        <is>
          <t>A 49159-2025</t>
        </is>
      </c>
      <c r="B858" s="1" t="n">
        <v>45938</v>
      </c>
      <c r="C858" s="1" t="n">
        <v>46204</v>
      </c>
      <c r="D858" t="inlineStr">
        <is>
          <t>VÄRMLANDS LÄN</t>
        </is>
      </c>
      <c r="E858" t="inlineStr">
        <is>
          <t>TORSBY</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49167-2025</t>
        </is>
      </c>
      <c r="B859" s="1" t="n">
        <v>45938</v>
      </c>
      <c r="C859" s="1" t="n">
        <v>46204</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12289-2026</t>
        </is>
      </c>
      <c r="B860" s="1" t="n">
        <v>46087</v>
      </c>
      <c r="C860" s="1" t="n">
        <v>46204</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12271-2026</t>
        </is>
      </c>
      <c r="B861" s="1" t="n">
        <v>46087</v>
      </c>
      <c r="C861" s="1" t="n">
        <v>46204</v>
      </c>
      <c r="D861" t="inlineStr">
        <is>
          <t>VÄRMLANDS LÄN</t>
        </is>
      </c>
      <c r="E861" t="inlineStr">
        <is>
          <t>TORSBY</t>
        </is>
      </c>
      <c r="F861" t="inlineStr">
        <is>
          <t>Bergvik skog väst AB</t>
        </is>
      </c>
      <c r="G861" t="n">
        <v>9.4</v>
      </c>
      <c r="H861" t="n">
        <v>0</v>
      </c>
      <c r="I861" t="n">
        <v>0</v>
      </c>
      <c r="J861" t="n">
        <v>0</v>
      </c>
      <c r="K861" t="n">
        <v>0</v>
      </c>
      <c r="L861" t="n">
        <v>0</v>
      </c>
      <c r="M861" t="n">
        <v>0</v>
      </c>
      <c r="N861" t="n">
        <v>0</v>
      </c>
      <c r="O861" t="n">
        <v>0</v>
      </c>
      <c r="P861" t="n">
        <v>0</v>
      </c>
      <c r="Q861" t="n">
        <v>0</v>
      </c>
      <c r="R861" s="2" t="inlineStr"/>
    </row>
    <row r="862" ht="15" customHeight="1">
      <c r="A862" t="inlineStr">
        <is>
          <t>A 12250-2026</t>
        </is>
      </c>
      <c r="B862" s="1" t="n">
        <v>46087</v>
      </c>
      <c r="C862" s="1" t="n">
        <v>46204</v>
      </c>
      <c r="D862" t="inlineStr">
        <is>
          <t>VÄRMLANDS LÄN</t>
        </is>
      </c>
      <c r="E862" t="inlineStr">
        <is>
          <t>TORSBY</t>
        </is>
      </c>
      <c r="F862" t="inlineStr">
        <is>
          <t>Bergvik skog väst AB</t>
        </is>
      </c>
      <c r="G862" t="n">
        <v>4.4</v>
      </c>
      <c r="H862" t="n">
        <v>0</v>
      </c>
      <c r="I862" t="n">
        <v>0</v>
      </c>
      <c r="J862" t="n">
        <v>0</v>
      </c>
      <c r="K862" t="n">
        <v>0</v>
      </c>
      <c r="L862" t="n">
        <v>0</v>
      </c>
      <c r="M862" t="n">
        <v>0</v>
      </c>
      <c r="N862" t="n">
        <v>0</v>
      </c>
      <c r="O862" t="n">
        <v>0</v>
      </c>
      <c r="P862" t="n">
        <v>0</v>
      </c>
      <c r="Q862" t="n">
        <v>0</v>
      </c>
      <c r="R862" s="2" t="inlineStr"/>
    </row>
    <row r="863" ht="15" customHeight="1">
      <c r="A863" t="inlineStr">
        <is>
          <t>A 10728-2026</t>
        </is>
      </c>
      <c r="B863" s="1" t="n">
        <v>46078</v>
      </c>
      <c r="C863" s="1" t="n">
        <v>46204</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22030-2023</t>
        </is>
      </c>
      <c r="B864" s="1" t="n">
        <v>45069</v>
      </c>
      <c r="C864" s="1" t="n">
        <v>46204</v>
      </c>
      <c r="D864" t="inlineStr">
        <is>
          <t>VÄRMLANDS LÄN</t>
        </is>
      </c>
      <c r="E864" t="inlineStr">
        <is>
          <t>TORSBY</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12890-2026</t>
        </is>
      </c>
      <c r="B865" s="1" t="n">
        <v>46092</v>
      </c>
      <c r="C865" s="1" t="n">
        <v>46204</v>
      </c>
      <c r="D865" t="inlineStr">
        <is>
          <t>VÄRMLANDS LÄN</t>
        </is>
      </c>
      <c r="E865" t="inlineStr">
        <is>
          <t>TORSBY</t>
        </is>
      </c>
      <c r="G865" t="n">
        <v>4.2</v>
      </c>
      <c r="H865" t="n">
        <v>0</v>
      </c>
      <c r="I865" t="n">
        <v>0</v>
      </c>
      <c r="J865" t="n">
        <v>0</v>
      </c>
      <c r="K865" t="n">
        <v>0</v>
      </c>
      <c r="L865" t="n">
        <v>0</v>
      </c>
      <c r="M865" t="n">
        <v>0</v>
      </c>
      <c r="N865" t="n">
        <v>0</v>
      </c>
      <c r="O865" t="n">
        <v>0</v>
      </c>
      <c r="P865" t="n">
        <v>0</v>
      </c>
      <c r="Q865" t="n">
        <v>0</v>
      </c>
      <c r="R865" s="2" t="inlineStr"/>
    </row>
    <row r="866" ht="15" customHeight="1">
      <c r="A866" t="inlineStr">
        <is>
          <t>A 60385-2024</t>
        </is>
      </c>
      <c r="B866" s="1" t="n">
        <v>45643</v>
      </c>
      <c r="C866" s="1" t="n">
        <v>46204</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49108-2025</t>
        </is>
      </c>
      <c r="B867" s="1" t="n">
        <v>45937</v>
      </c>
      <c r="C867" s="1" t="n">
        <v>46204</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49109-2025</t>
        </is>
      </c>
      <c r="B868" s="1" t="n">
        <v>45937</v>
      </c>
      <c r="C868" s="1" t="n">
        <v>46204</v>
      </c>
      <c r="D868" t="inlineStr">
        <is>
          <t>VÄRMLANDS LÄN</t>
        </is>
      </c>
      <c r="E868" t="inlineStr">
        <is>
          <t>TORSBY</t>
        </is>
      </c>
      <c r="G868" t="n">
        <v>0.1</v>
      </c>
      <c r="H868" t="n">
        <v>0</v>
      </c>
      <c r="I868" t="n">
        <v>0</v>
      </c>
      <c r="J868" t="n">
        <v>0</v>
      </c>
      <c r="K868" t="n">
        <v>0</v>
      </c>
      <c r="L868" t="n">
        <v>0</v>
      </c>
      <c r="M868" t="n">
        <v>0</v>
      </c>
      <c r="N868" t="n">
        <v>0</v>
      </c>
      <c r="O868" t="n">
        <v>0</v>
      </c>
      <c r="P868" t="n">
        <v>0</v>
      </c>
      <c r="Q868" t="n">
        <v>0</v>
      </c>
      <c r="R868" s="2" t="inlineStr"/>
    </row>
    <row r="869" ht="15" customHeight="1">
      <c r="A869" t="inlineStr">
        <is>
          <t>A 34256-2024</t>
        </is>
      </c>
      <c r="B869" s="1" t="n">
        <v>45524</v>
      </c>
      <c r="C869" s="1" t="n">
        <v>46204</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49311-2025</t>
        </is>
      </c>
      <c r="B870" s="1" t="n">
        <v>45938</v>
      </c>
      <c r="C870" s="1" t="n">
        <v>46204</v>
      </c>
      <c r="D870" t="inlineStr">
        <is>
          <t>VÄRMLANDS LÄN</t>
        </is>
      </c>
      <c r="E870" t="inlineStr">
        <is>
          <t>TORSBY</t>
        </is>
      </c>
      <c r="F870" t="inlineStr">
        <is>
          <t>Bergvik skog väst AB</t>
        </is>
      </c>
      <c r="G870" t="n">
        <v>2.4</v>
      </c>
      <c r="H870" t="n">
        <v>0</v>
      </c>
      <c r="I870" t="n">
        <v>0</v>
      </c>
      <c r="J870" t="n">
        <v>0</v>
      </c>
      <c r="K870" t="n">
        <v>0</v>
      </c>
      <c r="L870" t="n">
        <v>0</v>
      </c>
      <c r="M870" t="n">
        <v>0</v>
      </c>
      <c r="N870" t="n">
        <v>0</v>
      </c>
      <c r="O870" t="n">
        <v>0</v>
      </c>
      <c r="P870" t="n">
        <v>0</v>
      </c>
      <c r="Q870" t="n">
        <v>0</v>
      </c>
      <c r="R870" s="2" t="inlineStr"/>
    </row>
    <row r="871" ht="15" customHeight="1">
      <c r="A871" t="inlineStr">
        <is>
          <t>A 12964-2026</t>
        </is>
      </c>
      <c r="B871" s="1" t="n">
        <v>46092</v>
      </c>
      <c r="C871" s="1" t="n">
        <v>46204</v>
      </c>
      <c r="D871" t="inlineStr">
        <is>
          <t>VÄRMLANDS LÄN</t>
        </is>
      </c>
      <c r="E871" t="inlineStr">
        <is>
          <t>TORSBY</t>
        </is>
      </c>
      <c r="G871" t="n">
        <v>10.6</v>
      </c>
      <c r="H871" t="n">
        <v>0</v>
      </c>
      <c r="I871" t="n">
        <v>0</v>
      </c>
      <c r="J871" t="n">
        <v>0</v>
      </c>
      <c r="K871" t="n">
        <v>0</v>
      </c>
      <c r="L871" t="n">
        <v>0</v>
      </c>
      <c r="M871" t="n">
        <v>0</v>
      </c>
      <c r="N871" t="n">
        <v>0</v>
      </c>
      <c r="O871" t="n">
        <v>0</v>
      </c>
      <c r="P871" t="n">
        <v>0</v>
      </c>
      <c r="Q871" t="n">
        <v>0</v>
      </c>
      <c r="R871" s="2" t="inlineStr"/>
    </row>
    <row r="872" ht="15" customHeight="1">
      <c r="A872" t="inlineStr">
        <is>
          <t>A 30531-2023</t>
        </is>
      </c>
      <c r="B872" s="1" t="n">
        <v>45111</v>
      </c>
      <c r="C872" s="1" t="n">
        <v>46204</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49272-2025</t>
        </is>
      </c>
      <c r="B873" s="1" t="n">
        <v>45938</v>
      </c>
      <c r="C873" s="1" t="n">
        <v>46204</v>
      </c>
      <c r="D873" t="inlineStr">
        <is>
          <t>VÄRMLANDS LÄN</t>
        </is>
      </c>
      <c r="E873" t="inlineStr">
        <is>
          <t>TORSBY</t>
        </is>
      </c>
      <c r="G873" t="n">
        <v>0.2</v>
      </c>
      <c r="H873" t="n">
        <v>0</v>
      </c>
      <c r="I873" t="n">
        <v>0</v>
      </c>
      <c r="J873" t="n">
        <v>0</v>
      </c>
      <c r="K873" t="n">
        <v>0</v>
      </c>
      <c r="L873" t="n">
        <v>0</v>
      </c>
      <c r="M873" t="n">
        <v>0</v>
      </c>
      <c r="N873" t="n">
        <v>0</v>
      </c>
      <c r="O873" t="n">
        <v>0</v>
      </c>
      <c r="P873" t="n">
        <v>0</v>
      </c>
      <c r="Q873" t="n">
        <v>0</v>
      </c>
      <c r="R873" s="2" t="inlineStr"/>
    </row>
    <row r="874" ht="15" customHeight="1">
      <c r="A874" t="inlineStr">
        <is>
          <t>A 49313-2025</t>
        </is>
      </c>
      <c r="B874" s="1" t="n">
        <v>45938</v>
      </c>
      <c r="C874" s="1" t="n">
        <v>46204</v>
      </c>
      <c r="D874" t="inlineStr">
        <is>
          <t>VÄRMLANDS LÄN</t>
        </is>
      </c>
      <c r="E874" t="inlineStr">
        <is>
          <t>TORSBY</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49203-2025</t>
        </is>
      </c>
      <c r="B875" s="1" t="n">
        <v>45938</v>
      </c>
      <c r="C875" s="1" t="n">
        <v>46204</v>
      </c>
      <c r="D875" t="inlineStr">
        <is>
          <t>VÄRMLANDS LÄN</t>
        </is>
      </c>
      <c r="E875" t="inlineStr">
        <is>
          <t>TORSBY</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12972-2026</t>
        </is>
      </c>
      <c r="B876" s="1" t="n">
        <v>46092</v>
      </c>
      <c r="C876" s="1" t="n">
        <v>46204</v>
      </c>
      <c r="D876" t="inlineStr">
        <is>
          <t>VÄRMLANDS LÄN</t>
        </is>
      </c>
      <c r="E876" t="inlineStr">
        <is>
          <t>TORSBY</t>
        </is>
      </c>
      <c r="G876" t="n">
        <v>3.6</v>
      </c>
      <c r="H876" t="n">
        <v>0</v>
      </c>
      <c r="I876" t="n">
        <v>0</v>
      </c>
      <c r="J876" t="n">
        <v>0</v>
      </c>
      <c r="K876" t="n">
        <v>0</v>
      </c>
      <c r="L876" t="n">
        <v>0</v>
      </c>
      <c r="M876" t="n">
        <v>0</v>
      </c>
      <c r="N876" t="n">
        <v>0</v>
      </c>
      <c r="O876" t="n">
        <v>0</v>
      </c>
      <c r="P876" t="n">
        <v>0</v>
      </c>
      <c r="Q876" t="n">
        <v>0</v>
      </c>
      <c r="R876" s="2" t="inlineStr"/>
    </row>
    <row r="877" ht="15" customHeight="1">
      <c r="A877" t="inlineStr">
        <is>
          <t>A 49622-2025</t>
        </is>
      </c>
      <c r="B877" s="1" t="n">
        <v>45939</v>
      </c>
      <c r="C877" s="1" t="n">
        <v>46204</v>
      </c>
      <c r="D877" t="inlineStr">
        <is>
          <t>VÄRMLANDS LÄN</t>
        </is>
      </c>
      <c r="E877" t="inlineStr">
        <is>
          <t>TORSBY</t>
        </is>
      </c>
      <c r="F877" t="inlineStr">
        <is>
          <t>Bergvik skog väst AB</t>
        </is>
      </c>
      <c r="G877" t="n">
        <v>3.7</v>
      </c>
      <c r="H877" t="n">
        <v>0</v>
      </c>
      <c r="I877" t="n">
        <v>0</v>
      </c>
      <c r="J877" t="n">
        <v>0</v>
      </c>
      <c r="K877" t="n">
        <v>0</v>
      </c>
      <c r="L877" t="n">
        <v>0</v>
      </c>
      <c r="M877" t="n">
        <v>0</v>
      </c>
      <c r="N877" t="n">
        <v>0</v>
      </c>
      <c r="O877" t="n">
        <v>0</v>
      </c>
      <c r="P877" t="n">
        <v>0</v>
      </c>
      <c r="Q877" t="n">
        <v>0</v>
      </c>
      <c r="R877" s="2" t="inlineStr"/>
    </row>
    <row r="878" ht="15" customHeight="1">
      <c r="A878" t="inlineStr">
        <is>
          <t>A 49636-2025</t>
        </is>
      </c>
      <c r="B878" s="1" t="n">
        <v>45939</v>
      </c>
      <c r="C878" s="1" t="n">
        <v>46204</v>
      </c>
      <c r="D878" t="inlineStr">
        <is>
          <t>VÄRMLANDS LÄN</t>
        </is>
      </c>
      <c r="E878" t="inlineStr">
        <is>
          <t>TORSBY</t>
        </is>
      </c>
      <c r="F878" t="inlineStr">
        <is>
          <t>Bergvik skog väst AB</t>
        </is>
      </c>
      <c r="G878" t="n">
        <v>1</v>
      </c>
      <c r="H878" t="n">
        <v>0</v>
      </c>
      <c r="I878" t="n">
        <v>0</v>
      </c>
      <c r="J878" t="n">
        <v>0</v>
      </c>
      <c r="K878" t="n">
        <v>0</v>
      </c>
      <c r="L878" t="n">
        <v>0</v>
      </c>
      <c r="M878" t="n">
        <v>0</v>
      </c>
      <c r="N878" t="n">
        <v>0</v>
      </c>
      <c r="O878" t="n">
        <v>0</v>
      </c>
      <c r="P878" t="n">
        <v>0</v>
      </c>
      <c r="Q878" t="n">
        <v>0</v>
      </c>
      <c r="R878" s="2" t="inlineStr"/>
    </row>
    <row r="879" ht="15" customHeight="1">
      <c r="A879" t="inlineStr">
        <is>
          <t>A 49344-2025</t>
        </is>
      </c>
      <c r="B879" s="1" t="n">
        <v>45938</v>
      </c>
      <c r="C879" s="1" t="n">
        <v>46204</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49681-2025</t>
        </is>
      </c>
      <c r="B880" s="1" t="n">
        <v>45939</v>
      </c>
      <c r="C880" s="1" t="n">
        <v>46204</v>
      </c>
      <c r="D880" t="inlineStr">
        <is>
          <t>VÄRMLANDS LÄN</t>
        </is>
      </c>
      <c r="E880" t="inlineStr">
        <is>
          <t>TORSBY</t>
        </is>
      </c>
      <c r="F880" t="inlineStr">
        <is>
          <t>Bergvik skog väst AB</t>
        </is>
      </c>
      <c r="G880" t="n">
        <v>2.1</v>
      </c>
      <c r="H880" t="n">
        <v>0</v>
      </c>
      <c r="I880" t="n">
        <v>0</v>
      </c>
      <c r="J880" t="n">
        <v>0</v>
      </c>
      <c r="K880" t="n">
        <v>0</v>
      </c>
      <c r="L880" t="n">
        <v>0</v>
      </c>
      <c r="M880" t="n">
        <v>0</v>
      </c>
      <c r="N880" t="n">
        <v>0</v>
      </c>
      <c r="O880" t="n">
        <v>0</v>
      </c>
      <c r="P880" t="n">
        <v>0</v>
      </c>
      <c r="Q880" t="n">
        <v>0</v>
      </c>
      <c r="R880" s="2" t="inlineStr"/>
    </row>
    <row r="881" ht="15" customHeight="1">
      <c r="A881" t="inlineStr">
        <is>
          <t>A 49453-2025</t>
        </is>
      </c>
      <c r="B881" s="1" t="n">
        <v>45939</v>
      </c>
      <c r="C881" s="1" t="n">
        <v>46204</v>
      </c>
      <c r="D881" t="inlineStr">
        <is>
          <t>VÄRMLANDS LÄN</t>
        </is>
      </c>
      <c r="E881" t="inlineStr">
        <is>
          <t>TORSBY</t>
        </is>
      </c>
      <c r="F881" t="inlineStr">
        <is>
          <t>Bergvik skog väst AB</t>
        </is>
      </c>
      <c r="G881" t="n">
        <v>10</v>
      </c>
      <c r="H881" t="n">
        <v>0</v>
      </c>
      <c r="I881" t="n">
        <v>0</v>
      </c>
      <c r="J881" t="n">
        <v>0</v>
      </c>
      <c r="K881" t="n">
        <v>0</v>
      </c>
      <c r="L881" t="n">
        <v>0</v>
      </c>
      <c r="M881" t="n">
        <v>0</v>
      </c>
      <c r="N881" t="n">
        <v>0</v>
      </c>
      <c r="O881" t="n">
        <v>0</v>
      </c>
      <c r="P881" t="n">
        <v>0</v>
      </c>
      <c r="Q881" t="n">
        <v>0</v>
      </c>
      <c r="R881" s="2" t="inlineStr"/>
    </row>
    <row r="882" ht="15" customHeight="1">
      <c r="A882" t="inlineStr">
        <is>
          <t>A 39390-2023</t>
        </is>
      </c>
      <c r="B882" s="1" t="n">
        <v>45166</v>
      </c>
      <c r="C882" s="1" t="n">
        <v>46204</v>
      </c>
      <c r="D882" t="inlineStr">
        <is>
          <t>VÄRMLANDS LÄN</t>
        </is>
      </c>
      <c r="E882" t="inlineStr">
        <is>
          <t>TORSBY</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15126-2024</t>
        </is>
      </c>
      <c r="B883" s="1" t="n">
        <v>45399</v>
      </c>
      <c r="C883" s="1" t="n">
        <v>46204</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15127-2024</t>
        </is>
      </c>
      <c r="B884" s="1" t="n">
        <v>45399</v>
      </c>
      <c r="C884" s="1" t="n">
        <v>46204</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49638-2025</t>
        </is>
      </c>
      <c r="B885" s="1" t="n">
        <v>45939</v>
      </c>
      <c r="C885" s="1" t="n">
        <v>46204</v>
      </c>
      <c r="D885" t="inlineStr">
        <is>
          <t>VÄRMLANDS LÄN</t>
        </is>
      </c>
      <c r="E885" t="inlineStr">
        <is>
          <t>TORSBY</t>
        </is>
      </c>
      <c r="F885" t="inlineStr">
        <is>
          <t>Bergvik skog väst AB</t>
        </is>
      </c>
      <c r="G885" t="n">
        <v>7</v>
      </c>
      <c r="H885" t="n">
        <v>0</v>
      </c>
      <c r="I885" t="n">
        <v>0</v>
      </c>
      <c r="J885" t="n">
        <v>0</v>
      </c>
      <c r="K885" t="n">
        <v>0</v>
      </c>
      <c r="L885" t="n">
        <v>0</v>
      </c>
      <c r="M885" t="n">
        <v>0</v>
      </c>
      <c r="N885" t="n">
        <v>0</v>
      </c>
      <c r="O885" t="n">
        <v>0</v>
      </c>
      <c r="P885" t="n">
        <v>0</v>
      </c>
      <c r="Q885" t="n">
        <v>0</v>
      </c>
      <c r="R885" s="2" t="inlineStr"/>
    </row>
    <row r="886" ht="15" customHeight="1">
      <c r="A886" t="inlineStr">
        <is>
          <t>A 49107-2025</t>
        </is>
      </c>
      <c r="B886" s="1" t="n">
        <v>45937</v>
      </c>
      <c r="C886" s="1" t="n">
        <v>46204</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20872-2024</t>
        </is>
      </c>
      <c r="B887" s="1" t="n">
        <v>45439</v>
      </c>
      <c r="C887" s="1" t="n">
        <v>46204</v>
      </c>
      <c r="D887" t="inlineStr">
        <is>
          <t>VÄRMLANDS LÄN</t>
        </is>
      </c>
      <c r="E887" t="inlineStr">
        <is>
          <t>TORSBY</t>
        </is>
      </c>
      <c r="G887" t="n">
        <v>7.4</v>
      </c>
      <c r="H887" t="n">
        <v>0</v>
      </c>
      <c r="I887" t="n">
        <v>0</v>
      </c>
      <c r="J887" t="n">
        <v>0</v>
      </c>
      <c r="K887" t="n">
        <v>0</v>
      </c>
      <c r="L887" t="n">
        <v>0</v>
      </c>
      <c r="M887" t="n">
        <v>0</v>
      </c>
      <c r="N887" t="n">
        <v>0</v>
      </c>
      <c r="O887" t="n">
        <v>0</v>
      </c>
      <c r="P887" t="n">
        <v>0</v>
      </c>
      <c r="Q887" t="n">
        <v>0</v>
      </c>
      <c r="R887" s="2" t="inlineStr"/>
    </row>
    <row r="888" ht="15" customHeight="1">
      <c r="A888" t="inlineStr">
        <is>
          <t>A 8054-2022</t>
        </is>
      </c>
      <c r="B888" s="1" t="n">
        <v>44609</v>
      </c>
      <c r="C888" s="1" t="n">
        <v>46204</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49237-2025</t>
        </is>
      </c>
      <c r="B889" s="1" t="n">
        <v>45938</v>
      </c>
      <c r="C889" s="1" t="n">
        <v>46204</v>
      </c>
      <c r="D889" t="inlineStr">
        <is>
          <t>VÄRMLANDS LÄN</t>
        </is>
      </c>
      <c r="E889" t="inlineStr">
        <is>
          <t>TORSBY</t>
        </is>
      </c>
      <c r="F889" t="inlineStr">
        <is>
          <t>Bergvik skog väst AB</t>
        </is>
      </c>
      <c r="G889" t="n">
        <v>2.1</v>
      </c>
      <c r="H889" t="n">
        <v>0</v>
      </c>
      <c r="I889" t="n">
        <v>0</v>
      </c>
      <c r="J889" t="n">
        <v>0</v>
      </c>
      <c r="K889" t="n">
        <v>0</v>
      </c>
      <c r="L889" t="n">
        <v>0</v>
      </c>
      <c r="M889" t="n">
        <v>0</v>
      </c>
      <c r="N889" t="n">
        <v>0</v>
      </c>
      <c r="O889" t="n">
        <v>0</v>
      </c>
      <c r="P889" t="n">
        <v>0</v>
      </c>
      <c r="Q889" t="n">
        <v>0</v>
      </c>
      <c r="R889" s="2" t="inlineStr"/>
    </row>
    <row r="890" ht="15" customHeight="1">
      <c r="A890" t="inlineStr">
        <is>
          <t>A 49250-2025</t>
        </is>
      </c>
      <c r="B890" s="1" t="n">
        <v>45938</v>
      </c>
      <c r="C890" s="1" t="n">
        <v>46204</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49073-2022</t>
        </is>
      </c>
      <c r="B891" s="1" t="n">
        <v>44860</v>
      </c>
      <c r="C891" s="1" t="n">
        <v>46204</v>
      </c>
      <c r="D891" t="inlineStr">
        <is>
          <t>VÄRMLANDS LÄN</t>
        </is>
      </c>
      <c r="E891" t="inlineStr">
        <is>
          <t>TORSBY</t>
        </is>
      </c>
      <c r="G891" t="n">
        <v>4.7</v>
      </c>
      <c r="H891" t="n">
        <v>0</v>
      </c>
      <c r="I891" t="n">
        <v>0</v>
      </c>
      <c r="J891" t="n">
        <v>0</v>
      </c>
      <c r="K891" t="n">
        <v>0</v>
      </c>
      <c r="L891" t="n">
        <v>0</v>
      </c>
      <c r="M891" t="n">
        <v>0</v>
      </c>
      <c r="N891" t="n">
        <v>0</v>
      </c>
      <c r="O891" t="n">
        <v>0</v>
      </c>
      <c r="P891" t="n">
        <v>0</v>
      </c>
      <c r="Q891" t="n">
        <v>0</v>
      </c>
      <c r="R891" s="2" t="inlineStr"/>
    </row>
    <row r="892" ht="15" customHeight="1">
      <c r="A892" t="inlineStr">
        <is>
          <t>A 46915-2024</t>
        </is>
      </c>
      <c r="B892" s="1" t="n">
        <v>45583</v>
      </c>
      <c r="C892" s="1" t="n">
        <v>46204</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49854-2025</t>
        </is>
      </c>
      <c r="B893" s="1" t="n">
        <v>45940</v>
      </c>
      <c r="C893" s="1" t="n">
        <v>46204</v>
      </c>
      <c r="D893" t="inlineStr">
        <is>
          <t>VÄRMLANDS LÄN</t>
        </is>
      </c>
      <c r="E893" t="inlineStr">
        <is>
          <t>TORSBY</t>
        </is>
      </c>
      <c r="G893" t="n">
        <v>0.3</v>
      </c>
      <c r="H893" t="n">
        <v>0</v>
      </c>
      <c r="I893" t="n">
        <v>0</v>
      </c>
      <c r="J893" t="n">
        <v>0</v>
      </c>
      <c r="K893" t="n">
        <v>0</v>
      </c>
      <c r="L893" t="n">
        <v>0</v>
      </c>
      <c r="M893" t="n">
        <v>0</v>
      </c>
      <c r="N893" t="n">
        <v>0</v>
      </c>
      <c r="O893" t="n">
        <v>0</v>
      </c>
      <c r="P893" t="n">
        <v>0</v>
      </c>
      <c r="Q893" t="n">
        <v>0</v>
      </c>
      <c r="R893" s="2" t="inlineStr"/>
    </row>
    <row r="894" ht="15" customHeight="1">
      <c r="A894" t="inlineStr">
        <is>
          <t>A 11447-2022</t>
        </is>
      </c>
      <c r="B894" s="1" t="n">
        <v>44630</v>
      </c>
      <c r="C894" s="1" t="n">
        <v>46204</v>
      </c>
      <c r="D894" t="inlineStr">
        <is>
          <t>VÄRMLANDS LÄN</t>
        </is>
      </c>
      <c r="E894" t="inlineStr">
        <is>
          <t>TORSBY</t>
        </is>
      </c>
      <c r="G894" t="n">
        <v>2.4</v>
      </c>
      <c r="H894" t="n">
        <v>0</v>
      </c>
      <c r="I894" t="n">
        <v>0</v>
      </c>
      <c r="J894" t="n">
        <v>0</v>
      </c>
      <c r="K894" t="n">
        <v>0</v>
      </c>
      <c r="L894" t="n">
        <v>0</v>
      </c>
      <c r="M894" t="n">
        <v>0</v>
      </c>
      <c r="N894" t="n">
        <v>0</v>
      </c>
      <c r="O894" t="n">
        <v>0</v>
      </c>
      <c r="P894" t="n">
        <v>0</v>
      </c>
      <c r="Q894" t="n">
        <v>0</v>
      </c>
      <c r="R894" s="2" t="inlineStr"/>
    </row>
    <row r="895" ht="15" customHeight="1">
      <c r="A895" t="inlineStr">
        <is>
          <t>A 12707-2026</t>
        </is>
      </c>
      <c r="B895" s="1" t="n">
        <v>46091</v>
      </c>
      <c r="C895" s="1" t="n">
        <v>46204</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44470-2024</t>
        </is>
      </c>
      <c r="B896" s="1" t="n">
        <v>45574</v>
      </c>
      <c r="C896" s="1" t="n">
        <v>46204</v>
      </c>
      <c r="D896" t="inlineStr">
        <is>
          <t>VÄRMLANDS LÄN</t>
        </is>
      </c>
      <c r="E896" t="inlineStr">
        <is>
          <t>TORSBY</t>
        </is>
      </c>
      <c r="G896" t="n">
        <v>3</v>
      </c>
      <c r="H896" t="n">
        <v>0</v>
      </c>
      <c r="I896" t="n">
        <v>0</v>
      </c>
      <c r="J896" t="n">
        <v>0</v>
      </c>
      <c r="K896" t="n">
        <v>0</v>
      </c>
      <c r="L896" t="n">
        <v>0</v>
      </c>
      <c r="M896" t="n">
        <v>0</v>
      </c>
      <c r="N896" t="n">
        <v>0</v>
      </c>
      <c r="O896" t="n">
        <v>0</v>
      </c>
      <c r="P896" t="n">
        <v>0</v>
      </c>
      <c r="Q896" t="n">
        <v>0</v>
      </c>
      <c r="R896" s="2" t="inlineStr"/>
    </row>
    <row r="897" ht="15" customHeight="1">
      <c r="A897" t="inlineStr">
        <is>
          <t>A 44497-2023</t>
        </is>
      </c>
      <c r="B897" s="1" t="n">
        <v>45189</v>
      </c>
      <c r="C897" s="1" t="n">
        <v>46204</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13479-2026</t>
        </is>
      </c>
      <c r="B898" s="1" t="n">
        <v>46094</v>
      </c>
      <c r="C898" s="1" t="n">
        <v>46204</v>
      </c>
      <c r="D898" t="inlineStr">
        <is>
          <t>VÄRMLANDS LÄN</t>
        </is>
      </c>
      <c r="E898" t="inlineStr">
        <is>
          <t>TORSBY</t>
        </is>
      </c>
      <c r="F898" t="inlineStr">
        <is>
          <t>Bergvik skog väst AB</t>
        </is>
      </c>
      <c r="G898" t="n">
        <v>2.1</v>
      </c>
      <c r="H898" t="n">
        <v>0</v>
      </c>
      <c r="I898" t="n">
        <v>0</v>
      </c>
      <c r="J898" t="n">
        <v>0</v>
      </c>
      <c r="K898" t="n">
        <v>0</v>
      </c>
      <c r="L898" t="n">
        <v>0</v>
      </c>
      <c r="M898" t="n">
        <v>0</v>
      </c>
      <c r="N898" t="n">
        <v>0</v>
      </c>
      <c r="O898" t="n">
        <v>0</v>
      </c>
      <c r="P898" t="n">
        <v>0</v>
      </c>
      <c r="Q898" t="n">
        <v>0</v>
      </c>
      <c r="R898" s="2" t="inlineStr"/>
    </row>
    <row r="899" ht="15" customHeight="1">
      <c r="A899" t="inlineStr">
        <is>
          <t>A 8447-2023</t>
        </is>
      </c>
      <c r="B899" s="1" t="n">
        <v>44977</v>
      </c>
      <c r="C899" s="1" t="n">
        <v>46204</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13050-2026</t>
        </is>
      </c>
      <c r="B900" s="1" t="n">
        <v>46093</v>
      </c>
      <c r="C900" s="1" t="n">
        <v>46204</v>
      </c>
      <c r="D900" t="inlineStr">
        <is>
          <t>VÄRMLANDS LÄN</t>
        </is>
      </c>
      <c r="E900" t="inlineStr">
        <is>
          <t>TORSBY</t>
        </is>
      </c>
      <c r="F900" t="inlineStr">
        <is>
          <t>Bergvik skog väst AB</t>
        </is>
      </c>
      <c r="G900" t="n">
        <v>2.4</v>
      </c>
      <c r="H900" t="n">
        <v>0</v>
      </c>
      <c r="I900" t="n">
        <v>0</v>
      </c>
      <c r="J900" t="n">
        <v>0</v>
      </c>
      <c r="K900" t="n">
        <v>0</v>
      </c>
      <c r="L900" t="n">
        <v>0</v>
      </c>
      <c r="M900" t="n">
        <v>0</v>
      </c>
      <c r="N900" t="n">
        <v>0</v>
      </c>
      <c r="O900" t="n">
        <v>0</v>
      </c>
      <c r="P900" t="n">
        <v>0</v>
      </c>
      <c r="Q900" t="n">
        <v>0</v>
      </c>
      <c r="R900" s="2" t="inlineStr"/>
    </row>
    <row r="901" ht="15" customHeight="1">
      <c r="A901" t="inlineStr">
        <is>
          <t>A 50373-2025</t>
        </is>
      </c>
      <c r="B901" s="1" t="n">
        <v>45944</v>
      </c>
      <c r="C901" s="1" t="n">
        <v>46204</v>
      </c>
      <c r="D901" t="inlineStr">
        <is>
          <t>VÄRMLANDS LÄN</t>
        </is>
      </c>
      <c r="E901" t="inlineStr">
        <is>
          <t>TORSBY</t>
        </is>
      </c>
      <c r="F901" t="inlineStr">
        <is>
          <t>Bergvik skog väst AB</t>
        </is>
      </c>
      <c r="G901" t="n">
        <v>11.5</v>
      </c>
      <c r="H901" t="n">
        <v>0</v>
      </c>
      <c r="I901" t="n">
        <v>0</v>
      </c>
      <c r="J901" t="n">
        <v>0</v>
      </c>
      <c r="K901" t="n">
        <v>0</v>
      </c>
      <c r="L901" t="n">
        <v>0</v>
      </c>
      <c r="M901" t="n">
        <v>0</v>
      </c>
      <c r="N901" t="n">
        <v>0</v>
      </c>
      <c r="O901" t="n">
        <v>0</v>
      </c>
      <c r="P901" t="n">
        <v>0</v>
      </c>
      <c r="Q901" t="n">
        <v>0</v>
      </c>
      <c r="R901" s="2" t="inlineStr"/>
    </row>
    <row r="902" ht="15" customHeight="1">
      <c r="A902" t="inlineStr">
        <is>
          <t>A 39003-2021</t>
        </is>
      </c>
      <c r="B902" s="1" t="n">
        <v>44412</v>
      </c>
      <c r="C902" s="1" t="n">
        <v>46204</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60148-2024</t>
        </is>
      </c>
      <c r="B903" s="1" t="n">
        <v>45642</v>
      </c>
      <c r="C903" s="1" t="n">
        <v>46204</v>
      </c>
      <c r="D903" t="inlineStr">
        <is>
          <t>VÄRMLANDS LÄN</t>
        </is>
      </c>
      <c r="E903" t="inlineStr">
        <is>
          <t>TORSBY</t>
        </is>
      </c>
      <c r="G903" t="n">
        <v>12.4</v>
      </c>
      <c r="H903" t="n">
        <v>0</v>
      </c>
      <c r="I903" t="n">
        <v>0</v>
      </c>
      <c r="J903" t="n">
        <v>0</v>
      </c>
      <c r="K903" t="n">
        <v>0</v>
      </c>
      <c r="L903" t="n">
        <v>0</v>
      </c>
      <c r="M903" t="n">
        <v>0</v>
      </c>
      <c r="N903" t="n">
        <v>0</v>
      </c>
      <c r="O903" t="n">
        <v>0</v>
      </c>
      <c r="P903" t="n">
        <v>0</v>
      </c>
      <c r="Q903" t="n">
        <v>0</v>
      </c>
      <c r="R903" s="2" t="inlineStr"/>
    </row>
    <row r="904" ht="15" customHeight="1">
      <c r="A904" t="inlineStr">
        <is>
          <t>A 1803-2024</t>
        </is>
      </c>
      <c r="B904" s="1" t="n">
        <v>45307</v>
      </c>
      <c r="C904" s="1" t="n">
        <v>46204</v>
      </c>
      <c r="D904" t="inlineStr">
        <is>
          <t>VÄRMLANDS LÄN</t>
        </is>
      </c>
      <c r="E904" t="inlineStr">
        <is>
          <t>TORSBY</t>
        </is>
      </c>
      <c r="G904" t="n">
        <v>12.9</v>
      </c>
      <c r="H904" t="n">
        <v>0</v>
      </c>
      <c r="I904" t="n">
        <v>0</v>
      </c>
      <c r="J904" t="n">
        <v>0</v>
      </c>
      <c r="K904" t="n">
        <v>0</v>
      </c>
      <c r="L904" t="n">
        <v>0</v>
      </c>
      <c r="M904" t="n">
        <v>0</v>
      </c>
      <c r="N904" t="n">
        <v>0</v>
      </c>
      <c r="O904" t="n">
        <v>0</v>
      </c>
      <c r="P904" t="n">
        <v>0</v>
      </c>
      <c r="Q904" t="n">
        <v>0</v>
      </c>
      <c r="R904" s="2" t="inlineStr"/>
    </row>
    <row r="905" ht="15" customHeight="1">
      <c r="A905" t="inlineStr">
        <is>
          <t>A 50906-2025</t>
        </is>
      </c>
      <c r="B905" s="1" t="n">
        <v>45946</v>
      </c>
      <c r="C905" s="1" t="n">
        <v>46204</v>
      </c>
      <c r="D905" t="inlineStr">
        <is>
          <t>VÄRMLANDS LÄN</t>
        </is>
      </c>
      <c r="E905" t="inlineStr">
        <is>
          <t>TORSBY</t>
        </is>
      </c>
      <c r="F905" t="inlineStr">
        <is>
          <t>Kommuner</t>
        </is>
      </c>
      <c r="G905" t="n">
        <v>4.7</v>
      </c>
      <c r="H905" t="n">
        <v>0</v>
      </c>
      <c r="I905" t="n">
        <v>0</v>
      </c>
      <c r="J905" t="n">
        <v>0</v>
      </c>
      <c r="K905" t="n">
        <v>0</v>
      </c>
      <c r="L905" t="n">
        <v>0</v>
      </c>
      <c r="M905" t="n">
        <v>0</v>
      </c>
      <c r="N905" t="n">
        <v>0</v>
      </c>
      <c r="O905" t="n">
        <v>0</v>
      </c>
      <c r="P905" t="n">
        <v>0</v>
      </c>
      <c r="Q905" t="n">
        <v>0</v>
      </c>
      <c r="R905" s="2" t="inlineStr"/>
    </row>
    <row r="906" ht="15" customHeight="1">
      <c r="A906" t="inlineStr">
        <is>
          <t>A 50927-2025</t>
        </is>
      </c>
      <c r="B906" s="1" t="n">
        <v>45946</v>
      </c>
      <c r="C906" s="1" t="n">
        <v>46204</v>
      </c>
      <c r="D906" t="inlineStr">
        <is>
          <t>VÄRMLANDS LÄN</t>
        </is>
      </c>
      <c r="E906" t="inlineStr">
        <is>
          <t>TORSBY</t>
        </is>
      </c>
      <c r="F906" t="inlineStr">
        <is>
          <t>Kommuner</t>
        </is>
      </c>
      <c r="G906" t="n">
        <v>0.9</v>
      </c>
      <c r="H906" t="n">
        <v>0</v>
      </c>
      <c r="I906" t="n">
        <v>0</v>
      </c>
      <c r="J906" t="n">
        <v>0</v>
      </c>
      <c r="K906" t="n">
        <v>0</v>
      </c>
      <c r="L906" t="n">
        <v>0</v>
      </c>
      <c r="M906" t="n">
        <v>0</v>
      </c>
      <c r="N906" t="n">
        <v>0</v>
      </c>
      <c r="O906" t="n">
        <v>0</v>
      </c>
      <c r="P906" t="n">
        <v>0</v>
      </c>
      <c r="Q906" t="n">
        <v>0</v>
      </c>
      <c r="R906" s="2" t="inlineStr"/>
    </row>
    <row r="907" ht="15" customHeight="1">
      <c r="A907" t="inlineStr">
        <is>
          <t>A 48903-2024</t>
        </is>
      </c>
      <c r="B907" s="1" t="n">
        <v>45594</v>
      </c>
      <c r="C907" s="1" t="n">
        <v>46204</v>
      </c>
      <c r="D907" t="inlineStr">
        <is>
          <t>VÄRMLANDS LÄN</t>
        </is>
      </c>
      <c r="E907" t="inlineStr">
        <is>
          <t>TORSBY</t>
        </is>
      </c>
      <c r="G907" t="n">
        <v>0.4</v>
      </c>
      <c r="H907" t="n">
        <v>0</v>
      </c>
      <c r="I907" t="n">
        <v>0</v>
      </c>
      <c r="J907" t="n">
        <v>0</v>
      </c>
      <c r="K907" t="n">
        <v>0</v>
      </c>
      <c r="L907" t="n">
        <v>0</v>
      </c>
      <c r="M907" t="n">
        <v>0</v>
      </c>
      <c r="N907" t="n">
        <v>0</v>
      </c>
      <c r="O907" t="n">
        <v>0</v>
      </c>
      <c r="P907" t="n">
        <v>0</v>
      </c>
      <c r="Q907" t="n">
        <v>0</v>
      </c>
      <c r="R907" s="2" t="inlineStr"/>
    </row>
    <row r="908" ht="15" customHeight="1">
      <c r="A908" t="inlineStr">
        <is>
          <t>A 51113-2025</t>
        </is>
      </c>
      <c r="B908" s="1" t="n">
        <v>45947</v>
      </c>
      <c r="C908" s="1" t="n">
        <v>46204</v>
      </c>
      <c r="D908" t="inlineStr">
        <is>
          <t>VÄRMLANDS LÄN</t>
        </is>
      </c>
      <c r="E908" t="inlineStr">
        <is>
          <t>TORSBY</t>
        </is>
      </c>
      <c r="F908" t="inlineStr">
        <is>
          <t>Kommuner</t>
        </is>
      </c>
      <c r="G908" t="n">
        <v>1.8</v>
      </c>
      <c r="H908" t="n">
        <v>0</v>
      </c>
      <c r="I908" t="n">
        <v>0</v>
      </c>
      <c r="J908" t="n">
        <v>0</v>
      </c>
      <c r="K908" t="n">
        <v>0</v>
      </c>
      <c r="L908" t="n">
        <v>0</v>
      </c>
      <c r="M908" t="n">
        <v>0</v>
      </c>
      <c r="N908" t="n">
        <v>0</v>
      </c>
      <c r="O908" t="n">
        <v>0</v>
      </c>
      <c r="P908" t="n">
        <v>0</v>
      </c>
      <c r="Q908" t="n">
        <v>0</v>
      </c>
      <c r="R908" s="2" t="inlineStr"/>
    </row>
    <row r="909" ht="15" customHeight="1">
      <c r="A909" t="inlineStr">
        <is>
          <t>A 40036-2022</t>
        </is>
      </c>
      <c r="B909" s="1" t="n">
        <v>44820</v>
      </c>
      <c r="C909" s="1" t="n">
        <v>46204</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53368-2024</t>
        </is>
      </c>
      <c r="B910" s="1" t="n">
        <v>45614</v>
      </c>
      <c r="C910" s="1" t="n">
        <v>46204</v>
      </c>
      <c r="D910" t="inlineStr">
        <is>
          <t>VÄRMLANDS LÄN</t>
        </is>
      </c>
      <c r="E910" t="inlineStr">
        <is>
          <t>TORSBY</t>
        </is>
      </c>
      <c r="G910" t="n">
        <v>0.5</v>
      </c>
      <c r="H910" t="n">
        <v>0</v>
      </c>
      <c r="I910" t="n">
        <v>0</v>
      </c>
      <c r="J910" t="n">
        <v>0</v>
      </c>
      <c r="K910" t="n">
        <v>0</v>
      </c>
      <c r="L910" t="n">
        <v>0</v>
      </c>
      <c r="M910" t="n">
        <v>0</v>
      </c>
      <c r="N910" t="n">
        <v>0</v>
      </c>
      <c r="O910" t="n">
        <v>0</v>
      </c>
      <c r="P910" t="n">
        <v>0</v>
      </c>
      <c r="Q910" t="n">
        <v>0</v>
      </c>
      <c r="R910" s="2" t="inlineStr"/>
    </row>
    <row r="911" ht="15" customHeight="1">
      <c r="A911" t="inlineStr">
        <is>
          <t>A 13877-2026</t>
        </is>
      </c>
      <c r="B911" s="1" t="n">
        <v>46098</v>
      </c>
      <c r="C911" s="1" t="n">
        <v>46204</v>
      </c>
      <c r="D911" t="inlineStr">
        <is>
          <t>VÄRMLANDS LÄN</t>
        </is>
      </c>
      <c r="E911" t="inlineStr">
        <is>
          <t>TORSBY</t>
        </is>
      </c>
      <c r="G911" t="n">
        <v>6.6</v>
      </c>
      <c r="H911" t="n">
        <v>0</v>
      </c>
      <c r="I911" t="n">
        <v>0</v>
      </c>
      <c r="J911" t="n">
        <v>0</v>
      </c>
      <c r="K911" t="n">
        <v>0</v>
      </c>
      <c r="L911" t="n">
        <v>0</v>
      </c>
      <c r="M911" t="n">
        <v>0</v>
      </c>
      <c r="N911" t="n">
        <v>0</v>
      </c>
      <c r="O911" t="n">
        <v>0</v>
      </c>
      <c r="P911" t="n">
        <v>0</v>
      </c>
      <c r="Q911" t="n">
        <v>0</v>
      </c>
      <c r="R911" s="2" t="inlineStr"/>
    </row>
    <row r="912" ht="15" customHeight="1">
      <c r="A912" t="inlineStr">
        <is>
          <t>A 13651-2026</t>
        </is>
      </c>
      <c r="B912" s="1" t="n">
        <v>46097</v>
      </c>
      <c r="C912" s="1" t="n">
        <v>46204</v>
      </c>
      <c r="D912" t="inlineStr">
        <is>
          <t>VÄRMLANDS LÄN</t>
        </is>
      </c>
      <c r="E912" t="inlineStr">
        <is>
          <t>TORSBY</t>
        </is>
      </c>
      <c r="G912" t="n">
        <v>3</v>
      </c>
      <c r="H912" t="n">
        <v>0</v>
      </c>
      <c r="I912" t="n">
        <v>0</v>
      </c>
      <c r="J912" t="n">
        <v>0</v>
      </c>
      <c r="K912" t="n">
        <v>0</v>
      </c>
      <c r="L912" t="n">
        <v>0</v>
      </c>
      <c r="M912" t="n">
        <v>0</v>
      </c>
      <c r="N912" t="n">
        <v>0</v>
      </c>
      <c r="O912" t="n">
        <v>0</v>
      </c>
      <c r="P912" t="n">
        <v>0</v>
      </c>
      <c r="Q912" t="n">
        <v>0</v>
      </c>
      <c r="R912" s="2" t="inlineStr"/>
    </row>
    <row r="913" ht="15" customHeight="1">
      <c r="A913" t="inlineStr">
        <is>
          <t>A 50921-2025</t>
        </is>
      </c>
      <c r="B913" s="1" t="n">
        <v>45946</v>
      </c>
      <c r="C913" s="1" t="n">
        <v>46204</v>
      </c>
      <c r="D913" t="inlineStr">
        <is>
          <t>VÄRMLANDS LÄN</t>
        </is>
      </c>
      <c r="E913" t="inlineStr">
        <is>
          <t>TORSBY</t>
        </is>
      </c>
      <c r="F913" t="inlineStr">
        <is>
          <t>Kommuner</t>
        </is>
      </c>
      <c r="G913" t="n">
        <v>2.5</v>
      </c>
      <c r="H913" t="n">
        <v>0</v>
      </c>
      <c r="I913" t="n">
        <v>0</v>
      </c>
      <c r="J913" t="n">
        <v>0</v>
      </c>
      <c r="K913" t="n">
        <v>0</v>
      </c>
      <c r="L913" t="n">
        <v>0</v>
      </c>
      <c r="M913" t="n">
        <v>0</v>
      </c>
      <c r="N913" t="n">
        <v>0</v>
      </c>
      <c r="O913" t="n">
        <v>0</v>
      </c>
      <c r="P913" t="n">
        <v>0</v>
      </c>
      <c r="Q913" t="n">
        <v>0</v>
      </c>
      <c r="R913" s="2" t="inlineStr"/>
    </row>
    <row r="914" ht="15" customHeight="1">
      <c r="A914" t="inlineStr">
        <is>
          <t>A 50750-2025</t>
        </is>
      </c>
      <c r="B914" s="1" t="n">
        <v>45946</v>
      </c>
      <c r="C914" s="1" t="n">
        <v>46204</v>
      </c>
      <c r="D914" t="inlineStr">
        <is>
          <t>VÄRMLANDS LÄN</t>
        </is>
      </c>
      <c r="E914" t="inlineStr">
        <is>
          <t>TORSBY</t>
        </is>
      </c>
      <c r="F914" t="inlineStr">
        <is>
          <t>Bergvik skog väst AB</t>
        </is>
      </c>
      <c r="G914" t="n">
        <v>13</v>
      </c>
      <c r="H914" t="n">
        <v>0</v>
      </c>
      <c r="I914" t="n">
        <v>0</v>
      </c>
      <c r="J914" t="n">
        <v>0</v>
      </c>
      <c r="K914" t="n">
        <v>0</v>
      </c>
      <c r="L914" t="n">
        <v>0</v>
      </c>
      <c r="M914" t="n">
        <v>0</v>
      </c>
      <c r="N914" t="n">
        <v>0</v>
      </c>
      <c r="O914" t="n">
        <v>0</v>
      </c>
      <c r="P914" t="n">
        <v>0</v>
      </c>
      <c r="Q914" t="n">
        <v>0</v>
      </c>
      <c r="R914" s="2" t="inlineStr"/>
    </row>
    <row r="915" ht="15" customHeight="1">
      <c r="A915" t="inlineStr">
        <is>
          <t>A 41065-2022</t>
        </is>
      </c>
      <c r="B915" s="1" t="n">
        <v>44825</v>
      </c>
      <c r="C915" s="1" t="n">
        <v>46204</v>
      </c>
      <c r="D915" t="inlineStr">
        <is>
          <t>VÄRMLANDS LÄN</t>
        </is>
      </c>
      <c r="E915" t="inlineStr">
        <is>
          <t>TORSBY</t>
        </is>
      </c>
      <c r="F915" t="inlineStr">
        <is>
          <t>Kommuner</t>
        </is>
      </c>
      <c r="G915" t="n">
        <v>1.8</v>
      </c>
      <c r="H915" t="n">
        <v>0</v>
      </c>
      <c r="I915" t="n">
        <v>0</v>
      </c>
      <c r="J915" t="n">
        <v>0</v>
      </c>
      <c r="K915" t="n">
        <v>0</v>
      </c>
      <c r="L915" t="n">
        <v>0</v>
      </c>
      <c r="M915" t="n">
        <v>0</v>
      </c>
      <c r="N915" t="n">
        <v>0</v>
      </c>
      <c r="O915" t="n">
        <v>0</v>
      </c>
      <c r="P915" t="n">
        <v>0</v>
      </c>
      <c r="Q915" t="n">
        <v>0</v>
      </c>
      <c r="R915" s="2" t="inlineStr"/>
    </row>
    <row r="916" ht="15" customHeight="1">
      <c r="A916" t="inlineStr">
        <is>
          <t>A 20130-2023</t>
        </is>
      </c>
      <c r="B916" s="1" t="n">
        <v>45055</v>
      </c>
      <c r="C916" s="1" t="n">
        <v>46204</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36239-2023</t>
        </is>
      </c>
      <c r="B917" s="1" t="n">
        <v>45150</v>
      </c>
      <c r="C917" s="1" t="n">
        <v>46204</v>
      </c>
      <c r="D917" t="inlineStr">
        <is>
          <t>VÄRMLANDS LÄN</t>
        </is>
      </c>
      <c r="E917" t="inlineStr">
        <is>
          <t>TORSBY</t>
        </is>
      </c>
      <c r="G917" t="n">
        <v>2.4</v>
      </c>
      <c r="H917" t="n">
        <v>0</v>
      </c>
      <c r="I917" t="n">
        <v>0</v>
      </c>
      <c r="J917" t="n">
        <v>0</v>
      </c>
      <c r="K917" t="n">
        <v>0</v>
      </c>
      <c r="L917" t="n">
        <v>0</v>
      </c>
      <c r="M917" t="n">
        <v>0</v>
      </c>
      <c r="N917" t="n">
        <v>0</v>
      </c>
      <c r="O917" t="n">
        <v>0</v>
      </c>
      <c r="P917" t="n">
        <v>0</v>
      </c>
      <c r="Q917" t="n">
        <v>0</v>
      </c>
      <c r="R917" s="2" t="inlineStr"/>
    </row>
    <row r="918" ht="15" customHeight="1">
      <c r="A918" t="inlineStr">
        <is>
          <t>A 13900-2026</t>
        </is>
      </c>
      <c r="B918" s="1" t="n">
        <v>46098</v>
      </c>
      <c r="C918" s="1" t="n">
        <v>46204</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51694-2025</t>
        </is>
      </c>
      <c r="B919" s="1" t="n">
        <v>45951</v>
      </c>
      <c r="C919" s="1" t="n">
        <v>46204</v>
      </c>
      <c r="D919" t="inlineStr">
        <is>
          <t>VÄRMLANDS LÄN</t>
        </is>
      </c>
      <c r="E919" t="inlineStr">
        <is>
          <t>TORSBY</t>
        </is>
      </c>
      <c r="F919" t="inlineStr">
        <is>
          <t>Bergvik skog väst AB</t>
        </is>
      </c>
      <c r="G919" t="n">
        <v>7.5</v>
      </c>
      <c r="H919" t="n">
        <v>0</v>
      </c>
      <c r="I919" t="n">
        <v>0</v>
      </c>
      <c r="J919" t="n">
        <v>0</v>
      </c>
      <c r="K919" t="n">
        <v>0</v>
      </c>
      <c r="L919" t="n">
        <v>0</v>
      </c>
      <c r="M919" t="n">
        <v>0</v>
      </c>
      <c r="N919" t="n">
        <v>0</v>
      </c>
      <c r="O919" t="n">
        <v>0</v>
      </c>
      <c r="P919" t="n">
        <v>0</v>
      </c>
      <c r="Q919" t="n">
        <v>0</v>
      </c>
      <c r="R919" s="2" t="inlineStr"/>
    </row>
    <row r="920" ht="15" customHeight="1">
      <c r="A920" t="inlineStr">
        <is>
          <t>A 13909-2026</t>
        </is>
      </c>
      <c r="B920" s="1" t="n">
        <v>46098</v>
      </c>
      <c r="C920" s="1" t="n">
        <v>46204</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13880-2026</t>
        </is>
      </c>
      <c r="B921" s="1" t="n">
        <v>46098</v>
      </c>
      <c r="C921" s="1" t="n">
        <v>46204</v>
      </c>
      <c r="D921" t="inlineStr">
        <is>
          <t>VÄRMLANDS LÄN</t>
        </is>
      </c>
      <c r="E921" t="inlineStr">
        <is>
          <t>TORSBY</t>
        </is>
      </c>
      <c r="G921" t="n">
        <v>3.3</v>
      </c>
      <c r="H921" t="n">
        <v>0</v>
      </c>
      <c r="I921" t="n">
        <v>0</v>
      </c>
      <c r="J921" t="n">
        <v>0</v>
      </c>
      <c r="K921" t="n">
        <v>0</v>
      </c>
      <c r="L921" t="n">
        <v>0</v>
      </c>
      <c r="M921" t="n">
        <v>0</v>
      </c>
      <c r="N921" t="n">
        <v>0</v>
      </c>
      <c r="O921" t="n">
        <v>0</v>
      </c>
      <c r="P921" t="n">
        <v>0</v>
      </c>
      <c r="Q921" t="n">
        <v>0</v>
      </c>
      <c r="R921" s="2" t="inlineStr"/>
    </row>
    <row r="922" ht="15" customHeight="1">
      <c r="A922" t="inlineStr">
        <is>
          <t>A 13884-2026</t>
        </is>
      </c>
      <c r="B922" s="1" t="n">
        <v>46098</v>
      </c>
      <c r="C922" s="1" t="n">
        <v>46204</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13895-2026</t>
        </is>
      </c>
      <c r="B923" s="1" t="n">
        <v>46098</v>
      </c>
      <c r="C923" s="1" t="n">
        <v>46204</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14292-2023</t>
        </is>
      </c>
      <c r="B924" s="1" t="n">
        <v>45011</v>
      </c>
      <c r="C924" s="1" t="n">
        <v>46204</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14293-2023</t>
        </is>
      </c>
      <c r="B925" s="1" t="n">
        <v>45011</v>
      </c>
      <c r="C925" s="1" t="n">
        <v>46204</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51659-2025</t>
        </is>
      </c>
      <c r="B926" s="1" t="n">
        <v>45951</v>
      </c>
      <c r="C926" s="1" t="n">
        <v>46204</v>
      </c>
      <c r="D926" t="inlineStr">
        <is>
          <t>VÄRMLANDS LÄN</t>
        </is>
      </c>
      <c r="E926" t="inlineStr">
        <is>
          <t>TORSBY</t>
        </is>
      </c>
      <c r="G926" t="n">
        <v>3.8</v>
      </c>
      <c r="H926" t="n">
        <v>0</v>
      </c>
      <c r="I926" t="n">
        <v>0</v>
      </c>
      <c r="J926" t="n">
        <v>0</v>
      </c>
      <c r="K926" t="n">
        <v>0</v>
      </c>
      <c r="L926" t="n">
        <v>0</v>
      </c>
      <c r="M926" t="n">
        <v>0</v>
      </c>
      <c r="N926" t="n">
        <v>0</v>
      </c>
      <c r="O926" t="n">
        <v>0</v>
      </c>
      <c r="P926" t="n">
        <v>0</v>
      </c>
      <c r="Q926" t="n">
        <v>0</v>
      </c>
      <c r="R926" s="2" t="inlineStr"/>
    </row>
    <row r="927" ht="15" customHeight="1">
      <c r="A927" t="inlineStr">
        <is>
          <t>A 13887-2026</t>
        </is>
      </c>
      <c r="B927" s="1" t="n">
        <v>46098</v>
      </c>
      <c r="C927" s="1" t="n">
        <v>46204</v>
      </c>
      <c r="D927" t="inlineStr">
        <is>
          <t>VÄRMLANDS LÄN</t>
        </is>
      </c>
      <c r="E927" t="inlineStr">
        <is>
          <t>TORSBY</t>
        </is>
      </c>
      <c r="G927" t="n">
        <v>4.5</v>
      </c>
      <c r="H927" t="n">
        <v>0</v>
      </c>
      <c r="I927" t="n">
        <v>0</v>
      </c>
      <c r="J927" t="n">
        <v>0</v>
      </c>
      <c r="K927" t="n">
        <v>0</v>
      </c>
      <c r="L927" t="n">
        <v>0</v>
      </c>
      <c r="M927" t="n">
        <v>0</v>
      </c>
      <c r="N927" t="n">
        <v>0</v>
      </c>
      <c r="O927" t="n">
        <v>0</v>
      </c>
      <c r="P927" t="n">
        <v>0</v>
      </c>
      <c r="Q927" t="n">
        <v>0</v>
      </c>
      <c r="R927" s="2" t="inlineStr"/>
    </row>
    <row r="928" ht="15" customHeight="1">
      <c r="A928" t="inlineStr">
        <is>
          <t>A 13891-2026</t>
        </is>
      </c>
      <c r="B928" s="1" t="n">
        <v>46098</v>
      </c>
      <c r="C928" s="1" t="n">
        <v>46204</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2195-2025</t>
        </is>
      </c>
      <c r="B929" s="1" t="n">
        <v>45673</v>
      </c>
      <c r="C929" s="1" t="n">
        <v>46204</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13837-2026</t>
        </is>
      </c>
      <c r="B930" s="1" t="n">
        <v>46098</v>
      </c>
      <c r="C930" s="1" t="n">
        <v>46204</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13603-2026</t>
        </is>
      </c>
      <c r="B931" s="1" t="n">
        <v>46097</v>
      </c>
      <c r="C931" s="1" t="n">
        <v>46204</v>
      </c>
      <c r="D931" t="inlineStr">
        <is>
          <t>VÄRMLANDS LÄN</t>
        </is>
      </c>
      <c r="E931" t="inlineStr">
        <is>
          <t>TORSBY</t>
        </is>
      </c>
      <c r="G931" t="n">
        <v>10.6</v>
      </c>
      <c r="H931" t="n">
        <v>0</v>
      </c>
      <c r="I931" t="n">
        <v>0</v>
      </c>
      <c r="J931" t="n">
        <v>0</v>
      </c>
      <c r="K931" t="n">
        <v>0</v>
      </c>
      <c r="L931" t="n">
        <v>0</v>
      </c>
      <c r="M931" t="n">
        <v>0</v>
      </c>
      <c r="N931" t="n">
        <v>0</v>
      </c>
      <c r="O931" t="n">
        <v>0</v>
      </c>
      <c r="P931" t="n">
        <v>0</v>
      </c>
      <c r="Q931" t="n">
        <v>0</v>
      </c>
      <c r="R931" s="2" t="inlineStr"/>
    </row>
    <row r="932" ht="15" customHeight="1">
      <c r="A932" t="inlineStr">
        <is>
          <t>A 57071-2022</t>
        </is>
      </c>
      <c r="B932" s="1" t="n">
        <v>44895</v>
      </c>
      <c r="C932" s="1" t="n">
        <v>46204</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2699-2022</t>
        </is>
      </c>
      <c r="B933" s="1" t="n">
        <v>44580</v>
      </c>
      <c r="C933" s="1" t="n">
        <v>46204</v>
      </c>
      <c r="D933" t="inlineStr">
        <is>
          <t>VÄRMLANDS LÄN</t>
        </is>
      </c>
      <c r="E933" t="inlineStr">
        <is>
          <t>TORSBY</t>
        </is>
      </c>
      <c r="G933" t="n">
        <v>0.4</v>
      </c>
      <c r="H933" t="n">
        <v>0</v>
      </c>
      <c r="I933" t="n">
        <v>0</v>
      </c>
      <c r="J933" t="n">
        <v>0</v>
      </c>
      <c r="K933" t="n">
        <v>0</v>
      </c>
      <c r="L933" t="n">
        <v>0</v>
      </c>
      <c r="M933" t="n">
        <v>0</v>
      </c>
      <c r="N933" t="n">
        <v>0</v>
      </c>
      <c r="O933" t="n">
        <v>0</v>
      </c>
      <c r="P933" t="n">
        <v>0</v>
      </c>
      <c r="Q933" t="n">
        <v>0</v>
      </c>
      <c r="R933" s="2" t="inlineStr"/>
    </row>
    <row r="934" ht="15" customHeight="1">
      <c r="A934" t="inlineStr">
        <is>
          <t>A 6532-2025</t>
        </is>
      </c>
      <c r="B934" s="1" t="n">
        <v>45699</v>
      </c>
      <c r="C934" s="1" t="n">
        <v>46204</v>
      </c>
      <c r="D934" t="inlineStr">
        <is>
          <t>VÄRMLANDS LÄN</t>
        </is>
      </c>
      <c r="E934" t="inlineStr">
        <is>
          <t>TORSBY</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51637-2025</t>
        </is>
      </c>
      <c r="B935" s="1" t="n">
        <v>45951</v>
      </c>
      <c r="C935" s="1" t="n">
        <v>46204</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52067-2025</t>
        </is>
      </c>
      <c r="B936" s="1" t="n">
        <v>45952</v>
      </c>
      <c r="C936" s="1" t="n">
        <v>46204</v>
      </c>
      <c r="D936" t="inlineStr">
        <is>
          <t>VÄRMLANDS LÄN</t>
        </is>
      </c>
      <c r="E936" t="inlineStr">
        <is>
          <t>TORSBY</t>
        </is>
      </c>
      <c r="F936" t="inlineStr">
        <is>
          <t>Bergvik skog väst AB</t>
        </is>
      </c>
      <c r="G936" t="n">
        <v>7.9</v>
      </c>
      <c r="H936" t="n">
        <v>0</v>
      </c>
      <c r="I936" t="n">
        <v>0</v>
      </c>
      <c r="J936" t="n">
        <v>0</v>
      </c>
      <c r="K936" t="n">
        <v>0</v>
      </c>
      <c r="L936" t="n">
        <v>0</v>
      </c>
      <c r="M936" t="n">
        <v>0</v>
      </c>
      <c r="N936" t="n">
        <v>0</v>
      </c>
      <c r="O936" t="n">
        <v>0</v>
      </c>
      <c r="P936" t="n">
        <v>0</v>
      </c>
      <c r="Q936" t="n">
        <v>0</v>
      </c>
      <c r="R936" s="2" t="inlineStr"/>
    </row>
    <row r="937" ht="15" customHeight="1">
      <c r="A937" t="inlineStr">
        <is>
          <t>A 52261-2025</t>
        </is>
      </c>
      <c r="B937" s="1" t="n">
        <v>45952</v>
      </c>
      <c r="C937" s="1" t="n">
        <v>46204</v>
      </c>
      <c r="D937" t="inlineStr">
        <is>
          <t>VÄRMLANDS LÄN</t>
        </is>
      </c>
      <c r="E937" t="inlineStr">
        <is>
          <t>TORSBY</t>
        </is>
      </c>
      <c r="G937" t="n">
        <v>11.7</v>
      </c>
      <c r="H937" t="n">
        <v>0</v>
      </c>
      <c r="I937" t="n">
        <v>0</v>
      </c>
      <c r="J937" t="n">
        <v>0</v>
      </c>
      <c r="K937" t="n">
        <v>0</v>
      </c>
      <c r="L937" t="n">
        <v>0</v>
      </c>
      <c r="M937" t="n">
        <v>0</v>
      </c>
      <c r="N937" t="n">
        <v>0</v>
      </c>
      <c r="O937" t="n">
        <v>0</v>
      </c>
      <c r="P937" t="n">
        <v>0</v>
      </c>
      <c r="Q937" t="n">
        <v>0</v>
      </c>
      <c r="R937" s="2" t="inlineStr"/>
    </row>
    <row r="938" ht="15" customHeight="1">
      <c r="A938" t="inlineStr">
        <is>
          <t>A 53744-2024</t>
        </is>
      </c>
      <c r="B938" s="1" t="n">
        <v>45615</v>
      </c>
      <c r="C938" s="1" t="n">
        <v>46204</v>
      </c>
      <c r="D938" t="inlineStr">
        <is>
          <t>VÄRMLANDS LÄN</t>
        </is>
      </c>
      <c r="E938" t="inlineStr">
        <is>
          <t>TORSBY</t>
        </is>
      </c>
      <c r="G938" t="n">
        <v>16.9</v>
      </c>
      <c r="H938" t="n">
        <v>0</v>
      </c>
      <c r="I938" t="n">
        <v>0</v>
      </c>
      <c r="J938" t="n">
        <v>0</v>
      </c>
      <c r="K938" t="n">
        <v>0</v>
      </c>
      <c r="L938" t="n">
        <v>0</v>
      </c>
      <c r="M938" t="n">
        <v>0</v>
      </c>
      <c r="N938" t="n">
        <v>0</v>
      </c>
      <c r="O938" t="n">
        <v>0</v>
      </c>
      <c r="P938" t="n">
        <v>0</v>
      </c>
      <c r="Q938" t="n">
        <v>0</v>
      </c>
      <c r="R938" s="2" t="inlineStr"/>
    </row>
    <row r="939" ht="15" customHeight="1">
      <c r="A939" t="inlineStr">
        <is>
          <t>A 33848-2023</t>
        </is>
      </c>
      <c r="B939" s="1" t="n">
        <v>45133</v>
      </c>
      <c r="C939" s="1" t="n">
        <v>46204</v>
      </c>
      <c r="D939" t="inlineStr">
        <is>
          <t>VÄRMLANDS LÄN</t>
        </is>
      </c>
      <c r="E939" t="inlineStr">
        <is>
          <t>TORSBY</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52277-2025</t>
        </is>
      </c>
      <c r="B940" s="1" t="n">
        <v>45953</v>
      </c>
      <c r="C940" s="1" t="n">
        <v>46204</v>
      </c>
      <c r="D940" t="inlineStr">
        <is>
          <t>VÄRMLANDS LÄN</t>
        </is>
      </c>
      <c r="E940" t="inlineStr">
        <is>
          <t>TORSBY</t>
        </is>
      </c>
      <c r="G940" t="n">
        <v>3.6</v>
      </c>
      <c r="H940" t="n">
        <v>0</v>
      </c>
      <c r="I940" t="n">
        <v>0</v>
      </c>
      <c r="J940" t="n">
        <v>0</v>
      </c>
      <c r="K940" t="n">
        <v>0</v>
      </c>
      <c r="L940" t="n">
        <v>0</v>
      </c>
      <c r="M940" t="n">
        <v>0</v>
      </c>
      <c r="N940" t="n">
        <v>0</v>
      </c>
      <c r="O940" t="n">
        <v>0</v>
      </c>
      <c r="P940" t="n">
        <v>0</v>
      </c>
      <c r="Q940" t="n">
        <v>0</v>
      </c>
      <c r="R940" s="2" t="inlineStr"/>
    </row>
    <row r="941" ht="15" customHeight="1">
      <c r="A941" t="inlineStr">
        <is>
          <t>A 51819-2025</t>
        </is>
      </c>
      <c r="B941" s="1" t="n">
        <v>45951</v>
      </c>
      <c r="C941" s="1" t="n">
        <v>46204</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66978-2021</t>
        </is>
      </c>
      <c r="B942" s="1" t="n">
        <v>44522</v>
      </c>
      <c r="C942" s="1" t="n">
        <v>46204</v>
      </c>
      <c r="D942" t="inlineStr">
        <is>
          <t>VÄRMLANDS LÄN</t>
        </is>
      </c>
      <c r="E942" t="inlineStr">
        <is>
          <t>TORSBY</t>
        </is>
      </c>
      <c r="F942" t="inlineStr">
        <is>
          <t>Kommuner</t>
        </is>
      </c>
      <c r="G942" t="n">
        <v>1</v>
      </c>
      <c r="H942" t="n">
        <v>0</v>
      </c>
      <c r="I942" t="n">
        <v>0</v>
      </c>
      <c r="J942" t="n">
        <v>0</v>
      </c>
      <c r="K942" t="n">
        <v>0</v>
      </c>
      <c r="L942" t="n">
        <v>0</v>
      </c>
      <c r="M942" t="n">
        <v>0</v>
      </c>
      <c r="N942" t="n">
        <v>0</v>
      </c>
      <c r="O942" t="n">
        <v>0</v>
      </c>
      <c r="P942" t="n">
        <v>0</v>
      </c>
      <c r="Q942" t="n">
        <v>0</v>
      </c>
      <c r="R942" s="2" t="inlineStr"/>
    </row>
    <row r="943" ht="15" customHeight="1">
      <c r="A943" t="inlineStr">
        <is>
          <t>A 51873-2025</t>
        </is>
      </c>
      <c r="B943" s="1" t="n">
        <v>45952</v>
      </c>
      <c r="C943" s="1" t="n">
        <v>46204</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51914-2025</t>
        </is>
      </c>
      <c r="B944" s="1" t="n">
        <v>45952</v>
      </c>
      <c r="C944" s="1" t="n">
        <v>46204</v>
      </c>
      <c r="D944" t="inlineStr">
        <is>
          <t>VÄRMLANDS LÄN</t>
        </is>
      </c>
      <c r="E944" t="inlineStr">
        <is>
          <t>TORSBY</t>
        </is>
      </c>
      <c r="F944" t="inlineStr">
        <is>
          <t>Kyrkan</t>
        </is>
      </c>
      <c r="G944" t="n">
        <v>3.3</v>
      </c>
      <c r="H944" t="n">
        <v>0</v>
      </c>
      <c r="I944" t="n">
        <v>0</v>
      </c>
      <c r="J944" t="n">
        <v>0</v>
      </c>
      <c r="K944" t="n">
        <v>0</v>
      </c>
      <c r="L944" t="n">
        <v>0</v>
      </c>
      <c r="M944" t="n">
        <v>0</v>
      </c>
      <c r="N944" t="n">
        <v>0</v>
      </c>
      <c r="O944" t="n">
        <v>0</v>
      </c>
      <c r="P944" t="n">
        <v>0</v>
      </c>
      <c r="Q944" t="n">
        <v>0</v>
      </c>
      <c r="R944" s="2" t="inlineStr"/>
    </row>
    <row r="945" ht="15" customHeight="1">
      <c r="A945" t="inlineStr">
        <is>
          <t>A 51927-2025</t>
        </is>
      </c>
      <c r="B945" s="1" t="n">
        <v>45952</v>
      </c>
      <c r="C945" s="1" t="n">
        <v>46204</v>
      </c>
      <c r="D945" t="inlineStr">
        <is>
          <t>VÄRMLANDS LÄN</t>
        </is>
      </c>
      <c r="E945" t="inlineStr">
        <is>
          <t>TORSBY</t>
        </is>
      </c>
      <c r="F945" t="inlineStr">
        <is>
          <t>Kyrkan</t>
        </is>
      </c>
      <c r="G945" t="n">
        <v>4.9</v>
      </c>
      <c r="H945" t="n">
        <v>0</v>
      </c>
      <c r="I945" t="n">
        <v>0</v>
      </c>
      <c r="J945" t="n">
        <v>0</v>
      </c>
      <c r="K945" t="n">
        <v>0</v>
      </c>
      <c r="L945" t="n">
        <v>0</v>
      </c>
      <c r="M945" t="n">
        <v>0</v>
      </c>
      <c r="N945" t="n">
        <v>0</v>
      </c>
      <c r="O945" t="n">
        <v>0</v>
      </c>
      <c r="P945" t="n">
        <v>0</v>
      </c>
      <c r="Q945" t="n">
        <v>0</v>
      </c>
      <c r="R945" s="2" t="inlineStr"/>
    </row>
    <row r="946" ht="15" customHeight="1">
      <c r="A946" t="inlineStr">
        <is>
          <t>A 52089-2025</t>
        </is>
      </c>
      <c r="B946" s="1" t="n">
        <v>45952</v>
      </c>
      <c r="C946" s="1" t="n">
        <v>46204</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52359-2025</t>
        </is>
      </c>
      <c r="B947" s="1" t="n">
        <v>45952</v>
      </c>
      <c r="C947" s="1" t="n">
        <v>46204</v>
      </c>
      <c r="D947" t="inlineStr">
        <is>
          <t>VÄRMLANDS LÄN</t>
        </is>
      </c>
      <c r="E947" t="inlineStr">
        <is>
          <t>TORSBY</t>
        </is>
      </c>
      <c r="G947" t="n">
        <v>3.8</v>
      </c>
      <c r="H947" t="n">
        <v>0</v>
      </c>
      <c r="I947" t="n">
        <v>0</v>
      </c>
      <c r="J947" t="n">
        <v>0</v>
      </c>
      <c r="K947" t="n">
        <v>0</v>
      </c>
      <c r="L947" t="n">
        <v>0</v>
      </c>
      <c r="M947" t="n">
        <v>0</v>
      </c>
      <c r="N947" t="n">
        <v>0</v>
      </c>
      <c r="O947" t="n">
        <v>0</v>
      </c>
      <c r="P947" t="n">
        <v>0</v>
      </c>
      <c r="Q947" t="n">
        <v>0</v>
      </c>
      <c r="R947" s="2" t="inlineStr"/>
    </row>
    <row r="948" ht="15" customHeight="1">
      <c r="A948" t="inlineStr">
        <is>
          <t>A 15488-2023</t>
        </is>
      </c>
      <c r="B948" s="1" t="n">
        <v>45020</v>
      </c>
      <c r="C948" s="1" t="n">
        <v>46204</v>
      </c>
      <c r="D948" t="inlineStr">
        <is>
          <t>VÄRMLANDS LÄN</t>
        </is>
      </c>
      <c r="E948" t="inlineStr">
        <is>
          <t>TORSBY</t>
        </is>
      </c>
      <c r="G948" t="n">
        <v>3.4</v>
      </c>
      <c r="H948" t="n">
        <v>0</v>
      </c>
      <c r="I948" t="n">
        <v>0</v>
      </c>
      <c r="J948" t="n">
        <v>0</v>
      </c>
      <c r="K948" t="n">
        <v>0</v>
      </c>
      <c r="L948" t="n">
        <v>0</v>
      </c>
      <c r="M948" t="n">
        <v>0</v>
      </c>
      <c r="N948" t="n">
        <v>0</v>
      </c>
      <c r="O948" t="n">
        <v>0</v>
      </c>
      <c r="P948" t="n">
        <v>0</v>
      </c>
      <c r="Q948" t="n">
        <v>0</v>
      </c>
      <c r="R948" s="2" t="inlineStr"/>
    </row>
    <row r="949" ht="15" customHeight="1">
      <c r="A949" t="inlineStr">
        <is>
          <t>A 51944-2025</t>
        </is>
      </c>
      <c r="B949" s="1" t="n">
        <v>45952</v>
      </c>
      <c r="C949" s="1" t="n">
        <v>46204</v>
      </c>
      <c r="D949" t="inlineStr">
        <is>
          <t>VÄRMLANDS LÄN</t>
        </is>
      </c>
      <c r="E949" t="inlineStr">
        <is>
          <t>TORSBY</t>
        </is>
      </c>
      <c r="G949" t="n">
        <v>8</v>
      </c>
      <c r="H949" t="n">
        <v>0</v>
      </c>
      <c r="I949" t="n">
        <v>0</v>
      </c>
      <c r="J949" t="n">
        <v>0</v>
      </c>
      <c r="K949" t="n">
        <v>0</v>
      </c>
      <c r="L949" t="n">
        <v>0</v>
      </c>
      <c r="M949" t="n">
        <v>0</v>
      </c>
      <c r="N949" t="n">
        <v>0</v>
      </c>
      <c r="O949" t="n">
        <v>0</v>
      </c>
      <c r="P949" t="n">
        <v>0</v>
      </c>
      <c r="Q949" t="n">
        <v>0</v>
      </c>
      <c r="R949" s="2" t="inlineStr"/>
    </row>
    <row r="950" ht="15" customHeight="1">
      <c r="A950" t="inlineStr">
        <is>
          <t>A 56473-2022</t>
        </is>
      </c>
      <c r="B950" s="1" t="n">
        <v>44893</v>
      </c>
      <c r="C950" s="1" t="n">
        <v>46204</v>
      </c>
      <c r="D950" t="inlineStr">
        <is>
          <t>VÄRMLANDS LÄN</t>
        </is>
      </c>
      <c r="E950" t="inlineStr">
        <is>
          <t>TORSBY</t>
        </is>
      </c>
      <c r="G950" t="n">
        <v>5.4</v>
      </c>
      <c r="H950" t="n">
        <v>0</v>
      </c>
      <c r="I950" t="n">
        <v>0</v>
      </c>
      <c r="J950" t="n">
        <v>0</v>
      </c>
      <c r="K950" t="n">
        <v>0</v>
      </c>
      <c r="L950" t="n">
        <v>0</v>
      </c>
      <c r="M950" t="n">
        <v>0</v>
      </c>
      <c r="N950" t="n">
        <v>0</v>
      </c>
      <c r="O950" t="n">
        <v>0</v>
      </c>
      <c r="P950" t="n">
        <v>0</v>
      </c>
      <c r="Q950" t="n">
        <v>0</v>
      </c>
      <c r="R950" s="2" t="inlineStr"/>
    </row>
    <row r="951" ht="15" customHeight="1">
      <c r="A951" t="inlineStr">
        <is>
          <t>A 52026-2025</t>
        </is>
      </c>
      <c r="B951" s="1" t="n">
        <v>45952</v>
      </c>
      <c r="C951" s="1" t="n">
        <v>46204</v>
      </c>
      <c r="D951" t="inlineStr">
        <is>
          <t>VÄRMLANDS LÄN</t>
        </is>
      </c>
      <c r="E951" t="inlineStr">
        <is>
          <t>TORSBY</t>
        </is>
      </c>
      <c r="F951" t="inlineStr">
        <is>
          <t>Bergvik skog väst AB</t>
        </is>
      </c>
      <c r="G951" t="n">
        <v>15.7</v>
      </c>
      <c r="H951" t="n">
        <v>0</v>
      </c>
      <c r="I951" t="n">
        <v>0</v>
      </c>
      <c r="J951" t="n">
        <v>0</v>
      </c>
      <c r="K951" t="n">
        <v>0</v>
      </c>
      <c r="L951" t="n">
        <v>0</v>
      </c>
      <c r="M951" t="n">
        <v>0</v>
      </c>
      <c r="N951" t="n">
        <v>0</v>
      </c>
      <c r="O951" t="n">
        <v>0</v>
      </c>
      <c r="P951" t="n">
        <v>0</v>
      </c>
      <c r="Q951" t="n">
        <v>0</v>
      </c>
      <c r="R951" s="2" t="inlineStr"/>
    </row>
    <row r="952" ht="15" customHeight="1">
      <c r="A952" t="inlineStr">
        <is>
          <t>A 52762-2025</t>
        </is>
      </c>
      <c r="B952" s="1" t="n">
        <v>45957</v>
      </c>
      <c r="C952" s="1" t="n">
        <v>46204</v>
      </c>
      <c r="D952" t="inlineStr">
        <is>
          <t>VÄRMLANDS LÄN</t>
        </is>
      </c>
      <c r="E952" t="inlineStr">
        <is>
          <t>TORSBY</t>
        </is>
      </c>
      <c r="G952" t="n">
        <v>8.9</v>
      </c>
      <c r="H952" t="n">
        <v>0</v>
      </c>
      <c r="I952" t="n">
        <v>0</v>
      </c>
      <c r="J952" t="n">
        <v>0</v>
      </c>
      <c r="K952" t="n">
        <v>0</v>
      </c>
      <c r="L952" t="n">
        <v>0</v>
      </c>
      <c r="M952" t="n">
        <v>0</v>
      </c>
      <c r="N952" t="n">
        <v>0</v>
      </c>
      <c r="O952" t="n">
        <v>0</v>
      </c>
      <c r="P952" t="n">
        <v>0</v>
      </c>
      <c r="Q952" t="n">
        <v>0</v>
      </c>
      <c r="R952" s="2" t="inlineStr"/>
    </row>
    <row r="953" ht="15" customHeight="1">
      <c r="A953" t="inlineStr">
        <is>
          <t>A 52493-2025</t>
        </is>
      </c>
      <c r="B953" s="1" t="n">
        <v>45954</v>
      </c>
      <c r="C953" s="1" t="n">
        <v>46204</v>
      </c>
      <c r="D953" t="inlineStr">
        <is>
          <t>VÄRMLANDS LÄN</t>
        </is>
      </c>
      <c r="E953" t="inlineStr">
        <is>
          <t>TORSBY</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52796-2025</t>
        </is>
      </c>
      <c r="B954" s="1" t="n">
        <v>45957</v>
      </c>
      <c r="C954" s="1" t="n">
        <v>46204</v>
      </c>
      <c r="D954" t="inlineStr">
        <is>
          <t>VÄRMLANDS LÄN</t>
        </is>
      </c>
      <c r="E954" t="inlineStr">
        <is>
          <t>TORSBY</t>
        </is>
      </c>
      <c r="G954" t="n">
        <v>17.7</v>
      </c>
      <c r="H954" t="n">
        <v>0</v>
      </c>
      <c r="I954" t="n">
        <v>0</v>
      </c>
      <c r="J954" t="n">
        <v>0</v>
      </c>
      <c r="K954" t="n">
        <v>0</v>
      </c>
      <c r="L954" t="n">
        <v>0</v>
      </c>
      <c r="M954" t="n">
        <v>0</v>
      </c>
      <c r="N954" t="n">
        <v>0</v>
      </c>
      <c r="O954" t="n">
        <v>0</v>
      </c>
      <c r="P954" t="n">
        <v>0</v>
      </c>
      <c r="Q954" t="n">
        <v>0</v>
      </c>
      <c r="R954" s="2" t="inlineStr"/>
    </row>
    <row r="955" ht="15" customHeight="1">
      <c r="A955" t="inlineStr">
        <is>
          <t>A 52822-2025</t>
        </is>
      </c>
      <c r="B955" s="1" t="n">
        <v>45957</v>
      </c>
      <c r="C955" s="1" t="n">
        <v>46204</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52918-2025</t>
        </is>
      </c>
      <c r="B956" s="1" t="n">
        <v>45957</v>
      </c>
      <c r="C956" s="1" t="n">
        <v>46204</v>
      </c>
      <c r="D956" t="inlineStr">
        <is>
          <t>VÄRMLANDS LÄN</t>
        </is>
      </c>
      <c r="E956" t="inlineStr">
        <is>
          <t>TORSBY</t>
        </is>
      </c>
      <c r="F956" t="inlineStr">
        <is>
          <t>Bergvik skog väst AB</t>
        </is>
      </c>
      <c r="G956" t="n">
        <v>13.1</v>
      </c>
      <c r="H956" t="n">
        <v>0</v>
      </c>
      <c r="I956" t="n">
        <v>0</v>
      </c>
      <c r="J956" t="n">
        <v>0</v>
      </c>
      <c r="K956" t="n">
        <v>0</v>
      </c>
      <c r="L956" t="n">
        <v>0</v>
      </c>
      <c r="M956" t="n">
        <v>0</v>
      </c>
      <c r="N956" t="n">
        <v>0</v>
      </c>
      <c r="O956" t="n">
        <v>0</v>
      </c>
      <c r="P956" t="n">
        <v>0</v>
      </c>
      <c r="Q956" t="n">
        <v>0</v>
      </c>
      <c r="R956" s="2" t="inlineStr"/>
    </row>
    <row r="957" ht="15" customHeight="1">
      <c r="A957" t="inlineStr">
        <is>
          <t>A 52843-2025</t>
        </is>
      </c>
      <c r="B957" s="1" t="n">
        <v>45957</v>
      </c>
      <c r="C957" s="1" t="n">
        <v>46204</v>
      </c>
      <c r="D957" t="inlineStr">
        <is>
          <t>VÄRMLANDS LÄN</t>
        </is>
      </c>
      <c r="E957" t="inlineStr">
        <is>
          <t>TORSBY</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52931-2025</t>
        </is>
      </c>
      <c r="B958" s="1" t="n">
        <v>45957</v>
      </c>
      <c r="C958" s="1" t="n">
        <v>46204</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52981-2025</t>
        </is>
      </c>
      <c r="B959" s="1" t="n">
        <v>45957</v>
      </c>
      <c r="C959" s="1" t="n">
        <v>46204</v>
      </c>
      <c r="D959" t="inlineStr">
        <is>
          <t>VÄRMLANDS LÄN</t>
        </is>
      </c>
      <c r="E959" t="inlineStr">
        <is>
          <t>TORSBY</t>
        </is>
      </c>
      <c r="G959" t="n">
        <v>20.5</v>
      </c>
      <c r="H959" t="n">
        <v>0</v>
      </c>
      <c r="I959" t="n">
        <v>0</v>
      </c>
      <c r="J959" t="n">
        <v>0</v>
      </c>
      <c r="K959" t="n">
        <v>0</v>
      </c>
      <c r="L959" t="n">
        <v>0</v>
      </c>
      <c r="M959" t="n">
        <v>0</v>
      </c>
      <c r="N959" t="n">
        <v>0</v>
      </c>
      <c r="O959" t="n">
        <v>0</v>
      </c>
      <c r="P959" t="n">
        <v>0</v>
      </c>
      <c r="Q959" t="n">
        <v>0</v>
      </c>
      <c r="R959" s="2" t="inlineStr"/>
    </row>
    <row r="960" ht="15" customHeight="1">
      <c r="A960" t="inlineStr">
        <is>
          <t>A 52731-2025</t>
        </is>
      </c>
      <c r="B960" s="1" t="n">
        <v>45957</v>
      </c>
      <c r="C960" s="1" t="n">
        <v>46204</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52577-2025</t>
        </is>
      </c>
      <c r="B961" s="1" t="n">
        <v>45954</v>
      </c>
      <c r="C961" s="1" t="n">
        <v>46204</v>
      </c>
      <c r="D961" t="inlineStr">
        <is>
          <t>VÄRMLANDS LÄN</t>
        </is>
      </c>
      <c r="E961" t="inlineStr">
        <is>
          <t>TORSBY</t>
        </is>
      </c>
      <c r="F961" t="inlineStr">
        <is>
          <t>Bergvik skog väst AB</t>
        </is>
      </c>
      <c r="G961" t="n">
        <v>0.6</v>
      </c>
      <c r="H961" t="n">
        <v>0</v>
      </c>
      <c r="I961" t="n">
        <v>0</v>
      </c>
      <c r="J961" t="n">
        <v>0</v>
      </c>
      <c r="K961" t="n">
        <v>0</v>
      </c>
      <c r="L961" t="n">
        <v>0</v>
      </c>
      <c r="M961" t="n">
        <v>0</v>
      </c>
      <c r="N961" t="n">
        <v>0</v>
      </c>
      <c r="O961" t="n">
        <v>0</v>
      </c>
      <c r="P961" t="n">
        <v>0</v>
      </c>
      <c r="Q961" t="n">
        <v>0</v>
      </c>
      <c r="R961" s="2" t="inlineStr"/>
    </row>
    <row r="962" ht="15" customHeight="1">
      <c r="A962" t="inlineStr">
        <is>
          <t>A 52947-2025</t>
        </is>
      </c>
      <c r="B962" s="1" t="n">
        <v>45954</v>
      </c>
      <c r="C962" s="1" t="n">
        <v>46204</v>
      </c>
      <c r="D962" t="inlineStr">
        <is>
          <t>VÄRMLANDS LÄN</t>
        </is>
      </c>
      <c r="E962" t="inlineStr">
        <is>
          <t>TORSBY</t>
        </is>
      </c>
      <c r="G962" t="n">
        <v>2.7</v>
      </c>
      <c r="H962" t="n">
        <v>0</v>
      </c>
      <c r="I962" t="n">
        <v>0</v>
      </c>
      <c r="J962" t="n">
        <v>0</v>
      </c>
      <c r="K962" t="n">
        <v>0</v>
      </c>
      <c r="L962" t="n">
        <v>0</v>
      </c>
      <c r="M962" t="n">
        <v>0</v>
      </c>
      <c r="N962" t="n">
        <v>0</v>
      </c>
      <c r="O962" t="n">
        <v>0</v>
      </c>
      <c r="P962" t="n">
        <v>0</v>
      </c>
      <c r="Q962" t="n">
        <v>0</v>
      </c>
      <c r="R962" s="2" t="inlineStr"/>
    </row>
    <row r="963" ht="15" customHeight="1">
      <c r="A963" t="inlineStr">
        <is>
          <t>A 52512-2025</t>
        </is>
      </c>
      <c r="B963" s="1" t="n">
        <v>45954</v>
      </c>
      <c r="C963" s="1" t="n">
        <v>46204</v>
      </c>
      <c r="D963" t="inlineStr">
        <is>
          <t>VÄRMLANDS LÄN</t>
        </is>
      </c>
      <c r="E963" t="inlineStr">
        <is>
          <t>TORSBY</t>
        </is>
      </c>
      <c r="F963" t="inlineStr">
        <is>
          <t>Bergvik skog väst AB</t>
        </is>
      </c>
      <c r="G963" t="n">
        <v>14.6</v>
      </c>
      <c r="H963" t="n">
        <v>0</v>
      </c>
      <c r="I963" t="n">
        <v>0</v>
      </c>
      <c r="J963" t="n">
        <v>0</v>
      </c>
      <c r="K963" t="n">
        <v>0</v>
      </c>
      <c r="L963" t="n">
        <v>0</v>
      </c>
      <c r="M963" t="n">
        <v>0</v>
      </c>
      <c r="N963" t="n">
        <v>0</v>
      </c>
      <c r="O963" t="n">
        <v>0</v>
      </c>
      <c r="P963" t="n">
        <v>0</v>
      </c>
      <c r="Q963" t="n">
        <v>0</v>
      </c>
      <c r="R963" s="2" t="inlineStr"/>
    </row>
    <row r="964" ht="15" customHeight="1">
      <c r="A964" t="inlineStr">
        <is>
          <t>A 52436-2025</t>
        </is>
      </c>
      <c r="B964" s="1" t="n">
        <v>45954</v>
      </c>
      <c r="C964" s="1" t="n">
        <v>46204</v>
      </c>
      <c r="D964" t="inlineStr">
        <is>
          <t>VÄRMLANDS LÄN</t>
        </is>
      </c>
      <c r="E964" t="inlineStr">
        <is>
          <t>TORSBY</t>
        </is>
      </c>
      <c r="G964" t="n">
        <v>2.7</v>
      </c>
      <c r="H964" t="n">
        <v>0</v>
      </c>
      <c r="I964" t="n">
        <v>0</v>
      </c>
      <c r="J964" t="n">
        <v>0</v>
      </c>
      <c r="K964" t="n">
        <v>0</v>
      </c>
      <c r="L964" t="n">
        <v>0</v>
      </c>
      <c r="M964" t="n">
        <v>0</v>
      </c>
      <c r="N964" t="n">
        <v>0</v>
      </c>
      <c r="O964" t="n">
        <v>0</v>
      </c>
      <c r="P964" t="n">
        <v>0</v>
      </c>
      <c r="Q964" t="n">
        <v>0</v>
      </c>
      <c r="R964" s="2" t="inlineStr"/>
    </row>
    <row r="965" ht="15" customHeight="1">
      <c r="A965" t="inlineStr">
        <is>
          <t>A 52982-2025</t>
        </is>
      </c>
      <c r="B965" s="1" t="n">
        <v>45957</v>
      </c>
      <c r="C965" s="1" t="n">
        <v>46204</v>
      </c>
      <c r="D965" t="inlineStr">
        <is>
          <t>VÄRMLANDS LÄN</t>
        </is>
      </c>
      <c r="E965" t="inlineStr">
        <is>
          <t>TORSBY</t>
        </is>
      </c>
      <c r="G965" t="n">
        <v>8.1</v>
      </c>
      <c r="H965" t="n">
        <v>0</v>
      </c>
      <c r="I965" t="n">
        <v>0</v>
      </c>
      <c r="J965" t="n">
        <v>0</v>
      </c>
      <c r="K965" t="n">
        <v>0</v>
      </c>
      <c r="L965" t="n">
        <v>0</v>
      </c>
      <c r="M965" t="n">
        <v>0</v>
      </c>
      <c r="N965" t="n">
        <v>0</v>
      </c>
      <c r="O965" t="n">
        <v>0</v>
      </c>
      <c r="P965" t="n">
        <v>0</v>
      </c>
      <c r="Q965" t="n">
        <v>0</v>
      </c>
      <c r="R965" s="2" t="inlineStr"/>
    </row>
    <row r="966" ht="15" customHeight="1">
      <c r="A966" t="inlineStr">
        <is>
          <t>A 52489-2025</t>
        </is>
      </c>
      <c r="B966" s="1" t="n">
        <v>45954</v>
      </c>
      <c r="C966" s="1" t="n">
        <v>46204</v>
      </c>
      <c r="D966" t="inlineStr">
        <is>
          <t>VÄRMLANDS LÄN</t>
        </is>
      </c>
      <c r="E966" t="inlineStr">
        <is>
          <t>TORSBY</t>
        </is>
      </c>
      <c r="F966" t="inlineStr">
        <is>
          <t>Bergvik skog väst AB</t>
        </is>
      </c>
      <c r="G966" t="n">
        <v>7.8</v>
      </c>
      <c r="H966" t="n">
        <v>0</v>
      </c>
      <c r="I966" t="n">
        <v>0</v>
      </c>
      <c r="J966" t="n">
        <v>0</v>
      </c>
      <c r="K966" t="n">
        <v>0</v>
      </c>
      <c r="L966" t="n">
        <v>0</v>
      </c>
      <c r="M966" t="n">
        <v>0</v>
      </c>
      <c r="N966" t="n">
        <v>0</v>
      </c>
      <c r="O966" t="n">
        <v>0</v>
      </c>
      <c r="P966" t="n">
        <v>0</v>
      </c>
      <c r="Q966" t="n">
        <v>0</v>
      </c>
      <c r="R966" s="2" t="inlineStr"/>
    </row>
    <row r="967" ht="15" customHeight="1">
      <c r="A967" t="inlineStr">
        <is>
          <t>A 52787-2025</t>
        </is>
      </c>
      <c r="B967" s="1" t="n">
        <v>45957</v>
      </c>
      <c r="C967" s="1" t="n">
        <v>46204</v>
      </c>
      <c r="D967" t="inlineStr">
        <is>
          <t>VÄRMLANDS LÄN</t>
        </is>
      </c>
      <c r="E967" t="inlineStr">
        <is>
          <t>TORSBY</t>
        </is>
      </c>
      <c r="G967" t="n">
        <v>3.8</v>
      </c>
      <c r="H967" t="n">
        <v>0</v>
      </c>
      <c r="I967" t="n">
        <v>0</v>
      </c>
      <c r="J967" t="n">
        <v>0</v>
      </c>
      <c r="K967" t="n">
        <v>0</v>
      </c>
      <c r="L967" t="n">
        <v>0</v>
      </c>
      <c r="M967" t="n">
        <v>0</v>
      </c>
      <c r="N967" t="n">
        <v>0</v>
      </c>
      <c r="O967" t="n">
        <v>0</v>
      </c>
      <c r="P967" t="n">
        <v>0</v>
      </c>
      <c r="Q967" t="n">
        <v>0</v>
      </c>
      <c r="R967" s="2" t="inlineStr"/>
    </row>
    <row r="968" ht="15" customHeight="1">
      <c r="A968" t="inlineStr">
        <is>
          <t>A 14316-2026</t>
        </is>
      </c>
      <c r="B968" s="1" t="n">
        <v>46099</v>
      </c>
      <c r="C968" s="1" t="n">
        <v>46204</v>
      </c>
      <c r="D968" t="inlineStr">
        <is>
          <t>VÄRMLANDS LÄN</t>
        </is>
      </c>
      <c r="E968" t="inlineStr">
        <is>
          <t>TORSBY</t>
        </is>
      </c>
      <c r="F968" t="inlineStr">
        <is>
          <t>Bergvik skog väst AB</t>
        </is>
      </c>
      <c r="G968" t="n">
        <v>6.6</v>
      </c>
      <c r="H968" t="n">
        <v>0</v>
      </c>
      <c r="I968" t="n">
        <v>0</v>
      </c>
      <c r="J968" t="n">
        <v>0</v>
      </c>
      <c r="K968" t="n">
        <v>0</v>
      </c>
      <c r="L968" t="n">
        <v>0</v>
      </c>
      <c r="M968" t="n">
        <v>0</v>
      </c>
      <c r="N968" t="n">
        <v>0</v>
      </c>
      <c r="O968" t="n">
        <v>0</v>
      </c>
      <c r="P968" t="n">
        <v>0</v>
      </c>
      <c r="Q968" t="n">
        <v>0</v>
      </c>
      <c r="R968" s="2" t="inlineStr"/>
    </row>
    <row r="969" ht="15" customHeight="1">
      <c r="A969" t="inlineStr">
        <is>
          <t>A 52509-2025</t>
        </is>
      </c>
      <c r="B969" s="1" t="n">
        <v>45954</v>
      </c>
      <c r="C969" s="1" t="n">
        <v>46204</v>
      </c>
      <c r="D969" t="inlineStr">
        <is>
          <t>VÄRMLANDS LÄN</t>
        </is>
      </c>
      <c r="E969" t="inlineStr">
        <is>
          <t>TORSBY</t>
        </is>
      </c>
      <c r="F969" t="inlineStr">
        <is>
          <t>Bergvik skog väst AB</t>
        </is>
      </c>
      <c r="G969" t="n">
        <v>4.7</v>
      </c>
      <c r="H969" t="n">
        <v>0</v>
      </c>
      <c r="I969" t="n">
        <v>0</v>
      </c>
      <c r="J969" t="n">
        <v>0</v>
      </c>
      <c r="K969" t="n">
        <v>0</v>
      </c>
      <c r="L969" t="n">
        <v>0</v>
      </c>
      <c r="M969" t="n">
        <v>0</v>
      </c>
      <c r="N969" t="n">
        <v>0</v>
      </c>
      <c r="O969" t="n">
        <v>0</v>
      </c>
      <c r="P969" t="n">
        <v>0</v>
      </c>
      <c r="Q969" t="n">
        <v>0</v>
      </c>
      <c r="R969" s="2" t="inlineStr"/>
    </row>
    <row r="970" ht="15" customHeight="1">
      <c r="A970" t="inlineStr">
        <is>
          <t>A 10589-2024</t>
        </is>
      </c>
      <c r="B970" s="1" t="n">
        <v>45366</v>
      </c>
      <c r="C970" s="1" t="n">
        <v>46204</v>
      </c>
      <c r="D970" t="inlineStr">
        <is>
          <t>VÄRMLANDS LÄN</t>
        </is>
      </c>
      <c r="E970" t="inlineStr">
        <is>
          <t>TORSBY</t>
        </is>
      </c>
      <c r="G970" t="n">
        <v>0.5</v>
      </c>
      <c r="H970" t="n">
        <v>0</v>
      </c>
      <c r="I970" t="n">
        <v>0</v>
      </c>
      <c r="J970" t="n">
        <v>0</v>
      </c>
      <c r="K970" t="n">
        <v>0</v>
      </c>
      <c r="L970" t="n">
        <v>0</v>
      </c>
      <c r="M970" t="n">
        <v>0</v>
      </c>
      <c r="N970" t="n">
        <v>0</v>
      </c>
      <c r="O970" t="n">
        <v>0</v>
      </c>
      <c r="P970" t="n">
        <v>0</v>
      </c>
      <c r="Q970" t="n">
        <v>0</v>
      </c>
      <c r="R970" s="2" t="inlineStr"/>
    </row>
    <row r="971" ht="15" customHeight="1">
      <c r="A971" t="inlineStr">
        <is>
          <t>A 52741-2025</t>
        </is>
      </c>
      <c r="B971" s="1" t="n">
        <v>45957</v>
      </c>
      <c r="C971" s="1" t="n">
        <v>46204</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52772-2025</t>
        </is>
      </c>
      <c r="B972" s="1" t="n">
        <v>45957</v>
      </c>
      <c r="C972" s="1" t="n">
        <v>46204</v>
      </c>
      <c r="D972" t="inlineStr">
        <is>
          <t>VÄRMLANDS LÄN</t>
        </is>
      </c>
      <c r="E972" t="inlineStr">
        <is>
          <t>TORSBY</t>
        </is>
      </c>
      <c r="G972" t="n">
        <v>3.5</v>
      </c>
      <c r="H972" t="n">
        <v>0</v>
      </c>
      <c r="I972" t="n">
        <v>0</v>
      </c>
      <c r="J972" t="n">
        <v>0</v>
      </c>
      <c r="K972" t="n">
        <v>0</v>
      </c>
      <c r="L972" t="n">
        <v>0</v>
      </c>
      <c r="M972" t="n">
        <v>0</v>
      </c>
      <c r="N972" t="n">
        <v>0</v>
      </c>
      <c r="O972" t="n">
        <v>0</v>
      </c>
      <c r="P972" t="n">
        <v>0</v>
      </c>
      <c r="Q972" t="n">
        <v>0</v>
      </c>
      <c r="R972" s="2" t="inlineStr"/>
    </row>
    <row r="973" ht="15" customHeight="1">
      <c r="A973" t="inlineStr">
        <is>
          <t>A 52774-2025</t>
        </is>
      </c>
      <c r="B973" s="1" t="n">
        <v>45957</v>
      </c>
      <c r="C973" s="1" t="n">
        <v>46204</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53113-2025</t>
        </is>
      </c>
      <c r="B974" s="1" t="n">
        <v>45958</v>
      </c>
      <c r="C974" s="1" t="n">
        <v>46204</v>
      </c>
      <c r="D974" t="inlineStr">
        <is>
          <t>VÄRMLANDS LÄN</t>
        </is>
      </c>
      <c r="E974" t="inlineStr">
        <is>
          <t>TORSBY</t>
        </is>
      </c>
      <c r="G974" t="n">
        <v>2.5</v>
      </c>
      <c r="H974" t="n">
        <v>0</v>
      </c>
      <c r="I974" t="n">
        <v>0</v>
      </c>
      <c r="J974" t="n">
        <v>0</v>
      </c>
      <c r="K974" t="n">
        <v>0</v>
      </c>
      <c r="L974" t="n">
        <v>0</v>
      </c>
      <c r="M974" t="n">
        <v>0</v>
      </c>
      <c r="N974" t="n">
        <v>0</v>
      </c>
      <c r="O974" t="n">
        <v>0</v>
      </c>
      <c r="P974" t="n">
        <v>0</v>
      </c>
      <c r="Q974" t="n">
        <v>0</v>
      </c>
      <c r="R974" s="2" t="inlineStr"/>
    </row>
    <row r="975" ht="15" customHeight="1">
      <c r="A975" t="inlineStr">
        <is>
          <t>A 53123-2025</t>
        </is>
      </c>
      <c r="B975" s="1" t="n">
        <v>45958</v>
      </c>
      <c r="C975" s="1" t="n">
        <v>46204</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17001-2024</t>
        </is>
      </c>
      <c r="B976" s="1" t="n">
        <v>45412</v>
      </c>
      <c r="C976" s="1" t="n">
        <v>46204</v>
      </c>
      <c r="D976" t="inlineStr">
        <is>
          <t>VÄRMLANDS LÄN</t>
        </is>
      </c>
      <c r="E976" t="inlineStr">
        <is>
          <t>TORSBY</t>
        </is>
      </c>
      <c r="G976" t="n">
        <v>3.6</v>
      </c>
      <c r="H976" t="n">
        <v>0</v>
      </c>
      <c r="I976" t="n">
        <v>0</v>
      </c>
      <c r="J976" t="n">
        <v>0</v>
      </c>
      <c r="K976" t="n">
        <v>0</v>
      </c>
      <c r="L976" t="n">
        <v>0</v>
      </c>
      <c r="M976" t="n">
        <v>0</v>
      </c>
      <c r="N976" t="n">
        <v>0</v>
      </c>
      <c r="O976" t="n">
        <v>0</v>
      </c>
      <c r="P976" t="n">
        <v>0</v>
      </c>
      <c r="Q976" t="n">
        <v>0</v>
      </c>
      <c r="R976" s="2" t="inlineStr"/>
    </row>
    <row r="977" ht="15" customHeight="1">
      <c r="A977" t="inlineStr">
        <is>
          <t>A 53383-2025</t>
        </is>
      </c>
      <c r="B977" s="1" t="n">
        <v>45959</v>
      </c>
      <c r="C977" s="1" t="n">
        <v>46204</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53107-2025</t>
        </is>
      </c>
      <c r="B978" s="1" t="n">
        <v>45958</v>
      </c>
      <c r="C978" s="1" t="n">
        <v>46204</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58707-2024</t>
        </is>
      </c>
      <c r="B979" s="1" t="n">
        <v>45635</v>
      </c>
      <c r="C979" s="1" t="n">
        <v>46204</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53165-2025</t>
        </is>
      </c>
      <c r="B980" s="1" t="n">
        <v>45958</v>
      </c>
      <c r="C980" s="1" t="n">
        <v>46204</v>
      </c>
      <c r="D980" t="inlineStr">
        <is>
          <t>VÄRMLANDS LÄN</t>
        </is>
      </c>
      <c r="E980" t="inlineStr">
        <is>
          <t>TORSBY</t>
        </is>
      </c>
      <c r="F980" t="inlineStr">
        <is>
          <t>Bergvik skog väst AB</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39069-2022</t>
        </is>
      </c>
      <c r="B981" s="1" t="n">
        <v>44816</v>
      </c>
      <c r="C981" s="1" t="n">
        <v>46204</v>
      </c>
      <c r="D981" t="inlineStr">
        <is>
          <t>VÄRMLANDS LÄN</t>
        </is>
      </c>
      <c r="E981" t="inlineStr">
        <is>
          <t>TORSBY</t>
        </is>
      </c>
      <c r="G981" t="n">
        <v>0.3</v>
      </c>
      <c r="H981" t="n">
        <v>0</v>
      </c>
      <c r="I981" t="n">
        <v>0</v>
      </c>
      <c r="J981" t="n">
        <v>0</v>
      </c>
      <c r="K981" t="n">
        <v>0</v>
      </c>
      <c r="L981" t="n">
        <v>0</v>
      </c>
      <c r="M981" t="n">
        <v>0</v>
      </c>
      <c r="N981" t="n">
        <v>0</v>
      </c>
      <c r="O981" t="n">
        <v>0</v>
      </c>
      <c r="P981" t="n">
        <v>0</v>
      </c>
      <c r="Q981" t="n">
        <v>0</v>
      </c>
      <c r="R981" s="2" t="inlineStr"/>
    </row>
    <row r="982" ht="15" customHeight="1">
      <c r="A982" t="inlineStr">
        <is>
          <t>A 40788-2022</t>
        </is>
      </c>
      <c r="B982" s="1" t="n">
        <v>44824</v>
      </c>
      <c r="C982" s="1" t="n">
        <v>46204</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52483-2022</t>
        </is>
      </c>
      <c r="B983" s="1" t="n">
        <v>44874</v>
      </c>
      <c r="C983" s="1" t="n">
        <v>46204</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48762-2023</t>
        </is>
      </c>
      <c r="B984" s="1" t="n">
        <v>45208</v>
      </c>
      <c r="C984" s="1" t="n">
        <v>46204</v>
      </c>
      <c r="D984" t="inlineStr">
        <is>
          <t>VÄRMLANDS LÄN</t>
        </is>
      </c>
      <c r="E984" t="inlineStr">
        <is>
          <t>TORSBY</t>
        </is>
      </c>
      <c r="G984" t="n">
        <v>4.2</v>
      </c>
      <c r="H984" t="n">
        <v>0</v>
      </c>
      <c r="I984" t="n">
        <v>0</v>
      </c>
      <c r="J984" t="n">
        <v>0</v>
      </c>
      <c r="K984" t="n">
        <v>0</v>
      </c>
      <c r="L984" t="n">
        <v>0</v>
      </c>
      <c r="M984" t="n">
        <v>0</v>
      </c>
      <c r="N984" t="n">
        <v>0</v>
      </c>
      <c r="O984" t="n">
        <v>0</v>
      </c>
      <c r="P984" t="n">
        <v>0</v>
      </c>
      <c r="Q984" t="n">
        <v>0</v>
      </c>
      <c r="R984" s="2" t="inlineStr"/>
    </row>
    <row r="985" ht="15" customHeight="1">
      <c r="A985" t="inlineStr">
        <is>
          <t>A 14495-2026</t>
        </is>
      </c>
      <c r="B985" s="1" t="n">
        <v>46100</v>
      </c>
      <c r="C985" s="1" t="n">
        <v>46204</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51661-2024</t>
        </is>
      </c>
      <c r="B986" s="1" t="n">
        <v>45606</v>
      </c>
      <c r="C986" s="1" t="n">
        <v>46204</v>
      </c>
      <c r="D986" t="inlineStr">
        <is>
          <t>VÄRMLANDS LÄN</t>
        </is>
      </c>
      <c r="E986" t="inlineStr">
        <is>
          <t>TORSBY</t>
        </is>
      </c>
      <c r="G986" t="n">
        <v>6.9</v>
      </c>
      <c r="H986" t="n">
        <v>0</v>
      </c>
      <c r="I986" t="n">
        <v>0</v>
      </c>
      <c r="J986" t="n">
        <v>0</v>
      </c>
      <c r="K986" t="n">
        <v>0</v>
      </c>
      <c r="L986" t="n">
        <v>0</v>
      </c>
      <c r="M986" t="n">
        <v>0</v>
      </c>
      <c r="N986" t="n">
        <v>0</v>
      </c>
      <c r="O986" t="n">
        <v>0</v>
      </c>
      <c r="P986" t="n">
        <v>0</v>
      </c>
      <c r="Q986" t="n">
        <v>0</v>
      </c>
      <c r="R986" s="2" t="inlineStr"/>
    </row>
    <row r="987" ht="15" customHeight="1">
      <c r="A987" t="inlineStr">
        <is>
          <t>A 51663-2024</t>
        </is>
      </c>
      <c r="B987" s="1" t="n">
        <v>45606</v>
      </c>
      <c r="C987" s="1" t="n">
        <v>46204</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53493-2025</t>
        </is>
      </c>
      <c r="B988" s="1" t="n">
        <v>45960</v>
      </c>
      <c r="C988" s="1" t="n">
        <v>46204</v>
      </c>
      <c r="D988" t="inlineStr">
        <is>
          <t>VÄRMLANDS LÄN</t>
        </is>
      </c>
      <c r="E988" t="inlineStr">
        <is>
          <t>TORSBY</t>
        </is>
      </c>
      <c r="F988" t="inlineStr">
        <is>
          <t>Bergvik skog väst AB</t>
        </is>
      </c>
      <c r="G988" t="n">
        <v>5.6</v>
      </c>
      <c r="H988" t="n">
        <v>0</v>
      </c>
      <c r="I988" t="n">
        <v>0</v>
      </c>
      <c r="J988" t="n">
        <v>0</v>
      </c>
      <c r="K988" t="n">
        <v>0</v>
      </c>
      <c r="L988" t="n">
        <v>0</v>
      </c>
      <c r="M988" t="n">
        <v>0</v>
      </c>
      <c r="N988" t="n">
        <v>0</v>
      </c>
      <c r="O988" t="n">
        <v>0</v>
      </c>
      <c r="P988" t="n">
        <v>0</v>
      </c>
      <c r="Q988" t="n">
        <v>0</v>
      </c>
      <c r="R988" s="2" t="inlineStr"/>
    </row>
    <row r="989" ht="15" customHeight="1">
      <c r="A989" t="inlineStr">
        <is>
          <t>A 53677-2025</t>
        </is>
      </c>
      <c r="B989" s="1" t="n">
        <v>45960</v>
      </c>
      <c r="C989" s="1" t="n">
        <v>46204</v>
      </c>
      <c r="D989" t="inlineStr">
        <is>
          <t>VÄRMLANDS LÄN</t>
        </is>
      </c>
      <c r="E989" t="inlineStr">
        <is>
          <t>TORSBY</t>
        </is>
      </c>
      <c r="F989" t="inlineStr">
        <is>
          <t>Bergvik skog väst AB</t>
        </is>
      </c>
      <c r="G989" t="n">
        <v>9</v>
      </c>
      <c r="H989" t="n">
        <v>0</v>
      </c>
      <c r="I989" t="n">
        <v>0</v>
      </c>
      <c r="J989" t="n">
        <v>0</v>
      </c>
      <c r="K989" t="n">
        <v>0</v>
      </c>
      <c r="L989" t="n">
        <v>0</v>
      </c>
      <c r="M989" t="n">
        <v>0</v>
      </c>
      <c r="N989" t="n">
        <v>0</v>
      </c>
      <c r="O989" t="n">
        <v>0</v>
      </c>
      <c r="P989" t="n">
        <v>0</v>
      </c>
      <c r="Q989" t="n">
        <v>0</v>
      </c>
      <c r="R989" s="2" t="inlineStr"/>
    </row>
    <row r="990" ht="15" customHeight="1">
      <c r="A990" t="inlineStr">
        <is>
          <t>A 3098-2023</t>
        </is>
      </c>
      <c r="B990" s="1" t="n">
        <v>44946</v>
      </c>
      <c r="C990" s="1" t="n">
        <v>46204</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3103-2023</t>
        </is>
      </c>
      <c r="B991" s="1" t="n">
        <v>44946</v>
      </c>
      <c r="C991" s="1" t="n">
        <v>46204</v>
      </c>
      <c r="D991" t="inlineStr">
        <is>
          <t>VÄRMLANDS LÄN</t>
        </is>
      </c>
      <c r="E991" t="inlineStr">
        <is>
          <t>TORSBY</t>
        </is>
      </c>
      <c r="G991" t="n">
        <v>1.4</v>
      </c>
      <c r="H991" t="n">
        <v>0</v>
      </c>
      <c r="I991" t="n">
        <v>0</v>
      </c>
      <c r="J991" t="n">
        <v>0</v>
      </c>
      <c r="K991" t="n">
        <v>0</v>
      </c>
      <c r="L991" t="n">
        <v>0</v>
      </c>
      <c r="M991" t="n">
        <v>0</v>
      </c>
      <c r="N991" t="n">
        <v>0</v>
      </c>
      <c r="O991" t="n">
        <v>0</v>
      </c>
      <c r="P991" t="n">
        <v>0</v>
      </c>
      <c r="Q991" t="n">
        <v>0</v>
      </c>
      <c r="R991" s="2" t="inlineStr"/>
    </row>
    <row r="992" ht="15" customHeight="1">
      <c r="A992" t="inlineStr">
        <is>
          <t>A 53763-2025</t>
        </is>
      </c>
      <c r="B992" s="1" t="n">
        <v>45960</v>
      </c>
      <c r="C992" s="1" t="n">
        <v>46204</v>
      </c>
      <c r="D992" t="inlineStr">
        <is>
          <t>VÄRMLANDS LÄN</t>
        </is>
      </c>
      <c r="E992" t="inlineStr">
        <is>
          <t>TORSBY</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54101-2025</t>
        </is>
      </c>
      <c r="B993" s="1" t="n">
        <v>45964</v>
      </c>
      <c r="C993" s="1" t="n">
        <v>46204</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54079-2025</t>
        </is>
      </c>
      <c r="B994" s="1" t="n">
        <v>45964</v>
      </c>
      <c r="C994" s="1" t="n">
        <v>46204</v>
      </c>
      <c r="D994" t="inlineStr">
        <is>
          <t>VÄRMLANDS LÄN</t>
        </is>
      </c>
      <c r="E994" t="inlineStr">
        <is>
          <t>TORSBY</t>
        </is>
      </c>
      <c r="G994" t="n">
        <v>2.8</v>
      </c>
      <c r="H994" t="n">
        <v>0</v>
      </c>
      <c r="I994" t="n">
        <v>0</v>
      </c>
      <c r="J994" t="n">
        <v>0</v>
      </c>
      <c r="K994" t="n">
        <v>0</v>
      </c>
      <c r="L994" t="n">
        <v>0</v>
      </c>
      <c r="M994" t="n">
        <v>0</v>
      </c>
      <c r="N994" t="n">
        <v>0</v>
      </c>
      <c r="O994" t="n">
        <v>0</v>
      </c>
      <c r="P994" t="n">
        <v>0</v>
      </c>
      <c r="Q994" t="n">
        <v>0</v>
      </c>
      <c r="R994" s="2" t="inlineStr"/>
    </row>
    <row r="995" ht="15" customHeight="1">
      <c r="A995" t="inlineStr">
        <is>
          <t>A 54091-2025</t>
        </is>
      </c>
      <c r="B995" s="1" t="n">
        <v>45964</v>
      </c>
      <c r="C995" s="1" t="n">
        <v>46204</v>
      </c>
      <c r="D995" t="inlineStr">
        <is>
          <t>VÄRMLANDS LÄN</t>
        </is>
      </c>
      <c r="E995" t="inlineStr">
        <is>
          <t>TORSBY</t>
        </is>
      </c>
      <c r="G995" t="n">
        <v>4.1</v>
      </c>
      <c r="H995" t="n">
        <v>0</v>
      </c>
      <c r="I995" t="n">
        <v>0</v>
      </c>
      <c r="J995" t="n">
        <v>0</v>
      </c>
      <c r="K995" t="n">
        <v>0</v>
      </c>
      <c r="L995" t="n">
        <v>0</v>
      </c>
      <c r="M995" t="n">
        <v>0</v>
      </c>
      <c r="N995" t="n">
        <v>0</v>
      </c>
      <c r="O995" t="n">
        <v>0</v>
      </c>
      <c r="P995" t="n">
        <v>0</v>
      </c>
      <c r="Q995" t="n">
        <v>0</v>
      </c>
      <c r="R995" s="2" t="inlineStr"/>
    </row>
    <row r="996" ht="15" customHeight="1">
      <c r="A996" t="inlineStr">
        <is>
          <t>A 54071-2025</t>
        </is>
      </c>
      <c r="B996" s="1" t="n">
        <v>45962</v>
      </c>
      <c r="C996" s="1" t="n">
        <v>46204</v>
      </c>
      <c r="D996" t="inlineStr">
        <is>
          <t>VÄRMLANDS LÄN</t>
        </is>
      </c>
      <c r="E996" t="inlineStr">
        <is>
          <t>TORSBY</t>
        </is>
      </c>
      <c r="F996" t="inlineStr">
        <is>
          <t>Övriga Aktiebolag</t>
        </is>
      </c>
      <c r="G996" t="n">
        <v>1</v>
      </c>
      <c r="H996" t="n">
        <v>0</v>
      </c>
      <c r="I996" t="n">
        <v>0</v>
      </c>
      <c r="J996" t="n">
        <v>0</v>
      </c>
      <c r="K996" t="n">
        <v>0</v>
      </c>
      <c r="L996" t="n">
        <v>0</v>
      </c>
      <c r="M996" t="n">
        <v>0</v>
      </c>
      <c r="N996" t="n">
        <v>0</v>
      </c>
      <c r="O996" t="n">
        <v>0</v>
      </c>
      <c r="P996" t="n">
        <v>0</v>
      </c>
      <c r="Q996" t="n">
        <v>0</v>
      </c>
      <c r="R996" s="2" t="inlineStr"/>
    </row>
    <row r="997" ht="15" customHeight="1">
      <c r="A997" t="inlineStr">
        <is>
          <t>A 54168-2025</t>
        </is>
      </c>
      <c r="B997" s="1" t="n">
        <v>45964</v>
      </c>
      <c r="C997" s="1" t="n">
        <v>46204</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54762-2025</t>
        </is>
      </c>
      <c r="B998" s="1" t="n">
        <v>45966</v>
      </c>
      <c r="C998" s="1" t="n">
        <v>46204</v>
      </c>
      <c r="D998" t="inlineStr">
        <is>
          <t>VÄRMLANDS LÄN</t>
        </is>
      </c>
      <c r="E998" t="inlineStr">
        <is>
          <t>TORSBY</t>
        </is>
      </c>
      <c r="G998" t="n">
        <v>2</v>
      </c>
      <c r="H998" t="n">
        <v>0</v>
      </c>
      <c r="I998" t="n">
        <v>0</v>
      </c>
      <c r="J998" t="n">
        <v>0</v>
      </c>
      <c r="K998" t="n">
        <v>0</v>
      </c>
      <c r="L998" t="n">
        <v>0</v>
      </c>
      <c r="M998" t="n">
        <v>0</v>
      </c>
      <c r="N998" t="n">
        <v>0</v>
      </c>
      <c r="O998" t="n">
        <v>0</v>
      </c>
      <c r="P998" t="n">
        <v>0</v>
      </c>
      <c r="Q998" t="n">
        <v>0</v>
      </c>
      <c r="R998" s="2" t="inlineStr"/>
    </row>
    <row r="999" ht="15" customHeight="1">
      <c r="A999" t="inlineStr">
        <is>
          <t>A 55071-2025</t>
        </is>
      </c>
      <c r="B999" s="1" t="n">
        <v>45967</v>
      </c>
      <c r="C999" s="1" t="n">
        <v>46204</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53714-2025</t>
        </is>
      </c>
      <c r="B1000" s="1" t="n">
        <v>45960</v>
      </c>
      <c r="C1000" s="1" t="n">
        <v>46204</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20737-2023</t>
        </is>
      </c>
      <c r="B1001" s="1" t="n">
        <v>45058</v>
      </c>
      <c r="C1001" s="1" t="n">
        <v>46204</v>
      </c>
      <c r="D1001" t="inlineStr">
        <is>
          <t>VÄRMLANDS LÄN</t>
        </is>
      </c>
      <c r="E1001" t="inlineStr">
        <is>
          <t>TORSBY</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62250-2023</t>
        </is>
      </c>
      <c r="B1002" s="1" t="n">
        <v>45266</v>
      </c>
      <c r="C1002" s="1" t="n">
        <v>46204</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54784-2025</t>
        </is>
      </c>
      <c r="B1003" s="1" t="n">
        <v>45966</v>
      </c>
      <c r="C1003" s="1" t="n">
        <v>46204</v>
      </c>
      <c r="D1003" t="inlineStr">
        <is>
          <t>VÄRMLANDS LÄN</t>
        </is>
      </c>
      <c r="E1003" t="inlineStr">
        <is>
          <t>TORSBY</t>
        </is>
      </c>
      <c r="F1003" t="inlineStr">
        <is>
          <t>Bergvik skog väst AB</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8428-2025</t>
        </is>
      </c>
      <c r="B1004" s="1" t="n">
        <v>45709</v>
      </c>
      <c r="C1004" s="1" t="n">
        <v>46204</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51644-2025</t>
        </is>
      </c>
      <c r="B1005" s="1" t="n">
        <v>45951</v>
      </c>
      <c r="C1005" s="1" t="n">
        <v>46204</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15664-2026</t>
        </is>
      </c>
      <c r="B1006" s="1" t="n">
        <v>46106</v>
      </c>
      <c r="C1006" s="1" t="n">
        <v>46204</v>
      </c>
      <c r="D1006" t="inlineStr">
        <is>
          <t>VÄRMLANDS LÄN</t>
        </is>
      </c>
      <c r="E1006" t="inlineStr">
        <is>
          <t>TORSBY</t>
        </is>
      </c>
      <c r="F1006" t="inlineStr">
        <is>
          <t>Bergvik skog väst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32496-2022</t>
        </is>
      </c>
      <c r="B1007" s="1" t="n">
        <v>44782</v>
      </c>
      <c r="C1007" s="1" t="n">
        <v>46204</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15451-2026</t>
        </is>
      </c>
      <c r="B1008" s="1" t="n">
        <v>46106</v>
      </c>
      <c r="C1008" s="1" t="n">
        <v>46204</v>
      </c>
      <c r="D1008" t="inlineStr">
        <is>
          <t>VÄRMLANDS LÄN</t>
        </is>
      </c>
      <c r="E1008" t="inlineStr">
        <is>
          <t>TORSBY</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54996-2025</t>
        </is>
      </c>
      <c r="B1009" s="1" t="n">
        <v>45967</v>
      </c>
      <c r="C1009" s="1" t="n">
        <v>46204</v>
      </c>
      <c r="D1009" t="inlineStr">
        <is>
          <t>VÄRMLANDS LÄN</t>
        </is>
      </c>
      <c r="E1009" t="inlineStr">
        <is>
          <t>TORSBY</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52357-2025</t>
        </is>
      </c>
      <c r="B1010" s="1" t="n">
        <v>45952</v>
      </c>
      <c r="C1010" s="1" t="n">
        <v>46204</v>
      </c>
      <c r="D1010" t="inlineStr">
        <is>
          <t>VÄRMLANDS LÄN</t>
        </is>
      </c>
      <c r="E1010" t="inlineStr">
        <is>
          <t>TORSBY</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52362-2025</t>
        </is>
      </c>
      <c r="B1011" s="1" t="n">
        <v>45952</v>
      </c>
      <c r="C1011" s="1" t="n">
        <v>46204</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56170-2023</t>
        </is>
      </c>
      <c r="B1012" s="1" t="n">
        <v>45240</v>
      </c>
      <c r="C1012" s="1" t="n">
        <v>46204</v>
      </c>
      <c r="D1012" t="inlineStr">
        <is>
          <t>VÄRMLANDS LÄN</t>
        </is>
      </c>
      <c r="E1012" t="inlineStr">
        <is>
          <t>TORSBY</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47241-2023</t>
        </is>
      </c>
      <c r="B1013" s="1" t="n">
        <v>45202</v>
      </c>
      <c r="C1013" s="1" t="n">
        <v>46204</v>
      </c>
      <c r="D1013" t="inlineStr">
        <is>
          <t>VÄRMLANDS LÄN</t>
        </is>
      </c>
      <c r="E1013" t="inlineStr">
        <is>
          <t>TORSBY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55811-2021</t>
        </is>
      </c>
      <c r="B1014" s="1" t="n">
        <v>44476</v>
      </c>
      <c r="C1014" s="1" t="n">
        <v>46204</v>
      </c>
      <c r="D1014" t="inlineStr">
        <is>
          <t>VÄRMLANDS LÄN</t>
        </is>
      </c>
      <c r="E1014" t="inlineStr">
        <is>
          <t>TORSBY</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55177-2025</t>
        </is>
      </c>
      <c r="B1015" s="1" t="n">
        <v>45968</v>
      </c>
      <c r="C1015" s="1" t="n">
        <v>46204</v>
      </c>
      <c r="D1015" t="inlineStr">
        <is>
          <t>VÄRMLANDS LÄN</t>
        </is>
      </c>
      <c r="E1015" t="inlineStr">
        <is>
          <t>TORSBY</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15611-2026</t>
        </is>
      </c>
      <c r="B1016" s="1" t="n">
        <v>46106</v>
      </c>
      <c r="C1016" s="1" t="n">
        <v>46204</v>
      </c>
      <c r="D1016" t="inlineStr">
        <is>
          <t>VÄRMLANDS LÄN</t>
        </is>
      </c>
      <c r="E1016" t="inlineStr">
        <is>
          <t>TORSBY</t>
        </is>
      </c>
      <c r="F1016" t="inlineStr">
        <is>
          <t>Bergvik skog väst AB</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57980-2023</t>
        </is>
      </c>
      <c r="B1017" s="1" t="n">
        <v>45247</v>
      </c>
      <c r="C1017" s="1" t="n">
        <v>46204</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25090-2023</t>
        </is>
      </c>
      <c r="B1018" s="1" t="n">
        <v>45086</v>
      </c>
      <c r="C1018" s="1" t="n">
        <v>46204</v>
      </c>
      <c r="D1018" t="inlineStr">
        <is>
          <t>VÄRMLANDS LÄN</t>
        </is>
      </c>
      <c r="E1018" t="inlineStr">
        <is>
          <t>TORSBY</t>
        </is>
      </c>
      <c r="F1018" t="inlineStr">
        <is>
          <t>Bergvik skog väst AB</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15662-2026</t>
        </is>
      </c>
      <c r="B1019" s="1" t="n">
        <v>46106</v>
      </c>
      <c r="C1019" s="1" t="n">
        <v>46204</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55622-2025</t>
        </is>
      </c>
      <c r="B1020" s="1" t="n">
        <v>45971</v>
      </c>
      <c r="C1020" s="1" t="n">
        <v>46204</v>
      </c>
      <c r="D1020" t="inlineStr">
        <is>
          <t>VÄRMLANDS LÄN</t>
        </is>
      </c>
      <c r="E1020" t="inlineStr">
        <is>
          <t>TORSBY</t>
        </is>
      </c>
      <c r="F1020" t="inlineStr">
        <is>
          <t>Kyrkan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15315-2024</t>
        </is>
      </c>
      <c r="B1021" s="1" t="n">
        <v>45400</v>
      </c>
      <c r="C1021" s="1" t="n">
        <v>46204</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15477-2026</t>
        </is>
      </c>
      <c r="B1022" s="1" t="n">
        <v>46106</v>
      </c>
      <c r="C1022" s="1" t="n">
        <v>46204</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36850-2024</t>
        </is>
      </c>
      <c r="B1023" s="1" t="n">
        <v>45538</v>
      </c>
      <c r="C1023" s="1" t="n">
        <v>46204</v>
      </c>
      <c r="D1023" t="inlineStr">
        <is>
          <t>VÄRMLANDS LÄN</t>
        </is>
      </c>
      <c r="E1023" t="inlineStr">
        <is>
          <t>TORSBY</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54076-2025</t>
        </is>
      </c>
      <c r="B1024" s="1" t="n">
        <v>45964</v>
      </c>
      <c r="C1024" s="1" t="n">
        <v>46204</v>
      </c>
      <c r="D1024" t="inlineStr">
        <is>
          <t>VÄRMLANDS LÄN</t>
        </is>
      </c>
      <c r="E1024" t="inlineStr">
        <is>
          <t>TORSBY</t>
        </is>
      </c>
      <c r="F1024" t="inlineStr">
        <is>
          <t>Övriga statliga verk och myndigheter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55953-2025</t>
        </is>
      </c>
      <c r="B1025" s="1" t="n">
        <v>45973</v>
      </c>
      <c r="C1025" s="1" t="n">
        <v>46204</v>
      </c>
      <c r="D1025" t="inlineStr">
        <is>
          <t>VÄRMLANDS LÄN</t>
        </is>
      </c>
      <c r="E1025" t="inlineStr">
        <is>
          <t>TORSBY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55958-2025</t>
        </is>
      </c>
      <c r="B1026" s="1" t="n">
        <v>45973</v>
      </c>
      <c r="C1026" s="1" t="n">
        <v>46204</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55938-2025</t>
        </is>
      </c>
      <c r="B1027" s="1" t="n">
        <v>45973</v>
      </c>
      <c r="C1027" s="1" t="n">
        <v>46204</v>
      </c>
      <c r="D1027" t="inlineStr">
        <is>
          <t>VÄRMLANDS LÄN</t>
        </is>
      </c>
      <c r="E1027" t="inlineStr">
        <is>
          <t>TORSBY</t>
        </is>
      </c>
      <c r="F1027" t="inlineStr">
        <is>
          <t>Bergvik skog väst AB</t>
        </is>
      </c>
      <c r="G1027" t="n">
        <v>21.2</v>
      </c>
      <c r="H1027" t="n">
        <v>0</v>
      </c>
      <c r="I1027" t="n">
        <v>0</v>
      </c>
      <c r="J1027" t="n">
        <v>0</v>
      </c>
      <c r="K1027" t="n">
        <v>0</v>
      </c>
      <c r="L1027" t="n">
        <v>0</v>
      </c>
      <c r="M1027" t="n">
        <v>0</v>
      </c>
      <c r="N1027" t="n">
        <v>0</v>
      </c>
      <c r="O1027" t="n">
        <v>0</v>
      </c>
      <c r="P1027" t="n">
        <v>0</v>
      </c>
      <c r="Q1027" t="n">
        <v>0</v>
      </c>
      <c r="R1027" s="2" t="inlineStr"/>
    </row>
    <row r="1028" ht="15" customHeight="1">
      <c r="A1028" t="inlineStr">
        <is>
          <t>A 56033-2025</t>
        </is>
      </c>
      <c r="B1028" s="1" t="n">
        <v>45973</v>
      </c>
      <c r="C1028" s="1" t="n">
        <v>46204</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56052-2025</t>
        </is>
      </c>
      <c r="B1029" s="1" t="n">
        <v>45973</v>
      </c>
      <c r="C1029" s="1" t="n">
        <v>46204</v>
      </c>
      <c r="D1029" t="inlineStr">
        <is>
          <t>VÄRMLANDS LÄN</t>
        </is>
      </c>
      <c r="E1029" t="inlineStr">
        <is>
          <t>TORSBY</t>
        </is>
      </c>
      <c r="F1029" t="inlineStr">
        <is>
          <t>Bergvik skog väst AB</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15596-2026</t>
        </is>
      </c>
      <c r="B1030" s="1" t="n">
        <v>46106</v>
      </c>
      <c r="C1030" s="1" t="n">
        <v>46204</v>
      </c>
      <c r="D1030" t="inlineStr">
        <is>
          <t>VÄRMLANDS LÄN</t>
        </is>
      </c>
      <c r="E1030" t="inlineStr">
        <is>
          <t>TORSBY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56130-2025</t>
        </is>
      </c>
      <c r="B1031" s="1" t="n">
        <v>45973</v>
      </c>
      <c r="C1031" s="1" t="n">
        <v>46204</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55863-2025</t>
        </is>
      </c>
      <c r="B1032" s="1" t="n">
        <v>45973</v>
      </c>
      <c r="C1032" s="1" t="n">
        <v>46204</v>
      </c>
      <c r="D1032" t="inlineStr">
        <is>
          <t>VÄRMLANDS LÄN</t>
        </is>
      </c>
      <c r="E1032" t="inlineStr">
        <is>
          <t>TORSBY</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15119-2026</t>
        </is>
      </c>
      <c r="B1033" s="1" t="n">
        <v>46105</v>
      </c>
      <c r="C1033" s="1" t="n">
        <v>46204</v>
      </c>
      <c r="D1033" t="inlineStr">
        <is>
          <t>VÄRMLANDS LÄN</t>
        </is>
      </c>
      <c r="E1033" t="inlineStr">
        <is>
          <t>TORSBY</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15154-2026</t>
        </is>
      </c>
      <c r="B1034" s="1" t="n">
        <v>46105</v>
      </c>
      <c r="C1034" s="1" t="n">
        <v>46204</v>
      </c>
      <c r="D1034" t="inlineStr">
        <is>
          <t>VÄRMLANDS LÄN</t>
        </is>
      </c>
      <c r="E1034" t="inlineStr">
        <is>
          <t>TORSBY</t>
        </is>
      </c>
      <c r="F1034" t="inlineStr">
        <is>
          <t>Bergvik skog väst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11259-2024</t>
        </is>
      </c>
      <c r="B1035" s="1" t="n">
        <v>45371</v>
      </c>
      <c r="C1035" s="1" t="n">
        <v>46204</v>
      </c>
      <c r="D1035" t="inlineStr">
        <is>
          <t>VÄRMLANDS LÄN</t>
        </is>
      </c>
      <c r="E1035" t="inlineStr">
        <is>
          <t>TORSBY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56187-2025</t>
        </is>
      </c>
      <c r="B1036" s="1" t="n">
        <v>45974</v>
      </c>
      <c r="C1036" s="1" t="n">
        <v>46204</v>
      </c>
      <c r="D1036" t="inlineStr">
        <is>
          <t>VÄRMLANDS LÄN</t>
        </is>
      </c>
      <c r="E1036" t="inlineStr">
        <is>
          <t>TORSBY</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56186-2025</t>
        </is>
      </c>
      <c r="B1037" s="1" t="n">
        <v>45974</v>
      </c>
      <c r="C1037" s="1" t="n">
        <v>46204</v>
      </c>
      <c r="D1037" t="inlineStr">
        <is>
          <t>VÄRMLANDS LÄN</t>
        </is>
      </c>
      <c r="E1037" t="inlineStr">
        <is>
          <t>TORSBY</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34405-2023</t>
        </is>
      </c>
      <c r="B1038" s="1" t="n">
        <v>45139</v>
      </c>
      <c r="C1038" s="1" t="n">
        <v>46204</v>
      </c>
      <c r="D1038" t="inlineStr">
        <is>
          <t>VÄRMLANDS LÄN</t>
        </is>
      </c>
      <c r="E1038" t="inlineStr">
        <is>
          <t>TORSBY</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56263-2025</t>
        </is>
      </c>
      <c r="B1039" s="1" t="n">
        <v>45974</v>
      </c>
      <c r="C1039" s="1" t="n">
        <v>46204</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60383-2024</t>
        </is>
      </c>
      <c r="B1040" s="1" t="n">
        <v>45643</v>
      </c>
      <c r="C1040" s="1" t="n">
        <v>46204</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15363-2026</t>
        </is>
      </c>
      <c r="B1041" s="1" t="n">
        <v>46105</v>
      </c>
      <c r="C1041" s="1" t="n">
        <v>46204</v>
      </c>
      <c r="D1041" t="inlineStr">
        <is>
          <t>VÄRMLANDS LÄN</t>
        </is>
      </c>
      <c r="E1041" t="inlineStr">
        <is>
          <t>TORSBY</t>
        </is>
      </c>
      <c r="F1041" t="inlineStr">
        <is>
          <t>Bergvik skog väst AB</t>
        </is>
      </c>
      <c r="G1041" t="n">
        <v>25.8</v>
      </c>
      <c r="H1041" t="n">
        <v>0</v>
      </c>
      <c r="I1041" t="n">
        <v>0</v>
      </c>
      <c r="J1041" t="n">
        <v>0</v>
      </c>
      <c r="K1041" t="n">
        <v>0</v>
      </c>
      <c r="L1041" t="n">
        <v>0</v>
      </c>
      <c r="M1041" t="n">
        <v>0</v>
      </c>
      <c r="N1041" t="n">
        <v>0</v>
      </c>
      <c r="O1041" t="n">
        <v>0</v>
      </c>
      <c r="P1041" t="n">
        <v>0</v>
      </c>
      <c r="Q1041" t="n">
        <v>0</v>
      </c>
      <c r="R1041" s="2" t="inlineStr"/>
    </row>
    <row r="1042" ht="15" customHeight="1">
      <c r="A1042" t="inlineStr">
        <is>
          <t>A 56258-2025</t>
        </is>
      </c>
      <c r="B1042" s="1" t="n">
        <v>45974</v>
      </c>
      <c r="C1042" s="1" t="n">
        <v>46204</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17065-2025</t>
        </is>
      </c>
      <c r="B1043" s="1" t="n">
        <v>45754</v>
      </c>
      <c r="C1043" s="1" t="n">
        <v>46204</v>
      </c>
      <c r="D1043" t="inlineStr">
        <is>
          <t>VÄRMLANDS LÄN</t>
        </is>
      </c>
      <c r="E1043" t="inlineStr">
        <is>
          <t>TORSBY</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57647-2023</t>
        </is>
      </c>
      <c r="B1044" s="1" t="n">
        <v>45246</v>
      </c>
      <c r="C1044" s="1" t="n">
        <v>46204</v>
      </c>
      <c r="D1044" t="inlineStr">
        <is>
          <t>VÄRMLANDS LÄN</t>
        </is>
      </c>
      <c r="E1044" t="inlineStr">
        <is>
          <t>TORSBY</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21089-2022</t>
        </is>
      </c>
      <c r="B1045" s="1" t="n">
        <v>44704</v>
      </c>
      <c r="C1045" s="1" t="n">
        <v>46204</v>
      </c>
      <c r="D1045" t="inlineStr">
        <is>
          <t>VÄRMLANDS LÄN</t>
        </is>
      </c>
      <c r="E1045" t="inlineStr">
        <is>
          <t>TORSBY</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56786-2025</t>
        </is>
      </c>
      <c r="B1046" s="1" t="n">
        <v>45978</v>
      </c>
      <c r="C1046" s="1" t="n">
        <v>46204</v>
      </c>
      <c r="D1046" t="inlineStr">
        <is>
          <t>VÄRMLANDS LÄN</t>
        </is>
      </c>
      <c r="E1046" t="inlineStr">
        <is>
          <t>TORSBY</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53331-2024</t>
        </is>
      </c>
      <c r="B1047" s="1" t="n">
        <v>45614</v>
      </c>
      <c r="C1047" s="1" t="n">
        <v>46204</v>
      </c>
      <c r="D1047" t="inlineStr">
        <is>
          <t>VÄRMLANDS LÄN</t>
        </is>
      </c>
      <c r="E1047" t="inlineStr">
        <is>
          <t>TORSBY</t>
        </is>
      </c>
      <c r="F1047" t="inlineStr">
        <is>
          <t>Bergvik skog väst AB</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57137-2025</t>
        </is>
      </c>
      <c r="B1048" s="1" t="n">
        <v>45979</v>
      </c>
      <c r="C1048" s="1" t="n">
        <v>46204</v>
      </c>
      <c r="D1048" t="inlineStr">
        <is>
          <t>VÄRMLANDS LÄN</t>
        </is>
      </c>
      <c r="E1048" t="inlineStr">
        <is>
          <t>TORSBY</t>
        </is>
      </c>
      <c r="F1048" t="inlineStr">
        <is>
          <t>Övriga statliga verk och myndigheter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15894-2026</t>
        </is>
      </c>
      <c r="B1049" s="1" t="n">
        <v>46107</v>
      </c>
      <c r="C1049" s="1" t="n">
        <v>46204</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56761-2025</t>
        </is>
      </c>
      <c r="B1050" s="1" t="n">
        <v>45978</v>
      </c>
      <c r="C1050" s="1" t="n">
        <v>46204</v>
      </c>
      <c r="D1050" t="inlineStr">
        <is>
          <t>VÄRMLANDS LÄN</t>
        </is>
      </c>
      <c r="E1050" t="inlineStr">
        <is>
          <t>TORSBY</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56772-2025</t>
        </is>
      </c>
      <c r="B1051" s="1" t="n">
        <v>45978</v>
      </c>
      <c r="C1051" s="1" t="n">
        <v>46204</v>
      </c>
      <c r="D1051" t="inlineStr">
        <is>
          <t>VÄRMLANDS LÄN</t>
        </is>
      </c>
      <c r="E1051" t="inlineStr">
        <is>
          <t>TORSBY</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56778-2025</t>
        </is>
      </c>
      <c r="B1052" s="1" t="n">
        <v>45978</v>
      </c>
      <c r="C1052" s="1" t="n">
        <v>46204</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15907-2026</t>
        </is>
      </c>
      <c r="B1053" s="1" t="n">
        <v>46107</v>
      </c>
      <c r="C1053" s="1" t="n">
        <v>46204</v>
      </c>
      <c r="D1053" t="inlineStr">
        <is>
          <t>VÄRMLANDS LÄN</t>
        </is>
      </c>
      <c r="E1053" t="inlineStr">
        <is>
          <t>TORSBY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15909-2026</t>
        </is>
      </c>
      <c r="B1054" s="1" t="n">
        <v>46107</v>
      </c>
      <c r="C1054" s="1" t="n">
        <v>46204</v>
      </c>
      <c r="D1054" t="inlineStr">
        <is>
          <t>VÄRMLANDS LÄN</t>
        </is>
      </c>
      <c r="E1054" t="inlineStr">
        <is>
          <t>TORSBY</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16591-2024</t>
        </is>
      </c>
      <c r="B1055" s="1" t="n">
        <v>45408</v>
      </c>
      <c r="C1055" s="1" t="n">
        <v>46204</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56848-2025</t>
        </is>
      </c>
      <c r="B1056" s="1" t="n">
        <v>45978</v>
      </c>
      <c r="C1056" s="1" t="n">
        <v>46204</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16108-2026</t>
        </is>
      </c>
      <c r="B1057" s="1" t="n">
        <v>46108</v>
      </c>
      <c r="C1057" s="1" t="n">
        <v>46204</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16111-2026</t>
        </is>
      </c>
      <c r="B1058" s="1" t="n">
        <v>46108</v>
      </c>
      <c r="C1058" s="1" t="n">
        <v>46204</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56021-2023</t>
        </is>
      </c>
      <c r="B1059" s="1" t="n">
        <v>45240</v>
      </c>
      <c r="C1059" s="1" t="n">
        <v>46204</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56784-2025</t>
        </is>
      </c>
      <c r="B1060" s="1" t="n">
        <v>45978</v>
      </c>
      <c r="C1060" s="1" t="n">
        <v>46204</v>
      </c>
      <c r="D1060" t="inlineStr">
        <is>
          <t>VÄRMLANDS LÄN</t>
        </is>
      </c>
      <c r="E1060" t="inlineStr">
        <is>
          <t>TORSBY</t>
        </is>
      </c>
      <c r="F1060" t="inlineStr">
        <is>
          <t>Bergvik skog väst AB</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56785-2025</t>
        </is>
      </c>
      <c r="B1061" s="1" t="n">
        <v>45978</v>
      </c>
      <c r="C1061" s="1" t="n">
        <v>46204</v>
      </c>
      <c r="D1061" t="inlineStr">
        <is>
          <t>VÄRMLANDS LÄN</t>
        </is>
      </c>
      <c r="E1061" t="inlineStr">
        <is>
          <t>TORSBY</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32340-2024</t>
        </is>
      </c>
      <c r="B1062" s="1" t="n">
        <v>45512</v>
      </c>
      <c r="C1062" s="1" t="n">
        <v>46204</v>
      </c>
      <c r="D1062" t="inlineStr">
        <is>
          <t>VÄRMLANDS LÄN</t>
        </is>
      </c>
      <c r="E1062" t="inlineStr">
        <is>
          <t>TORSBY</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58246-2025</t>
        </is>
      </c>
      <c r="B1063" s="1" t="n">
        <v>45981</v>
      </c>
      <c r="C1063" s="1" t="n">
        <v>46204</v>
      </c>
      <c r="D1063" t="inlineStr">
        <is>
          <t>VÄRMLANDS LÄN</t>
        </is>
      </c>
      <c r="E1063" t="inlineStr">
        <is>
          <t>TORSBY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36917-2024</t>
        </is>
      </c>
      <c r="B1064" s="1" t="n">
        <v>45538</v>
      </c>
      <c r="C1064" s="1" t="n">
        <v>46204</v>
      </c>
      <c r="D1064" t="inlineStr">
        <is>
          <t>VÄRMLANDS LÄN</t>
        </is>
      </c>
      <c r="E1064" t="inlineStr">
        <is>
          <t>TORSBY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36922-2024</t>
        </is>
      </c>
      <c r="B1065" s="1" t="n">
        <v>45538</v>
      </c>
      <c r="C1065" s="1" t="n">
        <v>46204</v>
      </c>
      <c r="D1065" t="inlineStr">
        <is>
          <t>VÄRMLANDS LÄN</t>
        </is>
      </c>
      <c r="E1065" t="inlineStr">
        <is>
          <t>TORSBY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58956-2022</t>
        </is>
      </c>
      <c r="B1066" s="1" t="n">
        <v>44903</v>
      </c>
      <c r="C1066" s="1" t="n">
        <v>46204</v>
      </c>
      <c r="D1066" t="inlineStr">
        <is>
          <t>VÄRMLANDS LÄN</t>
        </is>
      </c>
      <c r="E1066" t="inlineStr">
        <is>
          <t>TORSBY</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57446-2025</t>
        </is>
      </c>
      <c r="B1067" s="1" t="n">
        <v>45980</v>
      </c>
      <c r="C1067" s="1" t="n">
        <v>46204</v>
      </c>
      <c r="D1067" t="inlineStr">
        <is>
          <t>VÄRMLANDS LÄN</t>
        </is>
      </c>
      <c r="E1067" t="inlineStr">
        <is>
          <t>TORSBY</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9203-2024</t>
        </is>
      </c>
      <c r="B1068" s="1" t="n">
        <v>45358</v>
      </c>
      <c r="C1068" s="1" t="n">
        <v>46204</v>
      </c>
      <c r="D1068" t="inlineStr">
        <is>
          <t>VÄRMLANDS LÄN</t>
        </is>
      </c>
      <c r="E1068" t="inlineStr">
        <is>
          <t>TORSBY</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27090-2024</t>
        </is>
      </c>
      <c r="B1069" s="1" t="n">
        <v>45471</v>
      </c>
      <c r="C1069" s="1" t="n">
        <v>46204</v>
      </c>
      <c r="D1069" t="inlineStr">
        <is>
          <t>VÄRMLANDS LÄN</t>
        </is>
      </c>
      <c r="E1069" t="inlineStr">
        <is>
          <t>TORSBY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16117-2026</t>
        </is>
      </c>
      <c r="B1070" s="1" t="n">
        <v>46108</v>
      </c>
      <c r="C1070" s="1" t="n">
        <v>46204</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57931-2025</t>
        </is>
      </c>
      <c r="B1071" s="1" t="n">
        <v>45981</v>
      </c>
      <c r="C1071" s="1" t="n">
        <v>46204</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53358-2024</t>
        </is>
      </c>
      <c r="B1072" s="1" t="n">
        <v>45614</v>
      </c>
      <c r="C1072" s="1" t="n">
        <v>46204</v>
      </c>
      <c r="D1072" t="inlineStr">
        <is>
          <t>VÄRMLANDS LÄN</t>
        </is>
      </c>
      <c r="E1072" t="inlineStr">
        <is>
          <t>TORSBY</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58678-2025</t>
        </is>
      </c>
      <c r="B1073" s="1" t="n">
        <v>45986</v>
      </c>
      <c r="C1073" s="1" t="n">
        <v>46204</v>
      </c>
      <c r="D1073" t="inlineStr">
        <is>
          <t>VÄRMLANDS LÄN</t>
        </is>
      </c>
      <c r="E1073" t="inlineStr">
        <is>
          <t>TORSBY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25579-2023</t>
        </is>
      </c>
      <c r="B1074" s="1" t="n">
        <v>45089</v>
      </c>
      <c r="C1074" s="1" t="n">
        <v>46204</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58625-2025</t>
        </is>
      </c>
      <c r="B1075" s="1" t="n">
        <v>45986</v>
      </c>
      <c r="C1075" s="1" t="n">
        <v>46204</v>
      </c>
      <c r="D1075" t="inlineStr">
        <is>
          <t>VÄRMLANDS LÄN</t>
        </is>
      </c>
      <c r="E1075" t="inlineStr">
        <is>
          <t>TORSBY</t>
        </is>
      </c>
      <c r="F1075" t="inlineStr">
        <is>
          <t>Kyrkan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7283-2023</t>
        </is>
      </c>
      <c r="B1076" s="1" t="n">
        <v>44970</v>
      </c>
      <c r="C1076" s="1" t="n">
        <v>46204</v>
      </c>
      <c r="D1076" t="inlineStr">
        <is>
          <t>VÄRMLANDS LÄN</t>
        </is>
      </c>
      <c r="E1076" t="inlineStr">
        <is>
          <t>TORSBY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58538-2025</t>
        </is>
      </c>
      <c r="B1077" s="1" t="n">
        <v>45985</v>
      </c>
      <c r="C1077" s="1" t="n">
        <v>46204</v>
      </c>
      <c r="D1077" t="inlineStr">
        <is>
          <t>VÄRMLANDS LÄN</t>
        </is>
      </c>
      <c r="E1077" t="inlineStr">
        <is>
          <t>TORSBY</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58864-2025</t>
        </is>
      </c>
      <c r="B1078" s="1" t="n">
        <v>45987</v>
      </c>
      <c r="C1078" s="1" t="n">
        <v>46204</v>
      </c>
      <c r="D1078" t="inlineStr">
        <is>
          <t>VÄRMLANDS LÄN</t>
        </is>
      </c>
      <c r="E1078" t="inlineStr">
        <is>
          <t>TORSBY</t>
        </is>
      </c>
      <c r="F1078" t="inlineStr">
        <is>
          <t>Kyrkan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15899-2024</t>
        </is>
      </c>
      <c r="B1079" s="1" t="n">
        <v>45405</v>
      </c>
      <c r="C1079" s="1" t="n">
        <v>46204</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16318-2026</t>
        </is>
      </c>
      <c r="B1080" s="1" t="n">
        <v>46111</v>
      </c>
      <c r="C1080" s="1" t="n">
        <v>46204</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13586-2023</t>
        </is>
      </c>
      <c r="B1081" s="1" t="n">
        <v>45006</v>
      </c>
      <c r="C1081" s="1" t="n">
        <v>46204</v>
      </c>
      <c r="D1081" t="inlineStr">
        <is>
          <t>VÄRMLANDS LÄN</t>
        </is>
      </c>
      <c r="E1081" t="inlineStr">
        <is>
          <t>TORSBY</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16408-2026</t>
        </is>
      </c>
      <c r="B1082" s="1" t="n">
        <v>46111</v>
      </c>
      <c r="C1082" s="1" t="n">
        <v>46204</v>
      </c>
      <c r="D1082" t="inlineStr">
        <is>
          <t>VÄRMLANDS LÄN</t>
        </is>
      </c>
      <c r="E1082" t="inlineStr">
        <is>
          <t>TORSBY</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62510-2023</t>
        </is>
      </c>
      <c r="B1083" s="1" t="n">
        <v>45268</v>
      </c>
      <c r="C1083" s="1" t="n">
        <v>46204</v>
      </c>
      <c r="D1083" t="inlineStr">
        <is>
          <t>VÄRMLANDS LÄN</t>
        </is>
      </c>
      <c r="E1083" t="inlineStr">
        <is>
          <t>TORSBY</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15023-2026</t>
        </is>
      </c>
      <c r="B1084" s="1" t="n">
        <v>46104</v>
      </c>
      <c r="C1084" s="1" t="n">
        <v>46204</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15083-2024</t>
        </is>
      </c>
      <c r="B1085" s="1" t="n">
        <v>45399</v>
      </c>
      <c r="C1085" s="1" t="n">
        <v>46204</v>
      </c>
      <c r="D1085" t="inlineStr">
        <is>
          <t>VÄRMLANDS LÄN</t>
        </is>
      </c>
      <c r="E1085" t="inlineStr">
        <is>
          <t>TORSBY</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59030-2025</t>
        </is>
      </c>
      <c r="B1086" s="1" t="n">
        <v>45988</v>
      </c>
      <c r="C1086" s="1" t="n">
        <v>46204</v>
      </c>
      <c r="D1086" t="inlineStr">
        <is>
          <t>VÄRMLANDS LÄN</t>
        </is>
      </c>
      <c r="E1086" t="inlineStr">
        <is>
          <t>TORSBY</t>
        </is>
      </c>
      <c r="F1086" t="inlineStr">
        <is>
          <t>Kyrkan</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41022-2023</t>
        </is>
      </c>
      <c r="B1087" s="1" t="n">
        <v>45173</v>
      </c>
      <c r="C1087" s="1" t="n">
        <v>46204</v>
      </c>
      <c r="D1087" t="inlineStr">
        <is>
          <t>VÄRMLANDS LÄN</t>
        </is>
      </c>
      <c r="E1087" t="inlineStr">
        <is>
          <t>TORSBY</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27115-2024</t>
        </is>
      </c>
      <c r="B1088" s="1" t="n">
        <v>45471</v>
      </c>
      <c r="C1088" s="1" t="n">
        <v>46204</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16452-2026</t>
        </is>
      </c>
      <c r="B1089" s="1" t="n">
        <v>46112</v>
      </c>
      <c r="C1089" s="1" t="n">
        <v>46204</v>
      </c>
      <c r="D1089" t="inlineStr">
        <is>
          <t>VÄRMLANDS LÄN</t>
        </is>
      </c>
      <c r="E1089" t="inlineStr">
        <is>
          <t>TORSBY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16679-2026</t>
        </is>
      </c>
      <c r="B1090" s="1" t="n">
        <v>46112</v>
      </c>
      <c r="C1090" s="1" t="n">
        <v>46204</v>
      </c>
      <c r="D1090" t="inlineStr">
        <is>
          <t>VÄRMLANDS LÄN</t>
        </is>
      </c>
      <c r="E1090" t="inlineStr">
        <is>
          <t>TORSBY</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16543-2026</t>
        </is>
      </c>
      <c r="B1091" s="1" t="n">
        <v>46112</v>
      </c>
      <c r="C1091" s="1" t="n">
        <v>46204</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67933-2021</t>
        </is>
      </c>
      <c r="B1092" s="1" t="n">
        <v>44525</v>
      </c>
      <c r="C1092" s="1" t="n">
        <v>46204</v>
      </c>
      <c r="D1092" t="inlineStr">
        <is>
          <t>VÄRMLANDS LÄN</t>
        </is>
      </c>
      <c r="E1092" t="inlineStr">
        <is>
          <t>TORSBY</t>
        </is>
      </c>
      <c r="F1092" t="inlineStr">
        <is>
          <t>Bergvik skog väst AB</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34164-2024</t>
        </is>
      </c>
      <c r="B1093" s="1" t="n">
        <v>45524</v>
      </c>
      <c r="C1093" s="1" t="n">
        <v>46204</v>
      </c>
      <c r="D1093" t="inlineStr">
        <is>
          <t>VÄRMLANDS LÄN</t>
        </is>
      </c>
      <c r="E1093" t="inlineStr">
        <is>
          <t>TORSBY</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59744-2025</t>
        </is>
      </c>
      <c r="B1094" s="1" t="n">
        <v>45992</v>
      </c>
      <c r="C1094" s="1" t="n">
        <v>46204</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13262-2024</t>
        </is>
      </c>
      <c r="B1095" s="1" t="n">
        <v>45386</v>
      </c>
      <c r="C1095" s="1" t="n">
        <v>46204</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3223-2025</t>
        </is>
      </c>
      <c r="B1096" s="1" t="n">
        <v>45679</v>
      </c>
      <c r="C1096" s="1" t="n">
        <v>46204</v>
      </c>
      <c r="D1096" t="inlineStr">
        <is>
          <t>VÄRMLANDS LÄN</t>
        </is>
      </c>
      <c r="E1096" t="inlineStr">
        <is>
          <t>TORSBY</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3226-2025</t>
        </is>
      </c>
      <c r="B1097" s="1" t="n">
        <v>45679</v>
      </c>
      <c r="C1097" s="1" t="n">
        <v>46204</v>
      </c>
      <c r="D1097" t="inlineStr">
        <is>
          <t>VÄRMLANDS LÄN</t>
        </is>
      </c>
      <c r="E1097" t="inlineStr">
        <is>
          <t>TORSBY</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60133-2023</t>
        </is>
      </c>
      <c r="B1098" s="1" t="n">
        <v>45258</v>
      </c>
      <c r="C1098" s="1" t="n">
        <v>46204</v>
      </c>
      <c r="D1098" t="inlineStr">
        <is>
          <t>VÄRMLANDS LÄN</t>
        </is>
      </c>
      <c r="E1098" t="inlineStr">
        <is>
          <t>TORSBY</t>
        </is>
      </c>
      <c r="F1098" t="inlineStr">
        <is>
          <t>Bergvik skog väst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7133-2023</t>
        </is>
      </c>
      <c r="B1099" s="1" t="n">
        <v>44970</v>
      </c>
      <c r="C1099" s="1" t="n">
        <v>46204</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59685-2025</t>
        </is>
      </c>
      <c r="B1100" s="1" t="n">
        <v>45992</v>
      </c>
      <c r="C1100" s="1" t="n">
        <v>46204</v>
      </c>
      <c r="D1100" t="inlineStr">
        <is>
          <t>VÄRMLANDS LÄN</t>
        </is>
      </c>
      <c r="E1100" t="inlineStr">
        <is>
          <t>TORSBY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59729-2025</t>
        </is>
      </c>
      <c r="B1101" s="1" t="n">
        <v>45992</v>
      </c>
      <c r="C1101" s="1" t="n">
        <v>46204</v>
      </c>
      <c r="D1101" t="inlineStr">
        <is>
          <t>VÄRMLANDS LÄN</t>
        </is>
      </c>
      <c r="E1101" t="inlineStr">
        <is>
          <t>TORSBY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17121-2026</t>
        </is>
      </c>
      <c r="B1102" s="1" t="n">
        <v>46114</v>
      </c>
      <c r="C1102" s="1" t="n">
        <v>46204</v>
      </c>
      <c r="D1102" t="inlineStr">
        <is>
          <t>VÄRMLANDS LÄN</t>
        </is>
      </c>
      <c r="E1102" t="inlineStr">
        <is>
          <t>TORSBY</t>
        </is>
      </c>
      <c r="F1102" t="inlineStr">
        <is>
          <t>Bergvik skog väst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57393-2022</t>
        </is>
      </c>
      <c r="B1103" s="1" t="n">
        <v>44896</v>
      </c>
      <c r="C1103" s="1" t="n">
        <v>46204</v>
      </c>
      <c r="D1103" t="inlineStr">
        <is>
          <t>VÄRMLANDS LÄN</t>
        </is>
      </c>
      <c r="E1103" t="inlineStr">
        <is>
          <t>TORSBY</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62258-2023</t>
        </is>
      </c>
      <c r="B1104" s="1" t="n">
        <v>45266</v>
      </c>
      <c r="C1104" s="1" t="n">
        <v>46204</v>
      </c>
      <c r="D1104" t="inlineStr">
        <is>
          <t>VÄRMLANDS LÄN</t>
        </is>
      </c>
      <c r="E1104" t="inlineStr">
        <is>
          <t>TORSBY</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16910-2026</t>
        </is>
      </c>
      <c r="B1105" s="1" t="n">
        <v>46113</v>
      </c>
      <c r="C1105" s="1" t="n">
        <v>46204</v>
      </c>
      <c r="D1105" t="inlineStr">
        <is>
          <t>VÄRMLANDS LÄN</t>
        </is>
      </c>
      <c r="E1105" t="inlineStr">
        <is>
          <t>TORSBY</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17097-2026</t>
        </is>
      </c>
      <c r="B1106" s="1" t="n">
        <v>46114</v>
      </c>
      <c r="C1106" s="1" t="n">
        <v>46204</v>
      </c>
      <c r="D1106" t="inlineStr">
        <is>
          <t>VÄRMLANDS LÄN</t>
        </is>
      </c>
      <c r="E1106" t="inlineStr">
        <is>
          <t>TORSBY</t>
        </is>
      </c>
      <c r="F1106" t="inlineStr">
        <is>
          <t>Bergvik skog väst AB</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16763-2026</t>
        </is>
      </c>
      <c r="B1107" s="1" t="n">
        <v>46113</v>
      </c>
      <c r="C1107" s="1" t="n">
        <v>46204</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11364-2023</t>
        </is>
      </c>
      <c r="B1108" s="1" t="n">
        <v>44993</v>
      </c>
      <c r="C1108" s="1" t="n">
        <v>46204</v>
      </c>
      <c r="D1108" t="inlineStr">
        <is>
          <t>VÄRMLANDS LÄN</t>
        </is>
      </c>
      <c r="E1108" t="inlineStr">
        <is>
          <t>TORSBY</t>
        </is>
      </c>
      <c r="G1108" t="n">
        <v>31.9</v>
      </c>
      <c r="H1108" t="n">
        <v>0</v>
      </c>
      <c r="I1108" t="n">
        <v>0</v>
      </c>
      <c r="J1108" t="n">
        <v>0</v>
      </c>
      <c r="K1108" t="n">
        <v>0</v>
      </c>
      <c r="L1108" t="n">
        <v>0</v>
      </c>
      <c r="M1108" t="n">
        <v>0</v>
      </c>
      <c r="N1108" t="n">
        <v>0</v>
      </c>
      <c r="O1108" t="n">
        <v>0</v>
      </c>
      <c r="P1108" t="n">
        <v>0</v>
      </c>
      <c r="Q1108" t="n">
        <v>0</v>
      </c>
      <c r="R1108" s="2" t="inlineStr"/>
    </row>
    <row r="1109" ht="15" customHeight="1">
      <c r="A1109" t="inlineStr">
        <is>
          <t>A 59913-2025</t>
        </is>
      </c>
      <c r="B1109" s="1" t="n">
        <v>45993</v>
      </c>
      <c r="C1109" s="1" t="n">
        <v>46204</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16867-2026</t>
        </is>
      </c>
      <c r="B1110" s="1" t="n">
        <v>46113</v>
      </c>
      <c r="C1110" s="1" t="n">
        <v>46204</v>
      </c>
      <c r="D1110" t="inlineStr">
        <is>
          <t>VÄRMLANDS LÄN</t>
        </is>
      </c>
      <c r="E1110" t="inlineStr">
        <is>
          <t>TORSBY</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60479-2025</t>
        </is>
      </c>
      <c r="B1111" s="1" t="n">
        <v>45995</v>
      </c>
      <c r="C1111" s="1" t="n">
        <v>46204</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16906-2026</t>
        </is>
      </c>
      <c r="B1112" s="1" t="n">
        <v>46113</v>
      </c>
      <c r="C1112" s="1" t="n">
        <v>46204</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16963-2026</t>
        </is>
      </c>
      <c r="B1113" s="1" t="n">
        <v>46114</v>
      </c>
      <c r="C1113" s="1" t="n">
        <v>46204</v>
      </c>
      <c r="D1113" t="inlineStr">
        <is>
          <t>VÄRMLANDS LÄN</t>
        </is>
      </c>
      <c r="E1113" t="inlineStr">
        <is>
          <t>TORSBY</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54822-2023</t>
        </is>
      </c>
      <c r="B1114" s="1" t="n">
        <v>45229</v>
      </c>
      <c r="C1114" s="1" t="n">
        <v>46204</v>
      </c>
      <c r="D1114" t="inlineStr">
        <is>
          <t>VÄRMLANDS LÄN</t>
        </is>
      </c>
      <c r="E1114" t="inlineStr">
        <is>
          <t>TORSBY</t>
        </is>
      </c>
      <c r="F1114" t="inlineStr">
        <is>
          <t>Övriga Aktiebolag</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60459-2025</t>
        </is>
      </c>
      <c r="B1115" s="1" t="n">
        <v>45995</v>
      </c>
      <c r="C1115" s="1" t="n">
        <v>46204</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60411-2025</t>
        </is>
      </c>
      <c r="B1116" s="1" t="n">
        <v>45995</v>
      </c>
      <c r="C1116" s="1" t="n">
        <v>46204</v>
      </c>
      <c r="D1116" t="inlineStr">
        <is>
          <t>VÄRMLANDS LÄN</t>
        </is>
      </c>
      <c r="E1116" t="inlineStr">
        <is>
          <t>TORSBY</t>
        </is>
      </c>
      <c r="F1116" t="inlineStr">
        <is>
          <t>Bergvik skog väst AB</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60414-2025</t>
        </is>
      </c>
      <c r="B1117" s="1" t="n">
        <v>45995</v>
      </c>
      <c r="C1117" s="1" t="n">
        <v>46204</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16919-2026</t>
        </is>
      </c>
      <c r="B1118" s="1" t="n">
        <v>46113</v>
      </c>
      <c r="C1118" s="1" t="n">
        <v>46204</v>
      </c>
      <c r="D1118" t="inlineStr">
        <is>
          <t>VÄRMLANDS LÄN</t>
        </is>
      </c>
      <c r="E1118" t="inlineStr">
        <is>
          <t>TORSBY</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60461-2025</t>
        </is>
      </c>
      <c r="B1119" s="1" t="n">
        <v>45995</v>
      </c>
      <c r="C1119" s="1" t="n">
        <v>46204</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14730-2024</t>
        </is>
      </c>
      <c r="B1120" s="1" t="n">
        <v>45397</v>
      </c>
      <c r="C1120" s="1" t="n">
        <v>46204</v>
      </c>
      <c r="D1120" t="inlineStr">
        <is>
          <t>VÄRMLANDS LÄN</t>
        </is>
      </c>
      <c r="E1120" t="inlineStr">
        <is>
          <t>TORSBY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14613-2025</t>
        </is>
      </c>
      <c r="B1121" s="1" t="n">
        <v>45742</v>
      </c>
      <c r="C1121" s="1" t="n">
        <v>46204</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60593-2025</t>
        </is>
      </c>
      <c r="B1122" s="1" t="n">
        <v>45996</v>
      </c>
      <c r="C1122" s="1" t="n">
        <v>46204</v>
      </c>
      <c r="D1122" t="inlineStr">
        <is>
          <t>VÄRMLANDS LÄN</t>
        </is>
      </c>
      <c r="E1122" t="inlineStr">
        <is>
          <t>TORSBY</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60688-2025</t>
        </is>
      </c>
      <c r="B1123" s="1" t="n">
        <v>45996</v>
      </c>
      <c r="C1123" s="1" t="n">
        <v>46204</v>
      </c>
      <c r="D1123" t="inlineStr">
        <is>
          <t>VÄRMLANDS LÄN</t>
        </is>
      </c>
      <c r="E1123" t="inlineStr">
        <is>
          <t>TORSBY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37279-2022</t>
        </is>
      </c>
      <c r="B1124" s="1" t="n">
        <v>44807</v>
      </c>
      <c r="C1124" s="1" t="n">
        <v>46204</v>
      </c>
      <c r="D1124" t="inlineStr">
        <is>
          <t>VÄRMLANDS LÄN</t>
        </is>
      </c>
      <c r="E1124" t="inlineStr">
        <is>
          <t>TORSBY</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60592-2025</t>
        </is>
      </c>
      <c r="B1125" s="1" t="n">
        <v>45996</v>
      </c>
      <c r="C1125" s="1" t="n">
        <v>46204</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46204</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61497-2025</t>
        </is>
      </c>
      <c r="B1127" s="1" t="n">
        <v>46001</v>
      </c>
      <c r="C1127" s="1" t="n">
        <v>46204</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59236-2023</t>
        </is>
      </c>
      <c r="B1128" s="1" t="n">
        <v>45253</v>
      </c>
      <c r="C1128" s="1" t="n">
        <v>46204</v>
      </c>
      <c r="D1128" t="inlineStr">
        <is>
          <t>VÄRMLANDS LÄN</t>
        </is>
      </c>
      <c r="E1128" t="inlineStr">
        <is>
          <t>TORSBY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8022-2025</t>
        </is>
      </c>
      <c r="B1129" s="1" t="n">
        <v>45707</v>
      </c>
      <c r="C1129" s="1" t="n">
        <v>46204</v>
      </c>
      <c r="D1129" t="inlineStr">
        <is>
          <t>VÄRMLANDS LÄN</t>
        </is>
      </c>
      <c r="E1129" t="inlineStr">
        <is>
          <t>TORSBY</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60346-2025</t>
        </is>
      </c>
      <c r="B1130" s="1" t="n">
        <v>45995</v>
      </c>
      <c r="C1130" s="1" t="n">
        <v>46204</v>
      </c>
      <c r="D1130" t="inlineStr">
        <is>
          <t>VÄRMLANDS LÄN</t>
        </is>
      </c>
      <c r="E1130" t="inlineStr">
        <is>
          <t>TORSBY</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36184-2024</t>
        </is>
      </c>
      <c r="B1131" s="1" t="n">
        <v>45534</v>
      </c>
      <c r="C1131" s="1" t="n">
        <v>46204</v>
      </c>
      <c r="D1131" t="inlineStr">
        <is>
          <t>VÄRMLANDS LÄN</t>
        </is>
      </c>
      <c r="E1131" t="inlineStr">
        <is>
          <t>TORSBY</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17146-2026</t>
        </is>
      </c>
      <c r="B1132" s="1" t="n">
        <v>46114</v>
      </c>
      <c r="C1132" s="1" t="n">
        <v>46204</v>
      </c>
      <c r="D1132" t="inlineStr">
        <is>
          <t>VÄRMLANDS LÄN</t>
        </is>
      </c>
      <c r="E1132" t="inlineStr">
        <is>
          <t>TORSBY</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14801-2025</t>
        </is>
      </c>
      <c r="B1133" s="1" t="n">
        <v>45743</v>
      </c>
      <c r="C1133" s="1" t="n">
        <v>46204</v>
      </c>
      <c r="D1133" t="inlineStr">
        <is>
          <t>VÄRMLANDS LÄN</t>
        </is>
      </c>
      <c r="E1133" t="inlineStr">
        <is>
          <t>TORSBY</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61361-2025</t>
        </is>
      </c>
      <c r="B1134" s="1" t="n">
        <v>46001</v>
      </c>
      <c r="C1134" s="1" t="n">
        <v>46204</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61365-2025</t>
        </is>
      </c>
      <c r="B1135" s="1" t="n">
        <v>46001</v>
      </c>
      <c r="C1135" s="1" t="n">
        <v>46204</v>
      </c>
      <c r="D1135" t="inlineStr">
        <is>
          <t>VÄRMLANDS LÄN</t>
        </is>
      </c>
      <c r="E1135" t="inlineStr">
        <is>
          <t>TORSBY</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17436-2026</t>
        </is>
      </c>
      <c r="B1136" s="1" t="n">
        <v>46120</v>
      </c>
      <c r="C1136" s="1" t="n">
        <v>46204</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61388-2025</t>
        </is>
      </c>
      <c r="B1137" s="1" t="n">
        <v>46001</v>
      </c>
      <c r="C1137" s="1" t="n">
        <v>46204</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61367-2025</t>
        </is>
      </c>
      <c r="B1138" s="1" t="n">
        <v>46001</v>
      </c>
      <c r="C1138" s="1" t="n">
        <v>46204</v>
      </c>
      <c r="D1138" t="inlineStr">
        <is>
          <t>VÄRMLANDS LÄN</t>
        </is>
      </c>
      <c r="E1138" t="inlineStr">
        <is>
          <t>TORSBY</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61368-2025</t>
        </is>
      </c>
      <c r="B1139" s="1" t="n">
        <v>46001</v>
      </c>
      <c r="C1139" s="1" t="n">
        <v>46204</v>
      </c>
      <c r="D1139" t="inlineStr">
        <is>
          <t>VÄRMLANDS LÄN</t>
        </is>
      </c>
      <c r="E1139" t="inlineStr">
        <is>
          <t>TORSBY</t>
        </is>
      </c>
      <c r="F1139" t="inlineStr">
        <is>
          <t>Bergvik skog väst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61463-2025</t>
        </is>
      </c>
      <c r="B1140" s="1" t="n">
        <v>46001</v>
      </c>
      <c r="C1140" s="1" t="n">
        <v>46204</v>
      </c>
      <c r="D1140" t="inlineStr">
        <is>
          <t>VÄRMLANDS LÄN</t>
        </is>
      </c>
      <c r="E1140" t="inlineStr">
        <is>
          <t>TORSBY</t>
        </is>
      </c>
      <c r="F1140" t="inlineStr">
        <is>
          <t>Bergvik skog väst AB</t>
        </is>
      </c>
      <c r="G1140" t="n">
        <v>33.8</v>
      </c>
      <c r="H1140" t="n">
        <v>0</v>
      </c>
      <c r="I1140" t="n">
        <v>0</v>
      </c>
      <c r="J1140" t="n">
        <v>0</v>
      </c>
      <c r="K1140" t="n">
        <v>0</v>
      </c>
      <c r="L1140" t="n">
        <v>0</v>
      </c>
      <c r="M1140" t="n">
        <v>0</v>
      </c>
      <c r="N1140" t="n">
        <v>0</v>
      </c>
      <c r="O1140" t="n">
        <v>0</v>
      </c>
      <c r="P1140" t="n">
        <v>0</v>
      </c>
      <c r="Q1140" t="n">
        <v>0</v>
      </c>
      <c r="R1140" s="2" t="inlineStr"/>
    </row>
    <row r="1141" ht="15" customHeight="1">
      <c r="A1141" t="inlineStr">
        <is>
          <t>A 23205-2026</t>
        </is>
      </c>
      <c r="B1141" s="1" t="n">
        <v>46162</v>
      </c>
      <c r="C1141" s="1" t="n">
        <v>46204</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23818-2022</t>
        </is>
      </c>
      <c r="B1142" s="1" t="n">
        <v>44722</v>
      </c>
      <c r="C1142" s="1" t="n">
        <v>46204</v>
      </c>
      <c r="D1142" t="inlineStr">
        <is>
          <t>VÄRMLANDS LÄN</t>
        </is>
      </c>
      <c r="E1142" t="inlineStr">
        <is>
          <t>TORSBY</t>
        </is>
      </c>
      <c r="G1142" t="n">
        <v>23.5</v>
      </c>
      <c r="H1142" t="n">
        <v>0</v>
      </c>
      <c r="I1142" t="n">
        <v>0</v>
      </c>
      <c r="J1142" t="n">
        <v>0</v>
      </c>
      <c r="K1142" t="n">
        <v>0</v>
      </c>
      <c r="L1142" t="n">
        <v>0</v>
      </c>
      <c r="M1142" t="n">
        <v>0</v>
      </c>
      <c r="N1142" t="n">
        <v>0</v>
      </c>
      <c r="O1142" t="n">
        <v>0</v>
      </c>
      <c r="P1142" t="n">
        <v>0</v>
      </c>
      <c r="Q1142" t="n">
        <v>0</v>
      </c>
      <c r="R1142" s="2" t="inlineStr"/>
    </row>
    <row r="1143" ht="15" customHeight="1">
      <c r="A1143" t="inlineStr">
        <is>
          <t>A 23405-2026</t>
        </is>
      </c>
      <c r="B1143" s="1" t="n">
        <v>46162</v>
      </c>
      <c r="C1143" s="1" t="n">
        <v>46204</v>
      </c>
      <c r="D1143" t="inlineStr">
        <is>
          <t>VÄRMLANDS LÄN</t>
        </is>
      </c>
      <c r="E1143" t="inlineStr">
        <is>
          <t>TORSBY</t>
        </is>
      </c>
      <c r="F1143" t="inlineStr">
        <is>
          <t>Bergvik skog väst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61504-2025</t>
        </is>
      </c>
      <c r="B1144" s="1" t="n">
        <v>46001</v>
      </c>
      <c r="C1144" s="1" t="n">
        <v>46204</v>
      </c>
      <c r="D1144" t="inlineStr">
        <is>
          <t>VÄRMLANDS LÄN</t>
        </is>
      </c>
      <c r="E1144" t="inlineStr">
        <is>
          <t>TORSBY</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61510-2025</t>
        </is>
      </c>
      <c r="B1145" s="1" t="n">
        <v>46001</v>
      </c>
      <c r="C1145" s="1" t="n">
        <v>46204</v>
      </c>
      <c r="D1145" t="inlineStr">
        <is>
          <t>VÄRMLANDS LÄN</t>
        </is>
      </c>
      <c r="E1145" t="inlineStr">
        <is>
          <t>TORSBY</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23359-2026</t>
        </is>
      </c>
      <c r="B1146" s="1" t="n">
        <v>46162</v>
      </c>
      <c r="C1146" s="1" t="n">
        <v>46204</v>
      </c>
      <c r="D1146" t="inlineStr">
        <is>
          <t>VÄRMLANDS LÄN</t>
        </is>
      </c>
      <c r="E1146" t="inlineStr">
        <is>
          <t>TORSBY</t>
        </is>
      </c>
      <c r="F1146" t="inlineStr">
        <is>
          <t>Bergvik skog väst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17548-2023</t>
        </is>
      </c>
      <c r="B1147" s="1" t="n">
        <v>45036</v>
      </c>
      <c r="C1147" s="1" t="n">
        <v>46204</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23320-2026</t>
        </is>
      </c>
      <c r="B1148" s="1" t="n">
        <v>46162</v>
      </c>
      <c r="C1148" s="1" t="n">
        <v>46204</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65134-2023</t>
        </is>
      </c>
      <c r="B1149" s="1" t="n">
        <v>45288</v>
      </c>
      <c r="C1149" s="1" t="n">
        <v>46204</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62007-2025</t>
        </is>
      </c>
      <c r="B1150" s="1" t="n">
        <v>46003</v>
      </c>
      <c r="C1150" s="1" t="n">
        <v>46204</v>
      </c>
      <c r="D1150" t="inlineStr">
        <is>
          <t>VÄRMLANDS LÄN</t>
        </is>
      </c>
      <c r="E1150" t="inlineStr">
        <is>
          <t>TORSBY</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23409-2026</t>
        </is>
      </c>
      <c r="B1151" s="1" t="n">
        <v>46162</v>
      </c>
      <c r="C1151" s="1" t="n">
        <v>46204</v>
      </c>
      <c r="D1151" t="inlineStr">
        <is>
          <t>VÄRMLANDS LÄN</t>
        </is>
      </c>
      <c r="E1151" t="inlineStr">
        <is>
          <t>TORSBY</t>
        </is>
      </c>
      <c r="F1151" t="inlineStr">
        <is>
          <t>Bergvik skog väst AB</t>
        </is>
      </c>
      <c r="G1151" t="n">
        <v>16.3</v>
      </c>
      <c r="H1151" t="n">
        <v>0</v>
      </c>
      <c r="I1151" t="n">
        <v>0</v>
      </c>
      <c r="J1151" t="n">
        <v>0</v>
      </c>
      <c r="K1151" t="n">
        <v>0</v>
      </c>
      <c r="L1151" t="n">
        <v>0</v>
      </c>
      <c r="M1151" t="n">
        <v>0</v>
      </c>
      <c r="N1151" t="n">
        <v>0</v>
      </c>
      <c r="O1151" t="n">
        <v>0</v>
      </c>
      <c r="P1151" t="n">
        <v>0</v>
      </c>
      <c r="Q1151" t="n">
        <v>0</v>
      </c>
      <c r="R1151" s="2" t="inlineStr"/>
    </row>
    <row r="1152" ht="15" customHeight="1">
      <c r="A1152" t="inlineStr">
        <is>
          <t>A 502-2024</t>
        </is>
      </c>
      <c r="B1152" s="1" t="n">
        <v>45299</v>
      </c>
      <c r="C1152" s="1" t="n">
        <v>46204</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4302-2025</t>
        </is>
      </c>
      <c r="B1153" s="1" t="n">
        <v>45685</v>
      </c>
      <c r="C1153" s="1" t="n">
        <v>46204</v>
      </c>
      <c r="D1153" t="inlineStr">
        <is>
          <t>VÄRMLANDS LÄN</t>
        </is>
      </c>
      <c r="E1153" t="inlineStr">
        <is>
          <t>TORSBY</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62010-2025</t>
        </is>
      </c>
      <c r="B1154" s="1" t="n">
        <v>46003</v>
      </c>
      <c r="C1154" s="1" t="n">
        <v>46204</v>
      </c>
      <c r="D1154" t="inlineStr">
        <is>
          <t>VÄRMLANDS LÄN</t>
        </is>
      </c>
      <c r="E1154" t="inlineStr">
        <is>
          <t>TORSBY</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23351-2026</t>
        </is>
      </c>
      <c r="B1155" s="1" t="n">
        <v>46162</v>
      </c>
      <c r="C1155" s="1" t="n">
        <v>46204</v>
      </c>
      <c r="D1155" t="inlineStr">
        <is>
          <t>VÄRMLANDS LÄN</t>
        </is>
      </c>
      <c r="E1155" t="inlineStr">
        <is>
          <t>TORSBY</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23352-2026</t>
        </is>
      </c>
      <c r="B1156" s="1" t="n">
        <v>46162</v>
      </c>
      <c r="C1156" s="1" t="n">
        <v>46204</v>
      </c>
      <c r="D1156" t="inlineStr">
        <is>
          <t>VÄRMLANDS LÄN</t>
        </is>
      </c>
      <c r="E1156" t="inlineStr">
        <is>
          <t>TORSBY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2797-2025</t>
        </is>
      </c>
      <c r="B1157" s="1" t="n">
        <v>45677</v>
      </c>
      <c r="C1157" s="1" t="n">
        <v>46204</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63158-2023</t>
        </is>
      </c>
      <c r="B1158" s="1" t="n">
        <v>45273</v>
      </c>
      <c r="C1158" s="1" t="n">
        <v>46204</v>
      </c>
      <c r="D1158" t="inlineStr">
        <is>
          <t>VÄRMLANDS LÄN</t>
        </is>
      </c>
      <c r="E1158" t="inlineStr">
        <is>
          <t>TORSBY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62016-2025</t>
        </is>
      </c>
      <c r="B1159" s="1" t="n">
        <v>46003</v>
      </c>
      <c r="C1159" s="1" t="n">
        <v>46204</v>
      </c>
      <c r="D1159" t="inlineStr">
        <is>
          <t>VÄRMLANDS LÄN</t>
        </is>
      </c>
      <c r="E1159" t="inlineStr">
        <is>
          <t>TORSBY</t>
        </is>
      </c>
      <c r="F1159" t="inlineStr">
        <is>
          <t>Kommuner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34568-2022</t>
        </is>
      </c>
      <c r="B1160" s="1" t="n">
        <v>44795</v>
      </c>
      <c r="C1160" s="1" t="n">
        <v>46204</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62015-2025</t>
        </is>
      </c>
      <c r="B1161" s="1" t="n">
        <v>46003</v>
      </c>
      <c r="C1161" s="1" t="n">
        <v>46204</v>
      </c>
      <c r="D1161" t="inlineStr">
        <is>
          <t>VÄRMLANDS LÄN</t>
        </is>
      </c>
      <c r="E1161" t="inlineStr">
        <is>
          <t>TORSBY</t>
        </is>
      </c>
      <c r="F1161" t="inlineStr">
        <is>
          <t>Kommuner</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62120-2025</t>
        </is>
      </c>
      <c r="B1162" s="1" t="n">
        <v>46006</v>
      </c>
      <c r="C1162" s="1" t="n">
        <v>46204</v>
      </c>
      <c r="D1162" t="inlineStr">
        <is>
          <t>VÄRMLANDS LÄN</t>
        </is>
      </c>
      <c r="E1162" t="inlineStr">
        <is>
          <t>TORSBY</t>
        </is>
      </c>
      <c r="F1162" t="inlineStr">
        <is>
          <t>Övriga statliga verk och myndigheter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4516-2025</t>
        </is>
      </c>
      <c r="B1163" s="1" t="n">
        <v>45686</v>
      </c>
      <c r="C1163" s="1" t="n">
        <v>46204</v>
      </c>
      <c r="D1163" t="inlineStr">
        <is>
          <t>VÄRMLANDS LÄN</t>
        </is>
      </c>
      <c r="E1163" t="inlineStr">
        <is>
          <t>TORSBY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4517-2025</t>
        </is>
      </c>
      <c r="B1164" s="1" t="n">
        <v>45686</v>
      </c>
      <c r="C1164" s="1" t="n">
        <v>46204</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25537-2022</t>
        </is>
      </c>
      <c r="B1165" s="1" t="n">
        <v>44732</v>
      </c>
      <c r="C1165" s="1" t="n">
        <v>46204</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57642-2023</t>
        </is>
      </c>
      <c r="B1166" s="1" t="n">
        <v>45246</v>
      </c>
      <c r="C1166" s="1" t="n">
        <v>46204</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23325-2026</t>
        </is>
      </c>
      <c r="B1167" s="1" t="n">
        <v>46162</v>
      </c>
      <c r="C1167" s="1" t="n">
        <v>46204</v>
      </c>
      <c r="D1167" t="inlineStr">
        <is>
          <t>VÄRMLANDS LÄN</t>
        </is>
      </c>
      <c r="E1167" t="inlineStr">
        <is>
          <t>TORSBY</t>
        </is>
      </c>
      <c r="F1167" t="inlineStr">
        <is>
          <t>Bergvik skog väst AB</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62363-2025</t>
        </is>
      </c>
      <c r="B1168" s="1" t="n">
        <v>46006</v>
      </c>
      <c r="C1168" s="1" t="n">
        <v>46204</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36290-2022</t>
        </is>
      </c>
      <c r="B1169" s="1" t="n">
        <v>44803</v>
      </c>
      <c r="C1169" s="1" t="n">
        <v>46204</v>
      </c>
      <c r="D1169" t="inlineStr">
        <is>
          <t>VÄRMLANDS LÄN</t>
        </is>
      </c>
      <c r="E1169" t="inlineStr">
        <is>
          <t>TORSBY</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39075-2024</t>
        </is>
      </c>
      <c r="B1170" s="1" t="n">
        <v>45548</v>
      </c>
      <c r="C1170" s="1" t="n">
        <v>46204</v>
      </c>
      <c r="D1170" t="inlineStr">
        <is>
          <t>VÄRMLANDS LÄN</t>
        </is>
      </c>
      <c r="E1170" t="inlineStr">
        <is>
          <t>TORSBY</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40007-2023</t>
        </is>
      </c>
      <c r="B1171" s="1" t="n">
        <v>45168</v>
      </c>
      <c r="C1171" s="1" t="n">
        <v>46204</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7745-2023</t>
        </is>
      </c>
      <c r="B1172" s="1" t="n">
        <v>44973</v>
      </c>
      <c r="C1172" s="1" t="n">
        <v>46204</v>
      </c>
      <c r="D1172" t="inlineStr">
        <is>
          <t>VÄRMLANDS LÄN</t>
        </is>
      </c>
      <c r="E1172" t="inlineStr">
        <is>
          <t>TORSBY</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22826-2022</t>
        </is>
      </c>
      <c r="B1173" s="1" t="n">
        <v>44714</v>
      </c>
      <c r="C1173" s="1" t="n">
        <v>46204</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23310-2026</t>
        </is>
      </c>
      <c r="B1174" s="1" t="n">
        <v>46162</v>
      </c>
      <c r="C1174" s="1" t="n">
        <v>46204</v>
      </c>
      <c r="D1174" t="inlineStr">
        <is>
          <t>VÄRMLANDS LÄN</t>
        </is>
      </c>
      <c r="E1174" t="inlineStr">
        <is>
          <t>TORSBY</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14304-2023</t>
        </is>
      </c>
      <c r="B1175" s="1" t="n">
        <v>45011</v>
      </c>
      <c r="C1175" s="1" t="n">
        <v>46204</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33620-2024</t>
        </is>
      </c>
      <c r="B1176" s="1" t="n">
        <v>45520</v>
      </c>
      <c r="C1176" s="1" t="n">
        <v>46204</v>
      </c>
      <c r="D1176" t="inlineStr">
        <is>
          <t>VÄRMLANDS LÄN</t>
        </is>
      </c>
      <c r="E1176" t="inlineStr">
        <is>
          <t>TORSBY</t>
        </is>
      </c>
      <c r="F1176" t="inlineStr">
        <is>
          <t>Bergvik skog väst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23564-2026</t>
        </is>
      </c>
      <c r="B1177" s="1" t="n">
        <v>46163</v>
      </c>
      <c r="C1177" s="1" t="n">
        <v>46204</v>
      </c>
      <c r="D1177" t="inlineStr">
        <is>
          <t>VÄRMLANDS LÄN</t>
        </is>
      </c>
      <c r="E1177" t="inlineStr">
        <is>
          <t>TORSBY</t>
        </is>
      </c>
      <c r="F1177" t="inlineStr">
        <is>
          <t>Bergvik skog väst AB</t>
        </is>
      </c>
      <c r="G1177" t="n">
        <v>14.9</v>
      </c>
      <c r="H1177" t="n">
        <v>0</v>
      </c>
      <c r="I1177" t="n">
        <v>0</v>
      </c>
      <c r="J1177" t="n">
        <v>0</v>
      </c>
      <c r="K1177" t="n">
        <v>0</v>
      </c>
      <c r="L1177" t="n">
        <v>0</v>
      </c>
      <c r="M1177" t="n">
        <v>0</v>
      </c>
      <c r="N1177" t="n">
        <v>0</v>
      </c>
      <c r="O1177" t="n">
        <v>0</v>
      </c>
      <c r="P1177" t="n">
        <v>0</v>
      </c>
      <c r="Q1177" t="n">
        <v>0</v>
      </c>
      <c r="R1177" s="2" t="inlineStr"/>
    </row>
    <row r="1178" ht="15" customHeight="1">
      <c r="A1178" t="inlineStr">
        <is>
          <t>A 42613-2023</t>
        </is>
      </c>
      <c r="B1178" s="1" t="n">
        <v>45181</v>
      </c>
      <c r="C1178" s="1" t="n">
        <v>46204</v>
      </c>
      <c r="D1178" t="inlineStr">
        <is>
          <t>VÄRMLANDS LÄN</t>
        </is>
      </c>
      <c r="E1178" t="inlineStr">
        <is>
          <t>TORSBY</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40971-2023</t>
        </is>
      </c>
      <c r="B1179" s="1" t="n">
        <v>45173</v>
      </c>
      <c r="C1179" s="1" t="n">
        <v>46204</v>
      </c>
      <c r="D1179" t="inlineStr">
        <is>
          <t>VÄRMLANDS LÄN</t>
        </is>
      </c>
      <c r="E1179" t="inlineStr">
        <is>
          <t>TORSBY</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18314-2025</t>
        </is>
      </c>
      <c r="B1180" s="1" t="n">
        <v>45762</v>
      </c>
      <c r="C1180" s="1" t="n">
        <v>46204</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23481-2026</t>
        </is>
      </c>
      <c r="B1181" s="1" t="n">
        <v>46163</v>
      </c>
      <c r="C1181" s="1" t="n">
        <v>46204</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39746-2024</t>
        </is>
      </c>
      <c r="B1182" s="1" t="n">
        <v>45552</v>
      </c>
      <c r="C1182" s="1" t="n">
        <v>46204</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15460-2022</t>
        </is>
      </c>
      <c r="B1183" s="1" t="n">
        <v>44661</v>
      </c>
      <c r="C1183" s="1" t="n">
        <v>46204</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62629-2025</t>
        </is>
      </c>
      <c r="B1184" s="1" t="n">
        <v>46008</v>
      </c>
      <c r="C1184" s="1" t="n">
        <v>46204</v>
      </c>
      <c r="D1184" t="inlineStr">
        <is>
          <t>VÄRMLANDS LÄN</t>
        </is>
      </c>
      <c r="E1184" t="inlineStr">
        <is>
          <t>TORSBY</t>
        </is>
      </c>
      <c r="F1184" t="inlineStr">
        <is>
          <t>Bergvik skog väst AB</t>
        </is>
      </c>
      <c r="G1184" t="n">
        <v>16.2</v>
      </c>
      <c r="H1184" t="n">
        <v>0</v>
      </c>
      <c r="I1184" t="n">
        <v>0</v>
      </c>
      <c r="J1184" t="n">
        <v>0</v>
      </c>
      <c r="K1184" t="n">
        <v>0</v>
      </c>
      <c r="L1184" t="n">
        <v>0</v>
      </c>
      <c r="M1184" t="n">
        <v>0</v>
      </c>
      <c r="N1184" t="n">
        <v>0</v>
      </c>
      <c r="O1184" t="n">
        <v>0</v>
      </c>
      <c r="P1184" t="n">
        <v>0</v>
      </c>
      <c r="Q1184" t="n">
        <v>0</v>
      </c>
      <c r="R1184" s="2" t="inlineStr"/>
    </row>
    <row r="1185" ht="15" customHeight="1">
      <c r="A1185" t="inlineStr">
        <is>
          <t>A 57726-2022</t>
        </is>
      </c>
      <c r="B1185" s="1" t="n">
        <v>44897</v>
      </c>
      <c r="C1185" s="1" t="n">
        <v>46204</v>
      </c>
      <c r="D1185" t="inlineStr">
        <is>
          <t>VÄRMLANDS LÄN</t>
        </is>
      </c>
      <c r="E1185" t="inlineStr">
        <is>
          <t>TORSBY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17605-2026</t>
        </is>
      </c>
      <c r="B1186" s="1" t="n">
        <v>46121</v>
      </c>
      <c r="C1186" s="1" t="n">
        <v>46204</v>
      </c>
      <c r="D1186" t="inlineStr">
        <is>
          <t>VÄRMLANDS LÄN</t>
        </is>
      </c>
      <c r="E1186" t="inlineStr">
        <is>
          <t>TORSBY</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23571-2026</t>
        </is>
      </c>
      <c r="B1187" s="1" t="n">
        <v>46163</v>
      </c>
      <c r="C1187" s="1" t="n">
        <v>46204</v>
      </c>
      <c r="D1187" t="inlineStr">
        <is>
          <t>VÄRMLANDS LÄN</t>
        </is>
      </c>
      <c r="E1187" t="inlineStr">
        <is>
          <t>TORSBY</t>
        </is>
      </c>
      <c r="F1187" t="inlineStr">
        <is>
          <t>Bergvik skog väst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17817-2026</t>
        </is>
      </c>
      <c r="B1188" s="1" t="n">
        <v>46122</v>
      </c>
      <c r="C1188" s="1" t="n">
        <v>46204</v>
      </c>
      <c r="D1188" t="inlineStr">
        <is>
          <t>VÄRMLANDS LÄN</t>
        </is>
      </c>
      <c r="E1188" t="inlineStr">
        <is>
          <t>TORSBY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63379-2025</t>
        </is>
      </c>
      <c r="B1189" s="1" t="n">
        <v>46010</v>
      </c>
      <c r="C1189" s="1" t="n">
        <v>46204</v>
      </c>
      <c r="D1189" t="inlineStr">
        <is>
          <t>VÄRMLANDS LÄN</t>
        </is>
      </c>
      <c r="E1189" t="inlineStr">
        <is>
          <t>TORSBY</t>
        </is>
      </c>
      <c r="F1189" t="inlineStr">
        <is>
          <t>Bergvik skog väst AB</t>
        </is>
      </c>
      <c r="G1189" t="n">
        <v>21.9</v>
      </c>
      <c r="H1189" t="n">
        <v>0</v>
      </c>
      <c r="I1189" t="n">
        <v>0</v>
      </c>
      <c r="J1189" t="n">
        <v>0</v>
      </c>
      <c r="K1189" t="n">
        <v>0</v>
      </c>
      <c r="L1189" t="n">
        <v>0</v>
      </c>
      <c r="M1189" t="n">
        <v>0</v>
      </c>
      <c r="N1189" t="n">
        <v>0</v>
      </c>
      <c r="O1189" t="n">
        <v>0</v>
      </c>
      <c r="P1189" t="n">
        <v>0</v>
      </c>
      <c r="Q1189" t="n">
        <v>0</v>
      </c>
      <c r="R1189" s="2" t="inlineStr"/>
    </row>
    <row r="1190" ht="15" customHeight="1">
      <c r="A1190" t="inlineStr">
        <is>
          <t>A 24244-2023</t>
        </is>
      </c>
      <c r="B1190" s="1" t="n">
        <v>45079</v>
      </c>
      <c r="C1190" s="1" t="n">
        <v>46204</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20528-2023</t>
        </is>
      </c>
      <c r="B1191" s="1" t="n">
        <v>45057</v>
      </c>
      <c r="C1191" s="1" t="n">
        <v>46204</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62210-2023</t>
        </is>
      </c>
      <c r="B1192" s="1" t="n">
        <v>45267</v>
      </c>
      <c r="C1192" s="1" t="n">
        <v>46204</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67147-2021</t>
        </is>
      </c>
      <c r="B1193" s="1" t="n">
        <v>44523</v>
      </c>
      <c r="C1193" s="1" t="n">
        <v>46204</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28624-2024</t>
        </is>
      </c>
      <c r="B1194" s="1" t="n">
        <v>45478</v>
      </c>
      <c r="C1194" s="1" t="n">
        <v>46204</v>
      </c>
      <c r="D1194" t="inlineStr">
        <is>
          <t>VÄRMLANDS LÄN</t>
        </is>
      </c>
      <c r="E1194" t="inlineStr">
        <is>
          <t>TORSBY</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11214-2024</t>
        </is>
      </c>
      <c r="B1195" s="1" t="n">
        <v>45371</v>
      </c>
      <c r="C1195" s="1" t="n">
        <v>46204</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23477-2026</t>
        </is>
      </c>
      <c r="B1196" s="1" t="n">
        <v>46163</v>
      </c>
      <c r="C1196" s="1" t="n">
        <v>46204</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23512-2026</t>
        </is>
      </c>
      <c r="B1197" s="1" t="n">
        <v>46163</v>
      </c>
      <c r="C1197" s="1" t="n">
        <v>46204</v>
      </c>
      <c r="D1197" t="inlineStr">
        <is>
          <t>VÄRMLANDS LÄN</t>
        </is>
      </c>
      <c r="E1197" t="inlineStr">
        <is>
          <t>TORSBY</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43179-2023</t>
        </is>
      </c>
      <c r="B1198" s="1" t="n">
        <v>45183</v>
      </c>
      <c r="C1198" s="1" t="n">
        <v>46204</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63626-2025</t>
        </is>
      </c>
      <c r="B1199" s="1" t="n">
        <v>46014</v>
      </c>
      <c r="C1199" s="1" t="n">
        <v>46204</v>
      </c>
      <c r="D1199" t="inlineStr">
        <is>
          <t>VÄRMLANDS LÄN</t>
        </is>
      </c>
      <c r="E1199" t="inlineStr">
        <is>
          <t>TORSBY</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63636-2025</t>
        </is>
      </c>
      <c r="B1200" s="1" t="n">
        <v>46014</v>
      </c>
      <c r="C1200" s="1" t="n">
        <v>46204</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2308-2024</t>
        </is>
      </c>
      <c r="B1201" s="1" t="n">
        <v>45310</v>
      </c>
      <c r="C1201" s="1" t="n">
        <v>46204</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63697-2025</t>
        </is>
      </c>
      <c r="B1202" s="1" t="n">
        <v>46014</v>
      </c>
      <c r="C1202" s="1" t="n">
        <v>46204</v>
      </c>
      <c r="D1202" t="inlineStr">
        <is>
          <t>VÄRMLANDS LÄN</t>
        </is>
      </c>
      <c r="E1202" t="inlineStr">
        <is>
          <t>TORSBY</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46195-2023</t>
        </is>
      </c>
      <c r="B1203" s="1" t="n">
        <v>45196</v>
      </c>
      <c r="C1203" s="1" t="n">
        <v>46204</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18959-2024</t>
        </is>
      </c>
      <c r="B1204" s="1" t="n">
        <v>45427</v>
      </c>
      <c r="C1204" s="1" t="n">
        <v>46204</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23800-2026</t>
        </is>
      </c>
      <c r="B1205" s="1" t="n">
        <v>46164</v>
      </c>
      <c r="C1205" s="1" t="n">
        <v>46204</v>
      </c>
      <c r="D1205" t="inlineStr">
        <is>
          <t>VÄRMLANDS LÄN</t>
        </is>
      </c>
      <c r="E1205" t="inlineStr">
        <is>
          <t>TORSBY</t>
        </is>
      </c>
      <c r="F1205" t="inlineStr">
        <is>
          <t>Bergvik skog väst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23801-2026</t>
        </is>
      </c>
      <c r="B1206" s="1" t="n">
        <v>46164</v>
      </c>
      <c r="C1206" s="1" t="n">
        <v>46204</v>
      </c>
      <c r="D1206" t="inlineStr">
        <is>
          <t>VÄRMLANDS LÄN</t>
        </is>
      </c>
      <c r="E1206" t="inlineStr">
        <is>
          <t>TORSBY</t>
        </is>
      </c>
      <c r="F1206" t="inlineStr">
        <is>
          <t>Bergvik skog väst AB</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63781-2025</t>
        </is>
      </c>
      <c r="B1207" s="1" t="n">
        <v>46019</v>
      </c>
      <c r="C1207" s="1" t="n">
        <v>46204</v>
      </c>
      <c r="D1207" t="inlineStr">
        <is>
          <t>VÄRMLANDS LÄN</t>
        </is>
      </c>
      <c r="E1207" t="inlineStr">
        <is>
          <t>TORSBY</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19630-2025</t>
        </is>
      </c>
      <c r="B1208" s="1" t="n">
        <v>45770</v>
      </c>
      <c r="C1208" s="1" t="n">
        <v>46204</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63908-2025</t>
        </is>
      </c>
      <c r="B1209" s="1" t="n">
        <v>46020</v>
      </c>
      <c r="C1209" s="1" t="n">
        <v>46204</v>
      </c>
      <c r="D1209" t="inlineStr">
        <is>
          <t>VÄRMLANDS LÄN</t>
        </is>
      </c>
      <c r="E1209" t="inlineStr">
        <is>
          <t>TORSBY</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17828-2026</t>
        </is>
      </c>
      <c r="B1210" s="1" t="n">
        <v>46122</v>
      </c>
      <c r="C1210" s="1" t="n">
        <v>46204</v>
      </c>
      <c r="D1210" t="inlineStr">
        <is>
          <t>VÄRMLANDS LÄN</t>
        </is>
      </c>
      <c r="E1210" t="inlineStr">
        <is>
          <t>TORSBY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23446-2026</t>
        </is>
      </c>
      <c r="B1211" s="1" t="n">
        <v>46163</v>
      </c>
      <c r="C1211" s="1" t="n">
        <v>46204</v>
      </c>
      <c r="D1211" t="inlineStr">
        <is>
          <t>VÄRMLANDS LÄN</t>
        </is>
      </c>
      <c r="E1211" t="inlineStr">
        <is>
          <t>TORSBY</t>
        </is>
      </c>
      <c r="F1211" t="inlineStr">
        <is>
          <t>Bergvik skog väst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17850-2026</t>
        </is>
      </c>
      <c r="B1212" s="1" t="n">
        <v>46122</v>
      </c>
      <c r="C1212" s="1" t="n">
        <v>46204</v>
      </c>
      <c r="D1212" t="inlineStr">
        <is>
          <t>VÄRMLANDS LÄN</t>
        </is>
      </c>
      <c r="E1212" t="inlineStr">
        <is>
          <t>TORSBY</t>
        </is>
      </c>
      <c r="F1212" t="inlineStr">
        <is>
          <t>Bergvik skog väst AB</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23982-2026</t>
        </is>
      </c>
      <c r="B1213" s="1" t="n">
        <v>46167</v>
      </c>
      <c r="C1213" s="1" t="n">
        <v>46204</v>
      </c>
      <c r="D1213" t="inlineStr">
        <is>
          <t>VÄRMLANDS LÄN</t>
        </is>
      </c>
      <c r="E1213" t="inlineStr">
        <is>
          <t>TORSBY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235-2026</t>
        </is>
      </c>
      <c r="B1214" s="1" t="n">
        <v>46027</v>
      </c>
      <c r="C1214" s="1" t="n">
        <v>46204</v>
      </c>
      <c r="D1214" t="inlineStr">
        <is>
          <t>VÄRMLANDS LÄN</t>
        </is>
      </c>
      <c r="E1214" t="inlineStr">
        <is>
          <t>TORSBY</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18407-2026</t>
        </is>
      </c>
      <c r="B1215" s="1" t="n">
        <v>46126</v>
      </c>
      <c r="C1215" s="1" t="n">
        <v>46204</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24106-2026</t>
        </is>
      </c>
      <c r="B1216" s="1" t="n">
        <v>46168</v>
      </c>
      <c r="C1216" s="1" t="n">
        <v>46204</v>
      </c>
      <c r="D1216" t="inlineStr">
        <is>
          <t>VÄRMLANDS LÄN</t>
        </is>
      </c>
      <c r="E1216" t="inlineStr">
        <is>
          <t>TORSBY</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64641-2023</t>
        </is>
      </c>
      <c r="B1217" s="1" t="n">
        <v>45281</v>
      </c>
      <c r="C1217" s="1" t="n">
        <v>46204</v>
      </c>
      <c r="D1217" t="inlineStr">
        <is>
          <t>VÄRMLANDS LÄN</t>
        </is>
      </c>
      <c r="E1217" t="inlineStr">
        <is>
          <t>TORSBY</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18244-2026</t>
        </is>
      </c>
      <c r="B1218" s="1" t="n">
        <v>46126</v>
      </c>
      <c r="C1218" s="1" t="n">
        <v>46204</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24158-2026</t>
        </is>
      </c>
      <c r="B1219" s="1" t="n">
        <v>46168</v>
      </c>
      <c r="C1219" s="1" t="n">
        <v>46204</v>
      </c>
      <c r="D1219" t="inlineStr">
        <is>
          <t>VÄRMLANDS LÄN</t>
        </is>
      </c>
      <c r="E1219" t="inlineStr">
        <is>
          <t>TORSBY</t>
        </is>
      </c>
      <c r="F1219" t="inlineStr">
        <is>
          <t>Bergvik skog väst AB</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16427-2023</t>
        </is>
      </c>
      <c r="B1220" s="1" t="n">
        <v>45022</v>
      </c>
      <c r="C1220" s="1" t="n">
        <v>46204</v>
      </c>
      <c r="D1220" t="inlineStr">
        <is>
          <t>VÄRMLANDS LÄN</t>
        </is>
      </c>
      <c r="E1220" t="inlineStr">
        <is>
          <t>TORSBY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748-2026</t>
        </is>
      </c>
      <c r="B1221" s="1" t="n">
        <v>46029</v>
      </c>
      <c r="C1221" s="1" t="n">
        <v>46204</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34434-2022</t>
        </is>
      </c>
      <c r="B1222" s="1" t="n">
        <v>44792</v>
      </c>
      <c r="C1222" s="1" t="n">
        <v>46204</v>
      </c>
      <c r="D1222" t="inlineStr">
        <is>
          <t>VÄRMLANDS LÄN</t>
        </is>
      </c>
      <c r="E1222" t="inlineStr">
        <is>
          <t>TORSBY</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991-2026</t>
        </is>
      </c>
      <c r="B1223" s="1" t="n">
        <v>46030</v>
      </c>
      <c r="C1223" s="1" t="n">
        <v>46204</v>
      </c>
      <c r="D1223" t="inlineStr">
        <is>
          <t>VÄRMLANDS LÄN</t>
        </is>
      </c>
      <c r="E1223" t="inlineStr">
        <is>
          <t>TORSBY</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23996-2026</t>
        </is>
      </c>
      <c r="B1224" s="1" t="n">
        <v>46167</v>
      </c>
      <c r="C1224" s="1" t="n">
        <v>46204</v>
      </c>
      <c r="D1224" t="inlineStr">
        <is>
          <t>VÄRMLANDS LÄN</t>
        </is>
      </c>
      <c r="E1224" t="inlineStr">
        <is>
          <t>TORSBY</t>
        </is>
      </c>
      <c r="F1224" t="inlineStr">
        <is>
          <t>Bergvik skog väst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7636-2024</t>
        </is>
      </c>
      <c r="B1225" s="1" t="n">
        <v>45348</v>
      </c>
      <c r="C1225" s="1" t="n">
        <v>46204</v>
      </c>
      <c r="D1225" t="inlineStr">
        <is>
          <t>VÄRMLANDS LÄN</t>
        </is>
      </c>
      <c r="E1225" t="inlineStr">
        <is>
          <t>TORSBY</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3590-2024</t>
        </is>
      </c>
      <c r="B1226" s="1" t="n">
        <v>45320</v>
      </c>
      <c r="C1226" s="1" t="n">
        <v>46204</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3670-2023</t>
        </is>
      </c>
      <c r="B1227" s="1" t="n">
        <v>44950</v>
      </c>
      <c r="C1227" s="1" t="n">
        <v>46204</v>
      </c>
      <c r="D1227" t="inlineStr">
        <is>
          <t>VÄRMLANDS LÄN</t>
        </is>
      </c>
      <c r="E1227" t="inlineStr">
        <is>
          <t>TORSBY</t>
        </is>
      </c>
      <c r="G1227" t="n">
        <v>15.4</v>
      </c>
      <c r="H1227" t="n">
        <v>0</v>
      </c>
      <c r="I1227" t="n">
        <v>0</v>
      </c>
      <c r="J1227" t="n">
        <v>0</v>
      </c>
      <c r="K1227" t="n">
        <v>0</v>
      </c>
      <c r="L1227" t="n">
        <v>0</v>
      </c>
      <c r="M1227" t="n">
        <v>0</v>
      </c>
      <c r="N1227" t="n">
        <v>0</v>
      </c>
      <c r="O1227" t="n">
        <v>0</v>
      </c>
      <c r="P1227" t="n">
        <v>0</v>
      </c>
      <c r="Q1227" t="n">
        <v>0</v>
      </c>
      <c r="R1227" s="2" t="inlineStr"/>
    </row>
    <row r="1228" ht="15" customHeight="1">
      <c r="A1228" t="inlineStr">
        <is>
          <t>A 1045-2026</t>
        </is>
      </c>
      <c r="B1228" s="1" t="n">
        <v>46030</v>
      </c>
      <c r="C1228" s="1" t="n">
        <v>46204</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1148-2026</t>
        </is>
      </c>
      <c r="B1229" s="1" t="n">
        <v>46030</v>
      </c>
      <c r="C1229" s="1" t="n">
        <v>46204</v>
      </c>
      <c r="D1229" t="inlineStr">
        <is>
          <t>VÄRMLANDS LÄN</t>
        </is>
      </c>
      <c r="E1229" t="inlineStr">
        <is>
          <t>TORSBY</t>
        </is>
      </c>
      <c r="F1229" t="inlineStr">
        <is>
          <t>Bergvik skog väst AB</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37822-2023</t>
        </is>
      </c>
      <c r="B1230" s="1" t="n">
        <v>45160</v>
      </c>
      <c r="C1230" s="1" t="n">
        <v>46204</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23860-2026</t>
        </is>
      </c>
      <c r="B1231" s="1" t="n">
        <v>46167</v>
      </c>
      <c r="C1231" s="1" t="n">
        <v>46204</v>
      </c>
      <c r="D1231" t="inlineStr">
        <is>
          <t>VÄRMLANDS LÄN</t>
        </is>
      </c>
      <c r="E1231" t="inlineStr">
        <is>
          <t>TORSBY</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18136-2026</t>
        </is>
      </c>
      <c r="B1232" s="1" t="n">
        <v>46125</v>
      </c>
      <c r="C1232" s="1" t="n">
        <v>46204</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1635-2026</t>
        </is>
      </c>
      <c r="B1233" s="1" t="n">
        <v>46034</v>
      </c>
      <c r="C1233" s="1" t="n">
        <v>46204</v>
      </c>
      <c r="D1233" t="inlineStr">
        <is>
          <t>VÄRMLANDS LÄN</t>
        </is>
      </c>
      <c r="E1233" t="inlineStr">
        <is>
          <t>TORSBY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2008-2026</t>
        </is>
      </c>
      <c r="B1234" s="1" t="n">
        <v>46035</v>
      </c>
      <c r="C1234" s="1" t="n">
        <v>46204</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2005-2026</t>
        </is>
      </c>
      <c r="B1235" s="1" t="n">
        <v>46035</v>
      </c>
      <c r="C1235" s="1" t="n">
        <v>46204</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1428-2026</t>
        </is>
      </c>
      <c r="B1236" s="1" t="n">
        <v>46032</v>
      </c>
      <c r="C1236" s="1" t="n">
        <v>46204</v>
      </c>
      <c r="D1236" t="inlineStr">
        <is>
          <t>VÄRMLANDS LÄN</t>
        </is>
      </c>
      <c r="E1236" t="inlineStr">
        <is>
          <t>TORSBY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23851-2026</t>
        </is>
      </c>
      <c r="B1237" s="1" t="n">
        <v>46167</v>
      </c>
      <c r="C1237" s="1" t="n">
        <v>46204</v>
      </c>
      <c r="D1237" t="inlineStr">
        <is>
          <t>VÄRMLANDS LÄN</t>
        </is>
      </c>
      <c r="E1237" t="inlineStr">
        <is>
          <t>TORSBY</t>
        </is>
      </c>
      <c r="F1237" t="inlineStr">
        <is>
          <t>Bergvik skog väst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21825-2024</t>
        </is>
      </c>
      <c r="B1238" s="1" t="n">
        <v>45442</v>
      </c>
      <c r="C1238" s="1" t="n">
        <v>46204</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20721-2023</t>
        </is>
      </c>
      <c r="B1239" s="1" t="n">
        <v>45058</v>
      </c>
      <c r="C1239" s="1" t="n">
        <v>46204</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2559-2026</t>
        </is>
      </c>
      <c r="B1240" s="1" t="n">
        <v>46037</v>
      </c>
      <c r="C1240" s="1" t="n">
        <v>46204</v>
      </c>
      <c r="D1240" t="inlineStr">
        <is>
          <t>VÄRMLANDS LÄN</t>
        </is>
      </c>
      <c r="E1240" t="inlineStr">
        <is>
          <t>TORSBY</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2351-2026</t>
        </is>
      </c>
      <c r="B1241" s="1" t="n">
        <v>46036</v>
      </c>
      <c r="C1241" s="1" t="n">
        <v>46204</v>
      </c>
      <c r="D1241" t="inlineStr">
        <is>
          <t>VÄRMLANDS LÄN</t>
        </is>
      </c>
      <c r="E1241" t="inlineStr">
        <is>
          <t>TORSBY</t>
        </is>
      </c>
      <c r="F1241" t="inlineStr">
        <is>
          <t>Bergvik skog väst AB</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3667-2023</t>
        </is>
      </c>
      <c r="B1242" s="1" t="n">
        <v>44950</v>
      </c>
      <c r="C1242" s="1" t="n">
        <v>46204</v>
      </c>
      <c r="D1242" t="inlineStr">
        <is>
          <t>VÄRMLANDS LÄN</t>
        </is>
      </c>
      <c r="E1242" t="inlineStr">
        <is>
          <t>TORSBY</t>
        </is>
      </c>
      <c r="G1242" t="n">
        <v>21.2</v>
      </c>
      <c r="H1242" t="n">
        <v>0</v>
      </c>
      <c r="I1242" t="n">
        <v>0</v>
      </c>
      <c r="J1242" t="n">
        <v>0</v>
      </c>
      <c r="K1242" t="n">
        <v>0</v>
      </c>
      <c r="L1242" t="n">
        <v>0</v>
      </c>
      <c r="M1242" t="n">
        <v>0</v>
      </c>
      <c r="N1242" t="n">
        <v>0</v>
      </c>
      <c r="O1242" t="n">
        <v>0</v>
      </c>
      <c r="P1242" t="n">
        <v>0</v>
      </c>
      <c r="Q1242" t="n">
        <v>0</v>
      </c>
      <c r="R1242" s="2" t="inlineStr"/>
    </row>
    <row r="1243" ht="15" customHeight="1">
      <c r="A1243" t="inlineStr">
        <is>
          <t>A 2279-2026</t>
        </is>
      </c>
      <c r="B1243" s="1" t="n">
        <v>46036</v>
      </c>
      <c r="C1243" s="1" t="n">
        <v>46204</v>
      </c>
      <c r="D1243" t="inlineStr">
        <is>
          <t>VÄRMLANDS LÄN</t>
        </is>
      </c>
      <c r="E1243" t="inlineStr">
        <is>
          <t>TORSBY</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2687-2026</t>
        </is>
      </c>
      <c r="B1244" s="1" t="n">
        <v>46037</v>
      </c>
      <c r="C1244" s="1" t="n">
        <v>46204</v>
      </c>
      <c r="D1244" t="inlineStr">
        <is>
          <t>VÄRMLANDS LÄN</t>
        </is>
      </c>
      <c r="E1244" t="inlineStr">
        <is>
          <t>TORSBY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42615-2021</t>
        </is>
      </c>
      <c r="B1245" s="1" t="n">
        <v>44428</v>
      </c>
      <c r="C1245" s="1" t="n">
        <v>46204</v>
      </c>
      <c r="D1245" t="inlineStr">
        <is>
          <t>VÄRMLANDS LÄN</t>
        </is>
      </c>
      <c r="E1245" t="inlineStr">
        <is>
          <t>TORSBY</t>
        </is>
      </c>
      <c r="F1245" t="inlineStr">
        <is>
          <t>Bergvik skog väst AB</t>
        </is>
      </c>
      <c r="G1245" t="n">
        <v>37.2</v>
      </c>
      <c r="H1245" t="n">
        <v>0</v>
      </c>
      <c r="I1245" t="n">
        <v>0</v>
      </c>
      <c r="J1245" t="n">
        <v>0</v>
      </c>
      <c r="K1245" t="n">
        <v>0</v>
      </c>
      <c r="L1245" t="n">
        <v>0</v>
      </c>
      <c r="M1245" t="n">
        <v>0</v>
      </c>
      <c r="N1245" t="n">
        <v>0</v>
      </c>
      <c r="O1245" t="n">
        <v>0</v>
      </c>
      <c r="P1245" t="n">
        <v>0</v>
      </c>
      <c r="Q1245" t="n">
        <v>0</v>
      </c>
      <c r="R1245" s="2" t="inlineStr"/>
    </row>
    <row r="1246" ht="15" customHeight="1">
      <c r="A1246" t="inlineStr">
        <is>
          <t>A 18337-2024</t>
        </is>
      </c>
      <c r="B1246" s="1" t="n">
        <v>45422</v>
      </c>
      <c r="C1246" s="1" t="n">
        <v>46204</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43111-2022</t>
        </is>
      </c>
      <c r="B1247" s="1" t="n">
        <v>44833</v>
      </c>
      <c r="C1247" s="1" t="n">
        <v>46204</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3211-2026</t>
        </is>
      </c>
      <c r="B1248" s="1" t="n">
        <v>46041</v>
      </c>
      <c r="C1248" s="1" t="n">
        <v>46204</v>
      </c>
      <c r="D1248" t="inlineStr">
        <is>
          <t>VÄRMLANDS LÄN</t>
        </is>
      </c>
      <c r="E1248" t="inlineStr">
        <is>
          <t>TORSBY</t>
        </is>
      </c>
      <c r="F1248" t="inlineStr">
        <is>
          <t>Bergvik skog väst AB</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2960-2026</t>
        </is>
      </c>
      <c r="B1249" s="1" t="n">
        <v>46038</v>
      </c>
      <c r="C1249" s="1" t="n">
        <v>46204</v>
      </c>
      <c r="D1249" t="inlineStr">
        <is>
          <t>VÄRMLANDS LÄN</t>
        </is>
      </c>
      <c r="E1249" t="inlineStr">
        <is>
          <t>TORSBY</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2856-2026</t>
        </is>
      </c>
      <c r="B1250" s="1" t="n">
        <v>46038</v>
      </c>
      <c r="C1250" s="1" t="n">
        <v>46204</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392-2025</t>
        </is>
      </c>
      <c r="B1251" s="1" t="n">
        <v>45663</v>
      </c>
      <c r="C1251" s="1" t="n">
        <v>46204</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2865-2026</t>
        </is>
      </c>
      <c r="B1252" s="1" t="n">
        <v>46038</v>
      </c>
      <c r="C1252" s="1" t="n">
        <v>46204</v>
      </c>
      <c r="D1252" t="inlineStr">
        <is>
          <t>VÄRMLANDS LÄN</t>
        </is>
      </c>
      <c r="E1252" t="inlineStr">
        <is>
          <t>TORSBY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2861-2026</t>
        </is>
      </c>
      <c r="B1253" s="1" t="n">
        <v>46038</v>
      </c>
      <c r="C1253" s="1" t="n">
        <v>46204</v>
      </c>
      <c r="D1253" t="inlineStr">
        <is>
          <t>VÄRMLANDS LÄN</t>
        </is>
      </c>
      <c r="E1253" t="inlineStr">
        <is>
          <t>TORSBY</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2966-2026</t>
        </is>
      </c>
      <c r="B1254" s="1" t="n">
        <v>46038</v>
      </c>
      <c r="C1254" s="1" t="n">
        <v>46204</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27273-2024</t>
        </is>
      </c>
      <c r="B1255" s="1" t="n">
        <v>45471</v>
      </c>
      <c r="C1255" s="1" t="n">
        <v>46204</v>
      </c>
      <c r="D1255" t="inlineStr">
        <is>
          <t>VÄRMLANDS LÄN</t>
        </is>
      </c>
      <c r="E1255" t="inlineStr">
        <is>
          <t>TORSBY</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27275-2024</t>
        </is>
      </c>
      <c r="B1256" s="1" t="n">
        <v>45471</v>
      </c>
      <c r="C1256" s="1" t="n">
        <v>46204</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1947-2023</t>
        </is>
      </c>
      <c r="B1257" s="1" t="n">
        <v>44939</v>
      </c>
      <c r="C1257" s="1" t="n">
        <v>46204</v>
      </c>
      <c r="D1257" t="inlineStr">
        <is>
          <t>VÄRMLANDS LÄN</t>
        </is>
      </c>
      <c r="E1257" t="inlineStr">
        <is>
          <t>TORSBY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3409-2026</t>
        </is>
      </c>
      <c r="B1258" s="1" t="n">
        <v>46042</v>
      </c>
      <c r="C1258" s="1" t="n">
        <v>46204</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3417-2026</t>
        </is>
      </c>
      <c r="B1259" s="1" t="n">
        <v>46042</v>
      </c>
      <c r="C1259" s="1" t="n">
        <v>46204</v>
      </c>
      <c r="D1259" t="inlineStr">
        <is>
          <t>VÄRMLANDS LÄN</t>
        </is>
      </c>
      <c r="E1259" t="inlineStr">
        <is>
          <t>TORSBY</t>
        </is>
      </c>
      <c r="F1259" t="inlineStr">
        <is>
          <t>Bergvik skog väst AB</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18690-2026</t>
        </is>
      </c>
      <c r="B1260" s="1" t="n">
        <v>46128</v>
      </c>
      <c r="C1260" s="1" t="n">
        <v>46204</v>
      </c>
      <c r="D1260" t="inlineStr">
        <is>
          <t>VÄRMLANDS LÄN</t>
        </is>
      </c>
      <c r="E1260" t="inlineStr">
        <is>
          <t>TORSBY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3414-2026</t>
        </is>
      </c>
      <c r="B1261" s="1" t="n">
        <v>46042</v>
      </c>
      <c r="C1261" s="1" t="n">
        <v>46204</v>
      </c>
      <c r="D1261" t="inlineStr">
        <is>
          <t>VÄRMLANDS LÄN</t>
        </is>
      </c>
      <c r="E1261" t="inlineStr">
        <is>
          <t>TORSBY</t>
        </is>
      </c>
      <c r="F1261" t="inlineStr">
        <is>
          <t>Bergvik skog väst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60537-2024</t>
        </is>
      </c>
      <c r="B1262" s="1" t="n">
        <v>45643</v>
      </c>
      <c r="C1262" s="1" t="n">
        <v>46204</v>
      </c>
      <c r="D1262" t="inlineStr">
        <is>
          <t>VÄRMLANDS LÄN</t>
        </is>
      </c>
      <c r="E1262" t="inlineStr">
        <is>
          <t>TORSBY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3680-2026</t>
        </is>
      </c>
      <c r="B1263" s="1" t="n">
        <v>46043</v>
      </c>
      <c r="C1263" s="1" t="n">
        <v>46204</v>
      </c>
      <c r="D1263" t="inlineStr">
        <is>
          <t>VÄRMLANDS LÄN</t>
        </is>
      </c>
      <c r="E1263" t="inlineStr">
        <is>
          <t>TORSBY</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44342-2024</t>
        </is>
      </c>
      <c r="B1264" s="1" t="n">
        <v>45573</v>
      </c>
      <c r="C1264" s="1" t="n">
        <v>46204</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3685-2026</t>
        </is>
      </c>
      <c r="B1265" s="1" t="n">
        <v>46043</v>
      </c>
      <c r="C1265" s="1" t="n">
        <v>46204</v>
      </c>
      <c r="D1265" t="inlineStr">
        <is>
          <t>VÄRMLANDS LÄN</t>
        </is>
      </c>
      <c r="E1265" t="inlineStr">
        <is>
          <t>TORSBY</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4171-2026</t>
        </is>
      </c>
      <c r="B1266" s="1" t="n">
        <v>46044</v>
      </c>
      <c r="C1266" s="1" t="n">
        <v>46204</v>
      </c>
      <c r="D1266" t="inlineStr">
        <is>
          <t>VÄRMLANDS LÄN</t>
        </is>
      </c>
      <c r="E1266" t="inlineStr">
        <is>
          <t>TORSBY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12933-2023</t>
        </is>
      </c>
      <c r="B1267" s="1" t="n">
        <v>45001</v>
      </c>
      <c r="C1267" s="1" t="n">
        <v>46204</v>
      </c>
      <c r="D1267" t="inlineStr">
        <is>
          <t>VÄRMLANDS LÄN</t>
        </is>
      </c>
      <c r="E1267" t="inlineStr">
        <is>
          <t>TORSBY</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18447-2025</t>
        </is>
      </c>
      <c r="B1268" s="1" t="n">
        <v>45762</v>
      </c>
      <c r="C1268" s="1" t="n">
        <v>46204</v>
      </c>
      <c r="D1268" t="inlineStr">
        <is>
          <t>VÄRMLANDS LÄN</t>
        </is>
      </c>
      <c r="E1268" t="inlineStr">
        <is>
          <t>TORSBY</t>
        </is>
      </c>
      <c r="G1268" t="n">
        <v>12.8</v>
      </c>
      <c r="H1268" t="n">
        <v>0</v>
      </c>
      <c r="I1268" t="n">
        <v>0</v>
      </c>
      <c r="J1268" t="n">
        <v>0</v>
      </c>
      <c r="K1268" t="n">
        <v>0</v>
      </c>
      <c r="L1268" t="n">
        <v>0</v>
      </c>
      <c r="M1268" t="n">
        <v>0</v>
      </c>
      <c r="N1268" t="n">
        <v>0</v>
      </c>
      <c r="O1268" t="n">
        <v>0</v>
      </c>
      <c r="P1268" t="n">
        <v>0</v>
      </c>
      <c r="Q1268" t="n">
        <v>0</v>
      </c>
      <c r="R1268" s="2" t="inlineStr"/>
    </row>
    <row r="1269" ht="15" customHeight="1">
      <c r="A1269" t="inlineStr">
        <is>
          <t>A 44838-2024</t>
        </is>
      </c>
      <c r="B1269" s="1" t="n">
        <v>45574</v>
      </c>
      <c r="C1269" s="1" t="n">
        <v>46204</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16362-2025</t>
        </is>
      </c>
      <c r="B1270" s="1" t="n">
        <v>45751</v>
      </c>
      <c r="C1270" s="1" t="n">
        <v>46204</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20060-2025</t>
        </is>
      </c>
      <c r="B1271" s="1" t="n">
        <v>45772</v>
      </c>
      <c r="C1271" s="1" t="n">
        <v>46204</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27292-2024</t>
        </is>
      </c>
      <c r="B1272" s="1" t="n">
        <v>45471</v>
      </c>
      <c r="C1272" s="1" t="n">
        <v>46204</v>
      </c>
      <c r="D1272" t="inlineStr">
        <is>
          <t>VÄRMLANDS LÄN</t>
        </is>
      </c>
      <c r="E1272" t="inlineStr">
        <is>
          <t>TORSBY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53570-2024</t>
        </is>
      </c>
      <c r="B1273" s="1" t="n">
        <v>45614</v>
      </c>
      <c r="C1273" s="1" t="n">
        <v>46204</v>
      </c>
      <c r="D1273" t="inlineStr">
        <is>
          <t>VÄRMLANDS LÄN</t>
        </is>
      </c>
      <c r="E1273" t="inlineStr">
        <is>
          <t>TORSBY</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29702-2025</t>
        </is>
      </c>
      <c r="B1274" s="1" t="n">
        <v>45825</v>
      </c>
      <c r="C1274" s="1" t="n">
        <v>46204</v>
      </c>
      <c r="D1274" t="inlineStr">
        <is>
          <t>VÄRMLANDS LÄN</t>
        </is>
      </c>
      <c r="E1274" t="inlineStr">
        <is>
          <t>TORSBY</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37381-2025</t>
        </is>
      </c>
      <c r="B1275" s="1" t="n">
        <v>45877</v>
      </c>
      <c r="C1275" s="1" t="n">
        <v>46204</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3940-2026</t>
        </is>
      </c>
      <c r="B1276" s="1" t="n">
        <v>46043</v>
      </c>
      <c r="C1276" s="1" t="n">
        <v>46204</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33189-2025</t>
        </is>
      </c>
      <c r="B1277" s="1" t="n">
        <v>45840</v>
      </c>
      <c r="C1277" s="1" t="n">
        <v>46204</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53583-2024</t>
        </is>
      </c>
      <c r="B1278" s="1" t="n">
        <v>45614</v>
      </c>
      <c r="C1278" s="1" t="n">
        <v>46204</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17488-2023</t>
        </is>
      </c>
      <c r="B1279" s="1" t="n">
        <v>45036</v>
      </c>
      <c r="C1279" s="1" t="n">
        <v>46204</v>
      </c>
      <c r="D1279" t="inlineStr">
        <is>
          <t>VÄRMLANDS LÄN</t>
        </is>
      </c>
      <c r="E1279" t="inlineStr">
        <is>
          <t>TORSBY</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15885-2025</t>
        </is>
      </c>
      <c r="B1280" s="1" t="n">
        <v>45749</v>
      </c>
      <c r="C1280" s="1" t="n">
        <v>46204</v>
      </c>
      <c r="D1280" t="inlineStr">
        <is>
          <t>VÄRMLANDS LÄN</t>
        </is>
      </c>
      <c r="E1280" t="inlineStr">
        <is>
          <t>TORSBY</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17062-2025</t>
        </is>
      </c>
      <c r="B1281" s="1" t="n">
        <v>45754</v>
      </c>
      <c r="C1281" s="1" t="n">
        <v>46204</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11153-2024</t>
        </is>
      </c>
      <c r="B1282" s="1" t="n">
        <v>45371</v>
      </c>
      <c r="C1282" s="1" t="n">
        <v>46204</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52057-2024</t>
        </is>
      </c>
      <c r="B1283" s="1" t="n">
        <v>45608</v>
      </c>
      <c r="C1283" s="1" t="n">
        <v>46204</v>
      </c>
      <c r="D1283" t="inlineStr">
        <is>
          <t>VÄRMLANDS LÄN</t>
        </is>
      </c>
      <c r="E1283" t="inlineStr">
        <is>
          <t>TORSBY</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52062-2024</t>
        </is>
      </c>
      <c r="B1284" s="1" t="n">
        <v>45608</v>
      </c>
      <c r="C1284" s="1" t="n">
        <v>46204</v>
      </c>
      <c r="D1284" t="inlineStr">
        <is>
          <t>VÄRMLANDS LÄN</t>
        </is>
      </c>
      <c r="E1284" t="inlineStr">
        <is>
          <t>TORSBY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11670-2025</t>
        </is>
      </c>
      <c r="B1285" s="1" t="n">
        <v>45727</v>
      </c>
      <c r="C1285" s="1" t="n">
        <v>46204</v>
      </c>
      <c r="D1285" t="inlineStr">
        <is>
          <t>VÄRMLANDS LÄN</t>
        </is>
      </c>
      <c r="E1285" t="inlineStr">
        <is>
          <t>TORSBY</t>
        </is>
      </c>
      <c r="G1285" t="n">
        <v>10.9</v>
      </c>
      <c r="H1285" t="n">
        <v>0</v>
      </c>
      <c r="I1285" t="n">
        <v>0</v>
      </c>
      <c r="J1285" t="n">
        <v>0</v>
      </c>
      <c r="K1285" t="n">
        <v>0</v>
      </c>
      <c r="L1285" t="n">
        <v>0</v>
      </c>
      <c r="M1285" t="n">
        <v>0</v>
      </c>
      <c r="N1285" t="n">
        <v>0</v>
      </c>
      <c r="O1285" t="n">
        <v>0</v>
      </c>
      <c r="P1285" t="n">
        <v>0</v>
      </c>
      <c r="Q1285" t="n">
        <v>0</v>
      </c>
      <c r="R1285" s="2" t="inlineStr"/>
    </row>
    <row r="1286" ht="15" customHeight="1">
      <c r="A1286" t="inlineStr">
        <is>
          <t>A 4908-2024</t>
        </is>
      </c>
      <c r="B1286" s="1" t="n">
        <v>45329</v>
      </c>
      <c r="C1286" s="1" t="n">
        <v>46204</v>
      </c>
      <c r="D1286" t="inlineStr">
        <is>
          <t>VÄRMLANDS LÄN</t>
        </is>
      </c>
      <c r="E1286" t="inlineStr">
        <is>
          <t>TORSBY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24732-2026</t>
        </is>
      </c>
      <c r="B1287" s="1" t="n">
        <v>46171</v>
      </c>
      <c r="C1287" s="1" t="n">
        <v>46204</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5088-2026</t>
        </is>
      </c>
      <c r="B1288" s="1" t="n">
        <v>46049</v>
      </c>
      <c r="C1288" s="1" t="n">
        <v>46204</v>
      </c>
      <c r="D1288" t="inlineStr">
        <is>
          <t>VÄRMLANDS LÄN</t>
        </is>
      </c>
      <c r="E1288" t="inlineStr">
        <is>
          <t>TORSBY</t>
        </is>
      </c>
      <c r="F1288" t="inlineStr">
        <is>
          <t>Bergvik skog väst AB</t>
        </is>
      </c>
      <c r="G1288" t="n">
        <v>18.3</v>
      </c>
      <c r="H1288" t="n">
        <v>0</v>
      </c>
      <c r="I1288" t="n">
        <v>0</v>
      </c>
      <c r="J1288" t="n">
        <v>0</v>
      </c>
      <c r="K1288" t="n">
        <v>0</v>
      </c>
      <c r="L1288" t="n">
        <v>0</v>
      </c>
      <c r="M1288" t="n">
        <v>0</v>
      </c>
      <c r="N1288" t="n">
        <v>0</v>
      </c>
      <c r="O1288" t="n">
        <v>0</v>
      </c>
      <c r="P1288" t="n">
        <v>0</v>
      </c>
      <c r="Q1288" t="n">
        <v>0</v>
      </c>
      <c r="R1288" s="2" t="inlineStr"/>
    </row>
    <row r="1289" ht="15" customHeight="1">
      <c r="A1289" t="inlineStr">
        <is>
          <t>A 4703-2026</t>
        </is>
      </c>
      <c r="B1289" s="1" t="n">
        <v>46048</v>
      </c>
      <c r="C1289" s="1" t="n">
        <v>46204</v>
      </c>
      <c r="D1289" t="inlineStr">
        <is>
          <t>VÄRMLANDS LÄN</t>
        </is>
      </c>
      <c r="E1289" t="inlineStr">
        <is>
          <t>TORSBY</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4988-2026</t>
        </is>
      </c>
      <c r="B1290" s="1" t="n">
        <v>46049</v>
      </c>
      <c r="C1290" s="1" t="n">
        <v>46204</v>
      </c>
      <c r="D1290" t="inlineStr">
        <is>
          <t>VÄRMLANDS LÄN</t>
        </is>
      </c>
      <c r="E1290" t="inlineStr">
        <is>
          <t>TORSBY</t>
        </is>
      </c>
      <c r="F1290" t="inlineStr">
        <is>
          <t>Bergvik skog väst AB</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11575-2024</t>
        </is>
      </c>
      <c r="B1291" s="1" t="n">
        <v>45373</v>
      </c>
      <c r="C1291" s="1" t="n">
        <v>46204</v>
      </c>
      <c r="D1291" t="inlineStr">
        <is>
          <t>VÄRMLANDS LÄN</t>
        </is>
      </c>
      <c r="E1291" t="inlineStr">
        <is>
          <t>TORSBY</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5084-2026</t>
        </is>
      </c>
      <c r="B1292" s="1" t="n">
        <v>46049</v>
      </c>
      <c r="C1292" s="1" t="n">
        <v>46204</v>
      </c>
      <c r="D1292" t="inlineStr">
        <is>
          <t>VÄRMLANDS LÄN</t>
        </is>
      </c>
      <c r="E1292" t="inlineStr">
        <is>
          <t>TORSBY</t>
        </is>
      </c>
      <c r="F1292" t="inlineStr">
        <is>
          <t>Bergvik skog väst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5193-2026</t>
        </is>
      </c>
      <c r="B1293" s="1" t="n">
        <v>46049</v>
      </c>
      <c r="C1293" s="1" t="n">
        <v>46204</v>
      </c>
      <c r="D1293" t="inlineStr">
        <is>
          <t>VÄRMLANDS LÄN</t>
        </is>
      </c>
      <c r="E1293" t="inlineStr">
        <is>
          <t>TORSBY</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39642-2021</t>
        </is>
      </c>
      <c r="B1294" s="1" t="n">
        <v>44417</v>
      </c>
      <c r="C1294" s="1" t="n">
        <v>46204</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14945-2023</t>
        </is>
      </c>
      <c r="B1295" s="1" t="n">
        <v>45014</v>
      </c>
      <c r="C1295" s="1" t="n">
        <v>46204</v>
      </c>
      <c r="D1295" t="inlineStr">
        <is>
          <t>VÄRMLANDS LÄN</t>
        </is>
      </c>
      <c r="E1295" t="inlineStr">
        <is>
          <t>TORSBY</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5562-2026</t>
        </is>
      </c>
      <c r="B1296" s="1" t="n">
        <v>46050</v>
      </c>
      <c r="C1296" s="1" t="n">
        <v>46204</v>
      </c>
      <c r="D1296" t="inlineStr">
        <is>
          <t>VÄRMLANDS LÄN</t>
        </is>
      </c>
      <c r="E1296" t="inlineStr">
        <is>
          <t>TORSBY</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55100-2023</t>
        </is>
      </c>
      <c r="B1297" s="1" t="n">
        <v>45237</v>
      </c>
      <c r="C1297" s="1" t="n">
        <v>46204</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5639-2026</t>
        </is>
      </c>
      <c r="B1298" s="1" t="n">
        <v>46051</v>
      </c>
      <c r="C1298" s="1" t="n">
        <v>46204</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5493-2026</t>
        </is>
      </c>
      <c r="B1299" s="1" t="n">
        <v>46050</v>
      </c>
      <c r="C1299" s="1" t="n">
        <v>46204</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5554-2026</t>
        </is>
      </c>
      <c r="B1300" s="1" t="n">
        <v>46050</v>
      </c>
      <c r="C1300" s="1" t="n">
        <v>46204</v>
      </c>
      <c r="D1300" t="inlineStr">
        <is>
          <t>VÄRMLANDS LÄN</t>
        </is>
      </c>
      <c r="E1300" t="inlineStr">
        <is>
          <t>TORSBY</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5714-2026</t>
        </is>
      </c>
      <c r="B1301" s="1" t="n">
        <v>46051</v>
      </c>
      <c r="C1301" s="1" t="n">
        <v>46204</v>
      </c>
      <c r="D1301" t="inlineStr">
        <is>
          <t>VÄRMLANDS LÄN</t>
        </is>
      </c>
      <c r="E1301" t="inlineStr">
        <is>
          <t>TORSBY</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5553-2026</t>
        </is>
      </c>
      <c r="B1302" s="1" t="n">
        <v>46050</v>
      </c>
      <c r="C1302" s="1" t="n">
        <v>46204</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5720-2026</t>
        </is>
      </c>
      <c r="B1303" s="1" t="n">
        <v>46051</v>
      </c>
      <c r="C1303" s="1" t="n">
        <v>46204</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24739-2026</t>
        </is>
      </c>
      <c r="B1304" s="1" t="n">
        <v>46171</v>
      </c>
      <c r="C1304" s="1" t="n">
        <v>46204</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24755-2026</t>
        </is>
      </c>
      <c r="B1305" s="1" t="n">
        <v>46171</v>
      </c>
      <c r="C1305" s="1" t="n">
        <v>46204</v>
      </c>
      <c r="D1305" t="inlineStr">
        <is>
          <t>VÄRMLANDS LÄN</t>
        </is>
      </c>
      <c r="E1305" t="inlineStr">
        <is>
          <t>TORSBY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27086-2024</t>
        </is>
      </c>
      <c r="B1306" s="1" t="n">
        <v>45471</v>
      </c>
      <c r="C1306" s="1" t="n">
        <v>46204</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18927-2026</t>
        </is>
      </c>
      <c r="B1307" s="1" t="n">
        <v>46129</v>
      </c>
      <c r="C1307" s="1" t="n">
        <v>46204</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5979-2026</t>
        </is>
      </c>
      <c r="B1308" s="1" t="n">
        <v>46052</v>
      </c>
      <c r="C1308" s="1" t="n">
        <v>46204</v>
      </c>
      <c r="D1308" t="inlineStr">
        <is>
          <t>VÄRMLANDS LÄN</t>
        </is>
      </c>
      <c r="E1308" t="inlineStr">
        <is>
          <t>TORSBY</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5976-2026</t>
        </is>
      </c>
      <c r="B1309" s="1" t="n">
        <v>46052</v>
      </c>
      <c r="C1309" s="1" t="n">
        <v>46204</v>
      </c>
      <c r="D1309" t="inlineStr">
        <is>
          <t>VÄRMLANDS LÄN</t>
        </is>
      </c>
      <c r="E1309" t="inlineStr">
        <is>
          <t>TORSBY</t>
        </is>
      </c>
      <c r="F1309" t="inlineStr">
        <is>
          <t>Bergvik skog väst AB</t>
        </is>
      </c>
      <c r="G1309" t="n">
        <v>18.4</v>
      </c>
      <c r="H1309" t="n">
        <v>0</v>
      </c>
      <c r="I1309" t="n">
        <v>0</v>
      </c>
      <c r="J1309" t="n">
        <v>0</v>
      </c>
      <c r="K1309" t="n">
        <v>0</v>
      </c>
      <c r="L1309" t="n">
        <v>0</v>
      </c>
      <c r="M1309" t="n">
        <v>0</v>
      </c>
      <c r="N1309" t="n">
        <v>0</v>
      </c>
      <c r="O1309" t="n">
        <v>0</v>
      </c>
      <c r="P1309" t="n">
        <v>0</v>
      </c>
      <c r="Q1309" t="n">
        <v>0</v>
      </c>
      <c r="R1309" s="2" t="inlineStr"/>
    </row>
    <row r="1310" ht="15" customHeight="1">
      <c r="A1310" t="inlineStr">
        <is>
          <t>A 6322-2026</t>
        </is>
      </c>
      <c r="B1310" s="1" t="n">
        <v>46055</v>
      </c>
      <c r="C1310" s="1" t="n">
        <v>46204</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5983-2026</t>
        </is>
      </c>
      <c r="B1311" s="1" t="n">
        <v>46052</v>
      </c>
      <c r="C1311" s="1" t="n">
        <v>46204</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24287-2026</t>
        </is>
      </c>
      <c r="B1312" s="1" t="n">
        <v>46169</v>
      </c>
      <c r="C1312" s="1" t="n">
        <v>46204</v>
      </c>
      <c r="D1312" t="inlineStr">
        <is>
          <t>VÄRMLANDS LÄN</t>
        </is>
      </c>
      <c r="E1312" t="inlineStr">
        <is>
          <t>TORSBY</t>
        </is>
      </c>
      <c r="F1312" t="inlineStr">
        <is>
          <t>Bergvik skog väst AB</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6084-2026</t>
        </is>
      </c>
      <c r="B1313" s="1" t="n">
        <v>46052</v>
      </c>
      <c r="C1313" s="1" t="n">
        <v>46204</v>
      </c>
      <c r="D1313" t="inlineStr">
        <is>
          <t>VÄRMLANDS LÄN</t>
        </is>
      </c>
      <c r="E1313" t="inlineStr">
        <is>
          <t>TORSBY</t>
        </is>
      </c>
      <c r="G1313" t="n">
        <v>19.5</v>
      </c>
      <c r="H1313" t="n">
        <v>0</v>
      </c>
      <c r="I1313" t="n">
        <v>0</v>
      </c>
      <c r="J1313" t="n">
        <v>0</v>
      </c>
      <c r="K1313" t="n">
        <v>0</v>
      </c>
      <c r="L1313" t="n">
        <v>0</v>
      </c>
      <c r="M1313" t="n">
        <v>0</v>
      </c>
      <c r="N1313" t="n">
        <v>0</v>
      </c>
      <c r="O1313" t="n">
        <v>0</v>
      </c>
      <c r="P1313" t="n">
        <v>0</v>
      </c>
      <c r="Q1313" t="n">
        <v>0</v>
      </c>
      <c r="R1313" s="2" t="inlineStr"/>
    </row>
    <row r="1314" ht="15" customHeight="1">
      <c r="A1314" t="inlineStr">
        <is>
          <t>A 18912-2026</t>
        </is>
      </c>
      <c r="B1314" s="1" t="n">
        <v>46129</v>
      </c>
      <c r="C1314" s="1" t="n">
        <v>46204</v>
      </c>
      <c r="D1314" t="inlineStr">
        <is>
          <t>VÄRMLANDS LÄN</t>
        </is>
      </c>
      <c r="E1314" t="inlineStr">
        <is>
          <t>TORSBY</t>
        </is>
      </c>
      <c r="F1314" t="inlineStr">
        <is>
          <t>Bergvik skog väst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44670-2023</t>
        </is>
      </c>
      <c r="B1315" s="1" t="n">
        <v>45189</v>
      </c>
      <c r="C1315" s="1" t="n">
        <v>46204</v>
      </c>
      <c r="D1315" t="inlineStr">
        <is>
          <t>VÄRMLANDS LÄN</t>
        </is>
      </c>
      <c r="E1315" t="inlineStr">
        <is>
          <t>TORSBY</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44710-2023</t>
        </is>
      </c>
      <c r="B1316" s="1" t="n">
        <v>45190</v>
      </c>
      <c r="C1316" s="1" t="n">
        <v>46204</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16488-2024</t>
        </is>
      </c>
      <c r="B1317" s="1" t="n">
        <v>45408</v>
      </c>
      <c r="C1317" s="1" t="n">
        <v>46204</v>
      </c>
      <c r="D1317" t="inlineStr">
        <is>
          <t>VÄRMLANDS LÄN</t>
        </is>
      </c>
      <c r="E1317" t="inlineStr">
        <is>
          <t>TORSBY</t>
        </is>
      </c>
      <c r="F1317" t="inlineStr">
        <is>
          <t>Bergvik skog väst AB</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16592-2024</t>
        </is>
      </c>
      <c r="B1318" s="1" t="n">
        <v>45408</v>
      </c>
      <c r="C1318" s="1" t="n">
        <v>46204</v>
      </c>
      <c r="D1318" t="inlineStr">
        <is>
          <t>VÄRMLANDS LÄN</t>
        </is>
      </c>
      <c r="E1318" t="inlineStr">
        <is>
          <t>TORSBY</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54014-2024</t>
        </is>
      </c>
      <c r="B1319" s="1" t="n">
        <v>45616</v>
      </c>
      <c r="C1319" s="1" t="n">
        <v>46204</v>
      </c>
      <c r="D1319" t="inlineStr">
        <is>
          <t>VÄRMLANDS LÄN</t>
        </is>
      </c>
      <c r="E1319" t="inlineStr">
        <is>
          <t>TORSBY</t>
        </is>
      </c>
      <c r="F1319" t="inlineStr">
        <is>
          <t>Kommuner</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44448-2024</t>
        </is>
      </c>
      <c r="B1320" s="1" t="n">
        <v>45574</v>
      </c>
      <c r="C1320" s="1" t="n">
        <v>46204</v>
      </c>
      <c r="D1320" t="inlineStr">
        <is>
          <t>VÄRMLANDS LÄN</t>
        </is>
      </c>
      <c r="E1320" t="inlineStr">
        <is>
          <t>TORSBY</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739-2022</t>
        </is>
      </c>
      <c r="B1321" s="1" t="n">
        <v>44568</v>
      </c>
      <c r="C1321" s="1" t="n">
        <v>46204</v>
      </c>
      <c r="D1321" t="inlineStr">
        <is>
          <t>VÄRMLANDS LÄN</t>
        </is>
      </c>
      <c r="E1321" t="inlineStr">
        <is>
          <t>TORSBY</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24940-2026</t>
        </is>
      </c>
      <c r="B1322" s="1" t="n">
        <v>46174</v>
      </c>
      <c r="C1322" s="1" t="n">
        <v>46204</v>
      </c>
      <c r="D1322" t="inlineStr">
        <is>
          <t>VÄRMLANDS LÄN</t>
        </is>
      </c>
      <c r="E1322" t="inlineStr">
        <is>
          <t>TORSBY</t>
        </is>
      </c>
      <c r="F1322" t="inlineStr">
        <is>
          <t>Bergvik skog väst AB</t>
        </is>
      </c>
      <c r="G1322" t="n">
        <v>22.7</v>
      </c>
      <c r="H1322" t="n">
        <v>0</v>
      </c>
      <c r="I1322" t="n">
        <v>0</v>
      </c>
      <c r="J1322" t="n">
        <v>0</v>
      </c>
      <c r="K1322" t="n">
        <v>0</v>
      </c>
      <c r="L1322" t="n">
        <v>0</v>
      </c>
      <c r="M1322" t="n">
        <v>0</v>
      </c>
      <c r="N1322" t="n">
        <v>0</v>
      </c>
      <c r="O1322" t="n">
        <v>0</v>
      </c>
      <c r="P1322" t="n">
        <v>0</v>
      </c>
      <c r="Q1322" t="n">
        <v>0</v>
      </c>
      <c r="R1322" s="2" t="inlineStr"/>
    </row>
    <row r="1323" ht="15" customHeight="1">
      <c r="A1323" t="inlineStr">
        <is>
          <t>A 36318-2022</t>
        </is>
      </c>
      <c r="B1323" s="1" t="n">
        <v>44803</v>
      </c>
      <c r="C1323" s="1" t="n">
        <v>46204</v>
      </c>
      <c r="D1323" t="inlineStr">
        <is>
          <t>VÄRMLANDS LÄN</t>
        </is>
      </c>
      <c r="E1323" t="inlineStr">
        <is>
          <t>TORSBY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7190-2026</t>
        </is>
      </c>
      <c r="B1324" s="1" t="n">
        <v>46058</v>
      </c>
      <c r="C1324" s="1" t="n">
        <v>46204</v>
      </c>
      <c r="D1324" t="inlineStr">
        <is>
          <t>VÄRMLANDS LÄN</t>
        </is>
      </c>
      <c r="E1324" t="inlineStr">
        <is>
          <t>TORSBY</t>
        </is>
      </c>
      <c r="F1324" t="inlineStr">
        <is>
          <t>Bergvik skog väst AB</t>
        </is>
      </c>
      <c r="G1324" t="n">
        <v>18.2</v>
      </c>
      <c r="H1324" t="n">
        <v>0</v>
      </c>
      <c r="I1324" t="n">
        <v>0</v>
      </c>
      <c r="J1324" t="n">
        <v>0</v>
      </c>
      <c r="K1324" t="n">
        <v>0</v>
      </c>
      <c r="L1324" t="n">
        <v>0</v>
      </c>
      <c r="M1324" t="n">
        <v>0</v>
      </c>
      <c r="N1324" t="n">
        <v>0</v>
      </c>
      <c r="O1324" t="n">
        <v>0</v>
      </c>
      <c r="P1324" t="n">
        <v>0</v>
      </c>
      <c r="Q1324" t="n">
        <v>0</v>
      </c>
      <c r="R1324" s="2" t="inlineStr"/>
    </row>
    <row r="1325" ht="15" customHeight="1">
      <c r="A1325" t="inlineStr">
        <is>
          <t>A 50380-2024</t>
        </is>
      </c>
      <c r="B1325" s="1" t="n">
        <v>45601</v>
      </c>
      <c r="C1325" s="1" t="n">
        <v>46204</v>
      </c>
      <c r="D1325" t="inlineStr">
        <is>
          <t>VÄRMLANDS LÄN</t>
        </is>
      </c>
      <c r="E1325" t="inlineStr">
        <is>
          <t>TORSBY</t>
        </is>
      </c>
      <c r="F1325" t="inlineStr">
        <is>
          <t>Bergvik skog väst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32444-2022</t>
        </is>
      </c>
      <c r="B1326" s="1" t="n">
        <v>44782</v>
      </c>
      <c r="C1326" s="1" t="n">
        <v>46204</v>
      </c>
      <c r="D1326" t="inlineStr">
        <is>
          <t>VÄRMLANDS LÄN</t>
        </is>
      </c>
      <c r="E1326" t="inlineStr">
        <is>
          <t>TORSBY</t>
        </is>
      </c>
      <c r="F1326" t="inlineStr">
        <is>
          <t>Bergvik skog väst AB</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19191-2026</t>
        </is>
      </c>
      <c r="B1327" s="1" t="n">
        <v>46132</v>
      </c>
      <c r="C1327" s="1" t="n">
        <v>46204</v>
      </c>
      <c r="D1327" t="inlineStr">
        <is>
          <t>VÄRMLANDS LÄN</t>
        </is>
      </c>
      <c r="E1327" t="inlineStr">
        <is>
          <t>TORSBY</t>
        </is>
      </c>
      <c r="F1327" t="inlineStr">
        <is>
          <t>Bergvik skog väst AB</t>
        </is>
      </c>
      <c r="G1327" t="n">
        <v>13.2</v>
      </c>
      <c r="H1327" t="n">
        <v>0</v>
      </c>
      <c r="I1327" t="n">
        <v>0</v>
      </c>
      <c r="J1327" t="n">
        <v>0</v>
      </c>
      <c r="K1327" t="n">
        <v>0</v>
      </c>
      <c r="L1327" t="n">
        <v>0</v>
      </c>
      <c r="M1327" t="n">
        <v>0</v>
      </c>
      <c r="N1327" t="n">
        <v>0</v>
      </c>
      <c r="O1327" t="n">
        <v>0</v>
      </c>
      <c r="P1327" t="n">
        <v>0</v>
      </c>
      <c r="Q1327" t="n">
        <v>0</v>
      </c>
      <c r="R1327" s="2" t="inlineStr"/>
    </row>
    <row r="1328" ht="15" customHeight="1">
      <c r="A1328" t="inlineStr">
        <is>
          <t>A 15773-2023</t>
        </is>
      </c>
      <c r="B1328" s="1" t="n">
        <v>45021</v>
      </c>
      <c r="C1328" s="1" t="n">
        <v>46204</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19069-2026</t>
        </is>
      </c>
      <c r="B1329" s="1" t="n">
        <v>46132</v>
      </c>
      <c r="C1329" s="1" t="n">
        <v>46204</v>
      </c>
      <c r="D1329" t="inlineStr">
        <is>
          <t>VÄRMLANDS LÄN</t>
        </is>
      </c>
      <c r="E1329" t="inlineStr">
        <is>
          <t>TORSBY</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24884-2026</t>
        </is>
      </c>
      <c r="B1330" s="1" t="n">
        <v>46174</v>
      </c>
      <c r="C1330" s="1" t="n">
        <v>46204</v>
      </c>
      <c r="D1330" t="inlineStr">
        <is>
          <t>VÄRMLANDS LÄN</t>
        </is>
      </c>
      <c r="E1330" t="inlineStr">
        <is>
          <t>TORSBY</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15992-2023</t>
        </is>
      </c>
      <c r="B1331" s="1" t="n">
        <v>45023</v>
      </c>
      <c r="C1331" s="1" t="n">
        <v>46204</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16044-2023</t>
        </is>
      </c>
      <c r="B1332" s="1" t="n">
        <v>45027</v>
      </c>
      <c r="C1332" s="1" t="n">
        <v>46204</v>
      </c>
      <c r="D1332" t="inlineStr">
        <is>
          <t>VÄRMLANDS LÄN</t>
        </is>
      </c>
      <c r="E1332" t="inlineStr">
        <is>
          <t>TORSBY</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19023-2026</t>
        </is>
      </c>
      <c r="B1333" s="1" t="n">
        <v>46131</v>
      </c>
      <c r="C1333" s="1" t="n">
        <v>46204</v>
      </c>
      <c r="D1333" t="inlineStr">
        <is>
          <t>VÄRMLANDS LÄN</t>
        </is>
      </c>
      <c r="E1333" t="inlineStr">
        <is>
          <t>TORSBY</t>
        </is>
      </c>
      <c r="F1333" t="inlineStr">
        <is>
          <t>Bergvik skog väst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10288-2025</t>
        </is>
      </c>
      <c r="B1334" s="1" t="n">
        <v>45720</v>
      </c>
      <c r="C1334" s="1" t="n">
        <v>46204</v>
      </c>
      <c r="D1334" t="inlineStr">
        <is>
          <t>VÄRMLANDS LÄN</t>
        </is>
      </c>
      <c r="E1334" t="inlineStr">
        <is>
          <t>TORSBY</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25257-2026</t>
        </is>
      </c>
      <c r="B1335" s="1" t="n">
        <v>46175</v>
      </c>
      <c r="C1335" s="1" t="n">
        <v>46204</v>
      </c>
      <c r="D1335" t="inlineStr">
        <is>
          <t>VÄRMLANDS LÄN</t>
        </is>
      </c>
      <c r="E1335" t="inlineStr">
        <is>
          <t>TORSBY</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19385-2026</t>
        </is>
      </c>
      <c r="B1336" s="1" t="n">
        <v>46133</v>
      </c>
      <c r="C1336" s="1" t="n">
        <v>46204</v>
      </c>
      <c r="D1336" t="inlineStr">
        <is>
          <t>VÄRMLANDS LÄN</t>
        </is>
      </c>
      <c r="E1336" t="inlineStr">
        <is>
          <t>TORSBY</t>
        </is>
      </c>
      <c r="F1336" t="inlineStr">
        <is>
          <t>Bergvik skog väst AB</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36050-2023</t>
        </is>
      </c>
      <c r="B1337" s="1" t="n">
        <v>45149</v>
      </c>
      <c r="C1337" s="1" t="n">
        <v>46204</v>
      </c>
      <c r="D1337" t="inlineStr">
        <is>
          <t>VÄRMLANDS LÄN</t>
        </is>
      </c>
      <c r="E1337" t="inlineStr">
        <is>
          <t>TORSBY</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19434-2026</t>
        </is>
      </c>
      <c r="B1338" s="1" t="n">
        <v>46133</v>
      </c>
      <c r="C1338" s="1" t="n">
        <v>46204</v>
      </c>
      <c r="D1338" t="inlineStr">
        <is>
          <t>VÄRMLANDS LÄN</t>
        </is>
      </c>
      <c r="E1338" t="inlineStr">
        <is>
          <t>TORSBY</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19211-2026</t>
        </is>
      </c>
      <c r="B1339" s="1" t="n">
        <v>46132</v>
      </c>
      <c r="C1339" s="1" t="n">
        <v>46204</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19096-2026</t>
        </is>
      </c>
      <c r="B1340" s="1" t="n">
        <v>46132</v>
      </c>
      <c r="C1340" s="1" t="n">
        <v>46204</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7645-2026</t>
        </is>
      </c>
      <c r="B1341" s="1" t="n">
        <v>46062</v>
      </c>
      <c r="C1341" s="1" t="n">
        <v>46204</v>
      </c>
      <c r="D1341" t="inlineStr">
        <is>
          <t>VÄRMLANDS LÄN</t>
        </is>
      </c>
      <c r="E1341" t="inlineStr">
        <is>
          <t>TORSBY</t>
        </is>
      </c>
      <c r="F1341" t="inlineStr">
        <is>
          <t>Övriga statliga verk och myndigheter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67457-2021</t>
        </is>
      </c>
      <c r="B1342" s="1" t="n">
        <v>44524</v>
      </c>
      <c r="C1342" s="1" t="n">
        <v>46204</v>
      </c>
      <c r="D1342" t="inlineStr">
        <is>
          <t>VÄRMLANDS LÄN</t>
        </is>
      </c>
      <c r="E1342" t="inlineStr">
        <is>
          <t>TORSBY</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21308-2024</t>
        </is>
      </c>
      <c r="B1343" s="1" t="n">
        <v>45440</v>
      </c>
      <c r="C1343" s="1" t="n">
        <v>46204</v>
      </c>
      <c r="D1343" t="inlineStr">
        <is>
          <t>VÄRMLANDS LÄN</t>
        </is>
      </c>
      <c r="E1343" t="inlineStr">
        <is>
          <t>TORSBY</t>
        </is>
      </c>
      <c r="G1343" t="n">
        <v>18.9</v>
      </c>
      <c r="H1343" t="n">
        <v>0</v>
      </c>
      <c r="I1343" t="n">
        <v>0</v>
      </c>
      <c r="J1343" t="n">
        <v>0</v>
      </c>
      <c r="K1343" t="n">
        <v>0</v>
      </c>
      <c r="L1343" t="n">
        <v>0</v>
      </c>
      <c r="M1343" t="n">
        <v>0</v>
      </c>
      <c r="N1343" t="n">
        <v>0</v>
      </c>
      <c r="O1343" t="n">
        <v>0</v>
      </c>
      <c r="P1343" t="n">
        <v>0</v>
      </c>
      <c r="Q1343" t="n">
        <v>0</v>
      </c>
      <c r="R1343" s="2" t="inlineStr"/>
    </row>
    <row r="1344" ht="15" customHeight="1">
      <c r="A1344" t="inlineStr">
        <is>
          <t>A 9067-2023</t>
        </is>
      </c>
      <c r="B1344" s="1" t="n">
        <v>44979</v>
      </c>
      <c r="C1344" s="1" t="n">
        <v>46204</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19887-2024</t>
        </is>
      </c>
      <c r="B1345" s="1" t="n">
        <v>45433</v>
      </c>
      <c r="C1345" s="1" t="n">
        <v>46204</v>
      </c>
      <c r="D1345" t="inlineStr">
        <is>
          <t>VÄRMLANDS LÄN</t>
        </is>
      </c>
      <c r="E1345" t="inlineStr">
        <is>
          <t>TORSBY</t>
        </is>
      </c>
      <c r="G1345" t="n">
        <v>10.1</v>
      </c>
      <c r="H1345" t="n">
        <v>0</v>
      </c>
      <c r="I1345" t="n">
        <v>0</v>
      </c>
      <c r="J1345" t="n">
        <v>0</v>
      </c>
      <c r="K1345" t="n">
        <v>0</v>
      </c>
      <c r="L1345" t="n">
        <v>0</v>
      </c>
      <c r="M1345" t="n">
        <v>0</v>
      </c>
      <c r="N1345" t="n">
        <v>0</v>
      </c>
      <c r="O1345" t="n">
        <v>0</v>
      </c>
      <c r="P1345" t="n">
        <v>0</v>
      </c>
      <c r="Q1345" t="n">
        <v>0</v>
      </c>
      <c r="R1345" s="2" t="inlineStr"/>
    </row>
    <row r="1346" ht="15" customHeight="1">
      <c r="A1346" t="inlineStr">
        <is>
          <t>A 19144-2026</t>
        </is>
      </c>
      <c r="B1346" s="1" t="n">
        <v>46132</v>
      </c>
      <c r="C1346" s="1" t="n">
        <v>46204</v>
      </c>
      <c r="D1346" t="inlineStr">
        <is>
          <t>VÄRMLANDS LÄN</t>
        </is>
      </c>
      <c r="E1346" t="inlineStr">
        <is>
          <t>TORSBY</t>
        </is>
      </c>
      <c r="F1346" t="inlineStr">
        <is>
          <t>Kommuner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24965-2023</t>
        </is>
      </c>
      <c r="B1347" s="1" t="n">
        <v>45085</v>
      </c>
      <c r="C1347" s="1" t="n">
        <v>46204</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24969-2023</t>
        </is>
      </c>
      <c r="B1348" s="1" t="n">
        <v>45085</v>
      </c>
      <c r="C1348" s="1" t="n">
        <v>46204</v>
      </c>
      <c r="D1348" t="inlineStr">
        <is>
          <t>VÄRMLANDS LÄN</t>
        </is>
      </c>
      <c r="E1348" t="inlineStr">
        <is>
          <t>TORSBY</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43137-2024</t>
        </is>
      </c>
      <c r="B1349" s="1" t="n">
        <v>45567</v>
      </c>
      <c r="C1349" s="1" t="n">
        <v>46204</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44150-2023</t>
        </is>
      </c>
      <c r="B1350" s="1" t="n">
        <v>45188</v>
      </c>
      <c r="C1350" s="1" t="n">
        <v>46204</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19627-2026</t>
        </is>
      </c>
      <c r="B1351" s="1" t="n">
        <v>46134</v>
      </c>
      <c r="C1351" s="1" t="n">
        <v>46204</v>
      </c>
      <c r="D1351" t="inlineStr">
        <is>
          <t>VÄRMLANDS LÄN</t>
        </is>
      </c>
      <c r="E1351" t="inlineStr">
        <is>
          <t>TORSBY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25502-2026</t>
        </is>
      </c>
      <c r="B1352" s="1" t="n">
        <v>46177</v>
      </c>
      <c r="C1352" s="1" t="n">
        <v>46204</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37081-2023</t>
        </is>
      </c>
      <c r="B1353" s="1" t="n">
        <v>45155</v>
      </c>
      <c r="C1353" s="1" t="n">
        <v>46204</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19877-2026</t>
        </is>
      </c>
      <c r="B1354" s="1" t="n">
        <v>46135</v>
      </c>
      <c r="C1354" s="1" t="n">
        <v>46204</v>
      </c>
      <c r="D1354" t="inlineStr">
        <is>
          <t>VÄRMLANDS LÄN</t>
        </is>
      </c>
      <c r="E1354" t="inlineStr">
        <is>
          <t>TORSBY</t>
        </is>
      </c>
      <c r="F1354" t="inlineStr">
        <is>
          <t>Bergvik skog väst AB</t>
        </is>
      </c>
      <c r="G1354" t="n">
        <v>10.9</v>
      </c>
      <c r="H1354" t="n">
        <v>0</v>
      </c>
      <c r="I1354" t="n">
        <v>0</v>
      </c>
      <c r="J1354" t="n">
        <v>0</v>
      </c>
      <c r="K1354" t="n">
        <v>0</v>
      </c>
      <c r="L1354" t="n">
        <v>0</v>
      </c>
      <c r="M1354" t="n">
        <v>0</v>
      </c>
      <c r="N1354" t="n">
        <v>0</v>
      </c>
      <c r="O1354" t="n">
        <v>0</v>
      </c>
      <c r="P1354" t="n">
        <v>0</v>
      </c>
      <c r="Q1354" t="n">
        <v>0</v>
      </c>
      <c r="R1354" s="2" t="inlineStr"/>
    </row>
    <row r="1355" ht="15" customHeight="1">
      <c r="A1355" t="inlineStr">
        <is>
          <t>A 19594-2026</t>
        </is>
      </c>
      <c r="B1355" s="1" t="n">
        <v>46134</v>
      </c>
      <c r="C1355" s="1" t="n">
        <v>46204</v>
      </c>
      <c r="D1355" t="inlineStr">
        <is>
          <t>VÄRMLANDS LÄN</t>
        </is>
      </c>
      <c r="E1355" t="inlineStr">
        <is>
          <t>TORSBY</t>
        </is>
      </c>
      <c r="F1355" t="inlineStr">
        <is>
          <t>Bergvik skog väst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15087-2023</t>
        </is>
      </c>
      <c r="B1356" s="1" t="n">
        <v>45016</v>
      </c>
      <c r="C1356" s="1" t="n">
        <v>46204</v>
      </c>
      <c r="D1356" t="inlineStr">
        <is>
          <t>VÄRMLANDS LÄN</t>
        </is>
      </c>
      <c r="E1356" t="inlineStr">
        <is>
          <t>TORSBY</t>
        </is>
      </c>
      <c r="F1356" t="inlineStr">
        <is>
          <t>Bergvik skog väst AB</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25547-2026</t>
        </is>
      </c>
      <c r="B1357" s="1" t="n">
        <v>46177</v>
      </c>
      <c r="C1357" s="1" t="n">
        <v>46204</v>
      </c>
      <c r="D1357" t="inlineStr">
        <is>
          <t>VÄRMLANDS LÄN</t>
        </is>
      </c>
      <c r="E1357" t="inlineStr">
        <is>
          <t>TORSBY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20647-2024</t>
        </is>
      </c>
      <c r="B1358" s="1" t="n">
        <v>45436</v>
      </c>
      <c r="C1358" s="1" t="n">
        <v>46204</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19423-2026</t>
        </is>
      </c>
      <c r="B1359" s="1" t="n">
        <v>46133</v>
      </c>
      <c r="C1359" s="1" t="n">
        <v>46204</v>
      </c>
      <c r="D1359" t="inlineStr">
        <is>
          <t>VÄRMLANDS LÄN</t>
        </is>
      </c>
      <c r="E1359" t="inlineStr">
        <is>
          <t>TORSBY</t>
        </is>
      </c>
      <c r="F1359" t="inlineStr">
        <is>
          <t>Bergvik skog väst AB</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17898-2023</t>
        </is>
      </c>
      <c r="B1360" s="1" t="n">
        <v>45039</v>
      </c>
      <c r="C1360" s="1" t="n">
        <v>46204</v>
      </c>
      <c r="D1360" t="inlineStr">
        <is>
          <t>VÄRMLANDS LÄN</t>
        </is>
      </c>
      <c r="E1360" t="inlineStr">
        <is>
          <t>TORSBY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46204</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25454-2026</t>
        </is>
      </c>
      <c r="B1362" s="1" t="n">
        <v>46177</v>
      </c>
      <c r="C1362" s="1" t="n">
        <v>46204</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35134-2022</t>
        </is>
      </c>
      <c r="B1363" s="1" t="n">
        <v>44797</v>
      </c>
      <c r="C1363" s="1" t="n">
        <v>46204</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8048-2022</t>
        </is>
      </c>
      <c r="B1364" s="1" t="n">
        <v>44609</v>
      </c>
      <c r="C1364" s="1" t="n">
        <v>46204</v>
      </c>
      <c r="D1364" t="inlineStr">
        <is>
          <t>VÄRMLANDS LÄN</t>
        </is>
      </c>
      <c r="E1364" t="inlineStr">
        <is>
          <t>TORSBY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55794-2021</t>
        </is>
      </c>
      <c r="B1365" s="1" t="n">
        <v>44476</v>
      </c>
      <c r="C1365" s="1" t="n">
        <v>46204</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19646-2026</t>
        </is>
      </c>
      <c r="B1366" s="1" t="n">
        <v>46134</v>
      </c>
      <c r="C1366" s="1" t="n">
        <v>46204</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41631-2024</t>
        </is>
      </c>
      <c r="B1367" s="1" t="n">
        <v>45560</v>
      </c>
      <c r="C1367" s="1" t="n">
        <v>46204</v>
      </c>
      <c r="D1367" t="inlineStr">
        <is>
          <t>VÄRMLANDS LÄN</t>
        </is>
      </c>
      <c r="E1367" t="inlineStr">
        <is>
          <t>TORSBY</t>
        </is>
      </c>
      <c r="F1367" t="inlineStr">
        <is>
          <t>Bergvik skog väst AB</t>
        </is>
      </c>
      <c r="G1367" t="n">
        <v>16.3</v>
      </c>
      <c r="H1367" t="n">
        <v>0</v>
      </c>
      <c r="I1367" t="n">
        <v>0</v>
      </c>
      <c r="J1367" t="n">
        <v>0</v>
      </c>
      <c r="K1367" t="n">
        <v>0</v>
      </c>
      <c r="L1367" t="n">
        <v>0</v>
      </c>
      <c r="M1367" t="n">
        <v>0</v>
      </c>
      <c r="N1367" t="n">
        <v>0</v>
      </c>
      <c r="O1367" t="n">
        <v>0</v>
      </c>
      <c r="P1367" t="n">
        <v>0</v>
      </c>
      <c r="Q1367" t="n">
        <v>0</v>
      </c>
      <c r="R1367" s="2" t="inlineStr"/>
    </row>
    <row r="1368" ht="15" customHeight="1">
      <c r="A1368" t="inlineStr">
        <is>
          <t>A 25270-2026</t>
        </is>
      </c>
      <c r="B1368" s="1" t="n">
        <v>46176</v>
      </c>
      <c r="C1368" s="1" t="n">
        <v>46204</v>
      </c>
      <c r="D1368" t="inlineStr">
        <is>
          <t>VÄRMLANDS LÄN</t>
        </is>
      </c>
      <c r="E1368" t="inlineStr">
        <is>
          <t>TORSBY</t>
        </is>
      </c>
      <c r="F1368" t="inlineStr">
        <is>
          <t>Bergvik skog väst AB</t>
        </is>
      </c>
      <c r="G1368" t="n">
        <v>59.1</v>
      </c>
      <c r="H1368" t="n">
        <v>0</v>
      </c>
      <c r="I1368" t="n">
        <v>0</v>
      </c>
      <c r="J1368" t="n">
        <v>0</v>
      </c>
      <c r="K1368" t="n">
        <v>0</v>
      </c>
      <c r="L1368" t="n">
        <v>0</v>
      </c>
      <c r="M1368" t="n">
        <v>0</v>
      </c>
      <c r="N1368" t="n">
        <v>0</v>
      </c>
      <c r="O1368" t="n">
        <v>0</v>
      </c>
      <c r="P1368" t="n">
        <v>0</v>
      </c>
      <c r="Q1368" t="n">
        <v>0</v>
      </c>
      <c r="R1368" s="2" t="inlineStr"/>
    </row>
    <row r="1369" ht="15" customHeight="1">
      <c r="A1369" t="inlineStr">
        <is>
          <t>A 70658-2021</t>
        </is>
      </c>
      <c r="B1369" s="1" t="n">
        <v>44537</v>
      </c>
      <c r="C1369" s="1" t="n">
        <v>46204</v>
      </c>
      <c r="D1369" t="inlineStr">
        <is>
          <t>VÄRMLANDS LÄN</t>
        </is>
      </c>
      <c r="E1369" t="inlineStr">
        <is>
          <t>TORSBY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19866-2026</t>
        </is>
      </c>
      <c r="B1370" s="1" t="n">
        <v>46135</v>
      </c>
      <c r="C1370" s="1" t="n">
        <v>46204</v>
      </c>
      <c r="D1370" t="inlineStr">
        <is>
          <t>VÄRMLANDS LÄN</t>
        </is>
      </c>
      <c r="E1370" t="inlineStr">
        <is>
          <t>TORSBY</t>
        </is>
      </c>
      <c r="F1370" t="inlineStr">
        <is>
          <t>Bergvik skog väst AB</t>
        </is>
      </c>
      <c r="G1370" t="n">
        <v>20.2</v>
      </c>
      <c r="H1370" t="n">
        <v>0</v>
      </c>
      <c r="I1370" t="n">
        <v>0</v>
      </c>
      <c r="J1370" t="n">
        <v>0</v>
      </c>
      <c r="K1370" t="n">
        <v>0</v>
      </c>
      <c r="L1370" t="n">
        <v>0</v>
      </c>
      <c r="M1370" t="n">
        <v>0</v>
      </c>
      <c r="N1370" t="n">
        <v>0</v>
      </c>
      <c r="O1370" t="n">
        <v>0</v>
      </c>
      <c r="P1370" t="n">
        <v>0</v>
      </c>
      <c r="Q1370" t="n">
        <v>0</v>
      </c>
      <c r="R1370" s="2" t="inlineStr"/>
    </row>
    <row r="1371" ht="15" customHeight="1">
      <c r="A1371" t="inlineStr">
        <is>
          <t>A 19652-2026</t>
        </is>
      </c>
      <c r="B1371" s="1" t="n">
        <v>46134</v>
      </c>
      <c r="C1371" s="1" t="n">
        <v>46204</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26887-2024</t>
        </is>
      </c>
      <c r="B1372" s="1" t="n">
        <v>45470</v>
      </c>
      <c r="C1372" s="1" t="n">
        <v>46204</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58727-2021</t>
        </is>
      </c>
      <c r="B1373" s="1" t="n">
        <v>44489</v>
      </c>
      <c r="C1373" s="1" t="n">
        <v>46204</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25603-2026</t>
        </is>
      </c>
      <c r="B1374" s="1" t="n">
        <v>46177</v>
      </c>
      <c r="C1374" s="1" t="n">
        <v>46204</v>
      </c>
      <c r="D1374" t="inlineStr">
        <is>
          <t>VÄRMLANDS LÄN</t>
        </is>
      </c>
      <c r="E1374" t="inlineStr">
        <is>
          <t>TORSBY</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19755-2026</t>
        </is>
      </c>
      <c r="B1375" s="1" t="n">
        <v>46135</v>
      </c>
      <c r="C1375" s="1" t="n">
        <v>46204</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19756-2026</t>
        </is>
      </c>
      <c r="B1376" s="1" t="n">
        <v>46135</v>
      </c>
      <c r="C1376" s="1" t="n">
        <v>46204</v>
      </c>
      <c r="D1376" t="inlineStr">
        <is>
          <t>VÄRMLANDS LÄN</t>
        </is>
      </c>
      <c r="E1376" t="inlineStr">
        <is>
          <t>TORSBY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19675-2026</t>
        </is>
      </c>
      <c r="B1377" s="1" t="n">
        <v>46134</v>
      </c>
      <c r="C1377" s="1" t="n">
        <v>46204</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25493-2026</t>
        </is>
      </c>
      <c r="B1378" s="1" t="n">
        <v>46177</v>
      </c>
      <c r="C1378" s="1" t="n">
        <v>46204</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25496-2026</t>
        </is>
      </c>
      <c r="B1379" s="1" t="n">
        <v>46177</v>
      </c>
      <c r="C1379" s="1" t="n">
        <v>46204</v>
      </c>
      <c r="D1379" t="inlineStr">
        <is>
          <t>VÄRMLANDS LÄN</t>
        </is>
      </c>
      <c r="E1379" t="inlineStr">
        <is>
          <t>TORSBY</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36700-2021</t>
        </is>
      </c>
      <c r="B1380" s="1" t="n">
        <v>44392</v>
      </c>
      <c r="C1380" s="1" t="n">
        <v>46204</v>
      </c>
      <c r="D1380" t="inlineStr">
        <is>
          <t>VÄRMLANDS LÄN</t>
        </is>
      </c>
      <c r="E1380" t="inlineStr">
        <is>
          <t>TORSBY</t>
        </is>
      </c>
      <c r="F1380" t="inlineStr">
        <is>
          <t>Bergvik skog väst AB</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25163-2023</t>
        </is>
      </c>
      <c r="B1381" s="1" t="n">
        <v>45086</v>
      </c>
      <c r="C1381" s="1" t="n">
        <v>46204</v>
      </c>
      <c r="D1381" t="inlineStr">
        <is>
          <t>VÄRMLANDS LÄN</t>
        </is>
      </c>
      <c r="E1381" t="inlineStr">
        <is>
          <t>TORSBY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23803-2022</t>
        </is>
      </c>
      <c r="B1382" s="1" t="n">
        <v>44720</v>
      </c>
      <c r="C1382" s="1" t="n">
        <v>46204</v>
      </c>
      <c r="D1382" t="inlineStr">
        <is>
          <t>VÄRMLANDS LÄN</t>
        </is>
      </c>
      <c r="E1382" t="inlineStr">
        <is>
          <t>TORSBY</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47651-2024</t>
        </is>
      </c>
      <c r="B1383" s="1" t="n">
        <v>45588</v>
      </c>
      <c r="C1383" s="1" t="n">
        <v>46204</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61367-2022</t>
        </is>
      </c>
      <c r="B1384" s="1" t="n">
        <v>44915</v>
      </c>
      <c r="C1384" s="1" t="n">
        <v>46204</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20130-2026</t>
        </is>
      </c>
      <c r="B1385" s="1" t="n">
        <v>46136</v>
      </c>
      <c r="C1385" s="1" t="n">
        <v>46204</v>
      </c>
      <c r="D1385" t="inlineStr">
        <is>
          <t>VÄRMLANDS LÄN</t>
        </is>
      </c>
      <c r="E1385" t="inlineStr">
        <is>
          <t>TORSBY</t>
        </is>
      </c>
      <c r="F1385" t="inlineStr">
        <is>
          <t>Bergvik skog väst AB</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42529-2025</t>
        </is>
      </c>
      <c r="B1386" s="1" t="n">
        <v>45905</v>
      </c>
      <c r="C1386" s="1" t="n">
        <v>46204</v>
      </c>
      <c r="D1386" t="inlineStr">
        <is>
          <t>VÄRMLANDS LÄN</t>
        </is>
      </c>
      <c r="E1386" t="inlineStr">
        <is>
          <t>TORSBY</t>
        </is>
      </c>
      <c r="F1386" t="inlineStr">
        <is>
          <t>Bergvik skog väst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30110-2023</t>
        </is>
      </c>
      <c r="B1387" s="1" t="n">
        <v>45110</v>
      </c>
      <c r="C1387" s="1" t="n">
        <v>46204</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44340-2022</t>
        </is>
      </c>
      <c r="B1388" s="1" t="n">
        <v>44838</v>
      </c>
      <c r="C1388" s="1" t="n">
        <v>46204</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49206-2022</t>
        </is>
      </c>
      <c r="B1389" s="1" t="n">
        <v>44860</v>
      </c>
      <c r="C1389" s="1" t="n">
        <v>46204</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18101-2022</t>
        </is>
      </c>
      <c r="B1390" s="1" t="n">
        <v>44684</v>
      </c>
      <c r="C1390" s="1" t="n">
        <v>46204</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38315-2025</t>
        </is>
      </c>
      <c r="B1391" s="1" t="n">
        <v>45883</v>
      </c>
      <c r="C1391" s="1" t="n">
        <v>46204</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49717-2023</t>
        </is>
      </c>
      <c r="B1392" s="1" t="n">
        <v>45208</v>
      </c>
      <c r="C1392" s="1" t="n">
        <v>46204</v>
      </c>
      <c r="D1392" t="inlineStr">
        <is>
          <t>VÄRMLANDS LÄN</t>
        </is>
      </c>
      <c r="E1392" t="inlineStr">
        <is>
          <t>TORSBY</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37904-2025</t>
        </is>
      </c>
      <c r="B1393" s="1" t="n">
        <v>45881</v>
      </c>
      <c r="C1393" s="1" t="n">
        <v>46204</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21076-2023</t>
        </is>
      </c>
      <c r="B1394" s="1" t="n">
        <v>45061</v>
      </c>
      <c r="C1394" s="1" t="n">
        <v>46204</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28774-2025</t>
        </is>
      </c>
      <c r="B1395" s="1" t="n">
        <v>45820</v>
      </c>
      <c r="C1395" s="1" t="n">
        <v>46204</v>
      </c>
      <c r="D1395" t="inlineStr">
        <is>
          <t>VÄRMLANDS LÄN</t>
        </is>
      </c>
      <c r="E1395" t="inlineStr">
        <is>
          <t>TORSBY</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18244-2023</t>
        </is>
      </c>
      <c r="B1396" s="1" t="n">
        <v>45041</v>
      </c>
      <c r="C1396" s="1" t="n">
        <v>46204</v>
      </c>
      <c r="D1396" t="inlineStr">
        <is>
          <t>VÄRMLANDS LÄN</t>
        </is>
      </c>
      <c r="E1396" t="inlineStr">
        <is>
          <t>TORSBY</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27038-2024</t>
        </is>
      </c>
      <c r="B1397" s="1" t="n">
        <v>45471</v>
      </c>
      <c r="C1397" s="1" t="n">
        <v>46204</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27450-2025</t>
        </is>
      </c>
      <c r="B1398" s="1" t="n">
        <v>45813</v>
      </c>
      <c r="C1398" s="1" t="n">
        <v>46204</v>
      </c>
      <c r="D1398" t="inlineStr">
        <is>
          <t>VÄRMLANDS LÄN</t>
        </is>
      </c>
      <c r="E1398" t="inlineStr">
        <is>
          <t>TORSBY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30607-2025</t>
        </is>
      </c>
      <c r="B1399" s="1" t="n">
        <v>45831</v>
      </c>
      <c r="C1399" s="1" t="n">
        <v>46204</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20072-2026</t>
        </is>
      </c>
      <c r="B1400" s="1" t="n">
        <v>46136</v>
      </c>
      <c r="C1400" s="1" t="n">
        <v>46204</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15873-2025</t>
        </is>
      </c>
      <c r="B1401" s="1" t="n">
        <v>45749</v>
      </c>
      <c r="C1401" s="1" t="n">
        <v>46204</v>
      </c>
      <c r="D1401" t="inlineStr">
        <is>
          <t>VÄRMLANDS LÄN</t>
        </is>
      </c>
      <c r="E1401" t="inlineStr">
        <is>
          <t>TORSBY</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20968-2024</t>
        </is>
      </c>
      <c r="B1402" s="1" t="n">
        <v>45439</v>
      </c>
      <c r="C1402" s="1" t="n">
        <v>46204</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45425-2025</t>
        </is>
      </c>
      <c r="B1403" s="1" t="n">
        <v>45922</v>
      </c>
      <c r="C1403" s="1" t="n">
        <v>46204</v>
      </c>
      <c r="D1403" t="inlineStr">
        <is>
          <t>VÄRMLANDS LÄN</t>
        </is>
      </c>
      <c r="E1403" t="inlineStr">
        <is>
          <t>TORSBY</t>
        </is>
      </c>
      <c r="F1403" t="inlineStr">
        <is>
          <t>Bergvik skog väst AB</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1828-2026</t>
        </is>
      </c>
      <c r="B1404" s="1" t="n">
        <v>46035</v>
      </c>
      <c r="C1404" s="1" t="n">
        <v>46204</v>
      </c>
      <c r="D1404" t="inlineStr">
        <is>
          <t>VÄRMLANDS LÄN</t>
        </is>
      </c>
      <c r="E1404" t="inlineStr">
        <is>
          <t>TORSBY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21974-2025</t>
        </is>
      </c>
      <c r="B1405" s="1" t="n">
        <v>45784</v>
      </c>
      <c r="C1405" s="1" t="n">
        <v>46204</v>
      </c>
      <c r="D1405" t="inlineStr">
        <is>
          <t>VÄRMLANDS LÄN</t>
        </is>
      </c>
      <c r="E1405" t="inlineStr">
        <is>
          <t>TORSBY</t>
        </is>
      </c>
      <c r="F1405" t="inlineStr">
        <is>
          <t>Bergvik skog väst AB</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54452-2022</t>
        </is>
      </c>
      <c r="B1406" s="1" t="n">
        <v>44880</v>
      </c>
      <c r="C1406" s="1" t="n">
        <v>46204</v>
      </c>
      <c r="D1406" t="inlineStr">
        <is>
          <t>VÄRMLANDS LÄN</t>
        </is>
      </c>
      <c r="E1406" t="inlineStr">
        <is>
          <t>TORSBY</t>
        </is>
      </c>
      <c r="F1406" t="inlineStr">
        <is>
          <t>Kyrkan</t>
        </is>
      </c>
      <c r="G1406" t="n">
        <v>10.6</v>
      </c>
      <c r="H1406" t="n">
        <v>0</v>
      </c>
      <c r="I1406" t="n">
        <v>0</v>
      </c>
      <c r="J1406" t="n">
        <v>0</v>
      </c>
      <c r="K1406" t="n">
        <v>0</v>
      </c>
      <c r="L1406" t="n">
        <v>0</v>
      </c>
      <c r="M1406" t="n">
        <v>0</v>
      </c>
      <c r="N1406" t="n">
        <v>0</v>
      </c>
      <c r="O1406" t="n">
        <v>0</v>
      </c>
      <c r="P1406" t="n">
        <v>0</v>
      </c>
      <c r="Q1406" t="n">
        <v>0</v>
      </c>
      <c r="R1406" s="2" t="inlineStr"/>
    </row>
    <row r="1407" ht="15" customHeight="1">
      <c r="A1407" t="inlineStr">
        <is>
          <t>A 58840-2025</t>
        </is>
      </c>
      <c r="B1407" s="1" t="n">
        <v>45987</v>
      </c>
      <c r="C1407" s="1" t="n">
        <v>46204</v>
      </c>
      <c r="D1407" t="inlineStr">
        <is>
          <t>VÄRMLANDS LÄN</t>
        </is>
      </c>
      <c r="E1407" t="inlineStr">
        <is>
          <t>TORSBY</t>
        </is>
      </c>
      <c r="F1407" t="inlineStr">
        <is>
          <t>Bergvik skog väst AB</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41843-2023</t>
        </is>
      </c>
      <c r="B1408" s="1" t="n">
        <v>45176</v>
      </c>
      <c r="C1408" s="1" t="n">
        <v>46204</v>
      </c>
      <c r="D1408" t="inlineStr">
        <is>
          <t>VÄRMLANDS LÄN</t>
        </is>
      </c>
      <c r="E1408" t="inlineStr">
        <is>
          <t>TORSBY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41264-2022</t>
        </is>
      </c>
      <c r="B1409" s="1" t="n">
        <v>44823</v>
      </c>
      <c r="C1409" s="1" t="n">
        <v>46204</v>
      </c>
      <c r="D1409" t="inlineStr">
        <is>
          <t>VÄRMLANDS LÄN</t>
        </is>
      </c>
      <c r="E1409" t="inlineStr">
        <is>
          <t>TORSBY</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64902-2021</t>
        </is>
      </c>
      <c r="B1410" s="1" t="n">
        <v>44512</v>
      </c>
      <c r="C1410" s="1" t="n">
        <v>46204</v>
      </c>
      <c r="D1410" t="inlineStr">
        <is>
          <t>VÄRMLANDS LÄN</t>
        </is>
      </c>
      <c r="E1410" t="inlineStr">
        <is>
          <t>TORSBY</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492-2025</t>
        </is>
      </c>
      <c r="B1411" s="1" t="n">
        <v>45664</v>
      </c>
      <c r="C1411" s="1" t="n">
        <v>46204</v>
      </c>
      <c r="D1411" t="inlineStr">
        <is>
          <t>VÄRMLANDS LÄN</t>
        </is>
      </c>
      <c r="E1411" t="inlineStr">
        <is>
          <t>TORSBY</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11569-2025</t>
        </is>
      </c>
      <c r="B1412" s="1" t="n">
        <v>45727</v>
      </c>
      <c r="C1412" s="1" t="n">
        <v>46204</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276-2024</t>
        </is>
      </c>
      <c r="B1413" s="1" t="n">
        <v>45295</v>
      </c>
      <c r="C1413" s="1" t="n">
        <v>46204</v>
      </c>
      <c r="D1413" t="inlineStr">
        <is>
          <t>VÄRMLANDS LÄN</t>
        </is>
      </c>
      <c r="E1413" t="inlineStr">
        <is>
          <t>TORSBY</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19900-2026</t>
        </is>
      </c>
      <c r="B1414" s="1" t="n">
        <v>46136</v>
      </c>
      <c r="C1414" s="1" t="n">
        <v>46204</v>
      </c>
      <c r="D1414" t="inlineStr">
        <is>
          <t>VÄRMLANDS LÄN</t>
        </is>
      </c>
      <c r="E1414" t="inlineStr">
        <is>
          <t>TORSBY</t>
        </is>
      </c>
      <c r="F1414" t="inlineStr">
        <is>
          <t>Bergvik skog väst AB</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20232-2026</t>
        </is>
      </c>
      <c r="B1415" s="1" t="n">
        <v>46139</v>
      </c>
      <c r="C1415" s="1" t="n">
        <v>46204</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20273-2026</t>
        </is>
      </c>
      <c r="B1416" s="1" t="n">
        <v>46139</v>
      </c>
      <c r="C1416" s="1" t="n">
        <v>46204</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11135-2024</t>
        </is>
      </c>
      <c r="B1417" s="1" t="n">
        <v>45371</v>
      </c>
      <c r="C1417" s="1" t="n">
        <v>46204</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26025-2026</t>
        </is>
      </c>
      <c r="B1418" s="1" t="n">
        <v>46181</v>
      </c>
      <c r="C1418" s="1" t="n">
        <v>46204</v>
      </c>
      <c r="D1418" t="inlineStr">
        <is>
          <t>VÄRMLANDS LÄN</t>
        </is>
      </c>
      <c r="E1418" t="inlineStr">
        <is>
          <t>TORSBY</t>
        </is>
      </c>
      <c r="F1418" t="inlineStr">
        <is>
          <t>Bergvik skog väst AB</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44423-2024</t>
        </is>
      </c>
      <c r="B1419" s="1" t="n">
        <v>45573</v>
      </c>
      <c r="C1419" s="1" t="n">
        <v>46204</v>
      </c>
      <c r="D1419" t="inlineStr">
        <is>
          <t>VÄRMLANDS LÄN</t>
        </is>
      </c>
      <c r="E1419" t="inlineStr">
        <is>
          <t>TORSBY</t>
        </is>
      </c>
      <c r="G1419" t="n">
        <v>34.1</v>
      </c>
      <c r="H1419" t="n">
        <v>0</v>
      </c>
      <c r="I1419" t="n">
        <v>0</v>
      </c>
      <c r="J1419" t="n">
        <v>0</v>
      </c>
      <c r="K1419" t="n">
        <v>0</v>
      </c>
      <c r="L1419" t="n">
        <v>0</v>
      </c>
      <c r="M1419" t="n">
        <v>0</v>
      </c>
      <c r="N1419" t="n">
        <v>0</v>
      </c>
      <c r="O1419" t="n">
        <v>0</v>
      </c>
      <c r="P1419" t="n">
        <v>0</v>
      </c>
      <c r="Q1419" t="n">
        <v>0</v>
      </c>
      <c r="R1419" s="2" t="inlineStr"/>
    </row>
    <row r="1420" ht="15" customHeight="1">
      <c r="A1420" t="inlineStr">
        <is>
          <t>A 19971-2026</t>
        </is>
      </c>
      <c r="B1420" s="1" t="n">
        <v>46136</v>
      </c>
      <c r="C1420" s="1" t="n">
        <v>46204</v>
      </c>
      <c r="D1420" t="inlineStr">
        <is>
          <t>VÄRMLANDS LÄN</t>
        </is>
      </c>
      <c r="E1420" t="inlineStr">
        <is>
          <t>TORSBY</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21258-2023</t>
        </is>
      </c>
      <c r="B1421" s="1" t="n">
        <v>45058</v>
      </c>
      <c r="C1421" s="1" t="n">
        <v>46204</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53988-2022</t>
        </is>
      </c>
      <c r="B1422" s="1" t="n">
        <v>44876</v>
      </c>
      <c r="C1422" s="1" t="n">
        <v>46204</v>
      </c>
      <c r="D1422" t="inlineStr">
        <is>
          <t>VÄRMLANDS LÄN</t>
        </is>
      </c>
      <c r="E1422" t="inlineStr">
        <is>
          <t>TORSBY</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61128-2022</t>
        </is>
      </c>
      <c r="B1423" s="1" t="n">
        <v>44915</v>
      </c>
      <c r="C1423" s="1" t="n">
        <v>46204</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20239-2026</t>
        </is>
      </c>
      <c r="B1424" s="1" t="n">
        <v>46139</v>
      </c>
      <c r="C1424" s="1" t="n">
        <v>46204</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21390-2023</t>
        </is>
      </c>
      <c r="B1425" s="1" t="n">
        <v>45063</v>
      </c>
      <c r="C1425" s="1" t="n">
        <v>46204</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25973-2026</t>
        </is>
      </c>
      <c r="B1426" s="1" t="n">
        <v>46181</v>
      </c>
      <c r="C1426" s="1" t="n">
        <v>46204</v>
      </c>
      <c r="D1426" t="inlineStr">
        <is>
          <t>VÄRMLANDS LÄN</t>
        </is>
      </c>
      <c r="E1426" t="inlineStr">
        <is>
          <t>TORSBY</t>
        </is>
      </c>
      <c r="G1426" t="n">
        <v>20.8</v>
      </c>
      <c r="H1426" t="n">
        <v>0</v>
      </c>
      <c r="I1426" t="n">
        <v>0</v>
      </c>
      <c r="J1426" t="n">
        <v>0</v>
      </c>
      <c r="K1426" t="n">
        <v>0</v>
      </c>
      <c r="L1426" t="n">
        <v>0</v>
      </c>
      <c r="M1426" t="n">
        <v>0</v>
      </c>
      <c r="N1426" t="n">
        <v>0</v>
      </c>
      <c r="O1426" t="n">
        <v>0</v>
      </c>
      <c r="P1426" t="n">
        <v>0</v>
      </c>
      <c r="Q1426" t="n">
        <v>0</v>
      </c>
      <c r="R1426" s="2" t="inlineStr"/>
    </row>
    <row r="1427" ht="15" customHeight="1">
      <c r="A1427" t="inlineStr">
        <is>
          <t>A 24411-2025</t>
        </is>
      </c>
      <c r="B1427" s="1" t="n">
        <v>45797</v>
      </c>
      <c r="C1427" s="1" t="n">
        <v>46204</v>
      </c>
      <c r="D1427" t="inlineStr">
        <is>
          <t>VÄRMLANDS LÄN</t>
        </is>
      </c>
      <c r="E1427" t="inlineStr">
        <is>
          <t>TORSBY</t>
        </is>
      </c>
      <c r="F1427" t="inlineStr">
        <is>
          <t>Övriga statliga verk och myndigheter</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61531-2025</t>
        </is>
      </c>
      <c r="B1428" s="1" t="n">
        <v>46001</v>
      </c>
      <c r="C1428" s="1" t="n">
        <v>46204</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41148-2025</t>
        </is>
      </c>
      <c r="B1429" s="1" t="n">
        <v>45898</v>
      </c>
      <c r="C1429" s="1" t="n">
        <v>46204</v>
      </c>
      <c r="D1429" t="inlineStr">
        <is>
          <t>VÄRMLANDS LÄN</t>
        </is>
      </c>
      <c r="E1429" t="inlineStr">
        <is>
          <t>TORSBY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7215-2025</t>
        </is>
      </c>
      <c r="B1430" s="1" t="n">
        <v>45702</v>
      </c>
      <c r="C1430" s="1" t="n">
        <v>46204</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3536-2024</t>
        </is>
      </c>
      <c r="B1431" s="1" t="n">
        <v>45320</v>
      </c>
      <c r="C1431" s="1" t="n">
        <v>46204</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56101-2024</t>
        </is>
      </c>
      <c r="B1432" s="1" t="n">
        <v>45624</v>
      </c>
      <c r="C1432" s="1" t="n">
        <v>46204</v>
      </c>
      <c r="D1432" t="inlineStr">
        <is>
          <t>VÄRMLANDS LÄN</t>
        </is>
      </c>
      <c r="E1432" t="inlineStr">
        <is>
          <t>TORSBY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41781-2022</t>
        </is>
      </c>
      <c r="B1433" s="1" t="n">
        <v>44827</v>
      </c>
      <c r="C1433" s="1" t="n">
        <v>46204</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3387-2025</t>
        </is>
      </c>
      <c r="B1434" s="1" t="n">
        <v>45680</v>
      </c>
      <c r="C1434" s="1" t="n">
        <v>46204</v>
      </c>
      <c r="D1434" t="inlineStr">
        <is>
          <t>VÄRMLANDS LÄN</t>
        </is>
      </c>
      <c r="E1434" t="inlineStr">
        <is>
          <t>TORSBY</t>
        </is>
      </c>
      <c r="F1434" t="inlineStr">
        <is>
          <t>Kommuner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21576-2025</t>
        </is>
      </c>
      <c r="B1435" s="1" t="n">
        <v>45782</v>
      </c>
      <c r="C1435" s="1" t="n">
        <v>46204</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55522-2023</t>
        </is>
      </c>
      <c r="B1436" s="1" t="n">
        <v>45238</v>
      </c>
      <c r="C1436" s="1" t="n">
        <v>46204</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2390-2025</t>
        </is>
      </c>
      <c r="B1437" s="1" t="n">
        <v>45674</v>
      </c>
      <c r="C1437" s="1" t="n">
        <v>46204</v>
      </c>
      <c r="D1437" t="inlineStr">
        <is>
          <t>VÄRMLANDS LÄN</t>
        </is>
      </c>
      <c r="E1437" t="inlineStr">
        <is>
          <t>TORSBY</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44659-2024</t>
        </is>
      </c>
      <c r="B1438" s="1" t="n">
        <v>45574</v>
      </c>
      <c r="C1438" s="1" t="n">
        <v>46204</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26166-2024</t>
        </is>
      </c>
      <c r="B1439" s="1" t="n">
        <v>45468</v>
      </c>
      <c r="C1439" s="1" t="n">
        <v>46204</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30433-2025</t>
        </is>
      </c>
      <c r="B1440" s="1" t="n">
        <v>45827</v>
      </c>
      <c r="C1440" s="1" t="n">
        <v>46204</v>
      </c>
      <c r="D1440" t="inlineStr">
        <is>
          <t>VÄRMLANDS LÄN</t>
        </is>
      </c>
      <c r="E1440" t="inlineStr">
        <is>
          <t>TORSBY</t>
        </is>
      </c>
      <c r="G1440" t="n">
        <v>13.4</v>
      </c>
      <c r="H1440" t="n">
        <v>0</v>
      </c>
      <c r="I1440" t="n">
        <v>0</v>
      </c>
      <c r="J1440" t="n">
        <v>0</v>
      </c>
      <c r="K1440" t="n">
        <v>0</v>
      </c>
      <c r="L1440" t="n">
        <v>0</v>
      </c>
      <c r="M1440" t="n">
        <v>0</v>
      </c>
      <c r="N1440" t="n">
        <v>0</v>
      </c>
      <c r="O1440" t="n">
        <v>0</v>
      </c>
      <c r="P1440" t="n">
        <v>0</v>
      </c>
      <c r="Q1440" t="n">
        <v>0</v>
      </c>
      <c r="R1440" s="2" t="inlineStr"/>
    </row>
    <row r="1441" ht="15" customHeight="1">
      <c r="A1441" t="inlineStr">
        <is>
          <t>A 6828-2024</t>
        </is>
      </c>
      <c r="B1441" s="1" t="n">
        <v>45342</v>
      </c>
      <c r="C1441" s="1" t="n">
        <v>46204</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13006-2025</t>
        </is>
      </c>
      <c r="B1442" s="1" t="n">
        <v>45734</v>
      </c>
      <c r="C1442" s="1" t="n">
        <v>46204</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33268-2023</t>
        </is>
      </c>
      <c r="B1443" s="1" t="n">
        <v>45127</v>
      </c>
      <c r="C1443" s="1" t="n">
        <v>46204</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50445-2023</t>
        </is>
      </c>
      <c r="B1444" s="1" t="n">
        <v>45216</v>
      </c>
      <c r="C1444" s="1" t="n">
        <v>46204</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44290-2025</t>
        </is>
      </c>
      <c r="B1445" s="1" t="n">
        <v>45916</v>
      </c>
      <c r="C1445" s="1" t="n">
        <v>46204</v>
      </c>
      <c r="D1445" t="inlineStr">
        <is>
          <t>VÄRMLANDS LÄN</t>
        </is>
      </c>
      <c r="E1445" t="inlineStr">
        <is>
          <t>TORSBY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22426-2024</t>
        </is>
      </c>
      <c r="B1446" s="1" t="n">
        <v>45446</v>
      </c>
      <c r="C1446" s="1" t="n">
        <v>46204</v>
      </c>
      <c r="D1446" t="inlineStr">
        <is>
          <t>VÄRMLANDS LÄN</t>
        </is>
      </c>
      <c r="E1446" t="inlineStr">
        <is>
          <t>TORSBY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24742-2026</t>
        </is>
      </c>
      <c r="B1447" s="1" t="n">
        <v>46171</v>
      </c>
      <c r="C1447" s="1" t="n">
        <v>46204</v>
      </c>
      <c r="D1447" t="inlineStr">
        <is>
          <t>VÄRMLANDS LÄN</t>
        </is>
      </c>
      <c r="E1447" t="inlineStr">
        <is>
          <t>TORSBY</t>
        </is>
      </c>
      <c r="F1447" t="inlineStr">
        <is>
          <t>Bergvik skog väst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30377-2025</t>
        </is>
      </c>
      <c r="B1448" s="1" t="n">
        <v>45827</v>
      </c>
      <c r="C1448" s="1" t="n">
        <v>46204</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12402-2025</t>
        </is>
      </c>
      <c r="B1449" s="1" t="n">
        <v>45730</v>
      </c>
      <c r="C1449" s="1" t="n">
        <v>46204</v>
      </c>
      <c r="D1449" t="inlineStr">
        <is>
          <t>VÄRMLANDS LÄN</t>
        </is>
      </c>
      <c r="E1449" t="inlineStr">
        <is>
          <t>TORSBY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22090-2025</t>
        </is>
      </c>
      <c r="B1450" s="1" t="n">
        <v>45785</v>
      </c>
      <c r="C1450" s="1" t="n">
        <v>46204</v>
      </c>
      <c r="D1450" t="inlineStr">
        <is>
          <t>VÄRMLANDS LÄN</t>
        </is>
      </c>
      <c r="E1450" t="inlineStr">
        <is>
          <t>TORSBY</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52587-2025</t>
        </is>
      </c>
      <c r="B1451" s="1" t="n">
        <v>45954</v>
      </c>
      <c r="C1451" s="1" t="n">
        <v>46204</v>
      </c>
      <c r="D1451" t="inlineStr">
        <is>
          <t>VÄRMLANDS LÄN</t>
        </is>
      </c>
      <c r="E1451" t="inlineStr">
        <is>
          <t>TORSBY</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10587-2024</t>
        </is>
      </c>
      <c r="B1452" s="1" t="n">
        <v>45366</v>
      </c>
      <c r="C1452" s="1" t="n">
        <v>46204</v>
      </c>
      <c r="D1452" t="inlineStr">
        <is>
          <t>VÄRMLANDS LÄN</t>
        </is>
      </c>
      <c r="E1452" t="inlineStr">
        <is>
          <t>TORSBY</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1095-2025</t>
        </is>
      </c>
      <c r="B1453" s="1" t="n">
        <v>45666</v>
      </c>
      <c r="C1453" s="1" t="n">
        <v>46204</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53705-2021</t>
        </is>
      </c>
      <c r="B1454" s="1" t="n">
        <v>44469</v>
      </c>
      <c r="C1454" s="1" t="n">
        <v>46204</v>
      </c>
      <c r="D1454" t="inlineStr">
        <is>
          <t>VÄRMLANDS LÄN</t>
        </is>
      </c>
      <c r="E1454" t="inlineStr">
        <is>
          <t>TORSBY</t>
        </is>
      </c>
      <c r="F1454" t="inlineStr">
        <is>
          <t>Kyrkan</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53396-2024</t>
        </is>
      </c>
      <c r="B1455" s="1" t="n">
        <v>45614</v>
      </c>
      <c r="C1455" s="1" t="n">
        <v>46204</v>
      </c>
      <c r="D1455" t="inlineStr">
        <is>
          <t>VÄRMLANDS LÄN</t>
        </is>
      </c>
      <c r="E1455" t="inlineStr">
        <is>
          <t>TORSBY</t>
        </is>
      </c>
      <c r="F1455" t="inlineStr">
        <is>
          <t>Bergvik skog väst AB</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14419-2025</t>
        </is>
      </c>
      <c r="B1456" s="1" t="n">
        <v>45741</v>
      </c>
      <c r="C1456" s="1" t="n">
        <v>46204</v>
      </c>
      <c r="D1456" t="inlineStr">
        <is>
          <t>VÄRMLANDS LÄN</t>
        </is>
      </c>
      <c r="E1456" t="inlineStr">
        <is>
          <t>TORSBY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21280-2024</t>
        </is>
      </c>
      <c r="B1457" s="1" t="n">
        <v>45440</v>
      </c>
      <c r="C1457" s="1" t="n">
        <v>46204</v>
      </c>
      <c r="D1457" t="inlineStr">
        <is>
          <t>VÄRMLANDS LÄN</t>
        </is>
      </c>
      <c r="E1457" t="inlineStr">
        <is>
          <t>TORSBY</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36327-2021</t>
        </is>
      </c>
      <c r="B1458" s="1" t="n">
        <v>44390</v>
      </c>
      <c r="C1458" s="1" t="n">
        <v>46204</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27346-2024</t>
        </is>
      </c>
      <c r="B1459" s="1" t="n">
        <v>45473</v>
      </c>
      <c r="C1459" s="1" t="n">
        <v>46204</v>
      </c>
      <c r="D1459" t="inlineStr">
        <is>
          <t>VÄRMLANDS LÄN</t>
        </is>
      </c>
      <c r="E1459" t="inlineStr">
        <is>
          <t>TORSBY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44532-2022</t>
        </is>
      </c>
      <c r="B1460" s="1" t="n">
        <v>44840</v>
      </c>
      <c r="C1460" s="1" t="n">
        <v>46204</v>
      </c>
      <c r="D1460" t="inlineStr">
        <is>
          <t>VÄRMLANDS LÄN</t>
        </is>
      </c>
      <c r="E1460" t="inlineStr">
        <is>
          <t>TORSBY</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1042-2024</t>
        </is>
      </c>
      <c r="B1461" s="1" t="n">
        <v>45301</v>
      </c>
      <c r="C1461" s="1" t="n">
        <v>46204</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43060-2021</t>
        </is>
      </c>
      <c r="B1462" s="1" t="n">
        <v>44431</v>
      </c>
      <c r="C1462" s="1" t="n">
        <v>46204</v>
      </c>
      <c r="D1462" t="inlineStr">
        <is>
          <t>VÄRMLANDS LÄN</t>
        </is>
      </c>
      <c r="E1462" t="inlineStr">
        <is>
          <t>TORSBY</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20081-2026</t>
        </is>
      </c>
      <c r="B1463" s="1" t="n">
        <v>46136</v>
      </c>
      <c r="C1463" s="1" t="n">
        <v>46204</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19967-2026</t>
        </is>
      </c>
      <c r="B1464" s="1" t="n">
        <v>46136</v>
      </c>
      <c r="C1464" s="1" t="n">
        <v>46204</v>
      </c>
      <c r="D1464" t="inlineStr">
        <is>
          <t>VÄRMLANDS LÄN</t>
        </is>
      </c>
      <c r="E1464" t="inlineStr">
        <is>
          <t>TORSBY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59256-2023</t>
        </is>
      </c>
      <c r="B1465" s="1" t="n">
        <v>45251</v>
      </c>
      <c r="C1465" s="1" t="n">
        <v>46204</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55836-2024</t>
        </is>
      </c>
      <c r="B1466" s="1" t="n">
        <v>45623</v>
      </c>
      <c r="C1466" s="1" t="n">
        <v>46204</v>
      </c>
      <c r="D1466" t="inlineStr">
        <is>
          <t>VÄRMLANDS LÄN</t>
        </is>
      </c>
      <c r="E1466" t="inlineStr">
        <is>
          <t>TORSBY</t>
        </is>
      </c>
      <c r="F1466" t="inlineStr">
        <is>
          <t>Kommuner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56240-2024</t>
        </is>
      </c>
      <c r="B1467" s="1" t="n">
        <v>45624</v>
      </c>
      <c r="C1467" s="1" t="n">
        <v>46204</v>
      </c>
      <c r="D1467" t="inlineStr">
        <is>
          <t>VÄRMLANDS LÄN</t>
        </is>
      </c>
      <c r="E1467" t="inlineStr">
        <is>
          <t>TORSBY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37357-2023</t>
        </is>
      </c>
      <c r="B1468" s="1" t="n">
        <v>45156</v>
      </c>
      <c r="C1468" s="1" t="n">
        <v>46204</v>
      </c>
      <c r="D1468" t="inlineStr">
        <is>
          <t>VÄRMLANDS LÄN</t>
        </is>
      </c>
      <c r="E1468" t="inlineStr">
        <is>
          <t>TORSBY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5763-2023</t>
        </is>
      </c>
      <c r="B1469" s="1" t="n">
        <v>44963</v>
      </c>
      <c r="C1469" s="1" t="n">
        <v>46204</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38467-2021</t>
        </is>
      </c>
      <c r="B1470" s="1" t="n">
        <v>44405</v>
      </c>
      <c r="C1470" s="1" t="n">
        <v>46204</v>
      </c>
      <c r="D1470" t="inlineStr">
        <is>
          <t>VÄRMLANDS LÄN</t>
        </is>
      </c>
      <c r="E1470" t="inlineStr">
        <is>
          <t>TORSBY</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44262-2023</t>
        </is>
      </c>
      <c r="B1471" s="1" t="n">
        <v>45188</v>
      </c>
      <c r="C1471" s="1" t="n">
        <v>46204</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41634-2025</t>
        </is>
      </c>
      <c r="B1472" s="1" t="n">
        <v>45902</v>
      </c>
      <c r="C1472" s="1" t="n">
        <v>46204</v>
      </c>
      <c r="D1472" t="inlineStr">
        <is>
          <t>VÄRMLANDS LÄN</t>
        </is>
      </c>
      <c r="E1472" t="inlineStr">
        <is>
          <t>TORSBY</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63177-2023</t>
        </is>
      </c>
      <c r="B1473" s="1" t="n">
        <v>45272</v>
      </c>
      <c r="C1473" s="1" t="n">
        <v>46204</v>
      </c>
      <c r="D1473" t="inlineStr">
        <is>
          <t>VÄRMLANDS LÄN</t>
        </is>
      </c>
      <c r="E1473" t="inlineStr">
        <is>
          <t>TORSBY</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25651-2026</t>
        </is>
      </c>
      <c r="B1474" s="1" t="n">
        <v>46177</v>
      </c>
      <c r="C1474" s="1" t="n">
        <v>46204</v>
      </c>
      <c r="D1474" t="inlineStr">
        <is>
          <t>VÄRMLANDS LÄN</t>
        </is>
      </c>
      <c r="E1474" t="inlineStr">
        <is>
          <t>TORSBY</t>
        </is>
      </c>
      <c r="F1474" t="inlineStr">
        <is>
          <t>Kyrkan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26533-2025</t>
        </is>
      </c>
      <c r="B1475" s="1" t="n">
        <v>45807</v>
      </c>
      <c r="C1475" s="1" t="n">
        <v>46204</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42705-2025</t>
        </is>
      </c>
      <c r="B1476" s="1" t="n">
        <v>45908</v>
      </c>
      <c r="C1476" s="1" t="n">
        <v>46204</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9904-2024</t>
        </is>
      </c>
      <c r="B1477" s="1" t="n">
        <v>45363</v>
      </c>
      <c r="C1477" s="1" t="n">
        <v>46204</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9908-2024</t>
        </is>
      </c>
      <c r="B1478" s="1" t="n">
        <v>45363</v>
      </c>
      <c r="C1478" s="1" t="n">
        <v>46204</v>
      </c>
      <c r="D1478" t="inlineStr">
        <is>
          <t>VÄRMLANDS LÄN</t>
        </is>
      </c>
      <c r="E1478" t="inlineStr">
        <is>
          <t>TORSBY</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40221-2022</t>
        </is>
      </c>
      <c r="B1479" s="1" t="n">
        <v>44820</v>
      </c>
      <c r="C1479" s="1" t="n">
        <v>46204</v>
      </c>
      <c r="D1479" t="inlineStr">
        <is>
          <t>VÄRMLANDS LÄN</t>
        </is>
      </c>
      <c r="E1479" t="inlineStr">
        <is>
          <t>TORSBY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29925-2024</t>
        </is>
      </c>
      <c r="B1480" s="1" t="n">
        <v>45488</v>
      </c>
      <c r="C1480" s="1" t="n">
        <v>46204</v>
      </c>
      <c r="D1480" t="inlineStr">
        <is>
          <t>VÄRMLANDS LÄN</t>
        </is>
      </c>
      <c r="E1480" t="inlineStr">
        <is>
          <t>TORSBY</t>
        </is>
      </c>
      <c r="F1480" t="inlineStr">
        <is>
          <t>Kyrkan</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15101-2024</t>
        </is>
      </c>
      <c r="B1481" s="1" t="n">
        <v>45399</v>
      </c>
      <c r="C1481" s="1" t="n">
        <v>46204</v>
      </c>
      <c r="D1481" t="inlineStr">
        <is>
          <t>VÄRMLANDS LÄN</t>
        </is>
      </c>
      <c r="E1481" t="inlineStr">
        <is>
          <t>TORSBY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41253-2021</t>
        </is>
      </c>
      <c r="B1482" s="1" t="n">
        <v>44424</v>
      </c>
      <c r="C1482" s="1" t="n">
        <v>46204</v>
      </c>
      <c r="D1482" t="inlineStr">
        <is>
          <t>VÄRMLANDS LÄN</t>
        </is>
      </c>
      <c r="E1482" t="inlineStr">
        <is>
          <t>TORSBY</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46293-2025</t>
        </is>
      </c>
      <c r="B1483" s="1" t="n">
        <v>45925</v>
      </c>
      <c r="C1483" s="1" t="n">
        <v>46204</v>
      </c>
      <c r="D1483" t="inlineStr">
        <is>
          <t>VÄRMLANDS LÄN</t>
        </is>
      </c>
      <c r="E1483" t="inlineStr">
        <is>
          <t>TORSBY</t>
        </is>
      </c>
      <c r="G1483" t="n">
        <v>24.3</v>
      </c>
      <c r="H1483" t="n">
        <v>0</v>
      </c>
      <c r="I1483" t="n">
        <v>0</v>
      </c>
      <c r="J1483" t="n">
        <v>0</v>
      </c>
      <c r="K1483" t="n">
        <v>0</v>
      </c>
      <c r="L1483" t="n">
        <v>0</v>
      </c>
      <c r="M1483" t="n">
        <v>0</v>
      </c>
      <c r="N1483" t="n">
        <v>0</v>
      </c>
      <c r="O1483" t="n">
        <v>0</v>
      </c>
      <c r="P1483" t="n">
        <v>0</v>
      </c>
      <c r="Q1483" t="n">
        <v>0</v>
      </c>
      <c r="R1483" s="2" t="inlineStr"/>
    </row>
    <row r="1484" ht="15" customHeight="1">
      <c r="A1484" t="inlineStr">
        <is>
          <t>A 46326-2025</t>
        </is>
      </c>
      <c r="B1484" s="1" t="n">
        <v>45925</v>
      </c>
      <c r="C1484" s="1" t="n">
        <v>46204</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26020-2026</t>
        </is>
      </c>
      <c r="B1485" s="1" t="n">
        <v>46181</v>
      </c>
      <c r="C1485" s="1" t="n">
        <v>46204</v>
      </c>
      <c r="D1485" t="inlineStr">
        <is>
          <t>VÄRMLANDS LÄN</t>
        </is>
      </c>
      <c r="E1485" t="inlineStr">
        <is>
          <t>TORSBY</t>
        </is>
      </c>
      <c r="F1485" t="inlineStr">
        <is>
          <t>Bergvik skog väst AB</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28117-2025</t>
        </is>
      </c>
      <c r="B1486" s="1" t="n">
        <v>45818</v>
      </c>
      <c r="C1486" s="1" t="n">
        <v>46204</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19961-2026</t>
        </is>
      </c>
      <c r="B1487" s="1" t="n">
        <v>46136</v>
      </c>
      <c r="C1487" s="1" t="n">
        <v>46204</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23804-2022</t>
        </is>
      </c>
      <c r="B1488" s="1" t="n">
        <v>44722</v>
      </c>
      <c r="C1488" s="1" t="n">
        <v>46204</v>
      </c>
      <c r="D1488" t="inlineStr">
        <is>
          <t>VÄRMLANDS LÄN</t>
        </is>
      </c>
      <c r="E1488" t="inlineStr">
        <is>
          <t>TORSBY</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42457-2024</t>
        </is>
      </c>
      <c r="B1489" s="1" t="n">
        <v>45565</v>
      </c>
      <c r="C1489" s="1" t="n">
        <v>46204</v>
      </c>
      <c r="D1489" t="inlineStr">
        <is>
          <t>VÄRMLANDS LÄN</t>
        </is>
      </c>
      <c r="E1489" t="inlineStr">
        <is>
          <t>TORSBY</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8728-2024</t>
        </is>
      </c>
      <c r="B1490" s="1" t="n">
        <v>45356</v>
      </c>
      <c r="C1490" s="1" t="n">
        <v>46204</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62186-2025</t>
        </is>
      </c>
      <c r="B1491" s="1" t="n">
        <v>46006</v>
      </c>
      <c r="C1491" s="1" t="n">
        <v>46204</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52564-2025</t>
        </is>
      </c>
      <c r="B1492" s="1" t="n">
        <v>45954</v>
      </c>
      <c r="C1492" s="1" t="n">
        <v>46204</v>
      </c>
      <c r="D1492" t="inlineStr">
        <is>
          <t>VÄRMLANDS LÄN</t>
        </is>
      </c>
      <c r="E1492" t="inlineStr">
        <is>
          <t>TORSBY</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26158-2025</t>
        </is>
      </c>
      <c r="B1493" s="1" t="n">
        <v>45805</v>
      </c>
      <c r="C1493" s="1" t="n">
        <v>46204</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25898-2026</t>
        </is>
      </c>
      <c r="B1494" s="1" t="n">
        <v>46178</v>
      </c>
      <c r="C1494" s="1" t="n">
        <v>46204</v>
      </c>
      <c r="D1494" t="inlineStr">
        <is>
          <t>VÄRMLANDS LÄN</t>
        </is>
      </c>
      <c r="E1494" t="inlineStr">
        <is>
          <t>TORSBY</t>
        </is>
      </c>
      <c r="F1494" t="inlineStr">
        <is>
          <t>Bergvik skog väst AB</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25904-2026</t>
        </is>
      </c>
      <c r="B1495" s="1" t="n">
        <v>46178</v>
      </c>
      <c r="C1495" s="1" t="n">
        <v>46204</v>
      </c>
      <c r="D1495" t="inlineStr">
        <is>
          <t>VÄRMLANDS LÄN</t>
        </is>
      </c>
      <c r="E1495" t="inlineStr">
        <is>
          <t>TORSBY</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39771-2024</t>
        </is>
      </c>
      <c r="B1496" s="1" t="n">
        <v>45552</v>
      </c>
      <c r="C1496" s="1" t="n">
        <v>46204</v>
      </c>
      <c r="D1496" t="inlineStr">
        <is>
          <t>VÄRMLANDS LÄN</t>
        </is>
      </c>
      <c r="E1496" t="inlineStr">
        <is>
          <t>TORSBY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25747-2026</t>
        </is>
      </c>
      <c r="B1497" s="1" t="n">
        <v>46178</v>
      </c>
      <c r="C1497" s="1" t="n">
        <v>46204</v>
      </c>
      <c r="D1497" t="inlineStr">
        <is>
          <t>VÄRMLANDS LÄN</t>
        </is>
      </c>
      <c r="E1497" t="inlineStr">
        <is>
          <t>TORSBY</t>
        </is>
      </c>
      <c r="F1497" t="inlineStr">
        <is>
          <t>Bergvik skog väst AB</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71679-2021</t>
        </is>
      </c>
      <c r="B1498" s="1" t="n">
        <v>44543</v>
      </c>
      <c r="C1498" s="1" t="n">
        <v>46204</v>
      </c>
      <c r="D1498" t="inlineStr">
        <is>
          <t>VÄRMLANDS LÄN</t>
        </is>
      </c>
      <c r="E1498" t="inlineStr">
        <is>
          <t>TORSBY</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22124-2022</t>
        </is>
      </c>
      <c r="B1499" s="1" t="n">
        <v>44712</v>
      </c>
      <c r="C1499" s="1" t="n">
        <v>46204</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22943-2023</t>
        </is>
      </c>
      <c r="B1500" s="1" t="n">
        <v>45072</v>
      </c>
      <c r="C1500" s="1" t="n">
        <v>46204</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38497-2024</t>
        </is>
      </c>
      <c r="B1501" s="1" t="n">
        <v>45546</v>
      </c>
      <c r="C1501" s="1" t="n">
        <v>46204</v>
      </c>
      <c r="D1501" t="inlineStr">
        <is>
          <t>VÄRMLANDS LÄN</t>
        </is>
      </c>
      <c r="E1501" t="inlineStr">
        <is>
          <t>TORSBY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33897-2025</t>
        </is>
      </c>
      <c r="B1502" s="1" t="n">
        <v>45842</v>
      </c>
      <c r="C1502" s="1" t="n">
        <v>46204</v>
      </c>
      <c r="D1502" t="inlineStr">
        <is>
          <t>VÄRMLANDS LÄN</t>
        </is>
      </c>
      <c r="E1502" t="inlineStr">
        <is>
          <t>TORSBY</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32845-2024</t>
        </is>
      </c>
      <c r="B1503" s="1" t="n">
        <v>45516</v>
      </c>
      <c r="C1503" s="1" t="n">
        <v>46204</v>
      </c>
      <c r="D1503" t="inlineStr">
        <is>
          <t>VÄRMLANDS LÄN</t>
        </is>
      </c>
      <c r="E1503" t="inlineStr">
        <is>
          <t>TORSBY</t>
        </is>
      </c>
      <c r="F1503" t="inlineStr">
        <is>
          <t>Bergvik skog väst AB</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51587-2025</t>
        </is>
      </c>
      <c r="B1504" s="1" t="n">
        <v>45951</v>
      </c>
      <c r="C1504" s="1" t="n">
        <v>46204</v>
      </c>
      <c r="D1504" t="inlineStr">
        <is>
          <t>VÄRMLANDS LÄN</t>
        </is>
      </c>
      <c r="E1504" t="inlineStr">
        <is>
          <t>TORSBY</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25653-2026</t>
        </is>
      </c>
      <c r="B1505" s="1" t="n">
        <v>46178</v>
      </c>
      <c r="C1505" s="1" t="n">
        <v>46204</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44710-2025</t>
        </is>
      </c>
      <c r="B1506" s="1" t="n">
        <v>45917</v>
      </c>
      <c r="C1506" s="1" t="n">
        <v>46204</v>
      </c>
      <c r="D1506" t="inlineStr">
        <is>
          <t>VÄRMLANDS LÄN</t>
        </is>
      </c>
      <c r="E1506" t="inlineStr">
        <is>
          <t>TORSBY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35334-2025</t>
        </is>
      </c>
      <c r="B1507" s="1" t="n">
        <v>45854</v>
      </c>
      <c r="C1507" s="1" t="n">
        <v>46204</v>
      </c>
      <c r="D1507" t="inlineStr">
        <is>
          <t>VÄRMLANDS LÄN</t>
        </is>
      </c>
      <c r="E1507" t="inlineStr">
        <is>
          <t>TORSBY</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57364-2025</t>
        </is>
      </c>
      <c r="B1508" s="1" t="n">
        <v>45980</v>
      </c>
      <c r="C1508" s="1" t="n">
        <v>46204</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63098-2025</t>
        </is>
      </c>
      <c r="B1509" s="1" t="n">
        <v>46009</v>
      </c>
      <c r="C1509" s="1" t="n">
        <v>46204</v>
      </c>
      <c r="D1509" t="inlineStr">
        <is>
          <t>VÄRMLANDS LÄN</t>
        </is>
      </c>
      <c r="E1509" t="inlineStr">
        <is>
          <t>TORSBY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60710-2024</t>
        </is>
      </c>
      <c r="B1510" s="1" t="n">
        <v>45643</v>
      </c>
      <c r="C1510" s="1" t="n">
        <v>46204</v>
      </c>
      <c r="D1510" t="inlineStr">
        <is>
          <t>VÄRMLANDS LÄN</t>
        </is>
      </c>
      <c r="E1510" t="inlineStr">
        <is>
          <t>TORSBY</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10329-2025</t>
        </is>
      </c>
      <c r="B1511" s="1" t="n">
        <v>45720</v>
      </c>
      <c r="C1511" s="1" t="n">
        <v>46204</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46152-2024</t>
        </is>
      </c>
      <c r="B1512" s="1" t="n">
        <v>45581</v>
      </c>
      <c r="C1512" s="1" t="n">
        <v>46204</v>
      </c>
      <c r="D1512" t="inlineStr">
        <is>
          <t>VÄRMLANDS LÄN</t>
        </is>
      </c>
      <c r="E1512" t="inlineStr">
        <is>
          <t>TORSBY</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26311-2026</t>
        </is>
      </c>
      <c r="B1513" s="1" t="n">
        <v>46182</v>
      </c>
      <c r="C1513" s="1" t="n">
        <v>46204</v>
      </c>
      <c r="D1513" t="inlineStr">
        <is>
          <t>VÄRMLANDS LÄN</t>
        </is>
      </c>
      <c r="E1513" t="inlineStr">
        <is>
          <t>TORSBY</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26320-2026</t>
        </is>
      </c>
      <c r="B1514" s="1" t="n">
        <v>46182</v>
      </c>
      <c r="C1514" s="1" t="n">
        <v>46204</v>
      </c>
      <c r="D1514" t="inlineStr">
        <is>
          <t>VÄRMLANDS LÄN</t>
        </is>
      </c>
      <c r="E1514" t="inlineStr">
        <is>
          <t>TORSBY</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20429-2026</t>
        </is>
      </c>
      <c r="B1515" s="1" t="n">
        <v>46140</v>
      </c>
      <c r="C1515" s="1" t="n">
        <v>46204</v>
      </c>
      <c r="D1515" t="inlineStr">
        <is>
          <t>VÄRMLANDS LÄN</t>
        </is>
      </c>
      <c r="E1515" t="inlineStr">
        <is>
          <t>TORSBY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35194-2025</t>
        </is>
      </c>
      <c r="B1516" s="1" t="n">
        <v>45853</v>
      </c>
      <c r="C1516" s="1" t="n">
        <v>46204</v>
      </c>
      <c r="D1516" t="inlineStr">
        <is>
          <t>VÄRMLANDS LÄN</t>
        </is>
      </c>
      <c r="E1516" t="inlineStr">
        <is>
          <t>TORSBY</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8016-2023</t>
        </is>
      </c>
      <c r="B1517" s="1" t="n">
        <v>44973</v>
      </c>
      <c r="C1517" s="1" t="n">
        <v>46204</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41746-2025</t>
        </is>
      </c>
      <c r="B1518" s="1" t="n">
        <v>45902</v>
      </c>
      <c r="C1518" s="1" t="n">
        <v>46204</v>
      </c>
      <c r="D1518" t="inlineStr">
        <is>
          <t>VÄRMLANDS LÄN</t>
        </is>
      </c>
      <c r="E1518" t="inlineStr">
        <is>
          <t>TORSBY</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6715-2023</t>
        </is>
      </c>
      <c r="B1519" s="1" t="n">
        <v>44960</v>
      </c>
      <c r="C1519" s="1" t="n">
        <v>46204</v>
      </c>
      <c r="D1519" t="inlineStr">
        <is>
          <t>VÄRMLANDS LÄN</t>
        </is>
      </c>
      <c r="E1519" t="inlineStr">
        <is>
          <t>TORSBY</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3606-2026</t>
        </is>
      </c>
      <c r="B1520" s="1" t="n">
        <v>46042</v>
      </c>
      <c r="C1520" s="1" t="n">
        <v>46204</v>
      </c>
      <c r="D1520" t="inlineStr">
        <is>
          <t>VÄRMLANDS LÄN</t>
        </is>
      </c>
      <c r="E1520" t="inlineStr">
        <is>
          <t>TORSBY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68136-2021</t>
        </is>
      </c>
      <c r="B1521" s="1" t="n">
        <v>44526</v>
      </c>
      <c r="C1521" s="1" t="n">
        <v>46204</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41936-2024</t>
        </is>
      </c>
      <c r="B1522" s="1" t="n">
        <v>45561</v>
      </c>
      <c r="C1522" s="1" t="n">
        <v>46204</v>
      </c>
      <c r="D1522" t="inlineStr">
        <is>
          <t>VÄRMLANDS LÄN</t>
        </is>
      </c>
      <c r="E1522" t="inlineStr">
        <is>
          <t>TORSBY</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41501-2024</t>
        </is>
      </c>
      <c r="B1523" s="1" t="n">
        <v>45560</v>
      </c>
      <c r="C1523" s="1" t="n">
        <v>46204</v>
      </c>
      <c r="D1523" t="inlineStr">
        <is>
          <t>VÄRMLANDS LÄN</t>
        </is>
      </c>
      <c r="E1523" t="inlineStr">
        <is>
          <t>TORSBY</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26204-2026</t>
        </is>
      </c>
      <c r="B1524" s="1" t="n">
        <v>46182</v>
      </c>
      <c r="C1524" s="1" t="n">
        <v>46204</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3922-2024</t>
        </is>
      </c>
      <c r="B1525" s="1" t="n">
        <v>45322</v>
      </c>
      <c r="C1525" s="1" t="n">
        <v>46204</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20622-2026</t>
        </is>
      </c>
      <c r="B1526" s="1" t="n">
        <v>46141</v>
      </c>
      <c r="C1526" s="1" t="n">
        <v>46204</v>
      </c>
      <c r="D1526" t="inlineStr">
        <is>
          <t>VÄRMLANDS LÄN</t>
        </is>
      </c>
      <c r="E1526" t="inlineStr">
        <is>
          <t>TORSBY</t>
        </is>
      </c>
      <c r="F1526" t="inlineStr">
        <is>
          <t>Bergvik skog väst AB</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20588-2026</t>
        </is>
      </c>
      <c r="B1527" s="1" t="n">
        <v>46140</v>
      </c>
      <c r="C1527" s="1" t="n">
        <v>46204</v>
      </c>
      <c r="D1527" t="inlineStr">
        <is>
          <t>VÄRMLANDS LÄN</t>
        </is>
      </c>
      <c r="E1527" t="inlineStr">
        <is>
          <t>TORSBY</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27195-2023</t>
        </is>
      </c>
      <c r="B1528" s="1" t="n">
        <v>45096</v>
      </c>
      <c r="C1528" s="1" t="n">
        <v>46204</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26304-2026</t>
        </is>
      </c>
      <c r="B1529" s="1" t="n">
        <v>46182</v>
      </c>
      <c r="C1529" s="1" t="n">
        <v>46204</v>
      </c>
      <c r="D1529" t="inlineStr">
        <is>
          <t>VÄRMLANDS LÄN</t>
        </is>
      </c>
      <c r="E1529" t="inlineStr">
        <is>
          <t>TORSBY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14413-2025</t>
        </is>
      </c>
      <c r="B1530" s="1" t="n">
        <v>45741</v>
      </c>
      <c r="C1530" s="1" t="n">
        <v>46204</v>
      </c>
      <c r="D1530" t="inlineStr">
        <is>
          <t>VÄRMLANDS LÄN</t>
        </is>
      </c>
      <c r="E1530" t="inlineStr">
        <is>
          <t>TORSBY</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21581-2024</t>
        </is>
      </c>
      <c r="B1531" s="1" t="n">
        <v>45441</v>
      </c>
      <c r="C1531" s="1" t="n">
        <v>46204</v>
      </c>
      <c r="D1531" t="inlineStr">
        <is>
          <t>VÄRMLANDS LÄN</t>
        </is>
      </c>
      <c r="E1531" t="inlineStr">
        <is>
          <t>TORSBY</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7643-2025</t>
        </is>
      </c>
      <c r="B1532" s="1" t="n">
        <v>45705</v>
      </c>
      <c r="C1532" s="1" t="n">
        <v>46204</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35367-2025</t>
        </is>
      </c>
      <c r="B1533" s="1" t="n">
        <v>45854</v>
      </c>
      <c r="C1533" s="1" t="n">
        <v>46204</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38232-2025</t>
        </is>
      </c>
      <c r="B1534" s="1" t="n">
        <v>45883</v>
      </c>
      <c r="C1534" s="1" t="n">
        <v>46204</v>
      </c>
      <c r="D1534" t="inlineStr">
        <is>
          <t>VÄRMLANDS LÄN</t>
        </is>
      </c>
      <c r="E1534" t="inlineStr">
        <is>
          <t>TORSBY</t>
        </is>
      </c>
      <c r="F1534" t="inlineStr">
        <is>
          <t>Bergvik skog väst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36477-2025</t>
        </is>
      </c>
      <c r="B1535" s="1" t="n">
        <v>45869</v>
      </c>
      <c r="C1535" s="1" t="n">
        <v>46204</v>
      </c>
      <c r="D1535" t="inlineStr">
        <is>
          <t>VÄRMLANDS LÄN</t>
        </is>
      </c>
      <c r="E1535" t="inlineStr">
        <is>
          <t>TORSBY</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18505-2026</t>
        </is>
      </c>
      <c r="B1536" s="1" t="n">
        <v>46127</v>
      </c>
      <c r="C1536" s="1" t="n">
        <v>46204</v>
      </c>
      <c r="D1536" t="inlineStr">
        <is>
          <t>VÄRMLANDS LÄN</t>
        </is>
      </c>
      <c r="E1536" t="inlineStr">
        <is>
          <t>TORSBY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37945-2025</t>
        </is>
      </c>
      <c r="B1537" s="1" t="n">
        <v>45881</v>
      </c>
      <c r="C1537" s="1" t="n">
        <v>46204</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57990-2023</t>
        </is>
      </c>
      <c r="B1538" s="1" t="n">
        <v>45247</v>
      </c>
      <c r="C1538" s="1" t="n">
        <v>46204</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20538-2026</t>
        </is>
      </c>
      <c r="B1539" s="1" t="n">
        <v>46140</v>
      </c>
      <c r="C1539" s="1" t="n">
        <v>46204</v>
      </c>
      <c r="D1539" t="inlineStr">
        <is>
          <t>VÄRMLANDS LÄN</t>
        </is>
      </c>
      <c r="E1539" t="inlineStr">
        <is>
          <t>TORSBY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23823-2022</t>
        </is>
      </c>
      <c r="B1540" s="1" t="n">
        <v>44722</v>
      </c>
      <c r="C1540" s="1" t="n">
        <v>46204</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51510-2021</t>
        </is>
      </c>
      <c r="B1541" s="1" t="n">
        <v>44460</v>
      </c>
      <c r="C1541" s="1" t="n">
        <v>46204</v>
      </c>
      <c r="D1541" t="inlineStr">
        <is>
          <t>VÄRMLANDS LÄN</t>
        </is>
      </c>
      <c r="E1541" t="inlineStr">
        <is>
          <t>TORSBY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423-2024</t>
        </is>
      </c>
      <c r="B1542" s="1" t="n">
        <v>45296</v>
      </c>
      <c r="C1542" s="1" t="n">
        <v>46204</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2387-2025</t>
        </is>
      </c>
      <c r="B1543" s="1" t="n">
        <v>45674</v>
      </c>
      <c r="C1543" s="1" t="n">
        <v>46204</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26269-2026</t>
        </is>
      </c>
      <c r="B1544" s="1" t="n">
        <v>46182</v>
      </c>
      <c r="C1544" s="1" t="n">
        <v>46204</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21580-2024</t>
        </is>
      </c>
      <c r="B1545" s="1" t="n">
        <v>45441</v>
      </c>
      <c r="C1545" s="1" t="n">
        <v>46204</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69275-2021</t>
        </is>
      </c>
      <c r="B1546" s="1" t="n">
        <v>44526</v>
      </c>
      <c r="C1546" s="1" t="n">
        <v>46204</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12365-2022</t>
        </is>
      </c>
      <c r="B1547" s="1" t="n">
        <v>44637</v>
      </c>
      <c r="C1547" s="1" t="n">
        <v>46204</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58430-2023</t>
        </is>
      </c>
      <c r="B1548" s="1" t="n">
        <v>45250</v>
      </c>
      <c r="C1548" s="1" t="n">
        <v>46204</v>
      </c>
      <c r="D1548" t="inlineStr">
        <is>
          <t>VÄRMLANDS LÄN</t>
        </is>
      </c>
      <c r="E1548" t="inlineStr">
        <is>
          <t>TORSBY</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27270-2024</t>
        </is>
      </c>
      <c r="B1549" s="1" t="n">
        <v>45471</v>
      </c>
      <c r="C1549" s="1" t="n">
        <v>46204</v>
      </c>
      <c r="D1549" t="inlineStr">
        <is>
          <t>VÄRMLANDS LÄN</t>
        </is>
      </c>
      <c r="E1549" t="inlineStr">
        <is>
          <t>TORSBY</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10584-2023</t>
        </is>
      </c>
      <c r="B1550" s="1" t="n">
        <v>44988</v>
      </c>
      <c r="C1550" s="1" t="n">
        <v>46204</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42632-2023</t>
        </is>
      </c>
      <c r="B1551" s="1" t="n">
        <v>45181</v>
      </c>
      <c r="C1551" s="1" t="n">
        <v>46204</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42635-2023</t>
        </is>
      </c>
      <c r="B1552" s="1" t="n">
        <v>45181</v>
      </c>
      <c r="C1552" s="1" t="n">
        <v>46204</v>
      </c>
      <c r="D1552" t="inlineStr">
        <is>
          <t>VÄRMLANDS LÄN</t>
        </is>
      </c>
      <c r="E1552" t="inlineStr">
        <is>
          <t>TORSBY</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26539-2026</t>
        </is>
      </c>
      <c r="B1553" s="1" t="n">
        <v>46183</v>
      </c>
      <c r="C1553" s="1" t="n">
        <v>46204</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4510-2023</t>
        </is>
      </c>
      <c r="B1554" s="1" t="n">
        <v>44956</v>
      </c>
      <c r="C1554" s="1" t="n">
        <v>46204</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20414-2026</t>
        </is>
      </c>
      <c r="B1555" s="1" t="n">
        <v>46140</v>
      </c>
      <c r="C1555" s="1" t="n">
        <v>46204</v>
      </c>
      <c r="D1555" t="inlineStr">
        <is>
          <t>VÄRMLANDS LÄN</t>
        </is>
      </c>
      <c r="E1555" t="inlineStr">
        <is>
          <t>TORSBY</t>
        </is>
      </c>
      <c r="G1555" t="n">
        <v>23.8</v>
      </c>
      <c r="H1555" t="n">
        <v>0</v>
      </c>
      <c r="I1555" t="n">
        <v>0</v>
      </c>
      <c r="J1555" t="n">
        <v>0</v>
      </c>
      <c r="K1555" t="n">
        <v>0</v>
      </c>
      <c r="L1555" t="n">
        <v>0</v>
      </c>
      <c r="M1555" t="n">
        <v>0</v>
      </c>
      <c r="N1555" t="n">
        <v>0</v>
      </c>
      <c r="O1555" t="n">
        <v>0</v>
      </c>
      <c r="P1555" t="n">
        <v>0</v>
      </c>
      <c r="Q1555" t="n">
        <v>0</v>
      </c>
      <c r="R1555" s="2" t="inlineStr"/>
    </row>
    <row r="1556" ht="15" customHeight="1">
      <c r="A1556" t="inlineStr">
        <is>
          <t>A 26273-2026</t>
        </is>
      </c>
      <c r="B1556" s="1" t="n">
        <v>46182</v>
      </c>
      <c r="C1556" s="1" t="n">
        <v>46204</v>
      </c>
      <c r="D1556" t="inlineStr">
        <is>
          <t>VÄRMLANDS LÄN</t>
        </is>
      </c>
      <c r="E1556" t="inlineStr">
        <is>
          <t>TORSBY</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39919-2025</t>
        </is>
      </c>
      <c r="B1557" s="1" t="n">
        <v>45891</v>
      </c>
      <c r="C1557" s="1" t="n">
        <v>46204</v>
      </c>
      <c r="D1557" t="inlineStr">
        <is>
          <t>VÄRMLANDS LÄN</t>
        </is>
      </c>
      <c r="E1557" t="inlineStr">
        <is>
          <t>TORSBY</t>
        </is>
      </c>
      <c r="F1557" t="inlineStr">
        <is>
          <t>Bergvik skog väst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24580-2025</t>
        </is>
      </c>
      <c r="B1558" s="1" t="n">
        <v>45798</v>
      </c>
      <c r="C1558" s="1" t="n">
        <v>46204</v>
      </c>
      <c r="D1558" t="inlineStr">
        <is>
          <t>VÄRMLANDS LÄN</t>
        </is>
      </c>
      <c r="E1558" t="inlineStr">
        <is>
          <t>TORSBY</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26225-2026</t>
        </is>
      </c>
      <c r="B1559" s="1" t="n">
        <v>46182</v>
      </c>
      <c r="C1559" s="1" t="n">
        <v>46204</v>
      </c>
      <c r="D1559" t="inlineStr">
        <is>
          <t>VÄRMLANDS LÄN</t>
        </is>
      </c>
      <c r="E1559" t="inlineStr">
        <is>
          <t>TORSBY</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31052-2023</t>
        </is>
      </c>
      <c r="B1560" s="1" t="n">
        <v>45113</v>
      </c>
      <c r="C1560" s="1" t="n">
        <v>46204</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24425-2025</t>
        </is>
      </c>
      <c r="B1561" s="1" t="n">
        <v>45797</v>
      </c>
      <c r="C1561" s="1" t="n">
        <v>46204</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27360-2024</t>
        </is>
      </c>
      <c r="B1562" s="1" t="n">
        <v>45473</v>
      </c>
      <c r="C1562" s="1" t="n">
        <v>46204</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20635-2026</t>
        </is>
      </c>
      <c r="B1563" s="1" t="n">
        <v>46141</v>
      </c>
      <c r="C1563" s="1" t="n">
        <v>46204</v>
      </c>
      <c r="D1563" t="inlineStr">
        <is>
          <t>VÄRMLANDS LÄN</t>
        </is>
      </c>
      <c r="E1563" t="inlineStr">
        <is>
          <t>TORSBY</t>
        </is>
      </c>
      <c r="F1563" t="inlineStr">
        <is>
          <t>Kyrkan</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26509-2026</t>
        </is>
      </c>
      <c r="B1564" s="1" t="n">
        <v>46183</v>
      </c>
      <c r="C1564" s="1" t="n">
        <v>46204</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39768-2024</t>
        </is>
      </c>
      <c r="B1565" s="1" t="n">
        <v>45552</v>
      </c>
      <c r="C1565" s="1" t="n">
        <v>46204</v>
      </c>
      <c r="D1565" t="inlineStr">
        <is>
          <t>VÄRMLANDS LÄN</t>
        </is>
      </c>
      <c r="E1565" t="inlineStr">
        <is>
          <t>TORSBY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25758-2026</t>
        </is>
      </c>
      <c r="B1566" s="1" t="n">
        <v>46178</v>
      </c>
      <c r="C1566" s="1" t="n">
        <v>46204</v>
      </c>
      <c r="D1566" t="inlineStr">
        <is>
          <t>VÄRMLANDS LÄN</t>
        </is>
      </c>
      <c r="E1566" t="inlineStr">
        <is>
          <t>TORSBY</t>
        </is>
      </c>
      <c r="F1566" t="inlineStr">
        <is>
          <t>Bergvik skog väst AB</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33499-2024</t>
        </is>
      </c>
      <c r="B1567" s="1" t="n">
        <v>45519</v>
      </c>
      <c r="C1567" s="1" t="n">
        <v>46204</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31936-2023</t>
        </is>
      </c>
      <c r="B1568" s="1" t="n">
        <v>45107</v>
      </c>
      <c r="C1568" s="1" t="n">
        <v>46204</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345-2023</t>
        </is>
      </c>
      <c r="B1569" s="1" t="n">
        <v>44923</v>
      </c>
      <c r="C1569" s="1" t="n">
        <v>46204</v>
      </c>
      <c r="D1569" t="inlineStr">
        <is>
          <t>VÄRMLANDS LÄN</t>
        </is>
      </c>
      <c r="E1569" t="inlineStr">
        <is>
          <t>TORSBY</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54011-2024</t>
        </is>
      </c>
      <c r="B1570" s="1" t="n">
        <v>45616</v>
      </c>
      <c r="C1570" s="1" t="n">
        <v>46204</v>
      </c>
      <c r="D1570" t="inlineStr">
        <is>
          <t>VÄRMLANDS LÄN</t>
        </is>
      </c>
      <c r="E1570" t="inlineStr">
        <is>
          <t>TORSBY</t>
        </is>
      </c>
      <c r="F1570" t="inlineStr">
        <is>
          <t>Kommuner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54026-2024</t>
        </is>
      </c>
      <c r="B1571" s="1" t="n">
        <v>45616</v>
      </c>
      <c r="C1571" s="1" t="n">
        <v>46204</v>
      </c>
      <c r="D1571" t="inlineStr">
        <is>
          <t>VÄRMLANDS LÄN</t>
        </is>
      </c>
      <c r="E1571" t="inlineStr">
        <is>
          <t>TORSBY</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46695-2025</t>
        </is>
      </c>
      <c r="B1572" s="1" t="n">
        <v>45926</v>
      </c>
      <c r="C1572" s="1" t="n">
        <v>46204</v>
      </c>
      <c r="D1572" t="inlineStr">
        <is>
          <t>VÄRMLANDS LÄN</t>
        </is>
      </c>
      <c r="E1572" t="inlineStr">
        <is>
          <t>TORSBY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56509-2024</t>
        </is>
      </c>
      <c r="B1573" s="1" t="n">
        <v>45625</v>
      </c>
      <c r="C1573" s="1" t="n">
        <v>46204</v>
      </c>
      <c r="D1573" t="inlineStr">
        <is>
          <t>VÄRMLANDS LÄN</t>
        </is>
      </c>
      <c r="E1573" t="inlineStr">
        <is>
          <t>TORSBY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26293-2026</t>
        </is>
      </c>
      <c r="B1574" s="1" t="n">
        <v>46182</v>
      </c>
      <c r="C1574" s="1" t="n">
        <v>46204</v>
      </c>
      <c r="D1574" t="inlineStr">
        <is>
          <t>VÄRMLANDS LÄN</t>
        </is>
      </c>
      <c r="E1574" t="inlineStr">
        <is>
          <t>TORSBY</t>
        </is>
      </c>
      <c r="G1574" t="n">
        <v>16.5</v>
      </c>
      <c r="H1574" t="n">
        <v>0</v>
      </c>
      <c r="I1574" t="n">
        <v>0</v>
      </c>
      <c r="J1574" t="n">
        <v>0</v>
      </c>
      <c r="K1574" t="n">
        <v>0</v>
      </c>
      <c r="L1574" t="n">
        <v>0</v>
      </c>
      <c r="M1574" t="n">
        <v>0</v>
      </c>
      <c r="N1574" t="n">
        <v>0</v>
      </c>
      <c r="O1574" t="n">
        <v>0</v>
      </c>
      <c r="P1574" t="n">
        <v>0</v>
      </c>
      <c r="Q1574" t="n">
        <v>0</v>
      </c>
      <c r="R1574" s="2" t="inlineStr"/>
    </row>
    <row r="1575" ht="15" customHeight="1">
      <c r="A1575" t="inlineStr">
        <is>
          <t>A 26530-2026</t>
        </is>
      </c>
      <c r="B1575" s="1" t="n">
        <v>46183</v>
      </c>
      <c r="C1575" s="1" t="n">
        <v>46204</v>
      </c>
      <c r="D1575" t="inlineStr">
        <is>
          <t>VÄRMLANDS LÄN</t>
        </is>
      </c>
      <c r="E1575" t="inlineStr">
        <is>
          <t>TORSBY</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26232-2026</t>
        </is>
      </c>
      <c r="B1576" s="1" t="n">
        <v>46182</v>
      </c>
      <c r="C1576" s="1" t="n">
        <v>46204</v>
      </c>
      <c r="D1576" t="inlineStr">
        <is>
          <t>VÄRMLANDS LÄN</t>
        </is>
      </c>
      <c r="E1576" t="inlineStr">
        <is>
          <t>TORSBY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54223-2023</t>
        </is>
      </c>
      <c r="B1577" s="1" t="n">
        <v>45232</v>
      </c>
      <c r="C1577" s="1" t="n">
        <v>46204</v>
      </c>
      <c r="D1577" t="inlineStr">
        <is>
          <t>VÄRMLANDS LÄN</t>
        </is>
      </c>
      <c r="E1577" t="inlineStr">
        <is>
          <t>TORSBY</t>
        </is>
      </c>
      <c r="F1577" t="inlineStr">
        <is>
          <t>Bergvik skog väst AB</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56880-2023</t>
        </is>
      </c>
      <c r="B1578" s="1" t="n">
        <v>45244</v>
      </c>
      <c r="C1578" s="1" t="n">
        <v>46204</v>
      </c>
      <c r="D1578" t="inlineStr">
        <is>
          <t>VÄRMLANDS LÄN</t>
        </is>
      </c>
      <c r="E1578" t="inlineStr">
        <is>
          <t>TORSBY</t>
        </is>
      </c>
      <c r="F1578" t="inlineStr">
        <is>
          <t>Övriga Aktiebolag</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20808-2026</t>
        </is>
      </c>
      <c r="B1579" s="1" t="n">
        <v>46141</v>
      </c>
      <c r="C1579" s="1" t="n">
        <v>46204</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62401-2025</t>
        </is>
      </c>
      <c r="B1580" s="1" t="n">
        <v>46007</v>
      </c>
      <c r="C1580" s="1" t="n">
        <v>46204</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40207-2023</t>
        </is>
      </c>
      <c r="B1581" s="1" t="n">
        <v>45169</v>
      </c>
      <c r="C1581" s="1" t="n">
        <v>46204</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55485-2023</t>
        </is>
      </c>
      <c r="B1582" s="1" t="n">
        <v>45238</v>
      </c>
      <c r="C1582" s="1" t="n">
        <v>46204</v>
      </c>
      <c r="D1582" t="inlineStr">
        <is>
          <t>VÄRMLANDS LÄN</t>
        </is>
      </c>
      <c r="E1582" t="inlineStr">
        <is>
          <t>TORSBY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54714-2023</t>
        </is>
      </c>
      <c r="B1583" s="1" t="n">
        <v>45236</v>
      </c>
      <c r="C1583" s="1" t="n">
        <v>46204</v>
      </c>
      <c r="D1583" t="inlineStr">
        <is>
          <t>VÄRMLANDS LÄN</t>
        </is>
      </c>
      <c r="E1583" t="inlineStr">
        <is>
          <t>TORSBY</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21094-2022</t>
        </is>
      </c>
      <c r="B1584" s="1" t="n">
        <v>44704</v>
      </c>
      <c r="C1584" s="1" t="n">
        <v>46204</v>
      </c>
      <c r="D1584" t="inlineStr">
        <is>
          <t>VÄRMLANDS LÄN</t>
        </is>
      </c>
      <c r="E1584" t="inlineStr">
        <is>
          <t>TORSBY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7378-2025</t>
        </is>
      </c>
      <c r="B1585" s="1" t="n">
        <v>45705</v>
      </c>
      <c r="C1585" s="1" t="n">
        <v>46204</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14800-2025</t>
        </is>
      </c>
      <c r="B1586" s="1" t="n">
        <v>45743</v>
      </c>
      <c r="C1586" s="1" t="n">
        <v>46204</v>
      </c>
      <c r="D1586" t="inlineStr">
        <is>
          <t>VÄRMLANDS LÄN</t>
        </is>
      </c>
      <c r="E1586" t="inlineStr">
        <is>
          <t>TORSBY</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50973-2023</t>
        </is>
      </c>
      <c r="B1587" s="1" t="n">
        <v>45218</v>
      </c>
      <c r="C1587" s="1" t="n">
        <v>46204</v>
      </c>
      <c r="D1587" t="inlineStr">
        <is>
          <t>VÄRMLANDS LÄN</t>
        </is>
      </c>
      <c r="E1587" t="inlineStr">
        <is>
          <t>TORSBY</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24827-2025</t>
        </is>
      </c>
      <c r="B1588" s="1" t="n">
        <v>45799</v>
      </c>
      <c r="C1588" s="1" t="n">
        <v>46204</v>
      </c>
      <c r="D1588" t="inlineStr">
        <is>
          <t>VÄRMLANDS LÄN</t>
        </is>
      </c>
      <c r="E1588" t="inlineStr">
        <is>
          <t>TORSBY</t>
        </is>
      </c>
      <c r="G1588" t="n">
        <v>27.5</v>
      </c>
      <c r="H1588" t="n">
        <v>0</v>
      </c>
      <c r="I1588" t="n">
        <v>0</v>
      </c>
      <c r="J1588" t="n">
        <v>0</v>
      </c>
      <c r="K1588" t="n">
        <v>0</v>
      </c>
      <c r="L1588" t="n">
        <v>0</v>
      </c>
      <c r="M1588" t="n">
        <v>0</v>
      </c>
      <c r="N1588" t="n">
        <v>0</v>
      </c>
      <c r="O1588" t="n">
        <v>0</v>
      </c>
      <c r="P1588" t="n">
        <v>0</v>
      </c>
      <c r="Q1588" t="n">
        <v>0</v>
      </c>
      <c r="R1588" s="2" t="inlineStr"/>
    </row>
    <row r="1589" ht="15" customHeight="1">
      <c r="A1589" t="inlineStr">
        <is>
          <t>A 58897-2025</t>
        </is>
      </c>
      <c r="B1589" s="1" t="n">
        <v>45987</v>
      </c>
      <c r="C1589" s="1" t="n">
        <v>46204</v>
      </c>
      <c r="D1589" t="inlineStr">
        <is>
          <t>VÄRMLANDS LÄN</t>
        </is>
      </c>
      <c r="E1589" t="inlineStr">
        <is>
          <t>TORSBY</t>
        </is>
      </c>
      <c r="F1589" t="inlineStr">
        <is>
          <t>Bergvik skog väst AB</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56299-2025</t>
        </is>
      </c>
      <c r="B1590" s="1" t="n">
        <v>45974</v>
      </c>
      <c r="C1590" s="1" t="n">
        <v>46204</v>
      </c>
      <c r="D1590" t="inlineStr">
        <is>
          <t>VÄRMLANDS LÄN</t>
        </is>
      </c>
      <c r="E1590" t="inlineStr">
        <is>
          <t>TORSBY</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26754-2026</t>
        </is>
      </c>
      <c r="B1591" s="1" t="n">
        <v>46184</v>
      </c>
      <c r="C1591" s="1" t="n">
        <v>46204</v>
      </c>
      <c r="D1591" t="inlineStr">
        <is>
          <t>VÄRMLANDS LÄN</t>
        </is>
      </c>
      <c r="E1591" t="inlineStr">
        <is>
          <t>TORSBY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54489-2024</t>
        </is>
      </c>
      <c r="B1592" s="1" t="n">
        <v>45617</v>
      </c>
      <c r="C1592" s="1" t="n">
        <v>46204</v>
      </c>
      <c r="D1592" t="inlineStr">
        <is>
          <t>VÄRMLANDS LÄN</t>
        </is>
      </c>
      <c r="E1592" t="inlineStr">
        <is>
          <t>TORSBY</t>
        </is>
      </c>
      <c r="F1592" t="inlineStr">
        <is>
          <t>Bergvik skog väst AB</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924-2024</t>
        </is>
      </c>
      <c r="B1593" s="1" t="n">
        <v>45301</v>
      </c>
      <c r="C1593" s="1" t="n">
        <v>46204</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20991-2026</t>
        </is>
      </c>
      <c r="B1594" s="1" t="n">
        <v>46142</v>
      </c>
      <c r="C1594" s="1" t="n">
        <v>46204</v>
      </c>
      <c r="D1594" t="inlineStr">
        <is>
          <t>VÄRMLANDS LÄN</t>
        </is>
      </c>
      <c r="E1594" t="inlineStr">
        <is>
          <t>TORSBY</t>
        </is>
      </c>
      <c r="F1594" t="inlineStr">
        <is>
          <t>Bergvik skog väst AB</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16498-2022</t>
        </is>
      </c>
      <c r="B1595" s="1" t="n">
        <v>44671</v>
      </c>
      <c r="C1595" s="1" t="n">
        <v>46204</v>
      </c>
      <c r="D1595" t="inlineStr">
        <is>
          <t>VÄRMLANDS LÄN</t>
        </is>
      </c>
      <c r="E1595" t="inlineStr">
        <is>
          <t>TORSBY</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21411-2023</t>
        </is>
      </c>
      <c r="B1596" s="1" t="n">
        <v>45063</v>
      </c>
      <c r="C1596" s="1" t="n">
        <v>46204</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48320-2022</t>
        </is>
      </c>
      <c r="B1597" s="1" t="n">
        <v>44853</v>
      </c>
      <c r="C1597" s="1" t="n">
        <v>46204</v>
      </c>
      <c r="D1597" t="inlineStr">
        <is>
          <t>VÄRMLANDS LÄN</t>
        </is>
      </c>
      <c r="E1597" t="inlineStr">
        <is>
          <t>TORSBY</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3841-2022</t>
        </is>
      </c>
      <c r="B1598" s="1" t="n">
        <v>44587</v>
      </c>
      <c r="C1598" s="1" t="n">
        <v>46204</v>
      </c>
      <c r="D1598" t="inlineStr">
        <is>
          <t>VÄRMLANDS LÄN</t>
        </is>
      </c>
      <c r="E1598" t="inlineStr">
        <is>
          <t>TORSBY</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26784-2026</t>
        </is>
      </c>
      <c r="B1599" s="1" t="n">
        <v>46183</v>
      </c>
      <c r="C1599" s="1" t="n">
        <v>46204</v>
      </c>
      <c r="D1599" t="inlineStr">
        <is>
          <t>VÄRMLANDS LÄN</t>
        </is>
      </c>
      <c r="E1599" t="inlineStr">
        <is>
          <t>TORSBY</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58185-2023</t>
        </is>
      </c>
      <c r="B1600" s="1" t="n">
        <v>45250</v>
      </c>
      <c r="C1600" s="1" t="n">
        <v>46204</v>
      </c>
      <c r="D1600" t="inlineStr">
        <is>
          <t>VÄRMLANDS LÄN</t>
        </is>
      </c>
      <c r="E1600" t="inlineStr">
        <is>
          <t>TORSBY</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27045-2024</t>
        </is>
      </c>
      <c r="B1601" s="1" t="n">
        <v>45471</v>
      </c>
      <c r="C1601" s="1" t="n">
        <v>46204</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21006-2026</t>
        </is>
      </c>
      <c r="B1602" s="1" t="n">
        <v>46142</v>
      </c>
      <c r="C1602" s="1" t="n">
        <v>46204</v>
      </c>
      <c r="D1602" t="inlineStr">
        <is>
          <t>VÄRMLANDS LÄN</t>
        </is>
      </c>
      <c r="E1602" t="inlineStr">
        <is>
          <t>TORSBY</t>
        </is>
      </c>
      <c r="F1602" t="inlineStr">
        <is>
          <t>Bergvik skog väst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26997-2026</t>
        </is>
      </c>
      <c r="B1603" s="1" t="n">
        <v>46185</v>
      </c>
      <c r="C1603" s="1" t="n">
        <v>46204</v>
      </c>
      <c r="D1603" t="inlineStr">
        <is>
          <t>VÄRMLANDS LÄN</t>
        </is>
      </c>
      <c r="E1603" t="inlineStr">
        <is>
          <t>TORSBY</t>
        </is>
      </c>
      <c r="F1603" t="inlineStr">
        <is>
          <t>Bergvik skog väst AB</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27920-2023</t>
        </is>
      </c>
      <c r="B1604" s="1" t="n">
        <v>45098</v>
      </c>
      <c r="C1604" s="1" t="n">
        <v>46204</v>
      </c>
      <c r="D1604" t="inlineStr">
        <is>
          <t>VÄRMLANDS LÄN</t>
        </is>
      </c>
      <c r="E1604" t="inlineStr">
        <is>
          <t>TORSBY</t>
        </is>
      </c>
      <c r="F1604" t="inlineStr">
        <is>
          <t>Kyrkan</t>
        </is>
      </c>
      <c r="G1604" t="n">
        <v>14.7</v>
      </c>
      <c r="H1604" t="n">
        <v>0</v>
      </c>
      <c r="I1604" t="n">
        <v>0</v>
      </c>
      <c r="J1604" t="n">
        <v>0</v>
      </c>
      <c r="K1604" t="n">
        <v>0</v>
      </c>
      <c r="L1604" t="n">
        <v>0</v>
      </c>
      <c r="M1604" t="n">
        <v>0</v>
      </c>
      <c r="N1604" t="n">
        <v>0</v>
      </c>
      <c r="O1604" t="n">
        <v>0</v>
      </c>
      <c r="P1604" t="n">
        <v>0</v>
      </c>
      <c r="Q1604" t="n">
        <v>0</v>
      </c>
      <c r="R1604" s="2" t="inlineStr"/>
    </row>
    <row r="1605" ht="15" customHeight="1">
      <c r="A1605" t="inlineStr">
        <is>
          <t>A 24639-2023</t>
        </is>
      </c>
      <c r="B1605" s="1" t="n">
        <v>45084</v>
      </c>
      <c r="C1605" s="1" t="n">
        <v>46204</v>
      </c>
      <c r="D1605" t="inlineStr">
        <is>
          <t>VÄRMLANDS LÄN</t>
        </is>
      </c>
      <c r="E1605" t="inlineStr">
        <is>
          <t>TORSBY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26663-2026</t>
        </is>
      </c>
      <c r="B1606" s="1" t="n">
        <v>46184</v>
      </c>
      <c r="C1606" s="1" t="n">
        <v>46204</v>
      </c>
      <c r="D1606" t="inlineStr">
        <is>
          <t>VÄRMLANDS LÄN</t>
        </is>
      </c>
      <c r="E1606" t="inlineStr">
        <is>
          <t>TORSBY</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57072-2022</t>
        </is>
      </c>
      <c r="B1607" s="1" t="n">
        <v>44895</v>
      </c>
      <c r="C1607" s="1" t="n">
        <v>46204</v>
      </c>
      <c r="D1607" t="inlineStr">
        <is>
          <t>VÄRMLANDS LÄN</t>
        </is>
      </c>
      <c r="E1607" t="inlineStr">
        <is>
          <t>TORSBY</t>
        </is>
      </c>
      <c r="F1607" t="inlineStr">
        <is>
          <t>Övriga statliga verk och myndigheter</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26785-2026</t>
        </is>
      </c>
      <c r="B1608" s="1" t="n">
        <v>46183</v>
      </c>
      <c r="C1608" s="1" t="n">
        <v>46204</v>
      </c>
      <c r="D1608" t="inlineStr">
        <is>
          <t>VÄRMLANDS LÄN</t>
        </is>
      </c>
      <c r="E1608" t="inlineStr">
        <is>
          <t>TORSBY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18544-2023</t>
        </is>
      </c>
      <c r="B1609" s="1" t="n">
        <v>45041</v>
      </c>
      <c r="C1609" s="1" t="n">
        <v>46204</v>
      </c>
      <c r="D1609" t="inlineStr">
        <is>
          <t>VÄRMLANDS LÄN</t>
        </is>
      </c>
      <c r="E1609" t="inlineStr">
        <is>
          <t>TORSBY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52581-2024</t>
        </is>
      </c>
      <c r="B1610" s="1" t="n">
        <v>45609</v>
      </c>
      <c r="C1610" s="1" t="n">
        <v>46204</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44708-2022</t>
        </is>
      </c>
      <c r="B1611" s="1" t="n">
        <v>44840</v>
      </c>
      <c r="C1611" s="1" t="n">
        <v>46204</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56970-2023</t>
        </is>
      </c>
      <c r="B1612" s="1" t="n">
        <v>45244</v>
      </c>
      <c r="C1612" s="1" t="n">
        <v>46204</v>
      </c>
      <c r="D1612" t="inlineStr">
        <is>
          <t>VÄRMLANDS LÄN</t>
        </is>
      </c>
      <c r="E1612" t="inlineStr">
        <is>
          <t>TORSBY</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27106-2026</t>
        </is>
      </c>
      <c r="B1613" s="1" t="n">
        <v>46188</v>
      </c>
      <c r="C1613" s="1" t="n">
        <v>46204</v>
      </c>
      <c r="D1613" t="inlineStr">
        <is>
          <t>VÄRMLANDS LÄN</t>
        </is>
      </c>
      <c r="E1613" t="inlineStr">
        <is>
          <t>TORSBY</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27291-2026</t>
        </is>
      </c>
      <c r="B1614" s="1" t="n">
        <v>46188</v>
      </c>
      <c r="C1614" s="1" t="n">
        <v>46204</v>
      </c>
      <c r="D1614" t="inlineStr">
        <is>
          <t>VÄRMLANDS LÄN</t>
        </is>
      </c>
      <c r="E1614" t="inlineStr">
        <is>
          <t>TORSBY</t>
        </is>
      </c>
      <c r="F1614" t="inlineStr">
        <is>
          <t>Bergvik skog väst AB</t>
        </is>
      </c>
      <c r="G1614" t="n">
        <v>12.6</v>
      </c>
      <c r="H1614" t="n">
        <v>0</v>
      </c>
      <c r="I1614" t="n">
        <v>0</v>
      </c>
      <c r="J1614" t="n">
        <v>0</v>
      </c>
      <c r="K1614" t="n">
        <v>0</v>
      </c>
      <c r="L1614" t="n">
        <v>0</v>
      </c>
      <c r="M1614" t="n">
        <v>0</v>
      </c>
      <c r="N1614" t="n">
        <v>0</v>
      </c>
      <c r="O1614" t="n">
        <v>0</v>
      </c>
      <c r="P1614" t="n">
        <v>0</v>
      </c>
      <c r="Q1614" t="n">
        <v>0</v>
      </c>
      <c r="R1614" s="2" t="inlineStr"/>
    </row>
    <row r="1615" ht="15" customHeight="1">
      <c r="A1615" t="inlineStr">
        <is>
          <t>A 38100-2024</t>
        </is>
      </c>
      <c r="B1615" s="1" t="n">
        <v>45545</v>
      </c>
      <c r="C1615" s="1" t="n">
        <v>46204</v>
      </c>
      <c r="D1615" t="inlineStr">
        <is>
          <t>VÄRMLANDS LÄN</t>
        </is>
      </c>
      <c r="E1615" t="inlineStr">
        <is>
          <t>TORSBY</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41529-2024</t>
        </is>
      </c>
      <c r="B1616" s="1" t="n">
        <v>45560</v>
      </c>
      <c r="C1616" s="1" t="n">
        <v>46204</v>
      </c>
      <c r="D1616" t="inlineStr">
        <is>
          <t>VÄRMLANDS LÄN</t>
        </is>
      </c>
      <c r="E1616" t="inlineStr">
        <is>
          <t>TORSBY</t>
        </is>
      </c>
      <c r="F1616" t="inlineStr">
        <is>
          <t>Bergvik skog väst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27249-2026</t>
        </is>
      </c>
      <c r="B1617" s="1" t="n">
        <v>46188</v>
      </c>
      <c r="C1617" s="1" t="n">
        <v>46204</v>
      </c>
      <c r="D1617" t="inlineStr">
        <is>
          <t>VÄRMLANDS LÄN</t>
        </is>
      </c>
      <c r="E1617" t="inlineStr">
        <is>
          <t>TORSBY</t>
        </is>
      </c>
      <c r="F1617" t="inlineStr">
        <is>
          <t>Bergvik skog väst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56281-2022</t>
        </is>
      </c>
      <c r="B1618" s="1" t="n">
        <v>44890</v>
      </c>
      <c r="C1618" s="1" t="n">
        <v>46204</v>
      </c>
      <c r="D1618" t="inlineStr">
        <is>
          <t>VÄRMLANDS LÄN</t>
        </is>
      </c>
      <c r="E1618" t="inlineStr">
        <is>
          <t>TORSBY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47355-2023</t>
        </is>
      </c>
      <c r="B1619" s="1" t="n">
        <v>45202</v>
      </c>
      <c r="C1619" s="1" t="n">
        <v>46204</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27423-2026</t>
        </is>
      </c>
      <c r="B1620" s="1" t="n">
        <v>46189</v>
      </c>
      <c r="C1620" s="1" t="n">
        <v>46204</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40997-2022</t>
        </is>
      </c>
      <c r="B1621" s="1" t="n">
        <v>44825</v>
      </c>
      <c r="C1621" s="1" t="n">
        <v>46204</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39770-2024</t>
        </is>
      </c>
      <c r="B1622" s="1" t="n">
        <v>45552</v>
      </c>
      <c r="C1622" s="1" t="n">
        <v>46204</v>
      </c>
      <c r="D1622" t="inlineStr">
        <is>
          <t>VÄRMLANDS LÄN</t>
        </is>
      </c>
      <c r="E1622" t="inlineStr">
        <is>
          <t>TORSBY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18682-2024</t>
        </is>
      </c>
      <c r="B1623" s="1" t="n">
        <v>45426</v>
      </c>
      <c r="C1623" s="1" t="n">
        <v>46204</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21114-2026</t>
        </is>
      </c>
      <c r="B1624" s="1" t="n">
        <v>46146</v>
      </c>
      <c r="C1624" s="1" t="n">
        <v>46204</v>
      </c>
      <c r="D1624" t="inlineStr">
        <is>
          <t>VÄRMLANDS LÄN</t>
        </is>
      </c>
      <c r="E1624" t="inlineStr">
        <is>
          <t>TORSBY</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60737-2022</t>
        </is>
      </c>
      <c r="B1625" s="1" t="n">
        <v>44913</v>
      </c>
      <c r="C1625" s="1" t="n">
        <v>46204</v>
      </c>
      <c r="D1625" t="inlineStr">
        <is>
          <t>VÄRMLANDS LÄN</t>
        </is>
      </c>
      <c r="E1625" t="inlineStr">
        <is>
          <t>TORSBY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51987-2024</t>
        </is>
      </c>
      <c r="B1626" s="1" t="n">
        <v>45607</v>
      </c>
      <c r="C1626" s="1" t="n">
        <v>46204</v>
      </c>
      <c r="D1626" t="inlineStr">
        <is>
          <t>VÄRMLANDS LÄN</t>
        </is>
      </c>
      <c r="E1626" t="inlineStr">
        <is>
          <t>TORSBY</t>
        </is>
      </c>
      <c r="G1626" t="n">
        <v>17.7</v>
      </c>
      <c r="H1626" t="n">
        <v>0</v>
      </c>
      <c r="I1626" t="n">
        <v>0</v>
      </c>
      <c r="J1626" t="n">
        <v>0</v>
      </c>
      <c r="K1626" t="n">
        <v>0</v>
      </c>
      <c r="L1626" t="n">
        <v>0</v>
      </c>
      <c r="M1626" t="n">
        <v>0</v>
      </c>
      <c r="N1626" t="n">
        <v>0</v>
      </c>
      <c r="O1626" t="n">
        <v>0</v>
      </c>
      <c r="P1626" t="n">
        <v>0</v>
      </c>
      <c r="Q1626" t="n">
        <v>0</v>
      </c>
      <c r="R1626" s="2" t="inlineStr"/>
    </row>
    <row r="1627" ht="15" customHeight="1">
      <c r="A1627" t="inlineStr">
        <is>
          <t>A 37929-2022</t>
        </is>
      </c>
      <c r="B1627" s="1" t="n">
        <v>44811</v>
      </c>
      <c r="C1627" s="1" t="n">
        <v>46204</v>
      </c>
      <c r="D1627" t="inlineStr">
        <is>
          <t>VÄRMLANDS LÄN</t>
        </is>
      </c>
      <c r="E1627" t="inlineStr">
        <is>
          <t>TORSBY</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22973-2024</t>
        </is>
      </c>
      <c r="B1628" s="1" t="n">
        <v>45449</v>
      </c>
      <c r="C1628" s="1" t="n">
        <v>46204</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27303-2026</t>
        </is>
      </c>
      <c r="B1629" s="1" t="n">
        <v>46188</v>
      </c>
      <c r="C1629" s="1" t="n">
        <v>46204</v>
      </c>
      <c r="D1629" t="inlineStr">
        <is>
          <t>VÄRMLANDS LÄN</t>
        </is>
      </c>
      <c r="E1629" t="inlineStr">
        <is>
          <t>TORSBY</t>
        </is>
      </c>
      <c r="F1629" t="inlineStr">
        <is>
          <t>Bergvik skog väst AB</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9057-2022</t>
        </is>
      </c>
      <c r="B1630" s="1" t="n">
        <v>44615</v>
      </c>
      <c r="C1630" s="1" t="n">
        <v>46204</v>
      </c>
      <c r="D1630" t="inlineStr">
        <is>
          <t>VÄRMLANDS LÄN</t>
        </is>
      </c>
      <c r="E1630" t="inlineStr">
        <is>
          <t>TORSBY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27190-2026</t>
        </is>
      </c>
      <c r="B1631" s="1" t="n">
        <v>46188</v>
      </c>
      <c r="C1631" s="1" t="n">
        <v>46204</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27347-2026</t>
        </is>
      </c>
      <c r="B1632" s="1" t="n">
        <v>46188</v>
      </c>
      <c r="C1632" s="1" t="n">
        <v>46204</v>
      </c>
      <c r="D1632" t="inlineStr">
        <is>
          <t>VÄRMLANDS LÄN</t>
        </is>
      </c>
      <c r="E1632" t="inlineStr">
        <is>
          <t>TORSBY</t>
        </is>
      </c>
      <c r="F1632" t="inlineStr">
        <is>
          <t>Bergvik skog väst AB</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3326-2024</t>
        </is>
      </c>
      <c r="B1633" s="1" t="n">
        <v>45317</v>
      </c>
      <c r="C1633" s="1" t="n">
        <v>46204</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21362-2026</t>
        </is>
      </c>
      <c r="B1634" s="1" t="n">
        <v>46147</v>
      </c>
      <c r="C1634" s="1" t="n">
        <v>46204</v>
      </c>
      <c r="D1634" t="inlineStr">
        <is>
          <t>VÄRMLANDS LÄN</t>
        </is>
      </c>
      <c r="E1634" t="inlineStr">
        <is>
          <t>TORSBY</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54734-2025</t>
        </is>
      </c>
      <c r="B1635" s="1" t="n">
        <v>45966</v>
      </c>
      <c r="C1635" s="1" t="n">
        <v>46204</v>
      </c>
      <c r="D1635" t="inlineStr">
        <is>
          <t>VÄRMLANDS LÄN</t>
        </is>
      </c>
      <c r="E1635" t="inlineStr">
        <is>
          <t>TORSBY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21164-2026</t>
        </is>
      </c>
      <c r="B1636" s="1" t="n">
        <v>46146</v>
      </c>
      <c r="C1636" s="1" t="n">
        <v>46204</v>
      </c>
      <c r="D1636" t="inlineStr">
        <is>
          <t>VÄRMLANDS LÄN</t>
        </is>
      </c>
      <c r="E1636" t="inlineStr">
        <is>
          <t>TORSBY</t>
        </is>
      </c>
      <c r="F1636" t="inlineStr">
        <is>
          <t>Bergvik skog väst AB</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52901-2022</t>
        </is>
      </c>
      <c r="B1637" s="1" t="n">
        <v>44872</v>
      </c>
      <c r="C1637" s="1" t="n">
        <v>46204</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21161-2026</t>
        </is>
      </c>
      <c r="B1638" s="1" t="n">
        <v>46146</v>
      </c>
      <c r="C1638" s="1" t="n">
        <v>46204</v>
      </c>
      <c r="D1638" t="inlineStr">
        <is>
          <t>VÄRMLANDS LÄN</t>
        </is>
      </c>
      <c r="E1638" t="inlineStr">
        <is>
          <t>TORSBY</t>
        </is>
      </c>
      <c r="F1638" t="inlineStr">
        <is>
          <t>Bergvik skog väst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20745-2023</t>
        </is>
      </c>
      <c r="B1639" s="1" t="n">
        <v>45058</v>
      </c>
      <c r="C1639" s="1" t="n">
        <v>46204</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27829-2026</t>
        </is>
      </c>
      <c r="B1640" s="1" t="n">
        <v>46191</v>
      </c>
      <c r="C1640" s="1" t="n">
        <v>46204</v>
      </c>
      <c r="D1640" t="inlineStr">
        <is>
          <t>VÄRMLANDS LÄN</t>
        </is>
      </c>
      <c r="E1640" t="inlineStr">
        <is>
          <t>TORSBY</t>
        </is>
      </c>
      <c r="F1640" t="inlineStr">
        <is>
          <t>Bergvik skog väst AB</t>
        </is>
      </c>
      <c r="G1640" t="n">
        <v>11.8</v>
      </c>
      <c r="H1640" t="n">
        <v>0</v>
      </c>
      <c r="I1640" t="n">
        <v>0</v>
      </c>
      <c r="J1640" t="n">
        <v>0</v>
      </c>
      <c r="K1640" t="n">
        <v>0</v>
      </c>
      <c r="L1640" t="n">
        <v>0</v>
      </c>
      <c r="M1640" t="n">
        <v>0</v>
      </c>
      <c r="N1640" t="n">
        <v>0</v>
      </c>
      <c r="O1640" t="n">
        <v>0</v>
      </c>
      <c r="P1640" t="n">
        <v>0</v>
      </c>
      <c r="Q1640" t="n">
        <v>0</v>
      </c>
      <c r="R1640" s="2" t="inlineStr"/>
    </row>
    <row r="1641" ht="15" customHeight="1">
      <c r="A1641" t="inlineStr">
        <is>
          <t>A 70926-2021</t>
        </is>
      </c>
      <c r="B1641" s="1" t="n">
        <v>44538</v>
      </c>
      <c r="C1641" s="1" t="n">
        <v>46204</v>
      </c>
      <c r="D1641" t="inlineStr">
        <is>
          <t>VÄRMLANDS LÄN</t>
        </is>
      </c>
      <c r="E1641" t="inlineStr">
        <is>
          <t>TORSBY</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72200-2021</t>
        </is>
      </c>
      <c r="B1642" s="1" t="n">
        <v>44544</v>
      </c>
      <c r="C1642" s="1" t="n">
        <v>46204</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27801-2026</t>
        </is>
      </c>
      <c r="B1643" s="1" t="n">
        <v>46191</v>
      </c>
      <c r="C1643" s="1" t="n">
        <v>46204</v>
      </c>
      <c r="D1643" t="inlineStr">
        <is>
          <t>VÄRMLANDS LÄN</t>
        </is>
      </c>
      <c r="E1643" t="inlineStr">
        <is>
          <t>TORSBY</t>
        </is>
      </c>
      <c r="F1643" t="inlineStr">
        <is>
          <t>Bergvik skog väst AB</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52592-2024</t>
        </is>
      </c>
      <c r="B1644" s="1" t="n">
        <v>45609</v>
      </c>
      <c r="C1644" s="1" t="n">
        <v>46204</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18877-2022</t>
        </is>
      </c>
      <c r="B1645" s="1" t="n">
        <v>44690</v>
      </c>
      <c r="C1645" s="1" t="n">
        <v>46204</v>
      </c>
      <c r="D1645" t="inlineStr">
        <is>
          <t>VÄRMLANDS LÄN</t>
        </is>
      </c>
      <c r="E1645" t="inlineStr">
        <is>
          <t>TORSBY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21737-2026</t>
        </is>
      </c>
      <c r="B1646" s="1" t="n">
        <v>46149</v>
      </c>
      <c r="C1646" s="1" t="n">
        <v>46204</v>
      </c>
      <c r="D1646" t="inlineStr">
        <is>
          <t>VÄRMLANDS LÄN</t>
        </is>
      </c>
      <c r="E1646" t="inlineStr">
        <is>
          <t>TORSBY</t>
        </is>
      </c>
      <c r="F1646" t="inlineStr">
        <is>
          <t>Bergvik skog väst AB</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27540-2026</t>
        </is>
      </c>
      <c r="B1647" s="1" t="n">
        <v>46185</v>
      </c>
      <c r="C1647" s="1" t="n">
        <v>46204</v>
      </c>
      <c r="D1647" t="inlineStr">
        <is>
          <t>VÄRMLANDS LÄN</t>
        </is>
      </c>
      <c r="E1647" t="inlineStr">
        <is>
          <t>TORSBY</t>
        </is>
      </c>
      <c r="G1647" t="n">
        <v>14.6</v>
      </c>
      <c r="H1647" t="n">
        <v>0</v>
      </c>
      <c r="I1647" t="n">
        <v>0</v>
      </c>
      <c r="J1647" t="n">
        <v>0</v>
      </c>
      <c r="K1647" t="n">
        <v>0</v>
      </c>
      <c r="L1647" t="n">
        <v>0</v>
      </c>
      <c r="M1647" t="n">
        <v>0</v>
      </c>
      <c r="N1647" t="n">
        <v>0</v>
      </c>
      <c r="O1647" t="n">
        <v>0</v>
      </c>
      <c r="P1647" t="n">
        <v>0</v>
      </c>
      <c r="Q1647" t="n">
        <v>0</v>
      </c>
      <c r="R1647" s="2" t="inlineStr"/>
    </row>
    <row r="1648" ht="15" customHeight="1">
      <c r="A1648" t="inlineStr">
        <is>
          <t>A 5830-2023</t>
        </is>
      </c>
      <c r="B1648" s="1" t="n">
        <v>44963</v>
      </c>
      <c r="C1648" s="1" t="n">
        <v>46204</v>
      </c>
      <c r="D1648" t="inlineStr">
        <is>
          <t>VÄRMLANDS LÄN</t>
        </is>
      </c>
      <c r="E1648" t="inlineStr">
        <is>
          <t>TORSBY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22158-2022</t>
        </is>
      </c>
      <c r="B1649" s="1" t="n">
        <v>44708</v>
      </c>
      <c r="C1649" s="1" t="n">
        <v>46204</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20175-2022</t>
        </is>
      </c>
      <c r="B1650" s="1" t="n">
        <v>44698</v>
      </c>
      <c r="C1650" s="1" t="n">
        <v>46204</v>
      </c>
      <c r="D1650" t="inlineStr">
        <is>
          <t>VÄRMLANDS LÄN</t>
        </is>
      </c>
      <c r="E1650" t="inlineStr">
        <is>
          <t>TORSBY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6646-2024</t>
        </is>
      </c>
      <c r="B1651" s="1" t="n">
        <v>45341</v>
      </c>
      <c r="C1651" s="1" t="n">
        <v>46204</v>
      </c>
      <c r="D1651" t="inlineStr">
        <is>
          <t>VÄRMLANDS LÄN</t>
        </is>
      </c>
      <c r="E1651" t="inlineStr">
        <is>
          <t>TORSBY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6648-2024</t>
        </is>
      </c>
      <c r="B1652" s="1" t="n">
        <v>45341</v>
      </c>
      <c r="C1652" s="1" t="n">
        <v>46204</v>
      </c>
      <c r="D1652" t="inlineStr">
        <is>
          <t>VÄRMLANDS LÄN</t>
        </is>
      </c>
      <c r="E1652" t="inlineStr">
        <is>
          <t>TORSBY</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41841-2023</t>
        </is>
      </c>
      <c r="B1653" s="1" t="n">
        <v>45176</v>
      </c>
      <c r="C1653" s="1" t="n">
        <v>46204</v>
      </c>
      <c r="D1653" t="inlineStr">
        <is>
          <t>VÄRMLANDS LÄN</t>
        </is>
      </c>
      <c r="E1653" t="inlineStr">
        <is>
          <t>TORSBY</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6713-2023</t>
        </is>
      </c>
      <c r="B1654" s="1" t="n">
        <v>44960</v>
      </c>
      <c r="C1654" s="1" t="n">
        <v>46204</v>
      </c>
      <c r="D1654" t="inlineStr">
        <is>
          <t>VÄRMLANDS LÄN</t>
        </is>
      </c>
      <c r="E1654" t="inlineStr">
        <is>
          <t>TORSBY</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27642-2026</t>
        </is>
      </c>
      <c r="B1655" s="1" t="n">
        <v>46190</v>
      </c>
      <c r="C1655" s="1" t="n">
        <v>46204</v>
      </c>
      <c r="D1655" t="inlineStr">
        <is>
          <t>VÄRMLANDS LÄN</t>
        </is>
      </c>
      <c r="E1655" t="inlineStr">
        <is>
          <t>TORSBY</t>
        </is>
      </c>
      <c r="F1655" t="inlineStr">
        <is>
          <t>Bergvik skog väst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63409-2023</t>
        </is>
      </c>
      <c r="B1656" s="1" t="n">
        <v>45274</v>
      </c>
      <c r="C1656" s="1" t="n">
        <v>46204</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12051-2024</t>
        </is>
      </c>
      <c r="B1657" s="1" t="n">
        <v>45377</v>
      </c>
      <c r="C1657" s="1" t="n">
        <v>46204</v>
      </c>
      <c r="D1657" t="inlineStr">
        <is>
          <t>VÄRMLANDS LÄN</t>
        </is>
      </c>
      <c r="E1657" t="inlineStr">
        <is>
          <t>TORSBY</t>
        </is>
      </c>
      <c r="F1657" t="inlineStr">
        <is>
          <t>Bergvik skog väst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73553-2021</t>
        </is>
      </c>
      <c r="B1658" s="1" t="n">
        <v>44551</v>
      </c>
      <c r="C1658" s="1" t="n">
        <v>46204</v>
      </c>
      <c r="D1658" t="inlineStr">
        <is>
          <t>VÄRMLANDS LÄN</t>
        </is>
      </c>
      <c r="E1658" t="inlineStr">
        <is>
          <t>TORSBY</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18099-2022</t>
        </is>
      </c>
      <c r="B1659" s="1" t="n">
        <v>44684</v>
      </c>
      <c r="C1659" s="1" t="n">
        <v>46204</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54306-2024</t>
        </is>
      </c>
      <c r="B1660" s="1" t="n">
        <v>45617</v>
      </c>
      <c r="C1660" s="1" t="n">
        <v>46204</v>
      </c>
      <c r="D1660" t="inlineStr">
        <is>
          <t>VÄRMLANDS LÄN</t>
        </is>
      </c>
      <c r="E1660" t="inlineStr">
        <is>
          <t>TORSBY</t>
        </is>
      </c>
      <c r="F1660" t="inlineStr">
        <is>
          <t>Bergvik skog väst AB</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21471-2026</t>
        </is>
      </c>
      <c r="B1661" s="1" t="n">
        <v>46148</v>
      </c>
      <c r="C1661" s="1" t="n">
        <v>46204</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21489-2026</t>
        </is>
      </c>
      <c r="B1662" s="1" t="n">
        <v>46148</v>
      </c>
      <c r="C1662" s="1" t="n">
        <v>46204</v>
      </c>
      <c r="D1662" t="inlineStr">
        <is>
          <t>VÄRMLANDS LÄN</t>
        </is>
      </c>
      <c r="E1662" t="inlineStr">
        <is>
          <t>TORSBY</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54265-2024</t>
        </is>
      </c>
      <c r="B1663" s="1" t="n">
        <v>45616</v>
      </c>
      <c r="C1663" s="1" t="n">
        <v>46204</v>
      </c>
      <c r="D1663" t="inlineStr">
        <is>
          <t>VÄRMLANDS LÄN</t>
        </is>
      </c>
      <c r="E1663" t="inlineStr">
        <is>
          <t>TORSBY</t>
        </is>
      </c>
      <c r="F1663" t="inlineStr">
        <is>
          <t>Kommuner</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19575-2025</t>
        </is>
      </c>
      <c r="B1664" s="1" t="n">
        <v>45770</v>
      </c>
      <c r="C1664" s="1" t="n">
        <v>46204</v>
      </c>
      <c r="D1664" t="inlineStr">
        <is>
          <t>VÄRMLANDS LÄN</t>
        </is>
      </c>
      <c r="E1664" t="inlineStr">
        <is>
          <t>TORSBY</t>
        </is>
      </c>
      <c r="F1664" t="inlineStr">
        <is>
          <t>Bergvik skog väst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1100-2025</t>
        </is>
      </c>
      <c r="B1665" s="1" t="n">
        <v>45666</v>
      </c>
      <c r="C1665" s="1" t="n">
        <v>46204</v>
      </c>
      <c r="D1665" t="inlineStr">
        <is>
          <t>VÄRMLANDS LÄN</t>
        </is>
      </c>
      <c r="E1665" t="inlineStr">
        <is>
          <t>TORSBY</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49982-2023</t>
        </is>
      </c>
      <c r="B1666" s="1" t="n">
        <v>45215</v>
      </c>
      <c r="C1666" s="1" t="n">
        <v>46204</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10027-2023</t>
        </is>
      </c>
      <c r="B1667" s="1" t="n">
        <v>44979</v>
      </c>
      <c r="C1667" s="1" t="n">
        <v>46204</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14051-2026</t>
        </is>
      </c>
      <c r="B1668" s="1" t="n">
        <v>46099</v>
      </c>
      <c r="C1668" s="1" t="n">
        <v>46204</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26343-2023</t>
        </is>
      </c>
      <c r="B1669" s="1" t="n">
        <v>45091</v>
      </c>
      <c r="C1669" s="1" t="n">
        <v>46204</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22030-2026</t>
        </is>
      </c>
      <c r="B1670" s="1" t="n">
        <v>46153</v>
      </c>
      <c r="C1670" s="1" t="n">
        <v>46204</v>
      </c>
      <c r="D1670" t="inlineStr">
        <is>
          <t>VÄRMLANDS LÄN</t>
        </is>
      </c>
      <c r="E1670" t="inlineStr">
        <is>
          <t>TORSBY</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12790-2026</t>
        </is>
      </c>
      <c r="B1671" s="1" t="n">
        <v>46092</v>
      </c>
      <c r="C1671" s="1" t="n">
        <v>46204</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28112-2026</t>
        </is>
      </c>
      <c r="B1672" s="1" t="n">
        <v>46195</v>
      </c>
      <c r="C1672" s="1" t="n">
        <v>46204</v>
      </c>
      <c r="D1672" t="inlineStr">
        <is>
          <t>VÄRMLANDS LÄN</t>
        </is>
      </c>
      <c r="E1672" t="inlineStr">
        <is>
          <t>TORSBY</t>
        </is>
      </c>
      <c r="F1672" t="inlineStr">
        <is>
          <t>Bergvik skog väst AB</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24148-2024</t>
        </is>
      </c>
      <c r="B1673" s="1" t="n">
        <v>45456</v>
      </c>
      <c r="C1673" s="1" t="n">
        <v>46204</v>
      </c>
      <c r="D1673" t="inlineStr">
        <is>
          <t>VÄRMLANDS LÄN</t>
        </is>
      </c>
      <c r="E1673" t="inlineStr">
        <is>
          <t>TORSBY</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34427-2023</t>
        </is>
      </c>
      <c r="B1674" s="1" t="n">
        <v>45139</v>
      </c>
      <c r="C1674" s="1" t="n">
        <v>46204</v>
      </c>
      <c r="D1674" t="inlineStr">
        <is>
          <t>VÄRMLANDS LÄN</t>
        </is>
      </c>
      <c r="E1674" t="inlineStr">
        <is>
          <t>TORSBY</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21894-2026</t>
        </is>
      </c>
      <c r="B1675" s="1" t="n">
        <v>46150</v>
      </c>
      <c r="C1675" s="1" t="n">
        <v>46204</v>
      </c>
      <c r="D1675" t="inlineStr">
        <is>
          <t>VÄRMLANDS LÄN</t>
        </is>
      </c>
      <c r="E1675" t="inlineStr">
        <is>
          <t>TORSBY</t>
        </is>
      </c>
      <c r="F1675" t="inlineStr">
        <is>
          <t>Bergvik skog väst AB</t>
        </is>
      </c>
      <c r="G1675" t="n">
        <v>16.9</v>
      </c>
      <c r="H1675" t="n">
        <v>0</v>
      </c>
      <c r="I1675" t="n">
        <v>0</v>
      </c>
      <c r="J1675" t="n">
        <v>0</v>
      </c>
      <c r="K1675" t="n">
        <v>0</v>
      </c>
      <c r="L1675" t="n">
        <v>0</v>
      </c>
      <c r="M1675" t="n">
        <v>0</v>
      </c>
      <c r="N1675" t="n">
        <v>0</v>
      </c>
      <c r="O1675" t="n">
        <v>0</v>
      </c>
      <c r="P1675" t="n">
        <v>0</v>
      </c>
      <c r="Q1675" t="n">
        <v>0</v>
      </c>
      <c r="R1675" s="2" t="inlineStr"/>
    </row>
    <row r="1676" ht="15" customHeight="1">
      <c r="A1676" t="inlineStr">
        <is>
          <t>A 23264-2022</t>
        </is>
      </c>
      <c r="B1676" s="1" t="n">
        <v>44720</v>
      </c>
      <c r="C1676" s="1" t="n">
        <v>46204</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9574-2023</t>
        </is>
      </c>
      <c r="B1677" s="1" t="n">
        <v>44982</v>
      </c>
      <c r="C1677" s="1" t="n">
        <v>46204</v>
      </c>
      <c r="D1677" t="inlineStr">
        <is>
          <t>VÄRMLANDS LÄN</t>
        </is>
      </c>
      <c r="E1677" t="inlineStr">
        <is>
          <t>TORSBY</t>
        </is>
      </c>
      <c r="F1677" t="inlineStr">
        <is>
          <t>Övriga statliga verk och myndigheter</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22218-2026</t>
        </is>
      </c>
      <c r="B1678" s="1" t="n">
        <v>46153</v>
      </c>
      <c r="C1678" s="1" t="n">
        <v>46204</v>
      </c>
      <c r="D1678" t="inlineStr">
        <is>
          <t>VÄRMLANDS LÄN</t>
        </is>
      </c>
      <c r="E1678" t="inlineStr">
        <is>
          <t>TORSBY</t>
        </is>
      </c>
      <c r="F1678" t="inlineStr">
        <is>
          <t>Bergvik skog väst AB</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35777-2024</t>
        </is>
      </c>
      <c r="B1679" s="1" t="n">
        <v>45532</v>
      </c>
      <c r="C1679" s="1" t="n">
        <v>46204</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37752-2022</t>
        </is>
      </c>
      <c r="B1680" s="1" t="n">
        <v>44810</v>
      </c>
      <c r="C1680" s="1" t="n">
        <v>46204</v>
      </c>
      <c r="D1680" t="inlineStr">
        <is>
          <t>VÄRMLANDS LÄN</t>
        </is>
      </c>
      <c r="E1680" t="inlineStr">
        <is>
          <t>TORSBY</t>
        </is>
      </c>
      <c r="F1680" t="inlineStr">
        <is>
          <t>Kyrkan</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21908-2026</t>
        </is>
      </c>
      <c r="B1681" s="1" t="n">
        <v>46150</v>
      </c>
      <c r="C1681" s="1" t="n">
        <v>46204</v>
      </c>
      <c r="D1681" t="inlineStr">
        <is>
          <t>VÄRMLANDS LÄN</t>
        </is>
      </c>
      <c r="E1681" t="inlineStr">
        <is>
          <t>TORSBY</t>
        </is>
      </c>
      <c r="F1681" t="inlineStr">
        <is>
          <t>Bergvik skog väst AB</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22031-2026</t>
        </is>
      </c>
      <c r="B1682" s="1" t="n">
        <v>46153</v>
      </c>
      <c r="C1682" s="1" t="n">
        <v>46204</v>
      </c>
      <c r="D1682" t="inlineStr">
        <is>
          <t>VÄRMLANDS LÄN</t>
        </is>
      </c>
      <c r="E1682" t="inlineStr">
        <is>
          <t>TORSBY</t>
        </is>
      </c>
      <c r="F1682" t="inlineStr">
        <is>
          <t>Bergvik skog väst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28156-2026</t>
        </is>
      </c>
      <c r="B1683" s="1" t="n">
        <v>46195</v>
      </c>
      <c r="C1683" s="1" t="n">
        <v>46204</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64672-2023</t>
        </is>
      </c>
      <c r="B1684" s="1" t="n">
        <v>45281</v>
      </c>
      <c r="C1684" s="1" t="n">
        <v>46204</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55031-2023</t>
        </is>
      </c>
      <c r="B1685" s="1" t="n">
        <v>45237</v>
      </c>
      <c r="C1685" s="1" t="n">
        <v>46204</v>
      </c>
      <c r="D1685" t="inlineStr">
        <is>
          <t>VÄRMLANDS LÄN</t>
        </is>
      </c>
      <c r="E1685" t="inlineStr">
        <is>
          <t>TORSBY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21852-2026</t>
        </is>
      </c>
      <c r="B1686" s="1" t="n">
        <v>46150</v>
      </c>
      <c r="C1686" s="1" t="n">
        <v>46204</v>
      </c>
      <c r="D1686" t="inlineStr">
        <is>
          <t>VÄRMLANDS LÄN</t>
        </is>
      </c>
      <c r="E1686" t="inlineStr">
        <is>
          <t>TORSBY</t>
        </is>
      </c>
      <c r="G1686" t="n">
        <v>13.3</v>
      </c>
      <c r="H1686" t="n">
        <v>0</v>
      </c>
      <c r="I1686" t="n">
        <v>0</v>
      </c>
      <c r="J1686" t="n">
        <v>0</v>
      </c>
      <c r="K1686" t="n">
        <v>0</v>
      </c>
      <c r="L1686" t="n">
        <v>0</v>
      </c>
      <c r="M1686" t="n">
        <v>0</v>
      </c>
      <c r="N1686" t="n">
        <v>0</v>
      </c>
      <c r="O1686" t="n">
        <v>0</v>
      </c>
      <c r="P1686" t="n">
        <v>0</v>
      </c>
      <c r="Q1686" t="n">
        <v>0</v>
      </c>
      <c r="R1686" s="2" t="inlineStr"/>
    </row>
    <row r="1687" ht="15" customHeight="1">
      <c r="A1687" t="inlineStr">
        <is>
          <t>A 22005-2026</t>
        </is>
      </c>
      <c r="B1687" s="1" t="n">
        <v>46153</v>
      </c>
      <c r="C1687" s="1" t="n">
        <v>46204</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22050-2026</t>
        </is>
      </c>
      <c r="B1688" s="1" t="n">
        <v>46153</v>
      </c>
      <c r="C1688" s="1" t="n">
        <v>46204</v>
      </c>
      <c r="D1688" t="inlineStr">
        <is>
          <t>VÄRMLANDS LÄN</t>
        </is>
      </c>
      <c r="E1688" t="inlineStr">
        <is>
          <t>TORSBY</t>
        </is>
      </c>
      <c r="F1688" t="inlineStr">
        <is>
          <t>Kommuner</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9871-2024</t>
        </is>
      </c>
      <c r="B1689" s="1" t="n">
        <v>45363</v>
      </c>
      <c r="C1689" s="1" t="n">
        <v>46204</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29043-2023</t>
        </is>
      </c>
      <c r="B1690" s="1" t="n">
        <v>45104</v>
      </c>
      <c r="C1690" s="1" t="n">
        <v>46204</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60058-2023</t>
        </is>
      </c>
      <c r="B1691" s="1" t="n">
        <v>45258</v>
      </c>
      <c r="C1691" s="1" t="n">
        <v>46204</v>
      </c>
      <c r="D1691" t="inlineStr">
        <is>
          <t>VÄRMLANDS LÄN</t>
        </is>
      </c>
      <c r="E1691" t="inlineStr">
        <is>
          <t>TORSBY</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27363-2024</t>
        </is>
      </c>
      <c r="B1692" s="1" t="n">
        <v>45473</v>
      </c>
      <c r="C1692" s="1" t="n">
        <v>46204</v>
      </c>
      <c r="D1692" t="inlineStr">
        <is>
          <t>VÄRMLANDS LÄN</t>
        </is>
      </c>
      <c r="E1692" t="inlineStr">
        <is>
          <t>TORSBY</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56571-2024</t>
        </is>
      </c>
      <c r="B1693" s="1" t="n">
        <v>45625</v>
      </c>
      <c r="C1693" s="1" t="n">
        <v>46204</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24607-2025</t>
        </is>
      </c>
      <c r="B1694" s="1" t="n">
        <v>45798</v>
      </c>
      <c r="C1694" s="1" t="n">
        <v>46204</v>
      </c>
      <c r="D1694" t="inlineStr">
        <is>
          <t>VÄRMLANDS LÄN</t>
        </is>
      </c>
      <c r="E1694" t="inlineStr">
        <is>
          <t>TORSBY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27158-2026</t>
        </is>
      </c>
      <c r="B1695" s="1" t="n">
        <v>46188</v>
      </c>
      <c r="C1695" s="1" t="n">
        <v>46204</v>
      </c>
      <c r="D1695" t="inlineStr">
        <is>
          <t>VÄRMLANDS LÄN</t>
        </is>
      </c>
      <c r="E1695" t="inlineStr">
        <is>
          <t>TORSBY</t>
        </is>
      </c>
      <c r="F1695" t="inlineStr">
        <is>
          <t>Bergvik skog väst AB</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28378-2026</t>
        </is>
      </c>
      <c r="B1696" s="1" t="n">
        <v>46196</v>
      </c>
      <c r="C1696" s="1" t="n">
        <v>46204</v>
      </c>
      <c r="D1696" t="inlineStr">
        <is>
          <t>VÄRMLANDS LÄN</t>
        </is>
      </c>
      <c r="E1696" t="inlineStr">
        <is>
          <t>TORSBY</t>
        </is>
      </c>
      <c r="F1696" t="inlineStr">
        <is>
          <t>Bergvik skog väst AB</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60392-2025</t>
        </is>
      </c>
      <c r="B1697" s="1" t="n">
        <v>45995</v>
      </c>
      <c r="C1697" s="1" t="n">
        <v>46204</v>
      </c>
      <c r="D1697" t="inlineStr">
        <is>
          <t>VÄRMLANDS LÄN</t>
        </is>
      </c>
      <c r="E1697" t="inlineStr">
        <is>
          <t>TORSBY</t>
        </is>
      </c>
      <c r="F1697" t="inlineStr">
        <is>
          <t>Bergvik skog väst AB</t>
        </is>
      </c>
      <c r="G1697" t="n">
        <v>32.3</v>
      </c>
      <c r="H1697" t="n">
        <v>0</v>
      </c>
      <c r="I1697" t="n">
        <v>0</v>
      </c>
      <c r="J1697" t="n">
        <v>0</v>
      </c>
      <c r="K1697" t="n">
        <v>0</v>
      </c>
      <c r="L1697" t="n">
        <v>0</v>
      </c>
      <c r="M1697" t="n">
        <v>0</v>
      </c>
      <c r="N1697" t="n">
        <v>0</v>
      </c>
      <c r="O1697" t="n">
        <v>0</v>
      </c>
      <c r="P1697" t="n">
        <v>0</v>
      </c>
      <c r="Q1697" t="n">
        <v>0</v>
      </c>
      <c r="R1697" s="2" t="inlineStr"/>
    </row>
    <row r="1698" ht="15" customHeight="1">
      <c r="A1698" t="inlineStr">
        <is>
          <t>A 22280-2026</t>
        </is>
      </c>
      <c r="B1698" s="1" t="n">
        <v>46154</v>
      </c>
      <c r="C1698" s="1" t="n">
        <v>46204</v>
      </c>
      <c r="D1698" t="inlineStr">
        <is>
          <t>VÄRMLANDS LÄN</t>
        </is>
      </c>
      <c r="E1698" t="inlineStr">
        <is>
          <t>TORSBY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28545-2026</t>
        </is>
      </c>
      <c r="B1699" s="1" t="n">
        <v>46197</v>
      </c>
      <c r="C1699" s="1" t="n">
        <v>46204</v>
      </c>
      <c r="D1699" t="inlineStr">
        <is>
          <t>VÄRMLANDS LÄN</t>
        </is>
      </c>
      <c r="E1699" t="inlineStr">
        <is>
          <t>TORSBY</t>
        </is>
      </c>
      <c r="F1699" t="inlineStr">
        <is>
          <t>Bergvik skog väst AB</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43301-2024</t>
        </is>
      </c>
      <c r="B1700" s="1" t="n">
        <v>45568</v>
      </c>
      <c r="C1700" s="1" t="n">
        <v>46204</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24004-2024</t>
        </is>
      </c>
      <c r="B1701" s="1" t="n">
        <v>45456</v>
      </c>
      <c r="C1701" s="1" t="n">
        <v>46204</v>
      </c>
      <c r="D1701" t="inlineStr">
        <is>
          <t>VÄRMLANDS LÄN</t>
        </is>
      </c>
      <c r="E1701" t="inlineStr">
        <is>
          <t>TORSBY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37623-2023</t>
        </is>
      </c>
      <c r="B1702" s="1" t="n">
        <v>45159</v>
      </c>
      <c r="C1702" s="1" t="n">
        <v>46204</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22541-2026</t>
        </is>
      </c>
      <c r="B1703" s="1" t="n">
        <v>46155</v>
      </c>
      <c r="C1703" s="1" t="n">
        <v>46204</v>
      </c>
      <c r="D1703" t="inlineStr">
        <is>
          <t>VÄRMLANDS LÄN</t>
        </is>
      </c>
      <c r="E1703" t="inlineStr">
        <is>
          <t>TORSBY</t>
        </is>
      </c>
      <c r="F1703" t="inlineStr">
        <is>
          <t>Bergvik skog väst AB</t>
        </is>
      </c>
      <c r="G1703" t="n">
        <v>19.8</v>
      </c>
      <c r="H1703" t="n">
        <v>0</v>
      </c>
      <c r="I1703" t="n">
        <v>0</v>
      </c>
      <c r="J1703" t="n">
        <v>0</v>
      </c>
      <c r="K1703" t="n">
        <v>0</v>
      </c>
      <c r="L1703" t="n">
        <v>0</v>
      </c>
      <c r="M1703" t="n">
        <v>0</v>
      </c>
      <c r="N1703" t="n">
        <v>0</v>
      </c>
      <c r="O1703" t="n">
        <v>0</v>
      </c>
      <c r="P1703" t="n">
        <v>0</v>
      </c>
      <c r="Q1703" t="n">
        <v>0</v>
      </c>
      <c r="R1703" s="2" t="inlineStr"/>
    </row>
    <row r="1704" ht="15" customHeight="1">
      <c r="A1704" t="inlineStr">
        <is>
          <t>A 42347-2021</t>
        </is>
      </c>
      <c r="B1704" s="1" t="n">
        <v>44427</v>
      </c>
      <c r="C1704" s="1" t="n">
        <v>46204</v>
      </c>
      <c r="D1704" t="inlineStr">
        <is>
          <t>VÄRMLANDS LÄN</t>
        </is>
      </c>
      <c r="E1704" t="inlineStr">
        <is>
          <t>TORSBY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23044-2024</t>
        </is>
      </c>
      <c r="B1705" s="1" t="n">
        <v>45450</v>
      </c>
      <c r="C1705" s="1" t="n">
        <v>46204</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17184-2023</t>
        </is>
      </c>
      <c r="B1706" s="1" t="n">
        <v>45034</v>
      </c>
      <c r="C1706" s="1" t="n">
        <v>46204</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33853-2021</t>
        </is>
      </c>
      <c r="B1707" s="1" t="n">
        <v>44378</v>
      </c>
      <c r="C1707" s="1" t="n">
        <v>46204</v>
      </c>
      <c r="D1707" t="inlineStr">
        <is>
          <t>VÄRMLANDS LÄN</t>
        </is>
      </c>
      <c r="E1707" t="inlineStr">
        <is>
          <t>TORSBY</t>
        </is>
      </c>
      <c r="F1707" t="inlineStr">
        <is>
          <t>Bergvik skog väst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49936-2024</t>
        </is>
      </c>
      <c r="B1708" s="1" t="n">
        <v>45597</v>
      </c>
      <c r="C1708" s="1" t="n">
        <v>46204</v>
      </c>
      <c r="D1708" t="inlineStr">
        <is>
          <t>VÄRMLANDS LÄN</t>
        </is>
      </c>
      <c r="E1708" t="inlineStr">
        <is>
          <t>TORSBY</t>
        </is>
      </c>
      <c r="F1708" t="inlineStr">
        <is>
          <t>Bergvik skog väst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14025-2025</t>
        </is>
      </c>
      <c r="B1709" s="1" t="n">
        <v>45740</v>
      </c>
      <c r="C1709" s="1" t="n">
        <v>46204</v>
      </c>
      <c r="D1709" t="inlineStr">
        <is>
          <t>VÄRMLANDS LÄN</t>
        </is>
      </c>
      <c r="E1709" t="inlineStr">
        <is>
          <t>TORSBY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33072-2023</t>
        </is>
      </c>
      <c r="B1710" s="1" t="n">
        <v>45126</v>
      </c>
      <c r="C1710" s="1" t="n">
        <v>46204</v>
      </c>
      <c r="D1710" t="inlineStr">
        <is>
          <t>VÄRMLANDS LÄN</t>
        </is>
      </c>
      <c r="E1710" t="inlineStr">
        <is>
          <t>TORSBY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52078-2023</t>
        </is>
      </c>
      <c r="B1711" s="1" t="n">
        <v>45223</v>
      </c>
      <c r="C1711" s="1" t="n">
        <v>46204</v>
      </c>
      <c r="D1711" t="inlineStr">
        <is>
          <t>VÄRMLANDS LÄN</t>
        </is>
      </c>
      <c r="E1711" t="inlineStr">
        <is>
          <t>TORSBY</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26979-2023</t>
        </is>
      </c>
      <c r="B1712" s="1" t="n">
        <v>45091</v>
      </c>
      <c r="C1712" s="1" t="n">
        <v>46204</v>
      </c>
      <c r="D1712" t="inlineStr">
        <is>
          <t>VÄRMLANDS LÄN</t>
        </is>
      </c>
      <c r="E1712" t="inlineStr">
        <is>
          <t>TORSBY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28527-2026</t>
        </is>
      </c>
      <c r="B1713" s="1" t="n">
        <v>46197</v>
      </c>
      <c r="C1713" s="1" t="n">
        <v>46204</v>
      </c>
      <c r="D1713" t="inlineStr">
        <is>
          <t>VÄRMLANDS LÄN</t>
        </is>
      </c>
      <c r="E1713" t="inlineStr">
        <is>
          <t>TORSBY</t>
        </is>
      </c>
      <c r="F1713" t="inlineStr">
        <is>
          <t>Bergvik skog väst AB</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28473-2026</t>
        </is>
      </c>
      <c r="B1714" s="1" t="n">
        <v>46197</v>
      </c>
      <c r="C1714" s="1" t="n">
        <v>46204</v>
      </c>
      <c r="D1714" t="inlineStr">
        <is>
          <t>VÄRMLANDS LÄN</t>
        </is>
      </c>
      <c r="E1714" t="inlineStr">
        <is>
          <t>TORSBY</t>
        </is>
      </c>
      <c r="F1714" t="inlineStr">
        <is>
          <t>Bergvik skog väst AB</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8188-2025</t>
        </is>
      </c>
      <c r="B1715" s="1" t="n">
        <v>45708</v>
      </c>
      <c r="C1715" s="1" t="n">
        <v>46204</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22438-2026</t>
        </is>
      </c>
      <c r="B1716" s="1" t="n">
        <v>46155</v>
      </c>
      <c r="C1716" s="1" t="n">
        <v>46204</v>
      </c>
      <c r="D1716" t="inlineStr">
        <is>
          <t>VÄRMLANDS LÄN</t>
        </is>
      </c>
      <c r="E1716" t="inlineStr">
        <is>
          <t>TORSBY</t>
        </is>
      </c>
      <c r="F1716" t="inlineStr">
        <is>
          <t>Bergvik skog väst AB</t>
        </is>
      </c>
      <c r="G1716" t="n">
        <v>12.1</v>
      </c>
      <c r="H1716" t="n">
        <v>0</v>
      </c>
      <c r="I1716" t="n">
        <v>0</v>
      </c>
      <c r="J1716" t="n">
        <v>0</v>
      </c>
      <c r="K1716" t="n">
        <v>0</v>
      </c>
      <c r="L1716" t="n">
        <v>0</v>
      </c>
      <c r="M1716" t="n">
        <v>0</v>
      </c>
      <c r="N1716" t="n">
        <v>0</v>
      </c>
      <c r="O1716" t="n">
        <v>0</v>
      </c>
      <c r="P1716" t="n">
        <v>0</v>
      </c>
      <c r="Q1716" t="n">
        <v>0</v>
      </c>
      <c r="R1716" s="2" t="inlineStr"/>
    </row>
    <row r="1717" ht="15" customHeight="1">
      <c r="A1717" t="inlineStr">
        <is>
          <t>A 10888-2023</t>
        </is>
      </c>
      <c r="B1717" s="1" t="n">
        <v>44985</v>
      </c>
      <c r="C1717" s="1" t="n">
        <v>46204</v>
      </c>
      <c r="D1717" t="inlineStr">
        <is>
          <t>VÄRMLANDS LÄN</t>
        </is>
      </c>
      <c r="E1717" t="inlineStr">
        <is>
          <t>TORSBY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15022-2025</t>
        </is>
      </c>
      <c r="B1718" s="1" t="n">
        <v>45743</v>
      </c>
      <c r="C1718" s="1" t="n">
        <v>46204</v>
      </c>
      <c r="D1718" t="inlineStr">
        <is>
          <t>VÄRMLANDS LÄN</t>
        </is>
      </c>
      <c r="E1718" t="inlineStr">
        <is>
          <t>TORSBY</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56716-2023</t>
        </is>
      </c>
      <c r="B1719" s="1" t="n">
        <v>45238</v>
      </c>
      <c r="C1719" s="1" t="n">
        <v>46204</v>
      </c>
      <c r="D1719" t="inlineStr">
        <is>
          <t>VÄRMLANDS LÄN</t>
        </is>
      </c>
      <c r="E1719" t="inlineStr">
        <is>
          <t>TORSBY</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54556-2023</t>
        </is>
      </c>
      <c r="B1720" s="1" t="n">
        <v>45233</v>
      </c>
      <c r="C1720" s="1" t="n">
        <v>46204</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30700-2024</t>
        </is>
      </c>
      <c r="B1721" s="1" t="n">
        <v>45496</v>
      </c>
      <c r="C1721" s="1" t="n">
        <v>46204</v>
      </c>
      <c r="D1721" t="inlineStr">
        <is>
          <t>VÄRMLANDS LÄN</t>
        </is>
      </c>
      <c r="E1721" t="inlineStr">
        <is>
          <t>TORSBY</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30705-2024</t>
        </is>
      </c>
      <c r="B1722" s="1" t="n">
        <v>45496</v>
      </c>
      <c r="C1722" s="1" t="n">
        <v>46204</v>
      </c>
      <c r="D1722" t="inlineStr">
        <is>
          <t>VÄRMLANDS LÄN</t>
        </is>
      </c>
      <c r="E1722" t="inlineStr">
        <is>
          <t>TORSBY</t>
        </is>
      </c>
      <c r="F1722" t="inlineStr">
        <is>
          <t>Bergvik skog väst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29040-2026</t>
        </is>
      </c>
      <c r="B1723" s="1" t="n">
        <v>46199</v>
      </c>
      <c r="C1723" s="1" t="n">
        <v>46204</v>
      </c>
      <c r="D1723" t="inlineStr">
        <is>
          <t>VÄRMLANDS LÄN</t>
        </is>
      </c>
      <c r="E1723" t="inlineStr">
        <is>
          <t>TORSBY</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26686-2022</t>
        </is>
      </c>
      <c r="B1724" s="1" t="n">
        <v>44739</v>
      </c>
      <c r="C1724" s="1" t="n">
        <v>46204</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63266-2023</t>
        </is>
      </c>
      <c r="B1725" s="1" t="n">
        <v>45273</v>
      </c>
      <c r="C1725" s="1" t="n">
        <v>46204</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38914-2022</t>
        </is>
      </c>
      <c r="B1726" s="1" t="n">
        <v>44816</v>
      </c>
      <c r="C1726" s="1" t="n">
        <v>46204</v>
      </c>
      <c r="D1726" t="inlineStr">
        <is>
          <t>VÄRMLANDS LÄN</t>
        </is>
      </c>
      <c r="E1726" t="inlineStr">
        <is>
          <t>TORSBY</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38882-2022</t>
        </is>
      </c>
      <c r="B1727" s="1" t="n">
        <v>44816</v>
      </c>
      <c r="C1727" s="1" t="n">
        <v>46204</v>
      </c>
      <c r="D1727" t="inlineStr">
        <is>
          <t>VÄRMLANDS LÄN</t>
        </is>
      </c>
      <c r="E1727" t="inlineStr">
        <is>
          <t>TORSBY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10895-2024</t>
        </is>
      </c>
      <c r="B1728" s="1" t="n">
        <v>45370</v>
      </c>
      <c r="C1728" s="1" t="n">
        <v>46204</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44170-2022</t>
        </is>
      </c>
      <c r="B1729" s="1" t="n">
        <v>44838</v>
      </c>
      <c r="C1729" s="1" t="n">
        <v>46204</v>
      </c>
      <c r="D1729" t="inlineStr">
        <is>
          <t>VÄRMLANDS LÄN</t>
        </is>
      </c>
      <c r="E1729" t="inlineStr">
        <is>
          <t>TORSBY</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22716-2026</t>
        </is>
      </c>
      <c r="B1730" s="1" t="n">
        <v>46156</v>
      </c>
      <c r="C1730" s="1" t="n">
        <v>46204</v>
      </c>
      <c r="D1730" t="inlineStr">
        <is>
          <t>VÄRMLANDS LÄN</t>
        </is>
      </c>
      <c r="E1730" t="inlineStr">
        <is>
          <t>TORSBY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22717-2026</t>
        </is>
      </c>
      <c r="B1731" s="1" t="n">
        <v>46156</v>
      </c>
      <c r="C1731" s="1" t="n">
        <v>46204</v>
      </c>
      <c r="D1731" t="inlineStr">
        <is>
          <t>VÄRMLANDS LÄN</t>
        </is>
      </c>
      <c r="E1731" t="inlineStr">
        <is>
          <t>TORSBY</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6529-2025</t>
        </is>
      </c>
      <c r="B1732" s="1" t="n">
        <v>45699</v>
      </c>
      <c r="C1732" s="1" t="n">
        <v>46204</v>
      </c>
      <c r="D1732" t="inlineStr">
        <is>
          <t>VÄRMLANDS LÄN</t>
        </is>
      </c>
      <c r="E1732" t="inlineStr">
        <is>
          <t>TORSBY</t>
        </is>
      </c>
      <c r="F1732" t="inlineStr">
        <is>
          <t>Kommuner</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33469-2024</t>
        </is>
      </c>
      <c r="B1733" s="1" t="n">
        <v>45519</v>
      </c>
      <c r="C1733" s="1" t="n">
        <v>46204</v>
      </c>
      <c r="D1733" t="inlineStr">
        <is>
          <t>VÄRMLANDS LÄN</t>
        </is>
      </c>
      <c r="E1733" t="inlineStr">
        <is>
          <t>TORSBY</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28690-2026</t>
        </is>
      </c>
      <c r="B1734" s="1" t="n">
        <v>46198</v>
      </c>
      <c r="C1734" s="1" t="n">
        <v>46204</v>
      </c>
      <c r="D1734" t="inlineStr">
        <is>
          <t>VÄRMLANDS LÄN</t>
        </is>
      </c>
      <c r="E1734" t="inlineStr">
        <is>
          <t>TORSBY</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3071-2022</t>
        </is>
      </c>
      <c r="B1735" s="1" t="n">
        <v>44582</v>
      </c>
      <c r="C1735" s="1" t="n">
        <v>46204</v>
      </c>
      <c r="D1735" t="inlineStr">
        <is>
          <t>VÄRMLANDS LÄN</t>
        </is>
      </c>
      <c r="E1735" t="inlineStr">
        <is>
          <t>TORSBY</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15154-2025</t>
        </is>
      </c>
      <c r="B1736" s="1" t="n">
        <v>45744</v>
      </c>
      <c r="C1736" s="1" t="n">
        <v>46204</v>
      </c>
      <c r="D1736" t="inlineStr">
        <is>
          <t>VÄRMLANDS LÄN</t>
        </is>
      </c>
      <c r="E1736" t="inlineStr">
        <is>
          <t>TORSBY</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22678-2026</t>
        </is>
      </c>
      <c r="B1737" s="1" t="n">
        <v>46156</v>
      </c>
      <c r="C1737" s="1" t="n">
        <v>46204</v>
      </c>
      <c r="D1737" t="inlineStr">
        <is>
          <t>VÄRMLANDS LÄN</t>
        </is>
      </c>
      <c r="E1737" t="inlineStr">
        <is>
          <t>TORSBY</t>
        </is>
      </c>
      <c r="F1737" t="inlineStr">
        <is>
          <t>Bergvik skog väst AB</t>
        </is>
      </c>
      <c r="G1737" t="n">
        <v>18.5</v>
      </c>
      <c r="H1737" t="n">
        <v>0</v>
      </c>
      <c r="I1737" t="n">
        <v>0</v>
      </c>
      <c r="J1737" t="n">
        <v>0</v>
      </c>
      <c r="K1737" t="n">
        <v>0</v>
      </c>
      <c r="L1737" t="n">
        <v>0</v>
      </c>
      <c r="M1737" t="n">
        <v>0</v>
      </c>
      <c r="N1737" t="n">
        <v>0</v>
      </c>
      <c r="O1737" t="n">
        <v>0</v>
      </c>
      <c r="P1737" t="n">
        <v>0</v>
      </c>
      <c r="Q1737" t="n">
        <v>0</v>
      </c>
      <c r="R1737" s="2" t="inlineStr"/>
    </row>
    <row r="1738" ht="15" customHeight="1">
      <c r="A1738" t="inlineStr">
        <is>
          <t>A 22691-2026</t>
        </is>
      </c>
      <c r="B1738" s="1" t="n">
        <v>46156</v>
      </c>
      <c r="C1738" s="1" t="n">
        <v>46204</v>
      </c>
      <c r="D1738" t="inlineStr">
        <is>
          <t>VÄRMLANDS LÄN</t>
        </is>
      </c>
      <c r="E1738" t="inlineStr">
        <is>
          <t>TORSBY</t>
        </is>
      </c>
      <c r="F1738" t="inlineStr">
        <is>
          <t>Bergvik skog väst AB</t>
        </is>
      </c>
      <c r="G1738" t="n">
        <v>15.7</v>
      </c>
      <c r="H1738" t="n">
        <v>0</v>
      </c>
      <c r="I1738" t="n">
        <v>0</v>
      </c>
      <c r="J1738" t="n">
        <v>0</v>
      </c>
      <c r="K1738" t="n">
        <v>0</v>
      </c>
      <c r="L1738" t="n">
        <v>0</v>
      </c>
      <c r="M1738" t="n">
        <v>0</v>
      </c>
      <c r="N1738" t="n">
        <v>0</v>
      </c>
      <c r="O1738" t="n">
        <v>0</v>
      </c>
      <c r="P1738" t="n">
        <v>0</v>
      </c>
      <c r="Q1738" t="n">
        <v>0</v>
      </c>
      <c r="R1738" s="2" t="inlineStr"/>
    </row>
    <row r="1739" ht="15" customHeight="1">
      <c r="A1739" t="inlineStr">
        <is>
          <t>A 19307-2022</t>
        </is>
      </c>
      <c r="B1739" s="1" t="n">
        <v>44692</v>
      </c>
      <c r="C1739" s="1" t="n">
        <v>46204</v>
      </c>
      <c r="D1739" t="inlineStr">
        <is>
          <t>VÄRMLANDS LÄN</t>
        </is>
      </c>
      <c r="E1739" t="inlineStr">
        <is>
          <t>TORSBY</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58386-2023</t>
        </is>
      </c>
      <c r="B1740" s="1" t="n">
        <v>45250</v>
      </c>
      <c r="C1740" s="1" t="n">
        <v>46204</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61138-2022</t>
        </is>
      </c>
      <c r="B1741" s="1" t="n">
        <v>44915</v>
      </c>
      <c r="C1741" s="1" t="n">
        <v>46204</v>
      </c>
      <c r="D1741" t="inlineStr">
        <is>
          <t>VÄRMLANDS LÄN</t>
        </is>
      </c>
      <c r="E1741" t="inlineStr">
        <is>
          <t>TORSBY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3904-2025</t>
        </is>
      </c>
      <c r="B1742" s="1" t="n">
        <v>45684</v>
      </c>
      <c r="C1742" s="1" t="n">
        <v>46204</v>
      </c>
      <c r="D1742" t="inlineStr">
        <is>
          <t>VÄRMLANDS LÄN</t>
        </is>
      </c>
      <c r="E1742" t="inlineStr">
        <is>
          <t>TORSBY</t>
        </is>
      </c>
      <c r="F1742" t="inlineStr">
        <is>
          <t>Övriga statliga verk och myndigheter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4030-2024</t>
        </is>
      </c>
      <c r="B1743" s="1" t="n">
        <v>45323</v>
      </c>
      <c r="C1743" s="1" t="n">
        <v>46204</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15659-2026</t>
        </is>
      </c>
      <c r="B1744" s="1" t="n">
        <v>46106</v>
      </c>
      <c r="C1744" s="1" t="n">
        <v>46204</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11235-2024</t>
        </is>
      </c>
      <c r="B1745" s="1" t="n">
        <v>45371</v>
      </c>
      <c r="C1745" s="1" t="n">
        <v>46204</v>
      </c>
      <c r="D1745" t="inlineStr">
        <is>
          <t>VÄRMLANDS LÄN</t>
        </is>
      </c>
      <c r="E1745" t="inlineStr">
        <is>
          <t>TORSBY</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11242-2024</t>
        </is>
      </c>
      <c r="B1746" s="1" t="n">
        <v>45371</v>
      </c>
      <c r="C1746" s="1" t="n">
        <v>46204</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15360-2026</t>
        </is>
      </c>
      <c r="B1747" s="1" t="n">
        <v>46105</v>
      </c>
      <c r="C1747" s="1" t="n">
        <v>46204</v>
      </c>
      <c r="D1747" t="inlineStr">
        <is>
          <t>VÄRMLANDS LÄN</t>
        </is>
      </c>
      <c r="E1747" t="inlineStr">
        <is>
          <t>TORSBY</t>
        </is>
      </c>
      <c r="F1747" t="inlineStr">
        <is>
          <t>Bergvik skog väst AB</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38991-2023</t>
        </is>
      </c>
      <c r="B1748" s="1" t="n">
        <v>45163</v>
      </c>
      <c r="C1748" s="1" t="n">
        <v>46204</v>
      </c>
      <c r="D1748" t="inlineStr">
        <is>
          <t>VÄRMLANDS LÄN</t>
        </is>
      </c>
      <c r="E1748" t="inlineStr">
        <is>
          <t>TORSBY</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26511-2025</t>
        </is>
      </c>
      <c r="B1749" s="1" t="n">
        <v>45807</v>
      </c>
      <c r="C1749" s="1" t="n">
        <v>46204</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55436-2022</t>
        </is>
      </c>
      <c r="B1750" s="1" t="n">
        <v>44887</v>
      </c>
      <c r="C1750" s="1" t="n">
        <v>46204</v>
      </c>
      <c r="D1750" t="inlineStr">
        <is>
          <t>VÄRMLANDS LÄN</t>
        </is>
      </c>
      <c r="E1750" t="inlineStr">
        <is>
          <t>TORSBY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1911-2022</t>
        </is>
      </c>
      <c r="B1751" s="1" t="n">
        <v>44575</v>
      </c>
      <c r="C1751" s="1" t="n">
        <v>46204</v>
      </c>
      <c r="D1751" t="inlineStr">
        <is>
          <t>VÄRMLANDS LÄN</t>
        </is>
      </c>
      <c r="E1751" t="inlineStr">
        <is>
          <t>TORSBY</t>
        </is>
      </c>
      <c r="F1751" t="inlineStr">
        <is>
          <t>Kommuner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29481-2026</t>
        </is>
      </c>
      <c r="B1752" s="1" t="n">
        <v>46203</v>
      </c>
      <c r="C1752" s="1" t="n">
        <v>46204</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53921-2023</t>
        </is>
      </c>
      <c r="B1753" s="1" t="n">
        <v>45231</v>
      </c>
      <c r="C1753" s="1" t="n">
        <v>46204</v>
      </c>
      <c r="D1753" t="inlineStr">
        <is>
          <t>VÄRMLANDS LÄN</t>
        </is>
      </c>
      <c r="E1753" t="inlineStr">
        <is>
          <t>TORSBY</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23078-2026</t>
        </is>
      </c>
      <c r="B1754" s="1" t="n">
        <v>46161</v>
      </c>
      <c r="C1754" s="1" t="n">
        <v>46204</v>
      </c>
      <c r="D1754" t="inlineStr">
        <is>
          <t>VÄRMLANDS LÄN</t>
        </is>
      </c>
      <c r="E1754" t="inlineStr">
        <is>
          <t>TORSBY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4342-2025</t>
        </is>
      </c>
      <c r="B1755" s="1" t="n">
        <v>45685</v>
      </c>
      <c r="C1755" s="1" t="n">
        <v>46204</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45812-2024</t>
        </is>
      </c>
      <c r="B1756" s="1" t="n">
        <v>45579</v>
      </c>
      <c r="C1756" s="1" t="n">
        <v>46204</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23009-2026</t>
        </is>
      </c>
      <c r="B1757" s="1" t="n">
        <v>46161</v>
      </c>
      <c r="C1757" s="1" t="n">
        <v>46204</v>
      </c>
      <c r="D1757" t="inlineStr">
        <is>
          <t>VÄRMLANDS LÄN</t>
        </is>
      </c>
      <c r="E1757" t="inlineStr">
        <is>
          <t>TORSBY</t>
        </is>
      </c>
      <c r="F1757" t="inlineStr">
        <is>
          <t>Bergvik skog väst AB</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49814-2022</t>
        </is>
      </c>
      <c r="B1758" s="1" t="n">
        <v>44859</v>
      </c>
      <c r="C1758" s="1" t="n">
        <v>46204</v>
      </c>
      <c r="D1758" t="inlineStr">
        <is>
          <t>VÄRMLANDS LÄN</t>
        </is>
      </c>
      <c r="E1758" t="inlineStr">
        <is>
          <t>TORSBY</t>
        </is>
      </c>
      <c r="F1758" t="inlineStr">
        <is>
          <t>Kyrkan</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29373-2026</t>
        </is>
      </c>
      <c r="B1759" s="1" t="n">
        <v>46203</v>
      </c>
      <c r="C1759" s="1" t="n">
        <v>46204</v>
      </c>
      <c r="D1759" t="inlineStr">
        <is>
          <t>VÄRMLANDS LÄN</t>
        </is>
      </c>
      <c r="E1759" t="inlineStr">
        <is>
          <t>TORSBY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234-2024</t>
        </is>
      </c>
      <c r="B1760" s="1" t="n">
        <v>45294</v>
      </c>
      <c r="C1760" s="1" t="n">
        <v>46204</v>
      </c>
      <c r="D1760" t="inlineStr">
        <is>
          <t>VÄRMLANDS LÄN</t>
        </is>
      </c>
      <c r="E1760" t="inlineStr">
        <is>
          <t>TORSBY</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236-2024</t>
        </is>
      </c>
      <c r="B1761" s="1" t="n">
        <v>45294</v>
      </c>
      <c r="C1761" s="1" t="n">
        <v>46204</v>
      </c>
      <c r="D1761" t="inlineStr">
        <is>
          <t>VÄRMLANDS LÄN</t>
        </is>
      </c>
      <c r="E1761" t="inlineStr">
        <is>
          <t>TORSBY</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30104-2023</t>
        </is>
      </c>
      <c r="B1762" s="1" t="n">
        <v>45110</v>
      </c>
      <c r="C1762" s="1" t="n">
        <v>46204</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1839-2022</t>
        </is>
      </c>
      <c r="B1763" s="1" t="n">
        <v>44574</v>
      </c>
      <c r="C1763" s="1" t="n">
        <v>46204</v>
      </c>
      <c r="D1763" t="inlineStr">
        <is>
          <t>VÄRMLANDS LÄN</t>
        </is>
      </c>
      <c r="E1763" t="inlineStr">
        <is>
          <t>TORSBY</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21465-2022</t>
        </is>
      </c>
      <c r="B1764" s="1" t="n">
        <v>44706</v>
      </c>
      <c r="C1764" s="1" t="n">
        <v>46204</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21078-2023</t>
        </is>
      </c>
      <c r="B1765" s="1" t="n">
        <v>45061</v>
      </c>
      <c r="C1765" s="1" t="n">
        <v>46204</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36718-2024</t>
        </is>
      </c>
      <c r="B1766" s="1" t="n">
        <v>45537</v>
      </c>
      <c r="C1766" s="1" t="n">
        <v>46204</v>
      </c>
      <c r="D1766" t="inlineStr">
        <is>
          <t>VÄRMLANDS LÄN</t>
        </is>
      </c>
      <c r="E1766" t="inlineStr">
        <is>
          <t>TORSBY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45328-2022</t>
        </is>
      </c>
      <c r="B1767" s="1" t="n">
        <v>44844</v>
      </c>
      <c r="C1767" s="1" t="n">
        <v>46204</v>
      </c>
      <c r="D1767" t="inlineStr">
        <is>
          <t>VÄRMLANDS LÄN</t>
        </is>
      </c>
      <c r="E1767" t="inlineStr">
        <is>
          <t>TORSBY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22903-2026</t>
        </is>
      </c>
      <c r="B1768" s="1" t="n">
        <v>46160</v>
      </c>
      <c r="C1768" s="1" t="n">
        <v>46204</v>
      </c>
      <c r="D1768" t="inlineStr">
        <is>
          <t>VÄRMLANDS LÄN</t>
        </is>
      </c>
      <c r="E1768" t="inlineStr">
        <is>
          <t>TORSBY</t>
        </is>
      </c>
      <c r="F1768" t="inlineStr">
        <is>
          <t>Bergvik skog väst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10608-2022</t>
        </is>
      </c>
      <c r="B1769" s="1" t="n">
        <v>44624</v>
      </c>
      <c r="C1769" s="1" t="n">
        <v>46204</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22808-2026</t>
        </is>
      </c>
      <c r="B1770" s="1" t="n">
        <v>46160</v>
      </c>
      <c r="C1770" s="1" t="n">
        <v>46204</v>
      </c>
      <c r="D1770" t="inlineStr">
        <is>
          <t>VÄRMLANDS LÄN</t>
        </is>
      </c>
      <c r="E1770" t="inlineStr">
        <is>
          <t>TORSBY</t>
        </is>
      </c>
      <c r="F1770" t="inlineStr">
        <is>
          <t>Bergvik skog väst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29493-2026</t>
        </is>
      </c>
      <c r="B1771" s="1" t="n">
        <v>46203</v>
      </c>
      <c r="C1771" s="1" t="n">
        <v>46204</v>
      </c>
      <c r="D1771" t="inlineStr">
        <is>
          <t>VÄRMLANDS LÄN</t>
        </is>
      </c>
      <c r="E1771" t="inlineStr">
        <is>
          <t>TORSBY</t>
        </is>
      </c>
      <c r="F1771" t="inlineStr">
        <is>
          <t>Bergvik skog väst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29243-2026</t>
        </is>
      </c>
      <c r="B1772" s="1" t="n">
        <v>46202</v>
      </c>
      <c r="C1772" s="1" t="n">
        <v>46204</v>
      </c>
      <c r="D1772" t="inlineStr">
        <is>
          <t>VÄRMLANDS LÄN</t>
        </is>
      </c>
      <c r="E1772" t="inlineStr">
        <is>
          <t>TORSBY</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33429-2024</t>
        </is>
      </c>
      <c r="B1773" s="1" t="n">
        <v>45519</v>
      </c>
      <c r="C1773" s="1" t="n">
        <v>46204</v>
      </c>
      <c r="D1773" t="inlineStr">
        <is>
          <t>VÄRMLANDS LÄN</t>
        </is>
      </c>
      <c r="E1773" t="inlineStr">
        <is>
          <t>TORSBY</t>
        </is>
      </c>
      <c r="F1773" t="inlineStr">
        <is>
          <t>Bergvik skog väst AB</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61073-2024</t>
        </is>
      </c>
      <c r="B1774" s="1" t="n">
        <v>45645</v>
      </c>
      <c r="C1774" s="1" t="n">
        <v>46204</v>
      </c>
      <c r="D1774" t="inlineStr">
        <is>
          <t>VÄRMLANDS LÄN</t>
        </is>
      </c>
      <c r="E1774" t="inlineStr">
        <is>
          <t>TORSBY</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1997-2025</t>
        </is>
      </c>
      <c r="B1775" s="1" t="n">
        <v>45672</v>
      </c>
      <c r="C1775" s="1" t="n">
        <v>46204</v>
      </c>
      <c r="D1775" t="inlineStr">
        <is>
          <t>VÄRMLANDS LÄN</t>
        </is>
      </c>
      <c r="E1775" t="inlineStr">
        <is>
          <t>TORSBY</t>
        </is>
      </c>
      <c r="G1775" t="n">
        <v>20.1</v>
      </c>
      <c r="H1775" t="n">
        <v>0</v>
      </c>
      <c r="I1775" t="n">
        <v>0</v>
      </c>
      <c r="J1775" t="n">
        <v>0</v>
      </c>
      <c r="K1775" t="n">
        <v>0</v>
      </c>
      <c r="L1775" t="n">
        <v>0</v>
      </c>
      <c r="M1775" t="n">
        <v>0</v>
      </c>
      <c r="N1775" t="n">
        <v>0</v>
      </c>
      <c r="O1775" t="n">
        <v>0</v>
      </c>
      <c r="P1775" t="n">
        <v>0</v>
      </c>
      <c r="Q1775" t="n">
        <v>0</v>
      </c>
      <c r="R1775" s="2" t="inlineStr"/>
    </row>
    <row r="1776" ht="15" customHeight="1">
      <c r="A1776" t="inlineStr">
        <is>
          <t>A 25932-2024</t>
        </is>
      </c>
      <c r="B1776" s="1" t="n">
        <v>45467</v>
      </c>
      <c r="C1776" s="1" t="n">
        <v>46204</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48185-2024</t>
        </is>
      </c>
      <c r="B1777" s="1" t="n">
        <v>45589</v>
      </c>
      <c r="C1777" s="1" t="n">
        <v>46204</v>
      </c>
      <c r="D1777" t="inlineStr">
        <is>
          <t>VÄRMLANDS LÄN</t>
        </is>
      </c>
      <c r="E1777" t="inlineStr">
        <is>
          <t>TORSBY</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23102-2026</t>
        </is>
      </c>
      <c r="B1778" s="1" t="n">
        <v>46161</v>
      </c>
      <c r="C1778" s="1" t="n">
        <v>46204</v>
      </c>
      <c r="D1778" t="inlineStr">
        <is>
          <t>VÄRMLANDS LÄN</t>
        </is>
      </c>
      <c r="E1778" t="inlineStr">
        <is>
          <t>TORSBY</t>
        </is>
      </c>
      <c r="F1778" t="inlineStr">
        <is>
          <t>Bergvik skog väst AB</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22822-2026</t>
        </is>
      </c>
      <c r="B1779" s="1" t="n">
        <v>46160</v>
      </c>
      <c r="C1779" s="1" t="n">
        <v>46204</v>
      </c>
      <c r="D1779" t="inlineStr">
        <is>
          <t>VÄRMLANDS LÄN</t>
        </is>
      </c>
      <c r="E1779" t="inlineStr">
        <is>
          <t>TORSBY</t>
        </is>
      </c>
      <c r="F1779" t="inlineStr">
        <is>
          <t>Bergvik skog väst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22949-2026</t>
        </is>
      </c>
      <c r="B1780" s="1" t="n">
        <v>46160</v>
      </c>
      <c r="C1780" s="1" t="n">
        <v>46204</v>
      </c>
      <c r="D1780" t="inlineStr">
        <is>
          <t>VÄRMLANDS LÄN</t>
        </is>
      </c>
      <c r="E1780" t="inlineStr">
        <is>
          <t>TORSBY</t>
        </is>
      </c>
      <c r="F1780" t="inlineStr">
        <is>
          <t>Bergvik skog väst AB</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29367-2026</t>
        </is>
      </c>
      <c r="B1781" s="1" t="n">
        <v>46203</v>
      </c>
      <c r="C1781" s="1" t="n">
        <v>46204</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19878-2025</t>
        </is>
      </c>
      <c r="B1782" s="1" t="n">
        <v>45771</v>
      </c>
      <c r="C1782" s="1" t="n">
        <v>46204</v>
      </c>
      <c r="D1782" t="inlineStr">
        <is>
          <t>VÄRMLANDS LÄN</t>
        </is>
      </c>
      <c r="E1782" t="inlineStr">
        <is>
          <t>TORSBY</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2616-2025</t>
        </is>
      </c>
      <c r="B1783" s="1" t="n">
        <v>45675</v>
      </c>
      <c r="C1783" s="1" t="n">
        <v>46204</v>
      </c>
      <c r="D1783" t="inlineStr">
        <is>
          <t>VÄRMLANDS LÄN</t>
        </is>
      </c>
      <c r="E1783" t="inlineStr">
        <is>
          <t>TORSBY</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29144-2026</t>
        </is>
      </c>
      <c r="B1784" s="1" t="n">
        <v>46202</v>
      </c>
      <c r="C1784" s="1" t="n">
        <v>46204</v>
      </c>
      <c r="D1784" t="inlineStr">
        <is>
          <t>VÄRMLANDS LÄN</t>
        </is>
      </c>
      <c r="E1784" t="inlineStr">
        <is>
          <t>TORSBY</t>
        </is>
      </c>
      <c r="F1784" t="inlineStr">
        <is>
          <t>Bergvik skog väst AB</t>
        </is>
      </c>
      <c r="G1784" t="n">
        <v>15.4</v>
      </c>
      <c r="H1784" t="n">
        <v>0</v>
      </c>
      <c r="I1784" t="n">
        <v>0</v>
      </c>
      <c r="J1784" t="n">
        <v>0</v>
      </c>
      <c r="K1784" t="n">
        <v>0</v>
      </c>
      <c r="L1784" t="n">
        <v>0</v>
      </c>
      <c r="M1784" t="n">
        <v>0</v>
      </c>
      <c r="N1784" t="n">
        <v>0</v>
      </c>
      <c r="O1784" t="n">
        <v>0</v>
      </c>
      <c r="P1784" t="n">
        <v>0</v>
      </c>
      <c r="Q1784" t="n">
        <v>0</v>
      </c>
      <c r="R1784" s="2" t="inlineStr"/>
    </row>
    <row r="1785" ht="15" customHeight="1">
      <c r="A1785" t="inlineStr">
        <is>
          <t>A 22952-2026</t>
        </is>
      </c>
      <c r="B1785" s="1" t="n">
        <v>46160</v>
      </c>
      <c r="C1785" s="1" t="n">
        <v>46204</v>
      </c>
      <c r="D1785" t="inlineStr">
        <is>
          <t>VÄRMLANDS LÄN</t>
        </is>
      </c>
      <c r="E1785" t="inlineStr">
        <is>
          <t>TORSBY</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9286-2025</t>
        </is>
      </c>
      <c r="B1786" s="1" t="n">
        <v>45714</v>
      </c>
      <c r="C1786" s="1" t="n">
        <v>46204</v>
      </c>
      <c r="D1786" t="inlineStr">
        <is>
          <t>VÄRMLANDS LÄN</t>
        </is>
      </c>
      <c r="E1786" t="inlineStr">
        <is>
          <t>TORSBY</t>
        </is>
      </c>
      <c r="F1786" t="inlineStr">
        <is>
          <t>Kommuner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51505-2021</t>
        </is>
      </c>
      <c r="B1787" s="1" t="n">
        <v>44460</v>
      </c>
      <c r="C1787" s="1" t="n">
        <v>46204</v>
      </c>
      <c r="D1787" t="inlineStr">
        <is>
          <t>VÄRMLANDS LÄN</t>
        </is>
      </c>
      <c r="E1787" t="inlineStr">
        <is>
          <t>TORSBY</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1040-2024</t>
        </is>
      </c>
      <c r="B1788" s="1" t="n">
        <v>45301</v>
      </c>
      <c r="C1788" s="1" t="n">
        <v>46204</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14303-2023</t>
        </is>
      </c>
      <c r="B1789" s="1" t="n">
        <v>45011</v>
      </c>
      <c r="C1789" s="1" t="n">
        <v>46204</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21828-2024</t>
        </is>
      </c>
      <c r="B1790" s="1" t="n">
        <v>45442</v>
      </c>
      <c r="C1790" s="1" t="n">
        <v>46204</v>
      </c>
      <c r="D1790" t="inlineStr">
        <is>
          <t>VÄRMLANDS LÄN</t>
        </is>
      </c>
      <c r="E1790" t="inlineStr">
        <is>
          <t>TORSBY</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41671-2021</t>
        </is>
      </c>
      <c r="B1791" s="1" t="n">
        <v>44425</v>
      </c>
      <c r="C1791" s="1" t="n">
        <v>46204</v>
      </c>
      <c r="D1791" t="inlineStr">
        <is>
          <t>VÄRMLANDS LÄN</t>
        </is>
      </c>
      <c r="E1791" t="inlineStr">
        <is>
          <t>TORSBY</t>
        </is>
      </c>
      <c r="F1791" t="inlineStr">
        <is>
          <t>Övriga Aktiebolag</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21365-2023</t>
        </is>
      </c>
      <c r="B1792" s="1" t="n">
        <v>45063</v>
      </c>
      <c r="C1792" s="1" t="n">
        <v>46204</v>
      </c>
      <c r="D1792" t="inlineStr">
        <is>
          <t>VÄRMLANDS LÄN</t>
        </is>
      </c>
      <c r="E1792" t="inlineStr">
        <is>
          <t>TORSBY</t>
        </is>
      </c>
      <c r="F1792" t="inlineStr">
        <is>
          <t>Kyrkan</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19527-2023</t>
        </is>
      </c>
      <c r="B1793" s="1" t="n">
        <v>45050</v>
      </c>
      <c r="C1793" s="1" t="n">
        <v>46204</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4236-2023</t>
        </is>
      </c>
      <c r="B1794" s="1" t="n">
        <v>44953</v>
      </c>
      <c r="C1794" s="1" t="n">
        <v>46204</v>
      </c>
      <c r="D1794" t="inlineStr">
        <is>
          <t>VÄRMLANDS LÄN</t>
        </is>
      </c>
      <c r="E1794" t="inlineStr">
        <is>
          <t>TORSBY</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4250-2023</t>
        </is>
      </c>
      <c r="B1795" s="1" t="n">
        <v>44953</v>
      </c>
      <c r="C1795" s="1" t="n">
        <v>46204</v>
      </c>
      <c r="D1795" t="inlineStr">
        <is>
          <t>VÄRMLANDS LÄN</t>
        </is>
      </c>
      <c r="E1795" t="inlineStr">
        <is>
          <t>TORSBY</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29256-2023</t>
        </is>
      </c>
      <c r="B1796" s="1" t="n">
        <v>45105</v>
      </c>
      <c r="C1796" s="1" t="n">
        <v>46204</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25355-2024</t>
        </is>
      </c>
      <c r="B1797" s="1" t="n">
        <v>45462</v>
      </c>
      <c r="C1797" s="1" t="n">
        <v>46204</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12701-2024</t>
        </is>
      </c>
      <c r="B1798" s="1" t="n">
        <v>45384</v>
      </c>
      <c r="C1798" s="1" t="n">
        <v>46204</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39781-2022</t>
        </is>
      </c>
      <c r="B1799" s="1" t="n">
        <v>44819</v>
      </c>
      <c r="C1799" s="1" t="n">
        <v>46204</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6013-2024</t>
        </is>
      </c>
      <c r="B1800" s="1" t="n">
        <v>45336</v>
      </c>
      <c r="C1800" s="1" t="n">
        <v>46204</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43289-2022</t>
        </is>
      </c>
      <c r="B1801" s="1" t="n">
        <v>44834</v>
      </c>
      <c r="C1801" s="1" t="n">
        <v>46204</v>
      </c>
      <c r="D1801" t="inlineStr">
        <is>
          <t>VÄRMLANDS LÄN</t>
        </is>
      </c>
      <c r="E1801" t="inlineStr">
        <is>
          <t>TORSBY</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60272-2024</t>
        </is>
      </c>
      <c r="B1802" s="1" t="n">
        <v>45642</v>
      </c>
      <c r="C1802" s="1" t="n">
        <v>46204</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37075-2021</t>
        </is>
      </c>
      <c r="B1803" s="1" t="n">
        <v>44394</v>
      </c>
      <c r="C1803" s="1" t="n">
        <v>46204</v>
      </c>
      <c r="D1803" t="inlineStr">
        <is>
          <t>VÄRMLANDS LÄN</t>
        </is>
      </c>
      <c r="E1803" t="inlineStr">
        <is>
          <t>TORSBY</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22565-2024</t>
        </is>
      </c>
      <c r="B1804" s="1" t="n">
        <v>45447</v>
      </c>
      <c r="C1804" s="1" t="n">
        <v>46204</v>
      </c>
      <c r="D1804" t="inlineStr">
        <is>
          <t>VÄRMLANDS LÄN</t>
        </is>
      </c>
      <c r="E1804" t="inlineStr">
        <is>
          <t>TORSBY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46914-2024</t>
        </is>
      </c>
      <c r="B1805" s="1" t="n">
        <v>45583</v>
      </c>
      <c r="C1805" s="1" t="n">
        <v>46204</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35057-2023</t>
        </is>
      </c>
      <c r="B1806" s="1" t="n">
        <v>45145</v>
      </c>
      <c r="C1806" s="1" t="n">
        <v>46204</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8012-2023</t>
        </is>
      </c>
      <c r="B1807" s="1" t="n">
        <v>44973</v>
      </c>
      <c r="C1807" s="1" t="n">
        <v>46204</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21757-2024</t>
        </is>
      </c>
      <c r="B1808" s="1" t="n">
        <v>45442</v>
      </c>
      <c r="C1808" s="1" t="n">
        <v>46204</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34430-2023</t>
        </is>
      </c>
      <c r="B1809" s="1" t="n">
        <v>45139</v>
      </c>
      <c r="C1809" s="1" t="n">
        <v>46204</v>
      </c>
      <c r="D1809" t="inlineStr">
        <is>
          <t>VÄRMLANDS LÄN</t>
        </is>
      </c>
      <c r="E1809" t="inlineStr">
        <is>
          <t>TORSBY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43988-2024</t>
        </is>
      </c>
      <c r="B1810" s="1" t="n">
        <v>45572</v>
      </c>
      <c r="C1810" s="1" t="n">
        <v>46204</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47271-2021</t>
        </is>
      </c>
      <c r="B1811" s="1" t="n">
        <v>44447</v>
      </c>
      <c r="C1811" s="1" t="n">
        <v>46204</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46204</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21409-2023</t>
        </is>
      </c>
      <c r="B1813" s="1" t="n">
        <v>45063</v>
      </c>
      <c r="C1813" s="1" t="n">
        <v>46204</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20461-2025</t>
        </is>
      </c>
      <c r="B1814" s="1" t="n">
        <v>45775</v>
      </c>
      <c r="C1814" s="1" t="n">
        <v>46204</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11211-2024</t>
        </is>
      </c>
      <c r="B1815" s="1" t="n">
        <v>45371</v>
      </c>
      <c r="C1815" s="1" t="n">
        <v>46204</v>
      </c>
      <c r="D1815" t="inlineStr">
        <is>
          <t>VÄRMLANDS LÄN</t>
        </is>
      </c>
      <c r="E1815" t="inlineStr">
        <is>
          <t>TORSBY</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31547-2023</t>
        </is>
      </c>
      <c r="B1816" s="1" t="n">
        <v>45117</v>
      </c>
      <c r="C1816" s="1" t="n">
        <v>46204</v>
      </c>
      <c r="D1816" t="inlineStr">
        <is>
          <t>VÄRMLANDS LÄN</t>
        </is>
      </c>
      <c r="E1816" t="inlineStr">
        <is>
          <t>TORSBY</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22301-2023</t>
        </is>
      </c>
      <c r="B1817" s="1" t="n">
        <v>45070</v>
      </c>
      <c r="C1817" s="1" t="n">
        <v>46204</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14709-2023</t>
        </is>
      </c>
      <c r="B1818" s="1" t="n">
        <v>45014</v>
      </c>
      <c r="C1818" s="1" t="n">
        <v>46204</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19489-2022</t>
        </is>
      </c>
      <c r="B1819" s="1" t="n">
        <v>44693</v>
      </c>
      <c r="C1819" s="1" t="n">
        <v>46204</v>
      </c>
      <c r="D1819" t="inlineStr">
        <is>
          <t>VÄRMLANDS LÄN</t>
        </is>
      </c>
      <c r="E1819" t="inlineStr">
        <is>
          <t>TORSBY</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36558-2024</t>
        </is>
      </c>
      <c r="B1820" s="1" t="n">
        <v>45537</v>
      </c>
      <c r="C1820" s="1" t="n">
        <v>46204</v>
      </c>
      <c r="D1820" t="inlineStr">
        <is>
          <t>VÄRMLANDS LÄN</t>
        </is>
      </c>
      <c r="E1820" t="inlineStr">
        <is>
          <t>TORSBY</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23073-2023</t>
        </is>
      </c>
      <c r="B1821" s="1" t="n">
        <v>45070</v>
      </c>
      <c r="C1821" s="1" t="n">
        <v>46204</v>
      </c>
      <c r="D1821" t="inlineStr">
        <is>
          <t>VÄRMLANDS LÄN</t>
        </is>
      </c>
      <c r="E1821" t="inlineStr">
        <is>
          <t>TORSBY</t>
        </is>
      </c>
      <c r="G1821" t="n">
        <v>15.1</v>
      </c>
      <c r="H1821" t="n">
        <v>0</v>
      </c>
      <c r="I1821" t="n">
        <v>0</v>
      </c>
      <c r="J1821" t="n">
        <v>0</v>
      </c>
      <c r="K1821" t="n">
        <v>0</v>
      </c>
      <c r="L1821" t="n">
        <v>0</v>
      </c>
      <c r="M1821" t="n">
        <v>0</v>
      </c>
      <c r="N1821" t="n">
        <v>0</v>
      </c>
      <c r="O1821" t="n">
        <v>0</v>
      </c>
      <c r="P1821" t="n">
        <v>0</v>
      </c>
      <c r="Q1821" t="n">
        <v>0</v>
      </c>
      <c r="R1821" s="2" t="inlineStr"/>
    </row>
    <row r="1822" ht="15" customHeight="1">
      <c r="A1822" t="inlineStr">
        <is>
          <t>A 63083-2023</t>
        </is>
      </c>
      <c r="B1822" s="1" t="n">
        <v>45273</v>
      </c>
      <c r="C1822" s="1" t="n">
        <v>46204</v>
      </c>
      <c r="D1822" t="inlineStr">
        <is>
          <t>VÄRMLANDS LÄN</t>
        </is>
      </c>
      <c r="E1822" t="inlineStr">
        <is>
          <t>TORSBY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57536-2024</t>
        </is>
      </c>
      <c r="B1823" s="1" t="n">
        <v>45630</v>
      </c>
      <c r="C1823" s="1" t="n">
        <v>46204</v>
      </c>
      <c r="D1823" t="inlineStr">
        <is>
          <t>VÄRMLANDS LÄN</t>
        </is>
      </c>
      <c r="E1823" t="inlineStr">
        <is>
          <t>TORSBY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26086-2024</t>
        </is>
      </c>
      <c r="B1824" s="1" t="n">
        <v>45468</v>
      </c>
      <c r="C1824" s="1" t="n">
        <v>46204</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22536-2024</t>
        </is>
      </c>
      <c r="B1825" s="1" t="n">
        <v>45447</v>
      </c>
      <c r="C1825" s="1" t="n">
        <v>46204</v>
      </c>
      <c r="D1825" t="inlineStr">
        <is>
          <t>VÄRMLANDS LÄN</t>
        </is>
      </c>
      <c r="E1825" t="inlineStr">
        <is>
          <t>TORSBY</t>
        </is>
      </c>
      <c r="G1825" t="n">
        <v>25.2</v>
      </c>
      <c r="H1825" t="n">
        <v>0</v>
      </c>
      <c r="I1825" t="n">
        <v>0</v>
      </c>
      <c r="J1825" t="n">
        <v>0</v>
      </c>
      <c r="K1825" t="n">
        <v>0</v>
      </c>
      <c r="L1825" t="n">
        <v>0</v>
      </c>
      <c r="M1825" t="n">
        <v>0</v>
      </c>
      <c r="N1825" t="n">
        <v>0</v>
      </c>
      <c r="O1825" t="n">
        <v>0</v>
      </c>
      <c r="P1825" t="n">
        <v>0</v>
      </c>
      <c r="Q1825" t="n">
        <v>0</v>
      </c>
      <c r="R1825" s="2" t="inlineStr"/>
    </row>
    <row r="1826" ht="15" customHeight="1">
      <c r="A1826" t="inlineStr">
        <is>
          <t>A 45587-2023</t>
        </is>
      </c>
      <c r="B1826" s="1" t="n">
        <v>45194</v>
      </c>
      <c r="C1826" s="1" t="n">
        <v>46204</v>
      </c>
      <c r="D1826" t="inlineStr">
        <is>
          <t>VÄRMLANDS LÄN</t>
        </is>
      </c>
      <c r="E1826" t="inlineStr">
        <is>
          <t>TORSBY</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20393-2023</t>
        </is>
      </c>
      <c r="B1827" s="1" t="n">
        <v>45056</v>
      </c>
      <c r="C1827" s="1" t="n">
        <v>46204</v>
      </c>
      <c r="D1827" t="inlineStr">
        <is>
          <t>VÄRMLANDS LÄN</t>
        </is>
      </c>
      <c r="E1827" t="inlineStr">
        <is>
          <t>TORSBY</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14917-2023</t>
        </is>
      </c>
      <c r="B1828" s="1" t="n">
        <v>45015</v>
      </c>
      <c r="C1828" s="1" t="n">
        <v>46204</v>
      </c>
      <c r="D1828" t="inlineStr">
        <is>
          <t>VÄRMLANDS LÄN</t>
        </is>
      </c>
      <c r="E1828" t="inlineStr">
        <is>
          <t>TORSBY</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19614-2022</t>
        </is>
      </c>
      <c r="B1829" s="1" t="n">
        <v>44694</v>
      </c>
      <c r="C1829" s="1" t="n">
        <v>46204</v>
      </c>
      <c r="D1829" t="inlineStr">
        <is>
          <t>VÄRMLANDS LÄN</t>
        </is>
      </c>
      <c r="E1829" t="inlineStr">
        <is>
          <t>TORSBY</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1547-2024</t>
        </is>
      </c>
      <c r="B1830" s="1" t="n">
        <v>45306</v>
      </c>
      <c r="C1830" s="1" t="n">
        <v>46204</v>
      </c>
      <c r="D1830" t="inlineStr">
        <is>
          <t>VÄRMLANDS LÄN</t>
        </is>
      </c>
      <c r="E1830" t="inlineStr">
        <is>
          <t>TORSBY</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22705-2023</t>
        </is>
      </c>
      <c r="B1831" s="1" t="n">
        <v>45071</v>
      </c>
      <c r="C1831" s="1" t="n">
        <v>46204</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61206-2024</t>
        </is>
      </c>
      <c r="B1832" s="1" t="n">
        <v>45645</v>
      </c>
      <c r="C1832" s="1" t="n">
        <v>46204</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59781-2023</t>
        </is>
      </c>
      <c r="B1833" s="1" t="n">
        <v>45257</v>
      </c>
      <c r="C1833" s="1" t="n">
        <v>46204</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20816-2025</t>
        </is>
      </c>
      <c r="B1834" s="1" t="n">
        <v>45776</v>
      </c>
      <c r="C1834" s="1" t="n">
        <v>46204</v>
      </c>
      <c r="D1834" t="inlineStr">
        <is>
          <t>VÄRMLANDS LÄN</t>
        </is>
      </c>
      <c r="E1834" t="inlineStr">
        <is>
          <t>TORSBY</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20740-2025</t>
        </is>
      </c>
      <c r="B1835" s="1" t="n">
        <v>45776</v>
      </c>
      <c r="C1835" s="1" t="n">
        <v>46204</v>
      </c>
      <c r="D1835" t="inlineStr">
        <is>
          <t>VÄRMLANDS LÄN</t>
        </is>
      </c>
      <c r="E1835" t="inlineStr">
        <is>
          <t>TORSBY</t>
        </is>
      </c>
      <c r="F1835" t="inlineStr">
        <is>
          <t>Bergvik skog väst AB</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20773-2025</t>
        </is>
      </c>
      <c r="B1836" s="1" t="n">
        <v>45776</v>
      </c>
      <c r="C1836" s="1" t="n">
        <v>46204</v>
      </c>
      <c r="D1836" t="inlineStr">
        <is>
          <t>VÄRMLANDS LÄN</t>
        </is>
      </c>
      <c r="E1836" t="inlineStr">
        <is>
          <t>TORSBY</t>
        </is>
      </c>
      <c r="F1836" t="inlineStr">
        <is>
          <t>Bergvik skog väst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21462-2025</t>
        </is>
      </c>
      <c r="B1837" s="1" t="n">
        <v>45782</v>
      </c>
      <c r="C1837" s="1" t="n">
        <v>46204</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21808-2025</t>
        </is>
      </c>
      <c r="B1838" s="1" t="n">
        <v>45783</v>
      </c>
      <c r="C1838" s="1" t="n">
        <v>46204</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41633-2021</t>
        </is>
      </c>
      <c r="B1839" s="1" t="n">
        <v>44425</v>
      </c>
      <c r="C1839" s="1" t="n">
        <v>46204</v>
      </c>
      <c r="D1839" t="inlineStr">
        <is>
          <t>VÄRMLANDS LÄN</t>
        </is>
      </c>
      <c r="E1839" t="inlineStr">
        <is>
          <t>TORSBY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25313-2024</t>
        </is>
      </c>
      <c r="B1840" s="1" t="n">
        <v>45462</v>
      </c>
      <c r="C1840" s="1" t="n">
        <v>46204</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33495-2024</t>
        </is>
      </c>
      <c r="B1841" s="1" t="n">
        <v>45519</v>
      </c>
      <c r="C1841" s="1" t="n">
        <v>46204</v>
      </c>
      <c r="D1841" t="inlineStr">
        <is>
          <t>VÄRMLANDS LÄN</t>
        </is>
      </c>
      <c r="E1841" t="inlineStr">
        <is>
          <t>TORSBY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33085-2024</t>
        </is>
      </c>
      <c r="B1842" s="1" t="n">
        <v>45517</v>
      </c>
      <c r="C1842" s="1" t="n">
        <v>46204</v>
      </c>
      <c r="D1842" t="inlineStr">
        <is>
          <t>VÄRMLANDS LÄN</t>
        </is>
      </c>
      <c r="E1842" t="inlineStr">
        <is>
          <t>TORSBY</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6448-2025</t>
        </is>
      </c>
      <c r="B1843" s="1" t="n">
        <v>45699</v>
      </c>
      <c r="C1843" s="1" t="n">
        <v>46204</v>
      </c>
      <c r="D1843" t="inlineStr">
        <is>
          <t>VÄRMLANDS LÄN</t>
        </is>
      </c>
      <c r="E1843" t="inlineStr">
        <is>
          <t>TORSBY</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21744-2024</t>
        </is>
      </c>
      <c r="B1844" s="1" t="n">
        <v>45442</v>
      </c>
      <c r="C1844" s="1" t="n">
        <v>46204</v>
      </c>
      <c r="D1844" t="inlineStr">
        <is>
          <t>VÄRMLANDS LÄN</t>
        </is>
      </c>
      <c r="E1844" t="inlineStr">
        <is>
          <t>TORSBY</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24113-2024</t>
        </is>
      </c>
      <c r="B1845" s="1" t="n">
        <v>45456</v>
      </c>
      <c r="C1845" s="1" t="n">
        <v>46204</v>
      </c>
      <c r="D1845" t="inlineStr">
        <is>
          <t>VÄRMLANDS LÄN</t>
        </is>
      </c>
      <c r="E1845" t="inlineStr">
        <is>
          <t>TORSBY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55036-2024</t>
        </is>
      </c>
      <c r="B1846" s="1" t="n">
        <v>45621</v>
      </c>
      <c r="C1846" s="1" t="n">
        <v>46204</v>
      </c>
      <c r="D1846" t="inlineStr">
        <is>
          <t>VÄRMLANDS LÄN</t>
        </is>
      </c>
      <c r="E1846" t="inlineStr">
        <is>
          <t>TORSBY</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22269-2025</t>
        </is>
      </c>
      <c r="B1847" s="1" t="n">
        <v>45785</v>
      </c>
      <c r="C1847" s="1" t="n">
        <v>46204</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21858-2025</t>
        </is>
      </c>
      <c r="B1848" s="1" t="n">
        <v>45784</v>
      </c>
      <c r="C1848" s="1" t="n">
        <v>46204</v>
      </c>
      <c r="D1848" t="inlineStr">
        <is>
          <t>VÄRMLANDS LÄN</t>
        </is>
      </c>
      <c r="E1848" t="inlineStr">
        <is>
          <t>TORSBY</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29897-2024</t>
        </is>
      </c>
      <c r="B1849" s="1" t="n">
        <v>45487</v>
      </c>
      <c r="C1849" s="1" t="n">
        <v>46204</v>
      </c>
      <c r="D1849" t="inlineStr">
        <is>
          <t>VÄRMLANDS LÄN</t>
        </is>
      </c>
      <c r="E1849" t="inlineStr">
        <is>
          <t>TORSBY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33088-2024</t>
        </is>
      </c>
      <c r="B1850" s="1" t="n">
        <v>45517</v>
      </c>
      <c r="C1850" s="1" t="n">
        <v>46204</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22715-2025</t>
        </is>
      </c>
      <c r="B1851" s="1" t="n">
        <v>45789</v>
      </c>
      <c r="C1851" s="1" t="n">
        <v>46204</v>
      </c>
      <c r="D1851" t="inlineStr">
        <is>
          <t>VÄRMLANDS LÄN</t>
        </is>
      </c>
      <c r="E1851" t="inlineStr">
        <is>
          <t>TORSBY</t>
        </is>
      </c>
      <c r="F1851" t="inlineStr">
        <is>
          <t>Kyrkan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60626-2024</t>
        </is>
      </c>
      <c r="B1852" s="1" t="n">
        <v>45642</v>
      </c>
      <c r="C1852" s="1" t="n">
        <v>46204</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22593-2025</t>
        </is>
      </c>
      <c r="B1853" s="1" t="n">
        <v>45789</v>
      </c>
      <c r="C1853" s="1" t="n">
        <v>46204</v>
      </c>
      <c r="D1853" t="inlineStr">
        <is>
          <t>VÄRMLANDS LÄN</t>
        </is>
      </c>
      <c r="E1853" t="inlineStr">
        <is>
          <t>TORSBY</t>
        </is>
      </c>
      <c r="F1853" t="inlineStr">
        <is>
          <t>Bergvik skog väst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22708-2025</t>
        </is>
      </c>
      <c r="B1854" s="1" t="n">
        <v>45789</v>
      </c>
      <c r="C1854" s="1" t="n">
        <v>46204</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15014-2025</t>
        </is>
      </c>
      <c r="B1855" s="1" t="n">
        <v>45743</v>
      </c>
      <c r="C1855" s="1" t="n">
        <v>46204</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22320-2025</t>
        </is>
      </c>
      <c r="B1856" s="1" t="n">
        <v>45786</v>
      </c>
      <c r="C1856" s="1" t="n">
        <v>46204</v>
      </c>
      <c r="D1856" t="inlineStr">
        <is>
          <t>VÄRMLANDS LÄN</t>
        </is>
      </c>
      <c r="E1856" t="inlineStr">
        <is>
          <t>TORSBY</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22760-2025</t>
        </is>
      </c>
      <c r="B1857" s="1" t="n">
        <v>45789</v>
      </c>
      <c r="C1857" s="1" t="n">
        <v>46204</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22757-2025</t>
        </is>
      </c>
      <c r="B1858" s="1" t="n">
        <v>45789</v>
      </c>
      <c r="C1858" s="1" t="n">
        <v>46204</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60207-2024</t>
        </is>
      </c>
      <c r="B1859" s="1" t="n">
        <v>45642</v>
      </c>
      <c r="C1859" s="1" t="n">
        <v>46204</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23367-2025</t>
        </is>
      </c>
      <c r="B1860" s="1" t="n">
        <v>45791</v>
      </c>
      <c r="C1860" s="1" t="n">
        <v>46204</v>
      </c>
      <c r="D1860" t="inlineStr">
        <is>
          <t>VÄRMLANDS LÄN</t>
        </is>
      </c>
      <c r="E1860" t="inlineStr">
        <is>
          <t>TORSBY</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7101-2025</t>
        </is>
      </c>
      <c r="B1861" s="1" t="n">
        <v>45701</v>
      </c>
      <c r="C1861" s="1" t="n">
        <v>46204</v>
      </c>
      <c r="D1861" t="inlineStr">
        <is>
          <t>VÄRMLANDS LÄN</t>
        </is>
      </c>
      <c r="E1861" t="inlineStr">
        <is>
          <t>TORSBY</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58259-2024</t>
        </is>
      </c>
      <c r="B1862" s="1" t="n">
        <v>45632</v>
      </c>
      <c r="C1862" s="1" t="n">
        <v>46204</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22845-2025</t>
        </is>
      </c>
      <c r="B1863" s="1" t="n">
        <v>45790</v>
      </c>
      <c r="C1863" s="1" t="n">
        <v>46204</v>
      </c>
      <c r="D1863" t="inlineStr">
        <is>
          <t>VÄRMLANDS LÄN</t>
        </is>
      </c>
      <c r="E1863" t="inlineStr">
        <is>
          <t>TORSBY</t>
        </is>
      </c>
      <c r="F1863" t="inlineStr">
        <is>
          <t>Bergvik skog väst AB</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34906-2024</t>
        </is>
      </c>
      <c r="B1864" s="1" t="n">
        <v>45527</v>
      </c>
      <c r="C1864" s="1" t="n">
        <v>46204</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42403-2023</t>
        </is>
      </c>
      <c r="B1865" s="1" t="n">
        <v>45180</v>
      </c>
      <c r="C1865" s="1" t="n">
        <v>46204</v>
      </c>
      <c r="D1865" t="inlineStr">
        <is>
          <t>VÄRMLANDS LÄN</t>
        </is>
      </c>
      <c r="E1865" t="inlineStr">
        <is>
          <t>TORSBY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34568-2024</t>
        </is>
      </c>
      <c r="B1866" s="1" t="n">
        <v>45526</v>
      </c>
      <c r="C1866" s="1" t="n">
        <v>46204</v>
      </c>
      <c r="D1866" t="inlineStr">
        <is>
          <t>VÄRMLANDS LÄN</t>
        </is>
      </c>
      <c r="E1866" t="inlineStr">
        <is>
          <t>TORSBY</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54790-2024</t>
        </is>
      </c>
      <c r="B1867" s="1" t="n">
        <v>45618</v>
      </c>
      <c r="C1867" s="1" t="n">
        <v>46204</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14575-2025</t>
        </is>
      </c>
      <c r="B1868" s="1" t="n">
        <v>45742</v>
      </c>
      <c r="C1868" s="1" t="n">
        <v>46204</v>
      </c>
      <c r="D1868" t="inlineStr">
        <is>
          <t>VÄRMLANDS LÄN</t>
        </is>
      </c>
      <c r="E1868" t="inlineStr">
        <is>
          <t>TORSBY</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30370-2023</t>
        </is>
      </c>
      <c r="B1869" s="1" t="n">
        <v>45111</v>
      </c>
      <c r="C1869" s="1" t="n">
        <v>46204</v>
      </c>
      <c r="D1869" t="inlineStr">
        <is>
          <t>VÄRMLANDS LÄN</t>
        </is>
      </c>
      <c r="E1869" t="inlineStr">
        <is>
          <t>TORSBY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2471-2023</t>
        </is>
      </c>
      <c r="B1870" s="1" t="n">
        <v>44943</v>
      </c>
      <c r="C1870" s="1" t="n">
        <v>46204</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31945-2024</t>
        </is>
      </c>
      <c r="B1871" s="1" t="n">
        <v>45510</v>
      </c>
      <c r="C1871" s="1" t="n">
        <v>46204</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42656-2023</t>
        </is>
      </c>
      <c r="B1872" s="1" t="n">
        <v>45181</v>
      </c>
      <c r="C1872" s="1" t="n">
        <v>46204</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62957-2023</t>
        </is>
      </c>
      <c r="B1873" s="1" t="n">
        <v>45271</v>
      </c>
      <c r="C1873" s="1" t="n">
        <v>46204</v>
      </c>
      <c r="D1873" t="inlineStr">
        <is>
          <t>VÄRMLANDS LÄN</t>
        </is>
      </c>
      <c r="E1873" t="inlineStr">
        <is>
          <t>TORSBY</t>
        </is>
      </c>
      <c r="F1873" t="inlineStr">
        <is>
          <t>Övriga statliga verk och myndigheter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23677-2025</t>
        </is>
      </c>
      <c r="B1874" s="1" t="n">
        <v>45793</v>
      </c>
      <c r="C1874" s="1" t="n">
        <v>46204</v>
      </c>
      <c r="D1874" t="inlineStr">
        <is>
          <t>VÄRMLANDS LÄN</t>
        </is>
      </c>
      <c r="E1874" t="inlineStr">
        <is>
          <t>TORSBY</t>
        </is>
      </c>
      <c r="F1874" t="inlineStr">
        <is>
          <t>Kyrkan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4078-2024</t>
        </is>
      </c>
      <c r="B1875" s="1" t="n">
        <v>45323</v>
      </c>
      <c r="C1875" s="1" t="n">
        <v>46204</v>
      </c>
      <c r="D1875" t="inlineStr">
        <is>
          <t>VÄRMLANDS LÄN</t>
        </is>
      </c>
      <c r="E1875" t="inlineStr">
        <is>
          <t>TORSBY</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42473-2023</t>
        </is>
      </c>
      <c r="B1876" s="1" t="n">
        <v>45180</v>
      </c>
      <c r="C1876" s="1" t="n">
        <v>46204</v>
      </c>
      <c r="D1876" t="inlineStr">
        <is>
          <t>VÄRMLANDS LÄN</t>
        </is>
      </c>
      <c r="E1876" t="inlineStr">
        <is>
          <t>TORSBY</t>
        </is>
      </c>
      <c r="F1876" t="inlineStr">
        <is>
          <t>Bergvik skog väst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11427-2025</t>
        </is>
      </c>
      <c r="B1877" s="1" t="n">
        <v>45726</v>
      </c>
      <c r="C1877" s="1" t="n">
        <v>46204</v>
      </c>
      <c r="D1877" t="inlineStr">
        <is>
          <t>VÄRMLANDS LÄN</t>
        </is>
      </c>
      <c r="E1877" t="inlineStr">
        <is>
          <t>TORSBY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37985-2022</t>
        </is>
      </c>
      <c r="B1878" s="1" t="n">
        <v>44811</v>
      </c>
      <c r="C1878" s="1" t="n">
        <v>46204</v>
      </c>
      <c r="D1878" t="inlineStr">
        <is>
          <t>VÄRMLANDS LÄN</t>
        </is>
      </c>
      <c r="E1878" t="inlineStr">
        <is>
          <t>TORSBY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14624-2023</t>
        </is>
      </c>
      <c r="B1879" s="1" t="n">
        <v>45013</v>
      </c>
      <c r="C1879" s="1" t="n">
        <v>46204</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24112-2025</t>
        </is>
      </c>
      <c r="B1880" s="1" t="n">
        <v>45796</v>
      </c>
      <c r="C1880" s="1" t="n">
        <v>46204</v>
      </c>
      <c r="D1880" t="inlineStr">
        <is>
          <t>VÄRMLANDS LÄN</t>
        </is>
      </c>
      <c r="E1880" t="inlineStr">
        <is>
          <t>TORSBY</t>
        </is>
      </c>
      <c r="F1880" t="inlineStr">
        <is>
          <t>Bergvik skog väst AB</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24251-2025</t>
        </is>
      </c>
      <c r="B1881" s="1" t="n">
        <v>45797</v>
      </c>
      <c r="C1881" s="1" t="n">
        <v>46204</v>
      </c>
      <c r="D1881" t="inlineStr">
        <is>
          <t>VÄRMLANDS LÄN</t>
        </is>
      </c>
      <c r="E1881" t="inlineStr">
        <is>
          <t>TORSBY</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11868-2025</t>
        </is>
      </c>
      <c r="B1882" s="1" t="n">
        <v>45728</v>
      </c>
      <c r="C1882" s="1" t="n">
        <v>46204</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24597-2025</t>
        </is>
      </c>
      <c r="B1883" s="1" t="n">
        <v>45798</v>
      </c>
      <c r="C1883" s="1" t="n">
        <v>46204</v>
      </c>
      <c r="D1883" t="inlineStr">
        <is>
          <t>VÄRMLANDS LÄN</t>
        </is>
      </c>
      <c r="E1883" t="inlineStr">
        <is>
          <t>TORSBY</t>
        </is>
      </c>
      <c r="F1883" t="inlineStr">
        <is>
          <t>Övriga statliga verk och myndigheter</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25050-2025</t>
        </is>
      </c>
      <c r="B1884" s="1" t="n">
        <v>45799</v>
      </c>
      <c r="C1884" s="1" t="n">
        <v>46204</v>
      </c>
      <c r="D1884" t="inlineStr">
        <is>
          <t>VÄRMLANDS LÄN</t>
        </is>
      </c>
      <c r="E1884" t="inlineStr">
        <is>
          <t>TORSBY</t>
        </is>
      </c>
      <c r="F1884" t="inlineStr">
        <is>
          <t>Bergvik skog väst AB</t>
        </is>
      </c>
      <c r="G1884" t="n">
        <v>39.7</v>
      </c>
      <c r="H1884" t="n">
        <v>0</v>
      </c>
      <c r="I1884" t="n">
        <v>0</v>
      </c>
      <c r="J1884" t="n">
        <v>0</v>
      </c>
      <c r="K1884" t="n">
        <v>0</v>
      </c>
      <c r="L1884" t="n">
        <v>0</v>
      </c>
      <c r="M1884" t="n">
        <v>0</v>
      </c>
      <c r="N1884" t="n">
        <v>0</v>
      </c>
      <c r="O1884" t="n">
        <v>0</v>
      </c>
      <c r="P1884" t="n">
        <v>0</v>
      </c>
      <c r="Q1884" t="n">
        <v>0</v>
      </c>
      <c r="R1884" s="2" t="inlineStr"/>
    </row>
    <row r="1885" ht="15" customHeight="1">
      <c r="A1885" t="inlineStr">
        <is>
          <t>A 24757-2025</t>
        </is>
      </c>
      <c r="B1885" s="1" t="n">
        <v>45799</v>
      </c>
      <c r="C1885" s="1" t="n">
        <v>46204</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25653-2025</t>
        </is>
      </c>
      <c r="B1886" s="1" t="n">
        <v>45803</v>
      </c>
      <c r="C1886" s="1" t="n">
        <v>46204</v>
      </c>
      <c r="D1886" t="inlineStr">
        <is>
          <t>VÄRMLANDS LÄN</t>
        </is>
      </c>
      <c r="E1886" t="inlineStr">
        <is>
          <t>TORSBY</t>
        </is>
      </c>
      <c r="F1886" t="inlineStr">
        <is>
          <t>Bergvik skog väst AB</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25464-2025</t>
        </is>
      </c>
      <c r="B1887" s="1" t="n">
        <v>45802</v>
      </c>
      <c r="C1887" s="1" t="n">
        <v>46204</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25465-2025</t>
        </is>
      </c>
      <c r="B1888" s="1" t="n">
        <v>45802</v>
      </c>
      <c r="C1888" s="1" t="n">
        <v>46204</v>
      </c>
      <c r="D1888" t="inlineStr">
        <is>
          <t>VÄRMLANDS LÄN</t>
        </is>
      </c>
      <c r="E1888" t="inlineStr">
        <is>
          <t>TORSBY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25186-2025</t>
        </is>
      </c>
      <c r="B1889" s="1" t="n">
        <v>45800</v>
      </c>
      <c r="C1889" s="1" t="n">
        <v>46204</v>
      </c>
      <c r="D1889" t="inlineStr">
        <is>
          <t>VÄRMLANDS LÄN</t>
        </is>
      </c>
      <c r="E1889" t="inlineStr">
        <is>
          <t>TORSBY</t>
        </is>
      </c>
      <c r="F1889" t="inlineStr">
        <is>
          <t>Kyrkan</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25443-2025</t>
        </is>
      </c>
      <c r="B1890" s="1" t="n">
        <v>45801</v>
      </c>
      <c r="C1890" s="1" t="n">
        <v>46204</v>
      </c>
      <c r="D1890" t="inlineStr">
        <is>
          <t>VÄRMLANDS LÄN</t>
        </is>
      </c>
      <c r="E1890" t="inlineStr">
        <is>
          <t>TORSBY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26231-2025</t>
        </is>
      </c>
      <c r="B1891" s="1" t="n">
        <v>45805</v>
      </c>
      <c r="C1891" s="1" t="n">
        <v>46204</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25807-2025</t>
        </is>
      </c>
      <c r="B1892" s="1" t="n">
        <v>45804</v>
      </c>
      <c r="C1892" s="1" t="n">
        <v>46204</v>
      </c>
      <c r="D1892" t="inlineStr">
        <is>
          <t>VÄRMLANDS LÄN</t>
        </is>
      </c>
      <c r="E1892" t="inlineStr">
        <is>
          <t>TORSBY</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25917-2025</t>
        </is>
      </c>
      <c r="B1893" s="1" t="n">
        <v>45804</v>
      </c>
      <c r="C1893" s="1" t="n">
        <v>46204</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26061-2025</t>
        </is>
      </c>
      <c r="B1894" s="1" t="n">
        <v>45805</v>
      </c>
      <c r="C1894" s="1" t="n">
        <v>46204</v>
      </c>
      <c r="D1894" t="inlineStr">
        <is>
          <t>VÄRMLANDS LÄN</t>
        </is>
      </c>
      <c r="E1894" t="inlineStr">
        <is>
          <t>TORSBY</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25803-2025</t>
        </is>
      </c>
      <c r="B1895" s="1" t="n">
        <v>45804</v>
      </c>
      <c r="C1895" s="1" t="n">
        <v>46204</v>
      </c>
      <c r="D1895" t="inlineStr">
        <is>
          <t>VÄRMLANDS LÄN</t>
        </is>
      </c>
      <c r="E1895" t="inlineStr">
        <is>
          <t>TORSBY</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25915-2025</t>
        </is>
      </c>
      <c r="B1896" s="1" t="n">
        <v>45804</v>
      </c>
      <c r="C1896" s="1" t="n">
        <v>46204</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26504-2025</t>
        </is>
      </c>
      <c r="B1897" s="1" t="n">
        <v>45807</v>
      </c>
      <c r="C1897" s="1" t="n">
        <v>46204</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26505-2025</t>
        </is>
      </c>
      <c r="B1898" s="1" t="n">
        <v>45807</v>
      </c>
      <c r="C1898" s="1" t="n">
        <v>46204</v>
      </c>
      <c r="D1898" t="inlineStr">
        <is>
          <t>VÄRMLANDS LÄN</t>
        </is>
      </c>
      <c r="E1898" t="inlineStr">
        <is>
          <t>TORSBY</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26507-2025</t>
        </is>
      </c>
      <c r="B1899" s="1" t="n">
        <v>45807</v>
      </c>
      <c r="C1899" s="1" t="n">
        <v>46204</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26479-2025</t>
        </is>
      </c>
      <c r="B1900" s="1" t="n">
        <v>45807</v>
      </c>
      <c r="C1900" s="1" t="n">
        <v>46204</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26491-2025</t>
        </is>
      </c>
      <c r="B1901" s="1" t="n">
        <v>45807</v>
      </c>
      <c r="C1901" s="1" t="n">
        <v>46204</v>
      </c>
      <c r="D1901" t="inlineStr">
        <is>
          <t>VÄRMLANDS LÄN</t>
        </is>
      </c>
      <c r="E1901" t="inlineStr">
        <is>
          <t>TORSBY</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26487-2025</t>
        </is>
      </c>
      <c r="B1902" s="1" t="n">
        <v>45807</v>
      </c>
      <c r="C1902" s="1" t="n">
        <v>46204</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56724-2023</t>
        </is>
      </c>
      <c r="B1903" s="1" t="n">
        <v>45244</v>
      </c>
      <c r="C1903" s="1" t="n">
        <v>46204</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28545-2024</t>
        </is>
      </c>
      <c r="B1904" s="1" t="n">
        <v>45478</v>
      </c>
      <c r="C1904" s="1" t="n">
        <v>46204</v>
      </c>
      <c r="D1904" t="inlineStr">
        <is>
          <t>VÄRMLANDS LÄN</t>
        </is>
      </c>
      <c r="E1904" t="inlineStr">
        <is>
          <t>TORSBY</t>
        </is>
      </c>
      <c r="F1904" t="inlineStr">
        <is>
          <t>Bergvik skog väst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16380-2025</t>
        </is>
      </c>
      <c r="B1905" s="1" t="n">
        <v>45751</v>
      </c>
      <c r="C1905" s="1" t="n">
        <v>46204</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43144-2024</t>
        </is>
      </c>
      <c r="B1906" s="1" t="n">
        <v>45567</v>
      </c>
      <c r="C1906" s="1" t="n">
        <v>46204</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27043-2025</t>
        </is>
      </c>
      <c r="B1907" s="1" t="n">
        <v>45811</v>
      </c>
      <c r="C1907" s="1" t="n">
        <v>46204</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26898-2025</t>
        </is>
      </c>
      <c r="B1908" s="1" t="n">
        <v>45811</v>
      </c>
      <c r="C1908" s="1" t="n">
        <v>46204</v>
      </c>
      <c r="D1908" t="inlineStr">
        <is>
          <t>VÄRMLANDS LÄN</t>
        </is>
      </c>
      <c r="E1908" t="inlineStr">
        <is>
          <t>TORSBY</t>
        </is>
      </c>
      <c r="F1908" t="inlineStr">
        <is>
          <t>Övriga Aktiebolag</t>
        </is>
      </c>
      <c r="G1908" t="n">
        <v>37.8</v>
      </c>
      <c r="H1908" t="n">
        <v>0</v>
      </c>
      <c r="I1908" t="n">
        <v>0</v>
      </c>
      <c r="J1908" t="n">
        <v>0</v>
      </c>
      <c r="K1908" t="n">
        <v>0</v>
      </c>
      <c r="L1908" t="n">
        <v>0</v>
      </c>
      <c r="M1908" t="n">
        <v>0</v>
      </c>
      <c r="N1908" t="n">
        <v>0</v>
      </c>
      <c r="O1908" t="n">
        <v>0</v>
      </c>
      <c r="P1908" t="n">
        <v>0</v>
      </c>
      <c r="Q1908" t="n">
        <v>0</v>
      </c>
      <c r="R1908" s="2" t="inlineStr"/>
    </row>
    <row r="1909" ht="15" customHeight="1">
      <c r="A1909" t="inlineStr">
        <is>
          <t>A 11222-2024</t>
        </is>
      </c>
      <c r="B1909" s="1" t="n">
        <v>45371</v>
      </c>
      <c r="C1909" s="1" t="n">
        <v>46204</v>
      </c>
      <c r="D1909" t="inlineStr">
        <is>
          <t>VÄRMLANDS LÄN</t>
        </is>
      </c>
      <c r="E1909" t="inlineStr">
        <is>
          <t>TORSBY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754-2025</t>
        </is>
      </c>
      <c r="B1910" s="1" t="n">
        <v>45665</v>
      </c>
      <c r="C1910" s="1" t="n">
        <v>46204</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26892-2025</t>
        </is>
      </c>
      <c r="B1911" s="1" t="n">
        <v>45811</v>
      </c>
      <c r="C1911" s="1" t="n">
        <v>46204</v>
      </c>
      <c r="D1911" t="inlineStr">
        <is>
          <t>VÄRMLANDS LÄN</t>
        </is>
      </c>
      <c r="E1911" t="inlineStr">
        <is>
          <t>TORSBY</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25956-2025</t>
        </is>
      </c>
      <c r="B1912" s="1" t="n">
        <v>45804</v>
      </c>
      <c r="C1912" s="1" t="n">
        <v>46204</v>
      </c>
      <c r="D1912" t="inlineStr">
        <is>
          <t>VÄRMLANDS LÄN</t>
        </is>
      </c>
      <c r="E1912" t="inlineStr">
        <is>
          <t>TORSBY</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26960-2025</t>
        </is>
      </c>
      <c r="B1913" s="1" t="n">
        <v>45811</v>
      </c>
      <c r="C1913" s="1" t="n">
        <v>46204</v>
      </c>
      <c r="D1913" t="inlineStr">
        <is>
          <t>VÄRMLANDS LÄN</t>
        </is>
      </c>
      <c r="E1913" t="inlineStr">
        <is>
          <t>TORSBY</t>
        </is>
      </c>
      <c r="F1913" t="inlineStr">
        <is>
          <t>Kyrkan</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26876-2024</t>
        </is>
      </c>
      <c r="B1914" s="1" t="n">
        <v>45470</v>
      </c>
      <c r="C1914" s="1" t="n">
        <v>46204</v>
      </c>
      <c r="D1914" t="inlineStr">
        <is>
          <t>VÄRMLANDS LÄN</t>
        </is>
      </c>
      <c r="E1914" t="inlineStr">
        <is>
          <t>TORSBY</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24087-2024</t>
        </is>
      </c>
      <c r="B1915" s="1" t="n">
        <v>45456</v>
      </c>
      <c r="C1915" s="1" t="n">
        <v>46204</v>
      </c>
      <c r="D1915" t="inlineStr">
        <is>
          <t>VÄRMLANDS LÄN</t>
        </is>
      </c>
      <c r="E1915" t="inlineStr">
        <is>
          <t>TORSBY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30002-2024</t>
        </is>
      </c>
      <c r="B1916" s="1" t="n">
        <v>45488</v>
      </c>
      <c r="C1916" s="1" t="n">
        <v>46204</v>
      </c>
      <c r="D1916" t="inlineStr">
        <is>
          <t>VÄRMLANDS LÄN</t>
        </is>
      </c>
      <c r="E1916" t="inlineStr">
        <is>
          <t>TORSBY</t>
        </is>
      </c>
      <c r="F1916" t="inlineStr">
        <is>
          <t>Kommuner</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27667-2025</t>
        </is>
      </c>
      <c r="B1917" s="1" t="n">
        <v>45813</v>
      </c>
      <c r="C1917" s="1" t="n">
        <v>46204</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27674-2025</t>
        </is>
      </c>
      <c r="B1918" s="1" t="n">
        <v>45813</v>
      </c>
      <c r="C1918" s="1" t="n">
        <v>46204</v>
      </c>
      <c r="D1918" t="inlineStr">
        <is>
          <t>VÄRMLANDS LÄN</t>
        </is>
      </c>
      <c r="E1918" t="inlineStr">
        <is>
          <t>TORSBY</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27470-2025</t>
        </is>
      </c>
      <c r="B1919" s="1" t="n">
        <v>45813</v>
      </c>
      <c r="C1919" s="1" t="n">
        <v>46204</v>
      </c>
      <c r="D1919" t="inlineStr">
        <is>
          <t>VÄRMLANDS LÄN</t>
        </is>
      </c>
      <c r="E1919" t="inlineStr">
        <is>
          <t>TORSBY</t>
        </is>
      </c>
      <c r="G1919" t="n">
        <v>17.9</v>
      </c>
      <c r="H1919" t="n">
        <v>0</v>
      </c>
      <c r="I1919" t="n">
        <v>0</v>
      </c>
      <c r="J1919" t="n">
        <v>0</v>
      </c>
      <c r="K1919" t="n">
        <v>0</v>
      </c>
      <c r="L1919" t="n">
        <v>0</v>
      </c>
      <c r="M1919" t="n">
        <v>0</v>
      </c>
      <c r="N1919" t="n">
        <v>0</v>
      </c>
      <c r="O1919" t="n">
        <v>0</v>
      </c>
      <c r="P1919" t="n">
        <v>0</v>
      </c>
      <c r="Q1919" t="n">
        <v>0</v>
      </c>
      <c r="R1919" s="2" t="inlineStr"/>
    </row>
    <row r="1920" ht="15" customHeight="1">
      <c r="A1920" t="inlineStr">
        <is>
          <t>A 27291-2025</t>
        </is>
      </c>
      <c r="B1920" s="1" t="n">
        <v>45812</v>
      </c>
      <c r="C1920" s="1" t="n">
        <v>46204</v>
      </c>
      <c r="D1920" t="inlineStr">
        <is>
          <t>VÄRMLANDS LÄN</t>
        </is>
      </c>
      <c r="E1920" t="inlineStr">
        <is>
          <t>TORSBY</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27174-2025</t>
        </is>
      </c>
      <c r="B1921" s="1" t="n">
        <v>45812</v>
      </c>
      <c r="C1921" s="1" t="n">
        <v>46204</v>
      </c>
      <c r="D1921" t="inlineStr">
        <is>
          <t>VÄRMLANDS LÄN</t>
        </is>
      </c>
      <c r="E1921" t="inlineStr">
        <is>
          <t>TORSBY</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27759-2025</t>
        </is>
      </c>
      <c r="B1922" s="1" t="n">
        <v>45816</v>
      </c>
      <c r="C1922" s="1" t="n">
        <v>46204</v>
      </c>
      <c r="D1922" t="inlineStr">
        <is>
          <t>VÄRMLANDS LÄN</t>
        </is>
      </c>
      <c r="E1922" t="inlineStr">
        <is>
          <t>TORSBY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27968-2025</t>
        </is>
      </c>
      <c r="B1923" s="1" t="n">
        <v>45817</v>
      </c>
      <c r="C1923" s="1" t="n">
        <v>46204</v>
      </c>
      <c r="D1923" t="inlineStr">
        <is>
          <t>VÄRMLANDS LÄN</t>
        </is>
      </c>
      <c r="E1923" t="inlineStr">
        <is>
          <t>TORSBY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27856-2025</t>
        </is>
      </c>
      <c r="B1924" s="1" t="n">
        <v>45817</v>
      </c>
      <c r="C1924" s="1" t="n">
        <v>46204</v>
      </c>
      <c r="D1924" t="inlineStr">
        <is>
          <t>VÄRMLANDS LÄN</t>
        </is>
      </c>
      <c r="E1924" t="inlineStr">
        <is>
          <t>TORSBY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24493-2024</t>
        </is>
      </c>
      <c r="B1925" s="1" t="n">
        <v>45459</v>
      </c>
      <c r="C1925" s="1" t="n">
        <v>46204</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27906-2025</t>
        </is>
      </c>
      <c r="B1926" s="1" t="n">
        <v>45817</v>
      </c>
      <c r="C1926" s="1" t="n">
        <v>46204</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20255-2025</t>
        </is>
      </c>
      <c r="B1927" s="1" t="n">
        <v>45772</v>
      </c>
      <c r="C1927" s="1" t="n">
        <v>46204</v>
      </c>
      <c r="D1927" t="inlineStr">
        <is>
          <t>VÄRMLANDS LÄN</t>
        </is>
      </c>
      <c r="E1927" t="inlineStr">
        <is>
          <t>TORSBY</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27758-2025</t>
        </is>
      </c>
      <c r="B1928" s="1" t="n">
        <v>45816</v>
      </c>
      <c r="C1928" s="1" t="n">
        <v>46204</v>
      </c>
      <c r="D1928" t="inlineStr">
        <is>
          <t>VÄRMLANDS LÄN</t>
        </is>
      </c>
      <c r="E1928" t="inlineStr">
        <is>
          <t>TORSBY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28116-2025</t>
        </is>
      </c>
      <c r="B1929" s="1" t="n">
        <v>45818</v>
      </c>
      <c r="C1929" s="1" t="n">
        <v>46204</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28612-2025</t>
        </is>
      </c>
      <c r="B1930" s="1" t="n">
        <v>45819</v>
      </c>
      <c r="C1930" s="1" t="n">
        <v>46204</v>
      </c>
      <c r="D1930" t="inlineStr">
        <is>
          <t>VÄRMLANDS LÄN</t>
        </is>
      </c>
      <c r="E1930" t="inlineStr">
        <is>
          <t>TORSBY</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28898-2025</t>
        </is>
      </c>
      <c r="B1931" s="1" t="n">
        <v>45820</v>
      </c>
      <c r="C1931" s="1" t="n">
        <v>46204</v>
      </c>
      <c r="D1931" t="inlineStr">
        <is>
          <t>VÄRMLANDS LÄN</t>
        </is>
      </c>
      <c r="E1931" t="inlineStr">
        <is>
          <t>TORSBY</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29063-2025</t>
        </is>
      </c>
      <c r="B1932" s="1" t="n">
        <v>45821</v>
      </c>
      <c r="C1932" s="1" t="n">
        <v>46204</v>
      </c>
      <c r="D1932" t="inlineStr">
        <is>
          <t>VÄRMLANDS LÄN</t>
        </is>
      </c>
      <c r="E1932" t="inlineStr">
        <is>
          <t>TORSBY</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28784-2025</t>
        </is>
      </c>
      <c r="B1933" s="1" t="n">
        <v>45820</v>
      </c>
      <c r="C1933" s="1" t="n">
        <v>46204</v>
      </c>
      <c r="D1933" t="inlineStr">
        <is>
          <t>VÄRMLANDS LÄN</t>
        </is>
      </c>
      <c r="E1933" t="inlineStr">
        <is>
          <t>TORSBY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29312-2025</t>
        </is>
      </c>
      <c r="B1934" s="1" t="n">
        <v>45824</v>
      </c>
      <c r="C1934" s="1" t="n">
        <v>46204</v>
      </c>
      <c r="D1934" t="inlineStr">
        <is>
          <t>VÄRMLANDS LÄN</t>
        </is>
      </c>
      <c r="E1934" t="inlineStr">
        <is>
          <t>TORSBY</t>
        </is>
      </c>
      <c r="F1934" t="inlineStr">
        <is>
          <t>Övriga Aktiebolag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29587-2025</t>
        </is>
      </c>
      <c r="B1935" s="1" t="n">
        <v>45825</v>
      </c>
      <c r="C1935" s="1" t="n">
        <v>46204</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28757-2025</t>
        </is>
      </c>
      <c r="B1936" s="1" t="n">
        <v>45820</v>
      </c>
      <c r="C1936" s="1" t="n">
        <v>46204</v>
      </c>
      <c r="D1936" t="inlineStr">
        <is>
          <t>VÄRMLANDS LÄN</t>
        </is>
      </c>
      <c r="E1936" t="inlineStr">
        <is>
          <t>TORSBY</t>
        </is>
      </c>
      <c r="G1936" t="n">
        <v>12.1</v>
      </c>
      <c r="H1936" t="n">
        <v>0</v>
      </c>
      <c r="I1936" t="n">
        <v>0</v>
      </c>
      <c r="J1936" t="n">
        <v>0</v>
      </c>
      <c r="K1936" t="n">
        <v>0</v>
      </c>
      <c r="L1936" t="n">
        <v>0</v>
      </c>
      <c r="M1936" t="n">
        <v>0</v>
      </c>
      <c r="N1936" t="n">
        <v>0</v>
      </c>
      <c r="O1936" t="n">
        <v>0</v>
      </c>
      <c r="P1936" t="n">
        <v>0</v>
      </c>
      <c r="Q1936" t="n">
        <v>0</v>
      </c>
      <c r="R1936" s="2" t="inlineStr"/>
    </row>
    <row r="1937" ht="15" customHeight="1">
      <c r="A1937" t="inlineStr">
        <is>
          <t>A 29307-2025</t>
        </is>
      </c>
      <c r="B1937" s="1" t="n">
        <v>45824</v>
      </c>
      <c r="C1937" s="1" t="n">
        <v>46204</v>
      </c>
      <c r="D1937" t="inlineStr">
        <is>
          <t>VÄRMLANDS LÄN</t>
        </is>
      </c>
      <c r="E1937" t="inlineStr">
        <is>
          <t>TORSBY</t>
        </is>
      </c>
      <c r="F1937" t="inlineStr">
        <is>
          <t>Övriga Aktiebolag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30078-2025</t>
        </is>
      </c>
      <c r="B1938" s="1" t="n">
        <v>45826</v>
      </c>
      <c r="C1938" s="1" t="n">
        <v>46204</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c r="A1939" t="inlineStr">
        <is>
          <t>A 30074-2025</t>
        </is>
      </c>
      <c r="B1939" s="1" t="n">
        <v>45826</v>
      </c>
      <c r="C1939" s="1" t="n">
        <v>46204</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2026-07-01T00:59:47Z</dcterms:created>
  <dcterms:modified xmlns:dcterms="http://purl.org/dc/terms/" xmlns:xsi="http://www.w3.org/2001/XMLSchema-instance" xsi:type="dcterms:W3CDTF">2026-07-01T00:59:49Z</dcterms:modified>
</cp:coreProperties>
</file>