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45726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45726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45726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45726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45726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45726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45726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45726</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45726</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45726</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45726</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45726</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45726</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45726</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45726</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45726</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45726</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45726</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45726</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45726</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45726</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45726</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45726</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45726</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45726</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45726</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45726</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45726</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45726</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45726</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45726</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45726</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45726</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45726</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45726</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45726</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45726</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45726</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45726</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45726</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45726</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45726</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45726</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45726</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45726</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45726</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45726</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45726</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45726</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45726</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45726</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45726</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45726</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45726</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45726</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45726</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45726</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45726</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45726</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45726</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45726</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45726</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45726</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45726</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45726</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45726</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45726</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45726</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45726</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45726</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45726</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45726</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45726</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45726</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45726</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45726</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45726</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45726</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45726</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45726</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45726</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45726</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45726</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45726</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45726</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45726</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45726</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45726</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45726</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45726</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45726</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45726</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45726</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45726</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45726</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45726</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45726</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45726</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45726</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45726</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45726</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45726</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45726</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45726</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45726</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45726</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45726</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45726</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45726</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45726</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45726</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45726</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45726</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45726</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45726</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45726</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45726</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45726</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45726</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45726</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45726</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45726</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45726</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45726</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45726</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45726</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45726</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45726</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45726</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45726</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45726</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45726</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45726</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45726</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45726</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45726</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45726</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45726</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45726</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45726</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45726</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45726</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45726</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45726</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45726</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45726</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45726</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45726</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45726</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45726</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45726</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45726</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45726</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45726</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45726</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45726</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45726</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45726</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45726</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37292-2024</t>
        </is>
      </c>
      <c r="B162" s="1" t="n">
        <v>45540</v>
      </c>
      <c r="C162" s="1" t="n">
        <v>45726</v>
      </c>
      <c r="D162" t="inlineStr">
        <is>
          <t>VÄRMLANDS LÄN</t>
        </is>
      </c>
      <c r="E162" t="inlineStr">
        <is>
          <t>TORSBY</t>
        </is>
      </c>
      <c r="G162" t="n">
        <v>5.4</v>
      </c>
      <c r="H162" t="n">
        <v>0</v>
      </c>
      <c r="I162" t="n">
        <v>0</v>
      </c>
      <c r="J162" t="n">
        <v>1</v>
      </c>
      <c r="K162" t="n">
        <v>0</v>
      </c>
      <c r="L162" t="n">
        <v>0</v>
      </c>
      <c r="M162" t="n">
        <v>0</v>
      </c>
      <c r="N162" t="n">
        <v>0</v>
      </c>
      <c r="O162" t="n">
        <v>1</v>
      </c>
      <c r="P162" t="n">
        <v>0</v>
      </c>
      <c r="Q162" t="n">
        <v>1</v>
      </c>
      <c r="R162" s="2" t="inlineStr">
        <is>
          <t>Garnlav</t>
        </is>
      </c>
      <c r="S162">
        <f>HYPERLINK("https://klasma.github.io/Logging_1737/artfynd/A 37292-2024 artfynd.xlsx", "A 37292-2024")</f>
        <v/>
      </c>
      <c r="T162">
        <f>HYPERLINK("https://klasma.github.io/Logging_1737/kartor/A 37292-2024 karta.png", "A 37292-2024")</f>
        <v/>
      </c>
      <c r="V162">
        <f>HYPERLINK("https://klasma.github.io/Logging_1737/klagomål/A 37292-2024 FSC-klagomål.docx", "A 37292-2024")</f>
        <v/>
      </c>
      <c r="W162">
        <f>HYPERLINK("https://klasma.github.io/Logging_1737/klagomålsmail/A 37292-2024 FSC-klagomål mail.docx", "A 37292-2024")</f>
        <v/>
      </c>
      <c r="X162">
        <f>HYPERLINK("https://klasma.github.io/Logging_1737/tillsyn/A 37292-2024 tillsynsbegäran.docx", "A 37292-2024")</f>
        <v/>
      </c>
      <c r="Y162">
        <f>HYPERLINK("https://klasma.github.io/Logging_1737/tillsynsmail/A 37292-2024 tillsynsbegäran mail.docx", "A 37292-2024")</f>
        <v/>
      </c>
    </row>
    <row r="163" ht="15" customHeight="1">
      <c r="A163" t="inlineStr">
        <is>
          <t>A 40033-2024</t>
        </is>
      </c>
      <c r="B163" s="1" t="n">
        <v>45553</v>
      </c>
      <c r="C163" s="1" t="n">
        <v>45726</v>
      </c>
      <c r="D163" t="inlineStr">
        <is>
          <t>VÄRMLANDS LÄN</t>
        </is>
      </c>
      <c r="E163" t="inlineStr">
        <is>
          <t>TORSBY</t>
        </is>
      </c>
      <c r="G163" t="n">
        <v>6.2</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40033-2024 artfynd.xlsx", "A 40033-2024")</f>
        <v/>
      </c>
      <c r="T163">
        <f>HYPERLINK("https://klasma.github.io/Logging_1737/kartor/A 40033-2024 karta.png", "A 40033-2024")</f>
        <v/>
      </c>
      <c r="V163">
        <f>HYPERLINK("https://klasma.github.io/Logging_1737/klagomål/A 40033-2024 FSC-klagomål.docx", "A 40033-2024")</f>
        <v/>
      </c>
      <c r="W163">
        <f>HYPERLINK("https://klasma.github.io/Logging_1737/klagomålsmail/A 40033-2024 FSC-klagomål mail.docx", "A 40033-2024")</f>
        <v/>
      </c>
      <c r="X163">
        <f>HYPERLINK("https://klasma.github.io/Logging_1737/tillsyn/A 40033-2024 tillsynsbegäran.docx", "A 40033-2024")</f>
        <v/>
      </c>
      <c r="Y163">
        <f>HYPERLINK("https://klasma.github.io/Logging_1737/tillsynsmail/A 40033-2024 tillsynsbegäran mail.docx", "A 40033-2024")</f>
        <v/>
      </c>
    </row>
    <row r="164" ht="15" customHeight="1">
      <c r="A164" t="inlineStr">
        <is>
          <t>A 40934-2024</t>
        </is>
      </c>
      <c r="B164" s="1" t="n">
        <v>45558</v>
      </c>
      <c r="C164" s="1" t="n">
        <v>45726</v>
      </c>
      <c r="D164" t="inlineStr">
        <is>
          <t>VÄRMLANDS LÄN</t>
        </is>
      </c>
      <c r="E164" t="inlineStr">
        <is>
          <t>TORSBY</t>
        </is>
      </c>
      <c r="G164" t="n">
        <v>8.1</v>
      </c>
      <c r="H164" t="n">
        <v>0</v>
      </c>
      <c r="I164" t="n">
        <v>0</v>
      </c>
      <c r="J164" t="n">
        <v>1</v>
      </c>
      <c r="K164" t="n">
        <v>0</v>
      </c>
      <c r="L164" t="n">
        <v>0</v>
      </c>
      <c r="M164" t="n">
        <v>0</v>
      </c>
      <c r="N164" t="n">
        <v>0</v>
      </c>
      <c r="O164" t="n">
        <v>1</v>
      </c>
      <c r="P164" t="n">
        <v>0</v>
      </c>
      <c r="Q164" t="n">
        <v>1</v>
      </c>
      <c r="R164" s="2" t="inlineStr">
        <is>
          <t>Lunglav</t>
        </is>
      </c>
      <c r="S164">
        <f>HYPERLINK("https://klasma.github.io/Logging_1737/artfynd/A 40934-2024 artfynd.xlsx", "A 40934-2024")</f>
        <v/>
      </c>
      <c r="T164">
        <f>HYPERLINK("https://klasma.github.io/Logging_1737/kartor/A 40934-2024 karta.png", "A 40934-2024")</f>
        <v/>
      </c>
      <c r="V164">
        <f>HYPERLINK("https://klasma.github.io/Logging_1737/klagomål/A 40934-2024 FSC-klagomål.docx", "A 40934-2024")</f>
        <v/>
      </c>
      <c r="W164">
        <f>HYPERLINK("https://klasma.github.io/Logging_1737/klagomålsmail/A 40934-2024 FSC-klagomål mail.docx", "A 40934-2024")</f>
        <v/>
      </c>
      <c r="X164">
        <f>HYPERLINK("https://klasma.github.io/Logging_1737/tillsyn/A 40934-2024 tillsynsbegäran.docx", "A 40934-2024")</f>
        <v/>
      </c>
      <c r="Y164">
        <f>HYPERLINK("https://klasma.github.io/Logging_1737/tillsynsmail/A 40934-2024 tillsynsbegäran mail.docx", "A 40934-2024")</f>
        <v/>
      </c>
    </row>
    <row r="165" ht="15" customHeight="1">
      <c r="A165" t="inlineStr">
        <is>
          <t>A 41350-2024</t>
        </is>
      </c>
      <c r="B165" s="1" t="n">
        <v>45559</v>
      </c>
      <c r="C165" s="1" t="n">
        <v>45726</v>
      </c>
      <c r="D165" t="inlineStr">
        <is>
          <t>VÄRMLANDS LÄN</t>
        </is>
      </c>
      <c r="E165" t="inlineStr">
        <is>
          <t>TORSBY</t>
        </is>
      </c>
      <c r="G165" t="n">
        <v>5.5</v>
      </c>
      <c r="H165" t="n">
        <v>0</v>
      </c>
      <c r="I165" t="n">
        <v>0</v>
      </c>
      <c r="J165" t="n">
        <v>1</v>
      </c>
      <c r="K165" t="n">
        <v>0</v>
      </c>
      <c r="L165" t="n">
        <v>0</v>
      </c>
      <c r="M165" t="n">
        <v>0</v>
      </c>
      <c r="N165" t="n">
        <v>0</v>
      </c>
      <c r="O165" t="n">
        <v>1</v>
      </c>
      <c r="P165" t="n">
        <v>0</v>
      </c>
      <c r="Q165" t="n">
        <v>1</v>
      </c>
      <c r="R165" s="2" t="inlineStr">
        <is>
          <t>Garnlav</t>
        </is>
      </c>
      <c r="S165">
        <f>HYPERLINK("https://klasma.github.io/Logging_1737/artfynd/A 41350-2024 artfynd.xlsx", "A 41350-2024")</f>
        <v/>
      </c>
      <c r="T165">
        <f>HYPERLINK("https://klasma.github.io/Logging_1737/kartor/A 41350-2024 karta.png", "A 41350-2024")</f>
        <v/>
      </c>
      <c r="V165">
        <f>HYPERLINK("https://klasma.github.io/Logging_1737/klagomål/A 41350-2024 FSC-klagomål.docx", "A 41350-2024")</f>
        <v/>
      </c>
      <c r="W165">
        <f>HYPERLINK("https://klasma.github.io/Logging_1737/klagomålsmail/A 41350-2024 FSC-klagomål mail.docx", "A 41350-2024")</f>
        <v/>
      </c>
      <c r="X165">
        <f>HYPERLINK("https://klasma.github.io/Logging_1737/tillsyn/A 41350-2024 tillsynsbegäran.docx", "A 41350-2024")</f>
        <v/>
      </c>
      <c r="Y165">
        <f>HYPERLINK("https://klasma.github.io/Logging_1737/tillsynsmail/A 41350-2024 tillsynsbegäran mail.docx", "A 41350-2024")</f>
        <v/>
      </c>
    </row>
    <row r="166" ht="15" customHeight="1">
      <c r="A166" t="inlineStr">
        <is>
          <t>A 41477-2024</t>
        </is>
      </c>
      <c r="B166" s="1" t="n">
        <v>45560</v>
      </c>
      <c r="C166" s="1" t="n">
        <v>45726</v>
      </c>
      <c r="D166" t="inlineStr">
        <is>
          <t>VÄRMLANDS LÄN</t>
        </is>
      </c>
      <c r="E166" t="inlineStr">
        <is>
          <t>TORSBY</t>
        </is>
      </c>
      <c r="G166" t="n">
        <v>6.7</v>
      </c>
      <c r="H166" t="n">
        <v>0</v>
      </c>
      <c r="I166" t="n">
        <v>0</v>
      </c>
      <c r="J166" t="n">
        <v>1</v>
      </c>
      <c r="K166" t="n">
        <v>0</v>
      </c>
      <c r="L166" t="n">
        <v>0</v>
      </c>
      <c r="M166" t="n">
        <v>0</v>
      </c>
      <c r="N166" t="n">
        <v>0</v>
      </c>
      <c r="O166" t="n">
        <v>1</v>
      </c>
      <c r="P166" t="n">
        <v>0</v>
      </c>
      <c r="Q166" t="n">
        <v>1</v>
      </c>
      <c r="R166" s="2" t="inlineStr">
        <is>
          <t>Garnlav</t>
        </is>
      </c>
      <c r="S166">
        <f>HYPERLINK("https://klasma.github.io/Logging_1737/artfynd/A 41477-2024 artfynd.xlsx", "A 41477-2024")</f>
        <v/>
      </c>
      <c r="T166">
        <f>HYPERLINK("https://klasma.github.io/Logging_1737/kartor/A 41477-2024 karta.png", "A 41477-2024")</f>
        <v/>
      </c>
      <c r="V166">
        <f>HYPERLINK("https://klasma.github.io/Logging_1737/klagomål/A 41477-2024 FSC-klagomål.docx", "A 41477-2024")</f>
        <v/>
      </c>
      <c r="W166">
        <f>HYPERLINK("https://klasma.github.io/Logging_1737/klagomålsmail/A 41477-2024 FSC-klagomål mail.docx", "A 41477-2024")</f>
        <v/>
      </c>
      <c r="X166">
        <f>HYPERLINK("https://klasma.github.io/Logging_1737/tillsyn/A 41477-2024 tillsynsbegäran.docx", "A 41477-2024")</f>
        <v/>
      </c>
      <c r="Y166">
        <f>HYPERLINK("https://klasma.github.io/Logging_1737/tillsynsmail/A 41477-2024 tillsynsbegäran mail.docx", "A 41477-2024")</f>
        <v/>
      </c>
    </row>
    <row r="167" ht="15" customHeight="1">
      <c r="A167" t="inlineStr">
        <is>
          <t>A 47689-2024</t>
        </is>
      </c>
      <c r="B167" s="1" t="n">
        <v>45588</v>
      </c>
      <c r="C167" s="1" t="n">
        <v>45726</v>
      </c>
      <c r="D167" t="inlineStr">
        <is>
          <t>VÄRMLANDS LÄN</t>
        </is>
      </c>
      <c r="E167" t="inlineStr">
        <is>
          <t>TORSBY</t>
        </is>
      </c>
      <c r="G167" t="n">
        <v>3.1</v>
      </c>
      <c r="H167" t="n">
        <v>0</v>
      </c>
      <c r="I167" t="n">
        <v>0</v>
      </c>
      <c r="J167" t="n">
        <v>1</v>
      </c>
      <c r="K167" t="n">
        <v>0</v>
      </c>
      <c r="L167" t="n">
        <v>0</v>
      </c>
      <c r="M167" t="n">
        <v>0</v>
      </c>
      <c r="N167" t="n">
        <v>0</v>
      </c>
      <c r="O167" t="n">
        <v>1</v>
      </c>
      <c r="P167" t="n">
        <v>0</v>
      </c>
      <c r="Q167" t="n">
        <v>1</v>
      </c>
      <c r="R167" s="2" t="inlineStr">
        <is>
          <t>Garnlav</t>
        </is>
      </c>
      <c r="S167">
        <f>HYPERLINK("https://klasma.github.io/Logging_1737/artfynd/A 47689-2024 artfynd.xlsx", "A 47689-2024")</f>
        <v/>
      </c>
      <c r="T167">
        <f>HYPERLINK("https://klasma.github.io/Logging_1737/kartor/A 47689-2024 karta.png", "A 47689-2024")</f>
        <v/>
      </c>
      <c r="V167">
        <f>HYPERLINK("https://klasma.github.io/Logging_1737/klagomål/A 47689-2024 FSC-klagomål.docx", "A 47689-2024")</f>
        <v/>
      </c>
      <c r="W167">
        <f>HYPERLINK("https://klasma.github.io/Logging_1737/klagomålsmail/A 47689-2024 FSC-klagomål mail.docx", "A 47689-2024")</f>
        <v/>
      </c>
      <c r="X167">
        <f>HYPERLINK("https://klasma.github.io/Logging_1737/tillsyn/A 47689-2024 tillsynsbegäran.docx", "A 47689-2024")</f>
        <v/>
      </c>
      <c r="Y167">
        <f>HYPERLINK("https://klasma.github.io/Logging_1737/tillsynsmail/A 47689-2024 tillsynsbegäran mail.docx", "A 47689-2024")</f>
        <v/>
      </c>
    </row>
    <row r="168" ht="15" customHeight="1">
      <c r="A168" t="inlineStr">
        <is>
          <t>A 53862-2024</t>
        </is>
      </c>
      <c r="B168" s="1" t="n">
        <v>45615</v>
      </c>
      <c r="C168" s="1" t="n">
        <v>45726</v>
      </c>
      <c r="D168" t="inlineStr">
        <is>
          <t>VÄRMLANDS LÄN</t>
        </is>
      </c>
      <c r="E168" t="inlineStr">
        <is>
          <t>TORSBY</t>
        </is>
      </c>
      <c r="G168" t="n">
        <v>3.4</v>
      </c>
      <c r="H168" t="n">
        <v>0</v>
      </c>
      <c r="I168" t="n">
        <v>0</v>
      </c>
      <c r="J168" t="n">
        <v>1</v>
      </c>
      <c r="K168" t="n">
        <v>0</v>
      </c>
      <c r="L168" t="n">
        <v>0</v>
      </c>
      <c r="M168" t="n">
        <v>0</v>
      </c>
      <c r="N168" t="n">
        <v>0</v>
      </c>
      <c r="O168" t="n">
        <v>1</v>
      </c>
      <c r="P168" t="n">
        <v>0</v>
      </c>
      <c r="Q168" t="n">
        <v>1</v>
      </c>
      <c r="R168" s="2" t="inlineStr">
        <is>
          <t>Kolflarnlav</t>
        </is>
      </c>
      <c r="S168">
        <f>HYPERLINK("https://klasma.github.io/Logging_1737/artfynd/A 53862-2024 artfynd.xlsx", "A 53862-2024")</f>
        <v/>
      </c>
      <c r="T168">
        <f>HYPERLINK("https://klasma.github.io/Logging_1737/kartor/A 53862-2024 karta.png", "A 53862-2024")</f>
        <v/>
      </c>
      <c r="V168">
        <f>HYPERLINK("https://klasma.github.io/Logging_1737/klagomål/A 53862-2024 FSC-klagomål.docx", "A 53862-2024")</f>
        <v/>
      </c>
      <c r="W168">
        <f>HYPERLINK("https://klasma.github.io/Logging_1737/klagomålsmail/A 53862-2024 FSC-klagomål mail.docx", "A 53862-2024")</f>
        <v/>
      </c>
      <c r="X168">
        <f>HYPERLINK("https://klasma.github.io/Logging_1737/tillsyn/A 53862-2024 tillsynsbegäran.docx", "A 53862-2024")</f>
        <v/>
      </c>
      <c r="Y168">
        <f>HYPERLINK("https://klasma.github.io/Logging_1737/tillsynsmail/A 53862-2024 tillsynsbegäran mail.docx", "A 53862-2024")</f>
        <v/>
      </c>
    </row>
    <row r="169" ht="15" customHeight="1">
      <c r="A169" t="inlineStr">
        <is>
          <t>A 54009-2024</t>
        </is>
      </c>
      <c r="B169" s="1" t="n">
        <v>45616</v>
      </c>
      <c r="C169" s="1" t="n">
        <v>45726</v>
      </c>
      <c r="D169" t="inlineStr">
        <is>
          <t>VÄRMLANDS LÄN</t>
        </is>
      </c>
      <c r="E169" t="inlineStr">
        <is>
          <t>TORSBY</t>
        </is>
      </c>
      <c r="F169" t="inlineStr">
        <is>
          <t>Bergvik skog väst AB</t>
        </is>
      </c>
      <c r="G169" t="n">
        <v>8.800000000000001</v>
      </c>
      <c r="H169" t="n">
        <v>1</v>
      </c>
      <c r="I169" t="n">
        <v>1</v>
      </c>
      <c r="J169" t="n">
        <v>0</v>
      </c>
      <c r="K169" t="n">
        <v>0</v>
      </c>
      <c r="L169" t="n">
        <v>0</v>
      </c>
      <c r="M169" t="n">
        <v>0</v>
      </c>
      <c r="N169" t="n">
        <v>0</v>
      </c>
      <c r="O169" t="n">
        <v>0</v>
      </c>
      <c r="P169" t="n">
        <v>0</v>
      </c>
      <c r="Q169" t="n">
        <v>1</v>
      </c>
      <c r="R169" s="2" t="inlineStr">
        <is>
          <t>Korallrot</t>
        </is>
      </c>
      <c r="S169">
        <f>HYPERLINK("https://klasma.github.io/Logging_1737/artfynd/A 54009-2024 artfynd.xlsx", "A 54009-2024")</f>
        <v/>
      </c>
      <c r="T169">
        <f>HYPERLINK("https://klasma.github.io/Logging_1737/kartor/A 54009-2024 karta.png", "A 54009-2024")</f>
        <v/>
      </c>
      <c r="V169">
        <f>HYPERLINK("https://klasma.github.io/Logging_1737/klagomål/A 54009-2024 FSC-klagomål.docx", "A 54009-2024")</f>
        <v/>
      </c>
      <c r="W169">
        <f>HYPERLINK("https://klasma.github.io/Logging_1737/klagomålsmail/A 54009-2024 FSC-klagomål mail.docx", "A 54009-2024")</f>
        <v/>
      </c>
      <c r="X169">
        <f>HYPERLINK("https://klasma.github.io/Logging_1737/tillsyn/A 54009-2024 tillsynsbegäran.docx", "A 54009-2024")</f>
        <v/>
      </c>
      <c r="Y169">
        <f>HYPERLINK("https://klasma.github.io/Logging_1737/tillsynsmail/A 54009-2024 tillsynsbegäran mail.docx", "A 54009-2024")</f>
        <v/>
      </c>
    </row>
    <row r="170" ht="15" customHeight="1">
      <c r="A170" t="inlineStr">
        <is>
          <t>A 54029-2024</t>
        </is>
      </c>
      <c r="B170" s="1" t="n">
        <v>45616</v>
      </c>
      <c r="C170" s="1" t="n">
        <v>45726</v>
      </c>
      <c r="D170" t="inlineStr">
        <is>
          <t>VÄRMLANDS LÄN</t>
        </is>
      </c>
      <c r="E170" t="inlineStr">
        <is>
          <t>TORSBY</t>
        </is>
      </c>
      <c r="G170" t="n">
        <v>10.2</v>
      </c>
      <c r="H170" t="n">
        <v>0</v>
      </c>
      <c r="I170" t="n">
        <v>1</v>
      </c>
      <c r="J170" t="n">
        <v>0</v>
      </c>
      <c r="K170" t="n">
        <v>0</v>
      </c>
      <c r="L170" t="n">
        <v>0</v>
      </c>
      <c r="M170" t="n">
        <v>0</v>
      </c>
      <c r="N170" t="n">
        <v>0</v>
      </c>
      <c r="O170" t="n">
        <v>0</v>
      </c>
      <c r="P170" t="n">
        <v>0</v>
      </c>
      <c r="Q170" t="n">
        <v>1</v>
      </c>
      <c r="R170" s="2" t="inlineStr">
        <is>
          <t>Vedticka</t>
        </is>
      </c>
      <c r="S170">
        <f>HYPERLINK("https://klasma.github.io/Logging_1737/artfynd/A 54029-2024 artfynd.xlsx", "A 54029-2024")</f>
        <v/>
      </c>
      <c r="T170">
        <f>HYPERLINK("https://klasma.github.io/Logging_1737/kartor/A 54029-2024 karta.png", "A 54029-2024")</f>
        <v/>
      </c>
      <c r="V170">
        <f>HYPERLINK("https://klasma.github.io/Logging_1737/klagomål/A 54029-2024 FSC-klagomål.docx", "A 54029-2024")</f>
        <v/>
      </c>
      <c r="W170">
        <f>HYPERLINK("https://klasma.github.io/Logging_1737/klagomålsmail/A 54029-2024 FSC-klagomål mail.docx", "A 54029-2024")</f>
        <v/>
      </c>
      <c r="X170">
        <f>HYPERLINK("https://klasma.github.io/Logging_1737/tillsyn/A 54029-2024 tillsynsbegäran.docx", "A 54029-2024")</f>
        <v/>
      </c>
      <c r="Y170">
        <f>HYPERLINK("https://klasma.github.io/Logging_1737/tillsynsmail/A 54029-2024 tillsynsbegäran mail.docx", "A 54029-2024")</f>
        <v/>
      </c>
    </row>
    <row r="171" ht="15" customHeight="1">
      <c r="A171" t="inlineStr">
        <is>
          <t>A 54788-2024</t>
        </is>
      </c>
      <c r="B171" s="1" t="n">
        <v>45618</v>
      </c>
      <c r="C171" s="1" t="n">
        <v>45726</v>
      </c>
      <c r="D171" t="inlineStr">
        <is>
          <t>VÄRMLANDS LÄN</t>
        </is>
      </c>
      <c r="E171" t="inlineStr">
        <is>
          <t>TORSBY</t>
        </is>
      </c>
      <c r="G171" t="n">
        <v>2.4</v>
      </c>
      <c r="H171" t="n">
        <v>0</v>
      </c>
      <c r="I171" t="n">
        <v>0</v>
      </c>
      <c r="J171" t="n">
        <v>1</v>
      </c>
      <c r="K171" t="n">
        <v>0</v>
      </c>
      <c r="L171" t="n">
        <v>0</v>
      </c>
      <c r="M171" t="n">
        <v>0</v>
      </c>
      <c r="N171" t="n">
        <v>0</v>
      </c>
      <c r="O171" t="n">
        <v>1</v>
      </c>
      <c r="P171" t="n">
        <v>0</v>
      </c>
      <c r="Q171" t="n">
        <v>1</v>
      </c>
      <c r="R171" s="2" t="inlineStr">
        <is>
          <t>Mörk kolflarnlav</t>
        </is>
      </c>
      <c r="S171">
        <f>HYPERLINK("https://klasma.github.io/Logging_1737/artfynd/A 54788-2024 artfynd.xlsx", "A 54788-2024")</f>
        <v/>
      </c>
      <c r="T171">
        <f>HYPERLINK("https://klasma.github.io/Logging_1737/kartor/A 54788-2024 karta.png", "A 54788-2024")</f>
        <v/>
      </c>
      <c r="V171">
        <f>HYPERLINK("https://klasma.github.io/Logging_1737/klagomål/A 54788-2024 FSC-klagomål.docx", "A 54788-2024")</f>
        <v/>
      </c>
      <c r="W171">
        <f>HYPERLINK("https://klasma.github.io/Logging_1737/klagomålsmail/A 54788-2024 FSC-klagomål mail.docx", "A 54788-2024")</f>
        <v/>
      </c>
      <c r="X171">
        <f>HYPERLINK("https://klasma.github.io/Logging_1737/tillsyn/A 54788-2024 tillsynsbegäran.docx", "A 54788-2024")</f>
        <v/>
      </c>
      <c r="Y171">
        <f>HYPERLINK("https://klasma.github.io/Logging_1737/tillsynsmail/A 54788-2024 tillsynsbegäran mail.docx", "A 54788-2024")</f>
        <v/>
      </c>
    </row>
    <row r="172" ht="15" customHeight="1">
      <c r="A172" t="inlineStr">
        <is>
          <t>A 54786-2024</t>
        </is>
      </c>
      <c r="B172" s="1" t="n">
        <v>45618</v>
      </c>
      <c r="C172" s="1" t="n">
        <v>45726</v>
      </c>
      <c r="D172" t="inlineStr">
        <is>
          <t>VÄRMLANDS LÄN</t>
        </is>
      </c>
      <c r="E172" t="inlineStr">
        <is>
          <t>TORSBY</t>
        </is>
      </c>
      <c r="G172" t="n">
        <v>3.8</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54786-2024 artfynd.xlsx", "A 54786-2024")</f>
        <v/>
      </c>
      <c r="T172">
        <f>HYPERLINK("https://klasma.github.io/Logging_1737/kartor/A 54786-2024 karta.png", "A 54786-2024")</f>
        <v/>
      </c>
      <c r="V172">
        <f>HYPERLINK("https://klasma.github.io/Logging_1737/klagomål/A 54786-2024 FSC-klagomål.docx", "A 54786-2024")</f>
        <v/>
      </c>
      <c r="W172">
        <f>HYPERLINK("https://klasma.github.io/Logging_1737/klagomålsmail/A 54786-2024 FSC-klagomål mail.docx", "A 54786-2024")</f>
        <v/>
      </c>
      <c r="X172">
        <f>HYPERLINK("https://klasma.github.io/Logging_1737/tillsyn/A 54786-2024 tillsynsbegäran.docx", "A 54786-2024")</f>
        <v/>
      </c>
      <c r="Y172">
        <f>HYPERLINK("https://klasma.github.io/Logging_1737/tillsynsmail/A 54786-2024 tillsynsbegäran mail.docx", "A 54786-2024")</f>
        <v/>
      </c>
    </row>
    <row r="173" ht="15" customHeight="1">
      <c r="A173" t="inlineStr">
        <is>
          <t>A 56133-2024</t>
        </is>
      </c>
      <c r="B173" s="1" t="n">
        <v>45624</v>
      </c>
      <c r="C173" s="1" t="n">
        <v>45726</v>
      </c>
      <c r="D173" t="inlineStr">
        <is>
          <t>VÄRMLANDS LÄN</t>
        </is>
      </c>
      <c r="E173" t="inlineStr">
        <is>
          <t>TORSBY</t>
        </is>
      </c>
      <c r="G173" t="n">
        <v>2.4</v>
      </c>
      <c r="H173" t="n">
        <v>0</v>
      </c>
      <c r="I173" t="n">
        <v>1</v>
      </c>
      <c r="J173" t="n">
        <v>0</v>
      </c>
      <c r="K173" t="n">
        <v>0</v>
      </c>
      <c r="L173" t="n">
        <v>0</v>
      </c>
      <c r="M173" t="n">
        <v>0</v>
      </c>
      <c r="N173" t="n">
        <v>0</v>
      </c>
      <c r="O173" t="n">
        <v>0</v>
      </c>
      <c r="P173" t="n">
        <v>0</v>
      </c>
      <c r="Q173" t="n">
        <v>1</v>
      </c>
      <c r="R173" s="2" t="inlineStr">
        <is>
          <t>Vedticka</t>
        </is>
      </c>
      <c r="S173">
        <f>HYPERLINK("https://klasma.github.io/Logging_1737/artfynd/A 56133-2024 artfynd.xlsx", "A 56133-2024")</f>
        <v/>
      </c>
      <c r="T173">
        <f>HYPERLINK("https://klasma.github.io/Logging_1737/kartor/A 56133-2024 karta.png", "A 56133-2024")</f>
        <v/>
      </c>
      <c r="V173">
        <f>HYPERLINK("https://klasma.github.io/Logging_1737/klagomål/A 56133-2024 FSC-klagomål.docx", "A 56133-2024")</f>
        <v/>
      </c>
      <c r="W173">
        <f>HYPERLINK("https://klasma.github.io/Logging_1737/klagomålsmail/A 56133-2024 FSC-klagomål mail.docx", "A 56133-2024")</f>
        <v/>
      </c>
      <c r="X173">
        <f>HYPERLINK("https://klasma.github.io/Logging_1737/tillsyn/A 56133-2024 tillsynsbegäran.docx", "A 56133-2024")</f>
        <v/>
      </c>
      <c r="Y173">
        <f>HYPERLINK("https://klasma.github.io/Logging_1737/tillsynsmail/A 56133-2024 tillsynsbegäran mail.docx", "A 56133-2024")</f>
        <v/>
      </c>
    </row>
    <row r="174" ht="15" customHeight="1">
      <c r="A174" t="inlineStr">
        <is>
          <t>A 56990-2024</t>
        </is>
      </c>
      <c r="B174" s="1" t="n">
        <v>45628</v>
      </c>
      <c r="C174" s="1" t="n">
        <v>45726</v>
      </c>
      <c r="D174" t="inlineStr">
        <is>
          <t>VÄRMLANDS LÄN</t>
        </is>
      </c>
      <c r="E174" t="inlineStr">
        <is>
          <t>TORSBY</t>
        </is>
      </c>
      <c r="F174" t="inlineStr">
        <is>
          <t>Bergvik skog väst AB</t>
        </is>
      </c>
      <c r="G174" t="n">
        <v>8.699999999999999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HYPERLINK("https://klasma.github.io/Logging_1737/artfynd/A 56990-2024 artfynd.xlsx", "A 56990-2024")</f>
        <v/>
      </c>
      <c r="T174">
        <f>HYPERLINK("https://klasma.github.io/Logging_1737/kartor/A 56990-2024 karta.png", "A 56990-2024")</f>
        <v/>
      </c>
      <c r="V174">
        <f>HYPERLINK("https://klasma.github.io/Logging_1737/klagomål/A 56990-2024 FSC-klagomål.docx", "A 56990-2024")</f>
        <v/>
      </c>
      <c r="W174">
        <f>HYPERLINK("https://klasma.github.io/Logging_1737/klagomålsmail/A 56990-2024 FSC-klagomål mail.docx", "A 56990-2024")</f>
        <v/>
      </c>
      <c r="X174">
        <f>HYPERLINK("https://klasma.github.io/Logging_1737/tillsyn/A 56990-2024 tillsynsbegäran.docx", "A 56990-2024")</f>
        <v/>
      </c>
      <c r="Y174">
        <f>HYPERLINK("https://klasma.github.io/Logging_1737/tillsynsmail/A 56990-2024 tillsynsbegäran mail.docx", "A 56990-2024")</f>
        <v/>
      </c>
      <c r="Z174">
        <f>HYPERLINK("https://klasma.github.io/Logging_1737/fåglar/A 56990-2024 prioriterade fågelarter.docx", "A 56990-2024")</f>
        <v/>
      </c>
    </row>
    <row r="175" ht="15" customHeight="1">
      <c r="A175" t="inlineStr">
        <is>
          <t>A 58014-2024</t>
        </is>
      </c>
      <c r="B175" s="1" t="n">
        <v>45631</v>
      </c>
      <c r="C175" s="1" t="n">
        <v>45726</v>
      </c>
      <c r="D175" t="inlineStr">
        <is>
          <t>VÄRMLANDS LÄN</t>
        </is>
      </c>
      <c r="E175" t="inlineStr">
        <is>
          <t>TORSBY</t>
        </is>
      </c>
      <c r="G175" t="n">
        <v>2.2</v>
      </c>
      <c r="H175" t="n">
        <v>0</v>
      </c>
      <c r="I175" t="n">
        <v>1</v>
      </c>
      <c r="J175" t="n">
        <v>0</v>
      </c>
      <c r="K175" t="n">
        <v>0</v>
      </c>
      <c r="L175" t="n">
        <v>0</v>
      </c>
      <c r="M175" t="n">
        <v>0</v>
      </c>
      <c r="N175" t="n">
        <v>0</v>
      </c>
      <c r="O175" t="n">
        <v>0</v>
      </c>
      <c r="P175" t="n">
        <v>0</v>
      </c>
      <c r="Q175" t="n">
        <v>1</v>
      </c>
      <c r="R175" s="2" t="inlineStr">
        <is>
          <t>Kattfotslav</t>
        </is>
      </c>
      <c r="S175">
        <f>HYPERLINK("https://klasma.github.io/Logging_1737/artfynd/A 58014-2024 artfynd.xlsx", "A 58014-2024")</f>
        <v/>
      </c>
      <c r="T175">
        <f>HYPERLINK("https://klasma.github.io/Logging_1737/kartor/A 58014-2024 karta.png", "A 58014-2024")</f>
        <v/>
      </c>
      <c r="V175">
        <f>HYPERLINK("https://klasma.github.io/Logging_1737/klagomål/A 58014-2024 FSC-klagomål.docx", "A 58014-2024")</f>
        <v/>
      </c>
      <c r="W175">
        <f>HYPERLINK("https://klasma.github.io/Logging_1737/klagomålsmail/A 58014-2024 FSC-klagomål mail.docx", "A 58014-2024")</f>
        <v/>
      </c>
      <c r="X175">
        <f>HYPERLINK("https://klasma.github.io/Logging_1737/tillsyn/A 58014-2024 tillsynsbegäran.docx", "A 58014-2024")</f>
        <v/>
      </c>
      <c r="Y175">
        <f>HYPERLINK("https://klasma.github.io/Logging_1737/tillsynsmail/A 58014-2024 tillsynsbegäran mail.docx", "A 58014-2024")</f>
        <v/>
      </c>
    </row>
    <row r="176" ht="15" customHeight="1">
      <c r="A176" t="inlineStr">
        <is>
          <t>A 5726-2025</t>
        </is>
      </c>
      <c r="B176" s="1" t="n">
        <v>45694</v>
      </c>
      <c r="C176" s="1" t="n">
        <v>45726</v>
      </c>
      <c r="D176" t="inlineStr">
        <is>
          <t>VÄRMLANDS LÄN</t>
        </is>
      </c>
      <c r="E176" t="inlineStr">
        <is>
          <t>TORSBY</t>
        </is>
      </c>
      <c r="G176" t="n">
        <v>3.5</v>
      </c>
      <c r="H176" t="n">
        <v>0</v>
      </c>
      <c r="I176" t="n">
        <v>1</v>
      </c>
      <c r="J176" t="n">
        <v>0</v>
      </c>
      <c r="K176" t="n">
        <v>0</v>
      </c>
      <c r="L176" t="n">
        <v>0</v>
      </c>
      <c r="M176" t="n">
        <v>0</v>
      </c>
      <c r="N176" t="n">
        <v>0</v>
      </c>
      <c r="O176" t="n">
        <v>0</v>
      </c>
      <c r="P176" t="n">
        <v>0</v>
      </c>
      <c r="Q176" t="n">
        <v>1</v>
      </c>
      <c r="R176" s="2" t="inlineStr">
        <is>
          <t>Vedticka</t>
        </is>
      </c>
      <c r="S176">
        <f>HYPERLINK("https://klasma.github.io/Logging_1737/artfynd/A 5726-2025 artfynd.xlsx", "A 5726-2025")</f>
        <v/>
      </c>
      <c r="T176">
        <f>HYPERLINK("https://klasma.github.io/Logging_1737/kartor/A 5726-2025 karta.png", "A 5726-2025")</f>
        <v/>
      </c>
      <c r="V176">
        <f>HYPERLINK("https://klasma.github.io/Logging_1737/klagomål/A 5726-2025 FSC-klagomål.docx", "A 5726-2025")</f>
        <v/>
      </c>
      <c r="W176">
        <f>HYPERLINK("https://klasma.github.io/Logging_1737/klagomålsmail/A 5726-2025 FSC-klagomål mail.docx", "A 5726-2025")</f>
        <v/>
      </c>
      <c r="X176">
        <f>HYPERLINK("https://klasma.github.io/Logging_1737/tillsyn/A 5726-2025 tillsynsbegäran.docx", "A 5726-2025")</f>
        <v/>
      </c>
      <c r="Y176">
        <f>HYPERLINK("https://klasma.github.io/Logging_1737/tillsynsmail/A 5726-2025 tillsynsbegäran mail.docx", "A 5726-2025")</f>
        <v/>
      </c>
    </row>
    <row r="177" ht="15" customHeight="1">
      <c r="A177" t="inlineStr">
        <is>
          <t>A 17808-2019</t>
        </is>
      </c>
      <c r="B177" s="1" t="n">
        <v>43556</v>
      </c>
      <c r="C177" s="1" t="n">
        <v>45726</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17788-2019</t>
        </is>
      </c>
      <c r="B178" s="1" t="n">
        <v>43556</v>
      </c>
      <c r="C178" s="1" t="n">
        <v>45726</v>
      </c>
      <c r="D178" t="inlineStr">
        <is>
          <t>VÄRMLANDS LÄN</t>
        </is>
      </c>
      <c r="E178" t="inlineStr">
        <is>
          <t>TORSBY</t>
        </is>
      </c>
      <c r="G178" t="n">
        <v>2.3</v>
      </c>
      <c r="H178" t="n">
        <v>0</v>
      </c>
      <c r="I178" t="n">
        <v>0</v>
      </c>
      <c r="J178" t="n">
        <v>0</v>
      </c>
      <c r="K178" t="n">
        <v>0</v>
      </c>
      <c r="L178" t="n">
        <v>0</v>
      </c>
      <c r="M178" t="n">
        <v>0</v>
      </c>
      <c r="N178" t="n">
        <v>0</v>
      </c>
      <c r="O178" t="n">
        <v>0</v>
      </c>
      <c r="P178" t="n">
        <v>0</v>
      </c>
      <c r="Q178" t="n">
        <v>0</v>
      </c>
      <c r="R178" s="2" t="inlineStr"/>
    </row>
    <row r="179" ht="15" customHeight="1">
      <c r="A179" t="inlineStr">
        <is>
          <t>A 17957-2019</t>
        </is>
      </c>
      <c r="B179" s="1" t="n">
        <v>43557</v>
      </c>
      <c r="C179" s="1" t="n">
        <v>45726</v>
      </c>
      <c r="D179" t="inlineStr">
        <is>
          <t>VÄRMLANDS LÄN</t>
        </is>
      </c>
      <c r="E179" t="inlineStr">
        <is>
          <t>TORSBY</t>
        </is>
      </c>
      <c r="G179" t="n">
        <v>1.6</v>
      </c>
      <c r="H179" t="n">
        <v>0</v>
      </c>
      <c r="I179" t="n">
        <v>0</v>
      </c>
      <c r="J179" t="n">
        <v>0</v>
      </c>
      <c r="K179" t="n">
        <v>0</v>
      </c>
      <c r="L179" t="n">
        <v>0</v>
      </c>
      <c r="M179" t="n">
        <v>0</v>
      </c>
      <c r="N179" t="n">
        <v>0</v>
      </c>
      <c r="O179" t="n">
        <v>0</v>
      </c>
      <c r="P179" t="n">
        <v>0</v>
      </c>
      <c r="Q179" t="n">
        <v>0</v>
      </c>
      <c r="R179" s="2" t="inlineStr"/>
    </row>
    <row r="180" ht="15" customHeight="1">
      <c r="A180" t="inlineStr">
        <is>
          <t>A 17864-2019</t>
        </is>
      </c>
      <c r="B180" s="1" t="n">
        <v>43557</v>
      </c>
      <c r="C180" s="1" t="n">
        <v>45726</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18551-2019</t>
        </is>
      </c>
      <c r="B181" s="1" t="n">
        <v>43559</v>
      </c>
      <c r="C181" s="1" t="n">
        <v>45726</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18947-2019</t>
        </is>
      </c>
      <c r="B182" s="1" t="n">
        <v>43563</v>
      </c>
      <c r="C182" s="1" t="n">
        <v>45726</v>
      </c>
      <c r="D182" t="inlineStr">
        <is>
          <t>VÄRMLANDS LÄN</t>
        </is>
      </c>
      <c r="E182" t="inlineStr">
        <is>
          <t>TORSBY</t>
        </is>
      </c>
      <c r="G182" t="n">
        <v>7.6</v>
      </c>
      <c r="H182" t="n">
        <v>0</v>
      </c>
      <c r="I182" t="n">
        <v>0</v>
      </c>
      <c r="J182" t="n">
        <v>0</v>
      </c>
      <c r="K182" t="n">
        <v>0</v>
      </c>
      <c r="L182" t="n">
        <v>0</v>
      </c>
      <c r="M182" t="n">
        <v>0</v>
      </c>
      <c r="N182" t="n">
        <v>0</v>
      </c>
      <c r="O182" t="n">
        <v>0</v>
      </c>
      <c r="P182" t="n">
        <v>0</v>
      </c>
      <c r="Q182" t="n">
        <v>0</v>
      </c>
      <c r="R182" s="2" t="inlineStr"/>
    </row>
    <row r="183" ht="15" customHeight="1">
      <c r="A183" t="inlineStr">
        <is>
          <t>A 19974-2019</t>
        </is>
      </c>
      <c r="B183" s="1" t="n">
        <v>43564</v>
      </c>
      <c r="C183" s="1" t="n">
        <v>45726</v>
      </c>
      <c r="D183" t="inlineStr">
        <is>
          <t>VÄRMLANDS LÄN</t>
        </is>
      </c>
      <c r="E183" t="inlineStr">
        <is>
          <t>TORSBY</t>
        </is>
      </c>
      <c r="G183" t="n">
        <v>5.1</v>
      </c>
      <c r="H183" t="n">
        <v>0</v>
      </c>
      <c r="I183" t="n">
        <v>0</v>
      </c>
      <c r="J183" t="n">
        <v>0</v>
      </c>
      <c r="K183" t="n">
        <v>0</v>
      </c>
      <c r="L183" t="n">
        <v>0</v>
      </c>
      <c r="M183" t="n">
        <v>0</v>
      </c>
      <c r="N183" t="n">
        <v>0</v>
      </c>
      <c r="O183" t="n">
        <v>0</v>
      </c>
      <c r="P183" t="n">
        <v>0</v>
      </c>
      <c r="Q183" t="n">
        <v>0</v>
      </c>
      <c r="R183" s="2" t="inlineStr"/>
    </row>
    <row r="184" ht="15" customHeight="1">
      <c r="A184" t="inlineStr">
        <is>
          <t>A 19125-2019</t>
        </is>
      </c>
      <c r="B184" s="1" t="n">
        <v>43564</v>
      </c>
      <c r="C184" s="1" t="n">
        <v>45726</v>
      </c>
      <c r="D184" t="inlineStr">
        <is>
          <t>VÄRMLANDS LÄN</t>
        </is>
      </c>
      <c r="E184" t="inlineStr">
        <is>
          <t>TORSBY</t>
        </is>
      </c>
      <c r="G184" t="n">
        <v>18.3</v>
      </c>
      <c r="H184" t="n">
        <v>0</v>
      </c>
      <c r="I184" t="n">
        <v>0</v>
      </c>
      <c r="J184" t="n">
        <v>0</v>
      </c>
      <c r="K184" t="n">
        <v>0</v>
      </c>
      <c r="L184" t="n">
        <v>0</v>
      </c>
      <c r="M184" t="n">
        <v>0</v>
      </c>
      <c r="N184" t="n">
        <v>0</v>
      </c>
      <c r="O184" t="n">
        <v>0</v>
      </c>
      <c r="P184" t="n">
        <v>0</v>
      </c>
      <c r="Q184" t="n">
        <v>0</v>
      </c>
      <c r="R184" s="2" t="inlineStr"/>
    </row>
    <row r="185" ht="15" customHeight="1">
      <c r="A185" t="inlineStr">
        <is>
          <t>A 19591-2019</t>
        </is>
      </c>
      <c r="B185" s="1" t="n">
        <v>43566</v>
      </c>
      <c r="C185" s="1" t="n">
        <v>45726</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20167-2019</t>
        </is>
      </c>
      <c r="B186" s="1" t="n">
        <v>43570</v>
      </c>
      <c r="C186" s="1" t="n">
        <v>45726</v>
      </c>
      <c r="D186" t="inlineStr">
        <is>
          <t>VÄRMLANDS LÄN</t>
        </is>
      </c>
      <c r="E186" t="inlineStr">
        <is>
          <t>TORSBY</t>
        </is>
      </c>
      <c r="G186" t="n">
        <v>5</v>
      </c>
      <c r="H186" t="n">
        <v>0</v>
      </c>
      <c r="I186" t="n">
        <v>0</v>
      </c>
      <c r="J186" t="n">
        <v>0</v>
      </c>
      <c r="K186" t="n">
        <v>0</v>
      </c>
      <c r="L186" t="n">
        <v>0</v>
      </c>
      <c r="M186" t="n">
        <v>0</v>
      </c>
      <c r="N186" t="n">
        <v>0</v>
      </c>
      <c r="O186" t="n">
        <v>0</v>
      </c>
      <c r="P186" t="n">
        <v>0</v>
      </c>
      <c r="Q186" t="n">
        <v>0</v>
      </c>
      <c r="R186" s="2" t="inlineStr"/>
    </row>
    <row r="187" ht="15" customHeight="1">
      <c r="A187" t="inlineStr">
        <is>
          <t>A 20190-2019</t>
        </is>
      </c>
      <c r="B187" s="1" t="n">
        <v>43570</v>
      </c>
      <c r="C187" s="1" t="n">
        <v>45726</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20244-2019</t>
        </is>
      </c>
      <c r="B188" s="1" t="n">
        <v>43571</v>
      </c>
      <c r="C188" s="1" t="n">
        <v>45726</v>
      </c>
      <c r="D188" t="inlineStr">
        <is>
          <t>VÄRMLANDS LÄN</t>
        </is>
      </c>
      <c r="E188" t="inlineStr">
        <is>
          <t>TORSBY</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20616-2019</t>
        </is>
      </c>
      <c r="B189" s="1" t="n">
        <v>43572</v>
      </c>
      <c r="C189" s="1" t="n">
        <v>45726</v>
      </c>
      <c r="D189" t="inlineStr">
        <is>
          <t>VÄRMLANDS LÄN</t>
        </is>
      </c>
      <c r="E189" t="inlineStr">
        <is>
          <t>TORSBY</t>
        </is>
      </c>
      <c r="G189" t="n">
        <v>0.4</v>
      </c>
      <c r="H189" t="n">
        <v>0</v>
      </c>
      <c r="I189" t="n">
        <v>0</v>
      </c>
      <c r="J189" t="n">
        <v>0</v>
      </c>
      <c r="K189" t="n">
        <v>0</v>
      </c>
      <c r="L189" t="n">
        <v>0</v>
      </c>
      <c r="M189" t="n">
        <v>0</v>
      </c>
      <c r="N189" t="n">
        <v>0</v>
      </c>
      <c r="O189" t="n">
        <v>0</v>
      </c>
      <c r="P189" t="n">
        <v>0</v>
      </c>
      <c r="Q189" t="n">
        <v>0</v>
      </c>
      <c r="R189" s="2" t="inlineStr"/>
    </row>
    <row r="190" ht="15" customHeight="1">
      <c r="A190" t="inlineStr">
        <is>
          <t>A 20468-2019</t>
        </is>
      </c>
      <c r="B190" s="1" t="n">
        <v>43572</v>
      </c>
      <c r="C190" s="1" t="n">
        <v>45726</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21166-2019</t>
        </is>
      </c>
      <c r="B191" s="1" t="n">
        <v>43578</v>
      </c>
      <c r="C191" s="1" t="n">
        <v>45726</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21387-2019</t>
        </is>
      </c>
      <c r="B192" s="1" t="n">
        <v>43580</v>
      </c>
      <c r="C192" s="1" t="n">
        <v>45726</v>
      </c>
      <c r="D192" t="inlineStr">
        <is>
          <t>VÄRMLANDS LÄN</t>
        </is>
      </c>
      <c r="E192" t="inlineStr">
        <is>
          <t>TORSBY</t>
        </is>
      </c>
      <c r="G192" t="n">
        <v>2.4</v>
      </c>
      <c r="H192" t="n">
        <v>0</v>
      </c>
      <c r="I192" t="n">
        <v>0</v>
      </c>
      <c r="J192" t="n">
        <v>0</v>
      </c>
      <c r="K192" t="n">
        <v>0</v>
      </c>
      <c r="L192" t="n">
        <v>0</v>
      </c>
      <c r="M192" t="n">
        <v>0</v>
      </c>
      <c r="N192" t="n">
        <v>0</v>
      </c>
      <c r="O192" t="n">
        <v>0</v>
      </c>
      <c r="P192" t="n">
        <v>0</v>
      </c>
      <c r="Q192" t="n">
        <v>0</v>
      </c>
      <c r="R192" s="2" t="inlineStr"/>
    </row>
    <row r="193" ht="15" customHeight="1">
      <c r="A193" t="inlineStr">
        <is>
          <t>A 21958-2019</t>
        </is>
      </c>
      <c r="B193" s="1" t="n">
        <v>43584</v>
      </c>
      <c r="C193" s="1" t="n">
        <v>45726</v>
      </c>
      <c r="D193" t="inlineStr">
        <is>
          <t>VÄRMLANDS LÄN</t>
        </is>
      </c>
      <c r="E193" t="inlineStr">
        <is>
          <t>TORSBY</t>
        </is>
      </c>
      <c r="G193" t="n">
        <v>3.5</v>
      </c>
      <c r="H193" t="n">
        <v>0</v>
      </c>
      <c r="I193" t="n">
        <v>0</v>
      </c>
      <c r="J193" t="n">
        <v>0</v>
      </c>
      <c r="K193" t="n">
        <v>0</v>
      </c>
      <c r="L193" t="n">
        <v>0</v>
      </c>
      <c r="M193" t="n">
        <v>0</v>
      </c>
      <c r="N193" t="n">
        <v>0</v>
      </c>
      <c r="O193" t="n">
        <v>0</v>
      </c>
      <c r="P193" t="n">
        <v>0</v>
      </c>
      <c r="Q193" t="n">
        <v>0</v>
      </c>
      <c r="R193" s="2" t="inlineStr"/>
    </row>
    <row r="194" ht="15" customHeight="1">
      <c r="A194" t="inlineStr">
        <is>
          <t>A 22252-2019</t>
        </is>
      </c>
      <c r="B194" s="1" t="n">
        <v>43585</v>
      </c>
      <c r="C194" s="1" t="n">
        <v>45726</v>
      </c>
      <c r="D194" t="inlineStr">
        <is>
          <t>VÄRMLANDS LÄN</t>
        </is>
      </c>
      <c r="E194" t="inlineStr">
        <is>
          <t>TORSBY</t>
        </is>
      </c>
      <c r="G194" t="n">
        <v>3.7</v>
      </c>
      <c r="H194" t="n">
        <v>0</v>
      </c>
      <c r="I194" t="n">
        <v>0</v>
      </c>
      <c r="J194" t="n">
        <v>0</v>
      </c>
      <c r="K194" t="n">
        <v>0</v>
      </c>
      <c r="L194" t="n">
        <v>0</v>
      </c>
      <c r="M194" t="n">
        <v>0</v>
      </c>
      <c r="N194" t="n">
        <v>0</v>
      </c>
      <c r="O194" t="n">
        <v>0</v>
      </c>
      <c r="P194" t="n">
        <v>0</v>
      </c>
      <c r="Q194" t="n">
        <v>0</v>
      </c>
      <c r="R194" s="2" t="inlineStr"/>
    </row>
    <row r="195" ht="15" customHeight="1">
      <c r="A195" t="inlineStr">
        <is>
          <t>A 22158-2019</t>
        </is>
      </c>
      <c r="B195" s="1" t="n">
        <v>43585</v>
      </c>
      <c r="C195" s="1" t="n">
        <v>45726</v>
      </c>
      <c r="D195" t="inlineStr">
        <is>
          <t>VÄRMLANDS LÄN</t>
        </is>
      </c>
      <c r="E195" t="inlineStr">
        <is>
          <t>TORSBY</t>
        </is>
      </c>
      <c r="G195" t="n">
        <v>4.5</v>
      </c>
      <c r="H195" t="n">
        <v>0</v>
      </c>
      <c r="I195" t="n">
        <v>0</v>
      </c>
      <c r="J195" t="n">
        <v>0</v>
      </c>
      <c r="K195" t="n">
        <v>0</v>
      </c>
      <c r="L195" t="n">
        <v>0</v>
      </c>
      <c r="M195" t="n">
        <v>0</v>
      </c>
      <c r="N195" t="n">
        <v>0</v>
      </c>
      <c r="O195" t="n">
        <v>0</v>
      </c>
      <c r="P195" t="n">
        <v>0</v>
      </c>
      <c r="Q195" t="n">
        <v>0</v>
      </c>
      <c r="R195" s="2" t="inlineStr"/>
    </row>
    <row r="196" ht="15" customHeight="1">
      <c r="A196" t="inlineStr">
        <is>
          <t>A 22416-2019</t>
        </is>
      </c>
      <c r="B196" s="1" t="n">
        <v>43587</v>
      </c>
      <c r="C196" s="1" t="n">
        <v>45726</v>
      </c>
      <c r="D196" t="inlineStr">
        <is>
          <t>VÄRMLANDS LÄN</t>
        </is>
      </c>
      <c r="E196" t="inlineStr">
        <is>
          <t>TORSBY</t>
        </is>
      </c>
      <c r="G196" t="n">
        <v>1.9</v>
      </c>
      <c r="H196" t="n">
        <v>0</v>
      </c>
      <c r="I196" t="n">
        <v>0</v>
      </c>
      <c r="J196" t="n">
        <v>0</v>
      </c>
      <c r="K196" t="n">
        <v>0</v>
      </c>
      <c r="L196" t="n">
        <v>0</v>
      </c>
      <c r="M196" t="n">
        <v>0</v>
      </c>
      <c r="N196" t="n">
        <v>0</v>
      </c>
      <c r="O196" t="n">
        <v>0</v>
      </c>
      <c r="P196" t="n">
        <v>0</v>
      </c>
      <c r="Q196" t="n">
        <v>0</v>
      </c>
      <c r="R196" s="2" t="inlineStr"/>
    </row>
    <row r="197" ht="15" customHeight="1">
      <c r="A197" t="inlineStr">
        <is>
          <t>A 22351-2019</t>
        </is>
      </c>
      <c r="B197" s="1" t="n">
        <v>43587</v>
      </c>
      <c r="C197" s="1" t="n">
        <v>45726</v>
      </c>
      <c r="D197" t="inlineStr">
        <is>
          <t>VÄRMLANDS LÄN</t>
        </is>
      </c>
      <c r="E197" t="inlineStr">
        <is>
          <t>TORSBY</t>
        </is>
      </c>
      <c r="G197" t="n">
        <v>4.3</v>
      </c>
      <c r="H197" t="n">
        <v>0</v>
      </c>
      <c r="I197" t="n">
        <v>0</v>
      </c>
      <c r="J197" t="n">
        <v>0</v>
      </c>
      <c r="K197" t="n">
        <v>0</v>
      </c>
      <c r="L197" t="n">
        <v>0</v>
      </c>
      <c r="M197" t="n">
        <v>0</v>
      </c>
      <c r="N197" t="n">
        <v>0</v>
      </c>
      <c r="O197" t="n">
        <v>0</v>
      </c>
      <c r="P197" t="n">
        <v>0</v>
      </c>
      <c r="Q197" t="n">
        <v>0</v>
      </c>
      <c r="R197" s="2" t="inlineStr"/>
    </row>
    <row r="198" ht="15" customHeight="1">
      <c r="A198" t="inlineStr">
        <is>
          <t>A 22692-2019</t>
        </is>
      </c>
      <c r="B198" s="1" t="n">
        <v>43588</v>
      </c>
      <c r="C198" s="1" t="n">
        <v>45726</v>
      </c>
      <c r="D198" t="inlineStr">
        <is>
          <t>VÄRMLANDS LÄN</t>
        </is>
      </c>
      <c r="E198" t="inlineStr">
        <is>
          <t>TORSBY</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22717-2019</t>
        </is>
      </c>
      <c r="B199" s="1" t="n">
        <v>43588</v>
      </c>
      <c r="C199" s="1" t="n">
        <v>45726</v>
      </c>
      <c r="D199" t="inlineStr">
        <is>
          <t>VÄRMLANDS LÄN</t>
        </is>
      </c>
      <c r="E199" t="inlineStr">
        <is>
          <t>TORSBY</t>
        </is>
      </c>
      <c r="G199" t="n">
        <v>8</v>
      </c>
      <c r="H199" t="n">
        <v>0</v>
      </c>
      <c r="I199" t="n">
        <v>0</v>
      </c>
      <c r="J199" t="n">
        <v>0</v>
      </c>
      <c r="K199" t="n">
        <v>0</v>
      </c>
      <c r="L199" t="n">
        <v>0</v>
      </c>
      <c r="M199" t="n">
        <v>0</v>
      </c>
      <c r="N199" t="n">
        <v>0</v>
      </c>
      <c r="O199" t="n">
        <v>0</v>
      </c>
      <c r="P199" t="n">
        <v>0</v>
      </c>
      <c r="Q199" t="n">
        <v>0</v>
      </c>
      <c r="R199" s="2" t="inlineStr"/>
    </row>
    <row r="200" ht="15" customHeight="1">
      <c r="A200" t="inlineStr">
        <is>
          <t>A 23412-2019</t>
        </is>
      </c>
      <c r="B200" s="1" t="n">
        <v>43593</v>
      </c>
      <c r="C200" s="1" t="n">
        <v>45726</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23892-2019</t>
        </is>
      </c>
      <c r="B201" s="1" t="n">
        <v>43595</v>
      </c>
      <c r="C201" s="1" t="n">
        <v>45726</v>
      </c>
      <c r="D201" t="inlineStr">
        <is>
          <t>VÄRMLANDS LÄN</t>
        </is>
      </c>
      <c r="E201" t="inlineStr">
        <is>
          <t>TORSBY</t>
        </is>
      </c>
      <c r="G201" t="n">
        <v>1.8</v>
      </c>
      <c r="H201" t="n">
        <v>0</v>
      </c>
      <c r="I201" t="n">
        <v>0</v>
      </c>
      <c r="J201" t="n">
        <v>0</v>
      </c>
      <c r="K201" t="n">
        <v>0</v>
      </c>
      <c r="L201" t="n">
        <v>0</v>
      </c>
      <c r="M201" t="n">
        <v>0</v>
      </c>
      <c r="N201" t="n">
        <v>0</v>
      </c>
      <c r="O201" t="n">
        <v>0</v>
      </c>
      <c r="P201" t="n">
        <v>0</v>
      </c>
      <c r="Q201" t="n">
        <v>0</v>
      </c>
      <c r="R201" s="2" t="inlineStr"/>
    </row>
    <row r="202" ht="15" customHeight="1">
      <c r="A202" t="inlineStr">
        <is>
          <t>A 23771-2019</t>
        </is>
      </c>
      <c r="B202" s="1" t="n">
        <v>43595</v>
      </c>
      <c r="C202" s="1" t="n">
        <v>45726</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24667-2019</t>
        </is>
      </c>
      <c r="B203" s="1" t="n">
        <v>43599</v>
      </c>
      <c r="C203" s="1" t="n">
        <v>45726</v>
      </c>
      <c r="D203" t="inlineStr">
        <is>
          <t>VÄRMLANDS LÄN</t>
        </is>
      </c>
      <c r="E203" t="inlineStr">
        <is>
          <t>TORSBY</t>
        </is>
      </c>
      <c r="G203" t="n">
        <v>6.7</v>
      </c>
      <c r="H203" t="n">
        <v>0</v>
      </c>
      <c r="I203" t="n">
        <v>0</v>
      </c>
      <c r="J203" t="n">
        <v>0</v>
      </c>
      <c r="K203" t="n">
        <v>0</v>
      </c>
      <c r="L203" t="n">
        <v>0</v>
      </c>
      <c r="M203" t="n">
        <v>0</v>
      </c>
      <c r="N203" t="n">
        <v>0</v>
      </c>
      <c r="O203" t="n">
        <v>0</v>
      </c>
      <c r="P203" t="n">
        <v>0</v>
      </c>
      <c r="Q203" t="n">
        <v>0</v>
      </c>
      <c r="R203" s="2" t="inlineStr"/>
    </row>
    <row r="204" ht="15" customHeight="1">
      <c r="A204" t="inlineStr">
        <is>
          <t>A 24703-2019</t>
        </is>
      </c>
      <c r="B204" s="1" t="n">
        <v>43601</v>
      </c>
      <c r="C204" s="1" t="n">
        <v>45726</v>
      </c>
      <c r="D204" t="inlineStr">
        <is>
          <t>VÄRMLANDS LÄN</t>
        </is>
      </c>
      <c r="E204" t="inlineStr">
        <is>
          <t>TORSBY</t>
        </is>
      </c>
      <c r="G204" t="n">
        <v>1.5</v>
      </c>
      <c r="H204" t="n">
        <v>0</v>
      </c>
      <c r="I204" t="n">
        <v>0</v>
      </c>
      <c r="J204" t="n">
        <v>0</v>
      </c>
      <c r="K204" t="n">
        <v>0</v>
      </c>
      <c r="L204" t="n">
        <v>0</v>
      </c>
      <c r="M204" t="n">
        <v>0</v>
      </c>
      <c r="N204" t="n">
        <v>0</v>
      </c>
      <c r="O204" t="n">
        <v>0</v>
      </c>
      <c r="P204" t="n">
        <v>0</v>
      </c>
      <c r="Q204" t="n">
        <v>0</v>
      </c>
      <c r="R204" s="2" t="inlineStr"/>
    </row>
    <row r="205" ht="15" customHeight="1">
      <c r="A205" t="inlineStr">
        <is>
          <t>A 26493-2019</t>
        </is>
      </c>
      <c r="B205" s="1" t="n">
        <v>43612</v>
      </c>
      <c r="C205" s="1" t="n">
        <v>45726</v>
      </c>
      <c r="D205" t="inlineStr">
        <is>
          <t>VÄRMLANDS LÄN</t>
        </is>
      </c>
      <c r="E205" t="inlineStr">
        <is>
          <t>TORSBY</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27907-2019</t>
        </is>
      </c>
      <c r="B206" s="1" t="n">
        <v>43612</v>
      </c>
      <c r="C206" s="1" t="n">
        <v>45726</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26783-2019</t>
        </is>
      </c>
      <c r="B207" s="1" t="n">
        <v>43613</v>
      </c>
      <c r="C207" s="1" t="n">
        <v>45726</v>
      </c>
      <c r="D207" t="inlineStr">
        <is>
          <t>VÄRMLANDS LÄN</t>
        </is>
      </c>
      <c r="E207" t="inlineStr">
        <is>
          <t>TORSBY</t>
        </is>
      </c>
      <c r="G207" t="n">
        <v>0.6</v>
      </c>
      <c r="H207" t="n">
        <v>0</v>
      </c>
      <c r="I207" t="n">
        <v>0</v>
      </c>
      <c r="J207" t="n">
        <v>0</v>
      </c>
      <c r="K207" t="n">
        <v>0</v>
      </c>
      <c r="L207" t="n">
        <v>0</v>
      </c>
      <c r="M207" t="n">
        <v>0</v>
      </c>
      <c r="N207" t="n">
        <v>0</v>
      </c>
      <c r="O207" t="n">
        <v>0</v>
      </c>
      <c r="P207" t="n">
        <v>0</v>
      </c>
      <c r="Q207" t="n">
        <v>0</v>
      </c>
      <c r="R207" s="2" t="inlineStr"/>
    </row>
    <row r="208" ht="15" customHeight="1">
      <c r="A208" t="inlineStr">
        <is>
          <t>A 27711-2019</t>
        </is>
      </c>
      <c r="B208" s="1" t="n">
        <v>43619</v>
      </c>
      <c r="C208" s="1" t="n">
        <v>45726</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27682-2019</t>
        </is>
      </c>
      <c r="B209" s="1" t="n">
        <v>43619</v>
      </c>
      <c r="C209" s="1" t="n">
        <v>45726</v>
      </c>
      <c r="D209" t="inlineStr">
        <is>
          <t>VÄRMLANDS LÄN</t>
        </is>
      </c>
      <c r="E209" t="inlineStr">
        <is>
          <t>TORSBY</t>
        </is>
      </c>
      <c r="G209" t="n">
        <v>1.2</v>
      </c>
      <c r="H209" t="n">
        <v>0</v>
      </c>
      <c r="I209" t="n">
        <v>0</v>
      </c>
      <c r="J209" t="n">
        <v>0</v>
      </c>
      <c r="K209" t="n">
        <v>0</v>
      </c>
      <c r="L209" t="n">
        <v>0</v>
      </c>
      <c r="M209" t="n">
        <v>0</v>
      </c>
      <c r="N209" t="n">
        <v>0</v>
      </c>
      <c r="O209" t="n">
        <v>0</v>
      </c>
      <c r="P209" t="n">
        <v>0</v>
      </c>
      <c r="Q209" t="n">
        <v>0</v>
      </c>
      <c r="R209" s="2" t="inlineStr"/>
    </row>
    <row r="210" ht="15" customHeight="1">
      <c r="A210" t="inlineStr">
        <is>
          <t>A 28975-2019</t>
        </is>
      </c>
      <c r="B210" s="1" t="n">
        <v>43619</v>
      </c>
      <c r="C210" s="1" t="n">
        <v>45726</v>
      </c>
      <c r="D210" t="inlineStr">
        <is>
          <t>VÄRMLANDS LÄN</t>
        </is>
      </c>
      <c r="E210" t="inlineStr">
        <is>
          <t>TORSBY</t>
        </is>
      </c>
      <c r="G210" t="n">
        <v>6.5</v>
      </c>
      <c r="H210" t="n">
        <v>0</v>
      </c>
      <c r="I210" t="n">
        <v>0</v>
      </c>
      <c r="J210" t="n">
        <v>0</v>
      </c>
      <c r="K210" t="n">
        <v>0</v>
      </c>
      <c r="L210" t="n">
        <v>0</v>
      </c>
      <c r="M210" t="n">
        <v>0</v>
      </c>
      <c r="N210" t="n">
        <v>0</v>
      </c>
      <c r="O210" t="n">
        <v>0</v>
      </c>
      <c r="P210" t="n">
        <v>0</v>
      </c>
      <c r="Q210" t="n">
        <v>0</v>
      </c>
      <c r="R210" s="2" t="inlineStr"/>
    </row>
    <row r="211" ht="15" customHeight="1">
      <c r="A211" t="inlineStr">
        <is>
          <t>A 28487-2019</t>
        </is>
      </c>
      <c r="B211" s="1" t="n">
        <v>43621</v>
      </c>
      <c r="C211" s="1" t="n">
        <v>45726</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28653-2019</t>
        </is>
      </c>
      <c r="B212" s="1" t="n">
        <v>43627</v>
      </c>
      <c r="C212" s="1" t="n">
        <v>45726</v>
      </c>
      <c r="D212" t="inlineStr">
        <is>
          <t>VÄRMLANDS LÄN</t>
        </is>
      </c>
      <c r="E212" t="inlineStr">
        <is>
          <t>TORSBY</t>
        </is>
      </c>
      <c r="G212" t="n">
        <v>5.2</v>
      </c>
      <c r="H212" t="n">
        <v>0</v>
      </c>
      <c r="I212" t="n">
        <v>0</v>
      </c>
      <c r="J212" t="n">
        <v>0</v>
      </c>
      <c r="K212" t="n">
        <v>0</v>
      </c>
      <c r="L212" t="n">
        <v>0</v>
      </c>
      <c r="M212" t="n">
        <v>0</v>
      </c>
      <c r="N212" t="n">
        <v>0</v>
      </c>
      <c r="O212" t="n">
        <v>0</v>
      </c>
      <c r="P212" t="n">
        <v>0</v>
      </c>
      <c r="Q212" t="n">
        <v>0</v>
      </c>
      <c r="R212" s="2" t="inlineStr"/>
    </row>
    <row r="213" ht="15" customHeight="1">
      <c r="A213" t="inlineStr">
        <is>
          <t>A 28818-2019</t>
        </is>
      </c>
      <c r="B213" s="1" t="n">
        <v>43627</v>
      </c>
      <c r="C213" s="1" t="n">
        <v>45726</v>
      </c>
      <c r="D213" t="inlineStr">
        <is>
          <t>VÄRMLANDS LÄN</t>
        </is>
      </c>
      <c r="E213" t="inlineStr">
        <is>
          <t>TORSBY</t>
        </is>
      </c>
      <c r="F213" t="inlineStr">
        <is>
          <t>Bergvik skog väst AB</t>
        </is>
      </c>
      <c r="G213" t="n">
        <v>58.6</v>
      </c>
      <c r="H213" t="n">
        <v>0</v>
      </c>
      <c r="I213" t="n">
        <v>0</v>
      </c>
      <c r="J213" t="n">
        <v>0</v>
      </c>
      <c r="K213" t="n">
        <v>0</v>
      </c>
      <c r="L213" t="n">
        <v>0</v>
      </c>
      <c r="M213" t="n">
        <v>0</v>
      </c>
      <c r="N213" t="n">
        <v>0</v>
      </c>
      <c r="O213" t="n">
        <v>0</v>
      </c>
      <c r="P213" t="n">
        <v>0</v>
      </c>
      <c r="Q213" t="n">
        <v>0</v>
      </c>
      <c r="R213" s="2" t="inlineStr"/>
    </row>
    <row r="214" ht="15" customHeight="1">
      <c r="A214" t="inlineStr">
        <is>
          <t>A 28889-2019</t>
        </is>
      </c>
      <c r="B214" s="1" t="n">
        <v>43628</v>
      </c>
      <c r="C214" s="1" t="n">
        <v>45726</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29436-2019</t>
        </is>
      </c>
      <c r="B215" s="1" t="n">
        <v>43629</v>
      </c>
      <c r="C215" s="1" t="n">
        <v>45726</v>
      </c>
      <c r="D215" t="inlineStr">
        <is>
          <t>VÄRMLANDS LÄN</t>
        </is>
      </c>
      <c r="E215" t="inlineStr">
        <is>
          <t>TORSBY</t>
        </is>
      </c>
      <c r="F215" t="inlineStr">
        <is>
          <t>Bergvik skog väst AB</t>
        </is>
      </c>
      <c r="G215" t="n">
        <v>33.7</v>
      </c>
      <c r="H215" t="n">
        <v>0</v>
      </c>
      <c r="I215" t="n">
        <v>0</v>
      </c>
      <c r="J215" t="n">
        <v>0</v>
      </c>
      <c r="K215" t="n">
        <v>0</v>
      </c>
      <c r="L215" t="n">
        <v>0</v>
      </c>
      <c r="M215" t="n">
        <v>0</v>
      </c>
      <c r="N215" t="n">
        <v>0</v>
      </c>
      <c r="O215" t="n">
        <v>0</v>
      </c>
      <c r="P215" t="n">
        <v>0</v>
      </c>
      <c r="Q215" t="n">
        <v>0</v>
      </c>
      <c r="R215" s="2" t="inlineStr"/>
    </row>
    <row r="216" ht="15" customHeight="1">
      <c r="A216" t="inlineStr">
        <is>
          <t>A 30031-2019</t>
        </is>
      </c>
      <c r="B216" s="1" t="n">
        <v>43633</v>
      </c>
      <c r="C216" s="1" t="n">
        <v>45726</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30049-2019</t>
        </is>
      </c>
      <c r="B217" s="1" t="n">
        <v>43633</v>
      </c>
      <c r="C217" s="1" t="n">
        <v>45726</v>
      </c>
      <c r="D217" t="inlineStr">
        <is>
          <t>VÄRMLANDS LÄN</t>
        </is>
      </c>
      <c r="E217" t="inlineStr">
        <is>
          <t>TORSBY</t>
        </is>
      </c>
      <c r="G217" t="n">
        <v>7.1</v>
      </c>
      <c r="H217" t="n">
        <v>0</v>
      </c>
      <c r="I217" t="n">
        <v>0</v>
      </c>
      <c r="J217" t="n">
        <v>0</v>
      </c>
      <c r="K217" t="n">
        <v>0</v>
      </c>
      <c r="L217" t="n">
        <v>0</v>
      </c>
      <c r="M217" t="n">
        <v>0</v>
      </c>
      <c r="N217" t="n">
        <v>0</v>
      </c>
      <c r="O217" t="n">
        <v>0</v>
      </c>
      <c r="P217" t="n">
        <v>0</v>
      </c>
      <c r="Q217" t="n">
        <v>0</v>
      </c>
      <c r="R217" s="2" t="inlineStr"/>
    </row>
    <row r="218" ht="15" customHeight="1">
      <c r="A218" t="inlineStr">
        <is>
          <t>A 29984-2019</t>
        </is>
      </c>
      <c r="B218" s="1" t="n">
        <v>43633</v>
      </c>
      <c r="C218" s="1" t="n">
        <v>45726</v>
      </c>
      <c r="D218" t="inlineStr">
        <is>
          <t>VÄRMLANDS LÄN</t>
        </is>
      </c>
      <c r="E218" t="inlineStr">
        <is>
          <t>TORSBY</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30158-2019</t>
        </is>
      </c>
      <c r="B219" s="1" t="n">
        <v>43634</v>
      </c>
      <c r="C219" s="1" t="n">
        <v>45726</v>
      </c>
      <c r="D219" t="inlineStr">
        <is>
          <t>VÄRMLANDS LÄN</t>
        </is>
      </c>
      <c r="E219" t="inlineStr">
        <is>
          <t>TORSBY</t>
        </is>
      </c>
      <c r="G219" t="n">
        <v>3.3</v>
      </c>
      <c r="H219" t="n">
        <v>0</v>
      </c>
      <c r="I219" t="n">
        <v>0</v>
      </c>
      <c r="J219" t="n">
        <v>0</v>
      </c>
      <c r="K219" t="n">
        <v>0</v>
      </c>
      <c r="L219" t="n">
        <v>0</v>
      </c>
      <c r="M219" t="n">
        <v>0</v>
      </c>
      <c r="N219" t="n">
        <v>0</v>
      </c>
      <c r="O219" t="n">
        <v>0</v>
      </c>
      <c r="P219" t="n">
        <v>0</v>
      </c>
      <c r="Q219" t="n">
        <v>0</v>
      </c>
      <c r="R219" s="2" t="inlineStr"/>
    </row>
    <row r="220" ht="15" customHeight="1">
      <c r="A220" t="inlineStr">
        <is>
          <t>A 30596-2019</t>
        </is>
      </c>
      <c r="B220" s="1" t="n">
        <v>43635</v>
      </c>
      <c r="C220" s="1" t="n">
        <v>45726</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30860-2019</t>
        </is>
      </c>
      <c r="B221" s="1" t="n">
        <v>43636</v>
      </c>
      <c r="C221" s="1" t="n">
        <v>45726</v>
      </c>
      <c r="D221" t="inlineStr">
        <is>
          <t>VÄRMLANDS LÄN</t>
        </is>
      </c>
      <c r="E221" t="inlineStr">
        <is>
          <t>TORSBY</t>
        </is>
      </c>
      <c r="G221" t="n">
        <v>11.7</v>
      </c>
      <c r="H221" t="n">
        <v>0</v>
      </c>
      <c r="I221" t="n">
        <v>0</v>
      </c>
      <c r="J221" t="n">
        <v>0</v>
      </c>
      <c r="K221" t="n">
        <v>0</v>
      </c>
      <c r="L221" t="n">
        <v>0</v>
      </c>
      <c r="M221" t="n">
        <v>0</v>
      </c>
      <c r="N221" t="n">
        <v>0</v>
      </c>
      <c r="O221" t="n">
        <v>0</v>
      </c>
      <c r="P221" t="n">
        <v>0</v>
      </c>
      <c r="Q221" t="n">
        <v>0</v>
      </c>
      <c r="R221" s="2" t="inlineStr"/>
    </row>
    <row r="222" ht="15" customHeight="1">
      <c r="A222" t="inlineStr">
        <is>
          <t>A 31109-2019</t>
        </is>
      </c>
      <c r="B222" s="1" t="n">
        <v>43640</v>
      </c>
      <c r="C222" s="1" t="n">
        <v>45726</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31010-2019</t>
        </is>
      </c>
      <c r="B223" s="1" t="n">
        <v>43640</v>
      </c>
      <c r="C223" s="1" t="n">
        <v>45726</v>
      </c>
      <c r="D223" t="inlineStr">
        <is>
          <t>VÄRMLANDS LÄN</t>
        </is>
      </c>
      <c r="E223" t="inlineStr">
        <is>
          <t>TORSBY</t>
        </is>
      </c>
      <c r="G223" t="n">
        <v>4</v>
      </c>
      <c r="H223" t="n">
        <v>0</v>
      </c>
      <c r="I223" t="n">
        <v>0</v>
      </c>
      <c r="J223" t="n">
        <v>0</v>
      </c>
      <c r="K223" t="n">
        <v>0</v>
      </c>
      <c r="L223" t="n">
        <v>0</v>
      </c>
      <c r="M223" t="n">
        <v>0</v>
      </c>
      <c r="N223" t="n">
        <v>0</v>
      </c>
      <c r="O223" t="n">
        <v>0</v>
      </c>
      <c r="P223" t="n">
        <v>0</v>
      </c>
      <c r="Q223" t="n">
        <v>0</v>
      </c>
      <c r="R223" s="2" t="inlineStr"/>
    </row>
    <row r="224" ht="15" customHeight="1">
      <c r="A224" t="inlineStr">
        <is>
          <t>A 31138-2019</t>
        </is>
      </c>
      <c r="B224" s="1" t="n">
        <v>43640</v>
      </c>
      <c r="C224" s="1" t="n">
        <v>45726</v>
      </c>
      <c r="D224" t="inlineStr">
        <is>
          <t>VÄRMLANDS LÄN</t>
        </is>
      </c>
      <c r="E224" t="inlineStr">
        <is>
          <t>TORSBY</t>
        </is>
      </c>
      <c r="F224" t="inlineStr">
        <is>
          <t>Bergvik skog väst AB</t>
        </is>
      </c>
      <c r="G224" t="n">
        <v>1.1</v>
      </c>
      <c r="H224" t="n">
        <v>0</v>
      </c>
      <c r="I224" t="n">
        <v>0</v>
      </c>
      <c r="J224" t="n">
        <v>0</v>
      </c>
      <c r="K224" t="n">
        <v>0</v>
      </c>
      <c r="L224" t="n">
        <v>0</v>
      </c>
      <c r="M224" t="n">
        <v>0</v>
      </c>
      <c r="N224" t="n">
        <v>0</v>
      </c>
      <c r="O224" t="n">
        <v>0</v>
      </c>
      <c r="P224" t="n">
        <v>0</v>
      </c>
      <c r="Q224" t="n">
        <v>0</v>
      </c>
      <c r="R224" s="2" t="inlineStr"/>
    </row>
    <row r="225" ht="15" customHeight="1">
      <c r="A225" t="inlineStr">
        <is>
          <t>A 31543-2019</t>
        </is>
      </c>
      <c r="B225" s="1" t="n">
        <v>43641</v>
      </c>
      <c r="C225" s="1" t="n">
        <v>45726</v>
      </c>
      <c r="D225" t="inlineStr">
        <is>
          <t>VÄRMLANDS LÄN</t>
        </is>
      </c>
      <c r="E225" t="inlineStr">
        <is>
          <t>TORSBY</t>
        </is>
      </c>
      <c r="G225" t="n">
        <v>6</v>
      </c>
      <c r="H225" t="n">
        <v>0</v>
      </c>
      <c r="I225" t="n">
        <v>0</v>
      </c>
      <c r="J225" t="n">
        <v>0</v>
      </c>
      <c r="K225" t="n">
        <v>0</v>
      </c>
      <c r="L225" t="n">
        <v>0</v>
      </c>
      <c r="M225" t="n">
        <v>0</v>
      </c>
      <c r="N225" t="n">
        <v>0</v>
      </c>
      <c r="O225" t="n">
        <v>0</v>
      </c>
      <c r="P225" t="n">
        <v>0</v>
      </c>
      <c r="Q225" t="n">
        <v>0</v>
      </c>
      <c r="R225" s="2" t="inlineStr"/>
    </row>
    <row r="226" ht="15" customHeight="1">
      <c r="A226" t="inlineStr">
        <is>
          <t>A 31930-2019</t>
        </is>
      </c>
      <c r="B226" s="1" t="n">
        <v>43642</v>
      </c>
      <c r="C226" s="1" t="n">
        <v>45726</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32170-2019</t>
        </is>
      </c>
      <c r="B227" s="1" t="n">
        <v>43643</v>
      </c>
      <c r="C227" s="1" t="n">
        <v>45726</v>
      </c>
      <c r="D227" t="inlineStr">
        <is>
          <t>VÄRMLANDS LÄN</t>
        </is>
      </c>
      <c r="E227" t="inlineStr">
        <is>
          <t>TORSBY</t>
        </is>
      </c>
      <c r="G227" t="n">
        <v>4.6</v>
      </c>
      <c r="H227" t="n">
        <v>0</v>
      </c>
      <c r="I227" t="n">
        <v>0</v>
      </c>
      <c r="J227" t="n">
        <v>0</v>
      </c>
      <c r="K227" t="n">
        <v>0</v>
      </c>
      <c r="L227" t="n">
        <v>0</v>
      </c>
      <c r="M227" t="n">
        <v>0</v>
      </c>
      <c r="N227" t="n">
        <v>0</v>
      </c>
      <c r="O227" t="n">
        <v>0</v>
      </c>
      <c r="P227" t="n">
        <v>0</v>
      </c>
      <c r="Q227" t="n">
        <v>0</v>
      </c>
      <c r="R227" s="2" t="inlineStr"/>
    </row>
    <row r="228" ht="15" customHeight="1">
      <c r="A228" t="inlineStr">
        <is>
          <t>A 32443-2019</t>
        </is>
      </c>
      <c r="B228" s="1" t="n">
        <v>43644</v>
      </c>
      <c r="C228" s="1" t="n">
        <v>45726</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32298-2019</t>
        </is>
      </c>
      <c r="B229" s="1" t="n">
        <v>43644</v>
      </c>
      <c r="C229" s="1" t="n">
        <v>45726</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32468-2019</t>
        </is>
      </c>
      <c r="B230" s="1" t="n">
        <v>43644</v>
      </c>
      <c r="C230" s="1" t="n">
        <v>45726</v>
      </c>
      <c r="D230" t="inlineStr">
        <is>
          <t>VÄRMLANDS LÄN</t>
        </is>
      </c>
      <c r="E230" t="inlineStr">
        <is>
          <t>TORSBY</t>
        </is>
      </c>
      <c r="G230" t="n">
        <v>4.7</v>
      </c>
      <c r="H230" t="n">
        <v>0</v>
      </c>
      <c r="I230" t="n">
        <v>0</v>
      </c>
      <c r="J230" t="n">
        <v>0</v>
      </c>
      <c r="K230" t="n">
        <v>0</v>
      </c>
      <c r="L230" t="n">
        <v>0</v>
      </c>
      <c r="M230" t="n">
        <v>0</v>
      </c>
      <c r="N230" t="n">
        <v>0</v>
      </c>
      <c r="O230" t="n">
        <v>0</v>
      </c>
      <c r="P230" t="n">
        <v>0</v>
      </c>
      <c r="Q230" t="n">
        <v>0</v>
      </c>
      <c r="R230" s="2" t="inlineStr"/>
    </row>
    <row r="231" ht="15" customHeight="1">
      <c r="A231" t="inlineStr">
        <is>
          <t>A 32444-2019</t>
        </is>
      </c>
      <c r="B231" s="1" t="n">
        <v>43644</v>
      </c>
      <c r="C231" s="1" t="n">
        <v>45726</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33918-2019</t>
        </is>
      </c>
      <c r="B232" s="1" t="n">
        <v>43654</v>
      </c>
      <c r="C232" s="1" t="n">
        <v>45726</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35505-2019</t>
        </is>
      </c>
      <c r="B233" s="1" t="n">
        <v>43654</v>
      </c>
      <c r="C233" s="1" t="n">
        <v>45726</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35788-2019</t>
        </is>
      </c>
      <c r="B234" s="1" t="n">
        <v>43656</v>
      </c>
      <c r="C234" s="1" t="n">
        <v>45726</v>
      </c>
      <c r="D234" t="inlineStr">
        <is>
          <t>VÄRMLANDS LÄN</t>
        </is>
      </c>
      <c r="E234" t="inlineStr">
        <is>
          <t>TORSBY</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34541-2019</t>
        </is>
      </c>
      <c r="B235" s="1" t="n">
        <v>43657</v>
      </c>
      <c r="C235" s="1" t="n">
        <v>45726</v>
      </c>
      <c r="D235" t="inlineStr">
        <is>
          <t>VÄRMLANDS LÄN</t>
        </is>
      </c>
      <c r="E235" t="inlineStr">
        <is>
          <t>TORSBY</t>
        </is>
      </c>
      <c r="G235" t="n">
        <v>5.7</v>
      </c>
      <c r="H235" t="n">
        <v>0</v>
      </c>
      <c r="I235" t="n">
        <v>0</v>
      </c>
      <c r="J235" t="n">
        <v>0</v>
      </c>
      <c r="K235" t="n">
        <v>0</v>
      </c>
      <c r="L235" t="n">
        <v>0</v>
      </c>
      <c r="M235" t="n">
        <v>0</v>
      </c>
      <c r="N235" t="n">
        <v>0</v>
      </c>
      <c r="O235" t="n">
        <v>0</v>
      </c>
      <c r="P235" t="n">
        <v>0</v>
      </c>
      <c r="Q235" t="n">
        <v>0</v>
      </c>
      <c r="R235" s="2" t="inlineStr"/>
    </row>
    <row r="236" ht="15" customHeight="1">
      <c r="A236" t="inlineStr">
        <is>
          <t>A 36480-2019</t>
        </is>
      </c>
      <c r="B236" s="1" t="n">
        <v>43668</v>
      </c>
      <c r="C236" s="1" t="n">
        <v>45726</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38010-2019</t>
        </is>
      </c>
      <c r="B237" s="1" t="n">
        <v>43669</v>
      </c>
      <c r="C237" s="1" t="n">
        <v>45726</v>
      </c>
      <c r="D237" t="inlineStr">
        <is>
          <t>VÄRMLANDS LÄN</t>
        </is>
      </c>
      <c r="E237" t="inlineStr">
        <is>
          <t>TORSBY</t>
        </is>
      </c>
      <c r="G237" t="n">
        <v>6.2</v>
      </c>
      <c r="H237" t="n">
        <v>0</v>
      </c>
      <c r="I237" t="n">
        <v>0</v>
      </c>
      <c r="J237" t="n">
        <v>0</v>
      </c>
      <c r="K237" t="n">
        <v>0</v>
      </c>
      <c r="L237" t="n">
        <v>0</v>
      </c>
      <c r="M237" t="n">
        <v>0</v>
      </c>
      <c r="N237" t="n">
        <v>0</v>
      </c>
      <c r="O237" t="n">
        <v>0</v>
      </c>
      <c r="P237" t="n">
        <v>0</v>
      </c>
      <c r="Q237" t="n">
        <v>0</v>
      </c>
      <c r="R237" s="2" t="inlineStr"/>
    </row>
    <row r="238" ht="15" customHeight="1">
      <c r="A238" t="inlineStr">
        <is>
          <t>A 38003-2019</t>
        </is>
      </c>
      <c r="B238" s="1" t="n">
        <v>43669</v>
      </c>
      <c r="C238" s="1" t="n">
        <v>45726</v>
      </c>
      <c r="D238" t="inlineStr">
        <is>
          <t>VÄRMLANDS LÄN</t>
        </is>
      </c>
      <c r="E238" t="inlineStr">
        <is>
          <t>TORSBY</t>
        </is>
      </c>
      <c r="G238" t="n">
        <v>3.1</v>
      </c>
      <c r="H238" t="n">
        <v>0</v>
      </c>
      <c r="I238" t="n">
        <v>0</v>
      </c>
      <c r="J238" t="n">
        <v>0</v>
      </c>
      <c r="K238" t="n">
        <v>0</v>
      </c>
      <c r="L238" t="n">
        <v>0</v>
      </c>
      <c r="M238" t="n">
        <v>0</v>
      </c>
      <c r="N238" t="n">
        <v>0</v>
      </c>
      <c r="O238" t="n">
        <v>0</v>
      </c>
      <c r="P238" t="n">
        <v>0</v>
      </c>
      <c r="Q238" t="n">
        <v>0</v>
      </c>
      <c r="R238" s="2" t="inlineStr"/>
    </row>
    <row r="239" ht="15" customHeight="1">
      <c r="A239" t="inlineStr">
        <is>
          <t>A 36712-2019</t>
        </is>
      </c>
      <c r="B239" s="1" t="n">
        <v>43669</v>
      </c>
      <c r="C239" s="1" t="n">
        <v>45726</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36682-2019</t>
        </is>
      </c>
      <c r="B240" s="1" t="n">
        <v>43670</v>
      </c>
      <c r="C240" s="1" t="n">
        <v>45726</v>
      </c>
      <c r="D240" t="inlineStr">
        <is>
          <t>VÄRMLANDS LÄN</t>
        </is>
      </c>
      <c r="E240" t="inlineStr">
        <is>
          <t>TORSBY</t>
        </is>
      </c>
      <c r="G240" t="n">
        <v>8.1</v>
      </c>
      <c r="H240" t="n">
        <v>0</v>
      </c>
      <c r="I240" t="n">
        <v>0</v>
      </c>
      <c r="J240" t="n">
        <v>0</v>
      </c>
      <c r="K240" t="n">
        <v>0</v>
      </c>
      <c r="L240" t="n">
        <v>0</v>
      </c>
      <c r="M240" t="n">
        <v>0</v>
      </c>
      <c r="N240" t="n">
        <v>0</v>
      </c>
      <c r="O240" t="n">
        <v>0</v>
      </c>
      <c r="P240" t="n">
        <v>0</v>
      </c>
      <c r="Q240" t="n">
        <v>0</v>
      </c>
      <c r="R240" s="2" t="inlineStr"/>
    </row>
    <row r="241" ht="15" customHeight="1">
      <c r="A241" t="inlineStr">
        <is>
          <t>A 36734-2019</t>
        </is>
      </c>
      <c r="B241" s="1" t="n">
        <v>43672</v>
      </c>
      <c r="C241" s="1" t="n">
        <v>45726</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36820-2019</t>
        </is>
      </c>
      <c r="B242" s="1" t="n">
        <v>43673</v>
      </c>
      <c r="C242" s="1" t="n">
        <v>45726</v>
      </c>
      <c r="D242" t="inlineStr">
        <is>
          <t>VÄRMLANDS LÄN</t>
        </is>
      </c>
      <c r="E242" t="inlineStr">
        <is>
          <t>TORSBY</t>
        </is>
      </c>
      <c r="G242" t="n">
        <v>0.2</v>
      </c>
      <c r="H242" t="n">
        <v>0</v>
      </c>
      <c r="I242" t="n">
        <v>0</v>
      </c>
      <c r="J242" t="n">
        <v>0</v>
      </c>
      <c r="K242" t="n">
        <v>0</v>
      </c>
      <c r="L242" t="n">
        <v>0</v>
      </c>
      <c r="M242" t="n">
        <v>0</v>
      </c>
      <c r="N242" t="n">
        <v>0</v>
      </c>
      <c r="O242" t="n">
        <v>0</v>
      </c>
      <c r="P242" t="n">
        <v>0</v>
      </c>
      <c r="Q242" t="n">
        <v>0</v>
      </c>
      <c r="R242" s="2" t="inlineStr"/>
    </row>
    <row r="243" ht="15" customHeight="1">
      <c r="A243" t="inlineStr">
        <is>
          <t>A 37005-2019</t>
        </is>
      </c>
      <c r="B243" s="1" t="n">
        <v>43676</v>
      </c>
      <c r="C243" s="1" t="n">
        <v>45726</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37719-2019</t>
        </is>
      </c>
      <c r="B244" s="1" t="n">
        <v>43682</v>
      </c>
      <c r="C244" s="1" t="n">
        <v>45726</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38068-2019</t>
        </is>
      </c>
      <c r="B245" s="1" t="n">
        <v>43683</v>
      </c>
      <c r="C245" s="1" t="n">
        <v>45726</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38265-2019</t>
        </is>
      </c>
      <c r="B246" s="1" t="n">
        <v>43684</v>
      </c>
      <c r="C246" s="1" t="n">
        <v>45726</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39213-2019</t>
        </is>
      </c>
      <c r="B247" s="1" t="n">
        <v>43690</v>
      </c>
      <c r="C247" s="1" t="n">
        <v>45726</v>
      </c>
      <c r="D247" t="inlineStr">
        <is>
          <t>VÄRMLANDS LÄN</t>
        </is>
      </c>
      <c r="E247" t="inlineStr">
        <is>
          <t>TORSBY</t>
        </is>
      </c>
      <c r="G247" t="n">
        <v>1.8</v>
      </c>
      <c r="H247" t="n">
        <v>0</v>
      </c>
      <c r="I247" t="n">
        <v>0</v>
      </c>
      <c r="J247" t="n">
        <v>0</v>
      </c>
      <c r="K247" t="n">
        <v>0</v>
      </c>
      <c r="L247" t="n">
        <v>0</v>
      </c>
      <c r="M247" t="n">
        <v>0</v>
      </c>
      <c r="N247" t="n">
        <v>0</v>
      </c>
      <c r="O247" t="n">
        <v>0</v>
      </c>
      <c r="P247" t="n">
        <v>0</v>
      </c>
      <c r="Q247" t="n">
        <v>0</v>
      </c>
      <c r="R247" s="2" t="inlineStr"/>
    </row>
    <row r="248" ht="15" customHeight="1">
      <c r="A248" t="inlineStr">
        <is>
          <t>A 40632-2019</t>
        </is>
      </c>
      <c r="B248" s="1" t="n">
        <v>43696</v>
      </c>
      <c r="C248" s="1" t="n">
        <v>45726</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40589-2019</t>
        </is>
      </c>
      <c r="B249" s="1" t="n">
        <v>43696</v>
      </c>
      <c r="C249" s="1" t="n">
        <v>45726</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40810-2019</t>
        </is>
      </c>
      <c r="B250" s="1" t="n">
        <v>43697</v>
      </c>
      <c r="C250" s="1" t="n">
        <v>45726</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41698-2019</t>
        </is>
      </c>
      <c r="B251" s="1" t="n">
        <v>43697</v>
      </c>
      <c r="C251" s="1" t="n">
        <v>45726</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42441-2019</t>
        </is>
      </c>
      <c r="B252" s="1" t="n">
        <v>43697</v>
      </c>
      <c r="C252" s="1" t="n">
        <v>45726</v>
      </c>
      <c r="D252" t="inlineStr">
        <is>
          <t>VÄRMLANDS LÄN</t>
        </is>
      </c>
      <c r="E252" t="inlineStr">
        <is>
          <t>TORSBY</t>
        </is>
      </c>
      <c r="G252" t="n">
        <v>2.4</v>
      </c>
      <c r="H252" t="n">
        <v>0</v>
      </c>
      <c r="I252" t="n">
        <v>0</v>
      </c>
      <c r="J252" t="n">
        <v>0</v>
      </c>
      <c r="K252" t="n">
        <v>0</v>
      </c>
      <c r="L252" t="n">
        <v>0</v>
      </c>
      <c r="M252" t="n">
        <v>0</v>
      </c>
      <c r="N252" t="n">
        <v>0</v>
      </c>
      <c r="O252" t="n">
        <v>0</v>
      </c>
      <c r="P252" t="n">
        <v>0</v>
      </c>
      <c r="Q252" t="n">
        <v>0</v>
      </c>
      <c r="R252" s="2" t="inlineStr"/>
    </row>
    <row r="253" ht="15" customHeight="1">
      <c r="A253" t="inlineStr">
        <is>
          <t>A 41436-2019</t>
        </is>
      </c>
      <c r="B253" s="1" t="n">
        <v>43698</v>
      </c>
      <c r="C253" s="1" t="n">
        <v>45726</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41435-2019</t>
        </is>
      </c>
      <c r="B254" s="1" t="n">
        <v>43698</v>
      </c>
      <c r="C254" s="1" t="n">
        <v>45726</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41438-2019</t>
        </is>
      </c>
      <c r="B255" s="1" t="n">
        <v>43698</v>
      </c>
      <c r="C255" s="1" t="n">
        <v>45726</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41621-2019</t>
        </is>
      </c>
      <c r="B256" s="1" t="n">
        <v>43699</v>
      </c>
      <c r="C256" s="1" t="n">
        <v>45726</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42230-2019</t>
        </is>
      </c>
      <c r="B257" s="1" t="n">
        <v>43703</v>
      </c>
      <c r="C257" s="1" t="n">
        <v>45726</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43273-2019</t>
        </is>
      </c>
      <c r="B258" s="1" t="n">
        <v>43704</v>
      </c>
      <c r="C258" s="1" t="n">
        <v>45726</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43897-2019</t>
        </is>
      </c>
      <c r="B259" s="1" t="n">
        <v>43707</v>
      </c>
      <c r="C259" s="1" t="n">
        <v>45726</v>
      </c>
      <c r="D259" t="inlineStr">
        <is>
          <t>VÄRMLANDS LÄN</t>
        </is>
      </c>
      <c r="E259" t="inlineStr">
        <is>
          <t>TORSBY</t>
        </is>
      </c>
      <c r="G259" t="n">
        <v>3.2</v>
      </c>
      <c r="H259" t="n">
        <v>0</v>
      </c>
      <c r="I259" t="n">
        <v>0</v>
      </c>
      <c r="J259" t="n">
        <v>0</v>
      </c>
      <c r="K259" t="n">
        <v>0</v>
      </c>
      <c r="L259" t="n">
        <v>0</v>
      </c>
      <c r="M259" t="n">
        <v>0</v>
      </c>
      <c r="N259" t="n">
        <v>0</v>
      </c>
      <c r="O259" t="n">
        <v>0</v>
      </c>
      <c r="P259" t="n">
        <v>0</v>
      </c>
      <c r="Q259" t="n">
        <v>0</v>
      </c>
      <c r="R259" s="2" t="inlineStr"/>
    </row>
    <row r="260" ht="15" customHeight="1">
      <c r="A260" t="inlineStr">
        <is>
          <t>A 44832-2019</t>
        </is>
      </c>
      <c r="B260" s="1" t="n">
        <v>43707</v>
      </c>
      <c r="C260" s="1" t="n">
        <v>45726</v>
      </c>
      <c r="D260" t="inlineStr">
        <is>
          <t>VÄRMLANDS LÄN</t>
        </is>
      </c>
      <c r="E260" t="inlineStr">
        <is>
          <t>TORSBY</t>
        </is>
      </c>
      <c r="G260" t="n">
        <v>27.1</v>
      </c>
      <c r="H260" t="n">
        <v>0</v>
      </c>
      <c r="I260" t="n">
        <v>0</v>
      </c>
      <c r="J260" t="n">
        <v>0</v>
      </c>
      <c r="K260" t="n">
        <v>0</v>
      </c>
      <c r="L260" t="n">
        <v>0</v>
      </c>
      <c r="M260" t="n">
        <v>0</v>
      </c>
      <c r="N260" t="n">
        <v>0</v>
      </c>
      <c r="O260" t="n">
        <v>0</v>
      </c>
      <c r="P260" t="n">
        <v>0</v>
      </c>
      <c r="Q260" t="n">
        <v>0</v>
      </c>
      <c r="R260" s="2" t="inlineStr"/>
    </row>
    <row r="261" ht="15" customHeight="1">
      <c r="A261" t="inlineStr">
        <is>
          <t>A 44708-2019</t>
        </is>
      </c>
      <c r="B261" s="1" t="n">
        <v>43712</v>
      </c>
      <c r="C261" s="1" t="n">
        <v>45726</v>
      </c>
      <c r="D261" t="inlineStr">
        <is>
          <t>VÄRMLANDS LÄN</t>
        </is>
      </c>
      <c r="E261" t="inlineStr">
        <is>
          <t>TORSBY</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44706-2019</t>
        </is>
      </c>
      <c r="B262" s="1" t="n">
        <v>43712</v>
      </c>
      <c r="C262" s="1" t="n">
        <v>45726</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45053-2019</t>
        </is>
      </c>
      <c r="B263" s="1" t="n">
        <v>43713</v>
      </c>
      <c r="C263" s="1" t="n">
        <v>45726</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45083-2019</t>
        </is>
      </c>
      <c r="B264" s="1" t="n">
        <v>43713</v>
      </c>
      <c r="C264" s="1" t="n">
        <v>45726</v>
      </c>
      <c r="D264" t="inlineStr">
        <is>
          <t>VÄRMLANDS LÄN</t>
        </is>
      </c>
      <c r="E264" t="inlineStr">
        <is>
          <t>TORSBY</t>
        </is>
      </c>
      <c r="F264" t="inlineStr">
        <is>
          <t>Bergvik skog väst AB</t>
        </is>
      </c>
      <c r="G264" t="n">
        <v>37.8</v>
      </c>
      <c r="H264" t="n">
        <v>0</v>
      </c>
      <c r="I264" t="n">
        <v>0</v>
      </c>
      <c r="J264" t="n">
        <v>0</v>
      </c>
      <c r="K264" t="n">
        <v>0</v>
      </c>
      <c r="L264" t="n">
        <v>0</v>
      </c>
      <c r="M264" t="n">
        <v>0</v>
      </c>
      <c r="N264" t="n">
        <v>0</v>
      </c>
      <c r="O264" t="n">
        <v>0</v>
      </c>
      <c r="P264" t="n">
        <v>0</v>
      </c>
      <c r="Q264" t="n">
        <v>0</v>
      </c>
      <c r="R264" s="2" t="inlineStr"/>
    </row>
    <row r="265" ht="15" customHeight="1">
      <c r="A265" t="inlineStr">
        <is>
          <t>A 45189-2019</t>
        </is>
      </c>
      <c r="B265" s="1" t="n">
        <v>43713</v>
      </c>
      <c r="C265" s="1" t="n">
        <v>45726</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45068-2019</t>
        </is>
      </c>
      <c r="B266" s="1" t="n">
        <v>43713</v>
      </c>
      <c r="C266" s="1" t="n">
        <v>45726</v>
      </c>
      <c r="D266" t="inlineStr">
        <is>
          <t>VÄRMLANDS LÄN</t>
        </is>
      </c>
      <c r="E266" t="inlineStr">
        <is>
          <t>TORSBY</t>
        </is>
      </c>
      <c r="G266" t="n">
        <v>2.4</v>
      </c>
      <c r="H266" t="n">
        <v>0</v>
      </c>
      <c r="I266" t="n">
        <v>0</v>
      </c>
      <c r="J266" t="n">
        <v>0</v>
      </c>
      <c r="K266" t="n">
        <v>0</v>
      </c>
      <c r="L266" t="n">
        <v>0</v>
      </c>
      <c r="M266" t="n">
        <v>0</v>
      </c>
      <c r="N266" t="n">
        <v>0</v>
      </c>
      <c r="O266" t="n">
        <v>0</v>
      </c>
      <c r="P266" t="n">
        <v>0</v>
      </c>
      <c r="Q266" t="n">
        <v>0</v>
      </c>
      <c r="R266" s="2" t="inlineStr"/>
    </row>
    <row r="267" ht="15" customHeight="1">
      <c r="A267" t="inlineStr">
        <is>
          <t>A 45891-2019</t>
        </is>
      </c>
      <c r="B267" s="1" t="n">
        <v>43717</v>
      </c>
      <c r="C267" s="1" t="n">
        <v>45726</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46738-2019</t>
        </is>
      </c>
      <c r="B268" s="1" t="n">
        <v>43719</v>
      </c>
      <c r="C268" s="1" t="n">
        <v>45726</v>
      </c>
      <c r="D268" t="inlineStr">
        <is>
          <t>VÄRMLANDS LÄN</t>
        </is>
      </c>
      <c r="E268" t="inlineStr">
        <is>
          <t>TORSBY</t>
        </is>
      </c>
      <c r="G268" t="n">
        <v>1.5</v>
      </c>
      <c r="H268" t="n">
        <v>0</v>
      </c>
      <c r="I268" t="n">
        <v>0</v>
      </c>
      <c r="J268" t="n">
        <v>0</v>
      </c>
      <c r="K268" t="n">
        <v>0</v>
      </c>
      <c r="L268" t="n">
        <v>0</v>
      </c>
      <c r="M268" t="n">
        <v>0</v>
      </c>
      <c r="N268" t="n">
        <v>0</v>
      </c>
      <c r="O268" t="n">
        <v>0</v>
      </c>
      <c r="P268" t="n">
        <v>0</v>
      </c>
      <c r="Q268" t="n">
        <v>0</v>
      </c>
      <c r="R268" s="2" t="inlineStr"/>
    </row>
    <row r="269" ht="15" customHeight="1">
      <c r="A269" t="inlineStr">
        <is>
          <t>A 46743-2019</t>
        </is>
      </c>
      <c r="B269" s="1" t="n">
        <v>43719</v>
      </c>
      <c r="C269" s="1" t="n">
        <v>45726</v>
      </c>
      <c r="D269" t="inlineStr">
        <is>
          <t>VÄRMLANDS LÄN</t>
        </is>
      </c>
      <c r="E269" t="inlineStr">
        <is>
          <t>TORSBY</t>
        </is>
      </c>
      <c r="G269" t="n">
        <v>7</v>
      </c>
      <c r="H269" t="n">
        <v>0</v>
      </c>
      <c r="I269" t="n">
        <v>0</v>
      </c>
      <c r="J269" t="n">
        <v>0</v>
      </c>
      <c r="K269" t="n">
        <v>0</v>
      </c>
      <c r="L269" t="n">
        <v>0</v>
      </c>
      <c r="M269" t="n">
        <v>0</v>
      </c>
      <c r="N269" t="n">
        <v>0</v>
      </c>
      <c r="O269" t="n">
        <v>0</v>
      </c>
      <c r="P269" t="n">
        <v>0</v>
      </c>
      <c r="Q269" t="n">
        <v>0</v>
      </c>
      <c r="R269" s="2" t="inlineStr"/>
    </row>
    <row r="270" ht="15" customHeight="1">
      <c r="A270" t="inlineStr">
        <is>
          <t>A 47114-2019</t>
        </is>
      </c>
      <c r="B270" s="1" t="n">
        <v>43720</v>
      </c>
      <c r="C270" s="1" t="n">
        <v>45726</v>
      </c>
      <c r="D270" t="inlineStr">
        <is>
          <t>VÄRMLANDS LÄN</t>
        </is>
      </c>
      <c r="E270" t="inlineStr">
        <is>
          <t>TORSBY</t>
        </is>
      </c>
      <c r="G270" t="n">
        <v>2.2</v>
      </c>
      <c r="H270" t="n">
        <v>0</v>
      </c>
      <c r="I270" t="n">
        <v>0</v>
      </c>
      <c r="J270" t="n">
        <v>0</v>
      </c>
      <c r="K270" t="n">
        <v>0</v>
      </c>
      <c r="L270" t="n">
        <v>0</v>
      </c>
      <c r="M270" t="n">
        <v>0</v>
      </c>
      <c r="N270" t="n">
        <v>0</v>
      </c>
      <c r="O270" t="n">
        <v>0</v>
      </c>
      <c r="P270" t="n">
        <v>0</v>
      </c>
      <c r="Q270" t="n">
        <v>0</v>
      </c>
      <c r="R270" s="2" t="inlineStr"/>
    </row>
    <row r="271" ht="15" customHeight="1">
      <c r="A271" t="inlineStr">
        <is>
          <t>A 47214-2019</t>
        </is>
      </c>
      <c r="B271" s="1" t="n">
        <v>43721</v>
      </c>
      <c r="C271" s="1" t="n">
        <v>45726</v>
      </c>
      <c r="D271" t="inlineStr">
        <is>
          <t>VÄRMLANDS LÄN</t>
        </is>
      </c>
      <c r="E271" t="inlineStr">
        <is>
          <t>TORSBY</t>
        </is>
      </c>
      <c r="G271" t="n">
        <v>3</v>
      </c>
      <c r="H271" t="n">
        <v>0</v>
      </c>
      <c r="I271" t="n">
        <v>0</v>
      </c>
      <c r="J271" t="n">
        <v>0</v>
      </c>
      <c r="K271" t="n">
        <v>0</v>
      </c>
      <c r="L271" t="n">
        <v>0</v>
      </c>
      <c r="M271" t="n">
        <v>0</v>
      </c>
      <c r="N271" t="n">
        <v>0</v>
      </c>
      <c r="O271" t="n">
        <v>0</v>
      </c>
      <c r="P271" t="n">
        <v>0</v>
      </c>
      <c r="Q271" t="n">
        <v>0</v>
      </c>
      <c r="R271" s="2" t="inlineStr"/>
    </row>
    <row r="272" ht="15" customHeight="1">
      <c r="A272" t="inlineStr">
        <is>
          <t>A 47137-2019</t>
        </is>
      </c>
      <c r="B272" s="1" t="n">
        <v>43721</v>
      </c>
      <c r="C272" s="1" t="n">
        <v>45726</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47316-2019</t>
        </is>
      </c>
      <c r="B273" s="1" t="n">
        <v>43721</v>
      </c>
      <c r="C273" s="1" t="n">
        <v>45726</v>
      </c>
      <c r="D273" t="inlineStr">
        <is>
          <t>VÄRMLANDS LÄN</t>
        </is>
      </c>
      <c r="E273" t="inlineStr">
        <is>
          <t>TORSBY</t>
        </is>
      </c>
      <c r="F273" t="inlineStr">
        <is>
          <t>Bergvik skog väst AB</t>
        </is>
      </c>
      <c r="G273" t="n">
        <v>6.6</v>
      </c>
      <c r="H273" t="n">
        <v>0</v>
      </c>
      <c r="I273" t="n">
        <v>0</v>
      </c>
      <c r="J273" t="n">
        <v>0</v>
      </c>
      <c r="K273" t="n">
        <v>0</v>
      </c>
      <c r="L273" t="n">
        <v>0</v>
      </c>
      <c r="M273" t="n">
        <v>0</v>
      </c>
      <c r="N273" t="n">
        <v>0</v>
      </c>
      <c r="O273" t="n">
        <v>0</v>
      </c>
      <c r="P273" t="n">
        <v>0</v>
      </c>
      <c r="Q273" t="n">
        <v>0</v>
      </c>
      <c r="R273" s="2" t="inlineStr"/>
    </row>
    <row r="274" ht="15" customHeight="1">
      <c r="A274" t="inlineStr">
        <is>
          <t>A 47608-2019</t>
        </is>
      </c>
      <c r="B274" s="1" t="n">
        <v>43724</v>
      </c>
      <c r="C274" s="1" t="n">
        <v>45726</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47772-2019</t>
        </is>
      </c>
      <c r="B275" s="1" t="n">
        <v>43724</v>
      </c>
      <c r="C275" s="1" t="n">
        <v>45726</v>
      </c>
      <c r="D275" t="inlineStr">
        <is>
          <t>VÄRMLANDS LÄN</t>
        </is>
      </c>
      <c r="E275" t="inlineStr">
        <is>
          <t>TORSBY</t>
        </is>
      </c>
      <c r="G275" t="n">
        <v>3.9</v>
      </c>
      <c r="H275" t="n">
        <v>0</v>
      </c>
      <c r="I275" t="n">
        <v>0</v>
      </c>
      <c r="J275" t="n">
        <v>0</v>
      </c>
      <c r="K275" t="n">
        <v>0</v>
      </c>
      <c r="L275" t="n">
        <v>0</v>
      </c>
      <c r="M275" t="n">
        <v>0</v>
      </c>
      <c r="N275" t="n">
        <v>0</v>
      </c>
      <c r="O275" t="n">
        <v>0</v>
      </c>
      <c r="P275" t="n">
        <v>0</v>
      </c>
      <c r="Q275" t="n">
        <v>0</v>
      </c>
      <c r="R275" s="2" t="inlineStr"/>
    </row>
    <row r="276" ht="15" customHeight="1">
      <c r="A276" t="inlineStr">
        <is>
          <t>A 47648-2019</t>
        </is>
      </c>
      <c r="B276" s="1" t="n">
        <v>43724</v>
      </c>
      <c r="C276" s="1" t="n">
        <v>45726</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47502-2019</t>
        </is>
      </c>
      <c r="B277" s="1" t="n">
        <v>43724</v>
      </c>
      <c r="C277" s="1" t="n">
        <v>45726</v>
      </c>
      <c r="D277" t="inlineStr">
        <is>
          <t>VÄRMLANDS LÄN</t>
        </is>
      </c>
      <c r="E277" t="inlineStr">
        <is>
          <t>TORSBY</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47869-2019</t>
        </is>
      </c>
      <c r="B278" s="1" t="n">
        <v>43725</v>
      </c>
      <c r="C278" s="1" t="n">
        <v>45726</v>
      </c>
      <c r="D278" t="inlineStr">
        <is>
          <t>VÄRMLANDS LÄN</t>
        </is>
      </c>
      <c r="E278" t="inlineStr">
        <is>
          <t>TORSBY</t>
        </is>
      </c>
      <c r="G278" t="n">
        <v>4.7</v>
      </c>
      <c r="H278" t="n">
        <v>0</v>
      </c>
      <c r="I278" t="n">
        <v>0</v>
      </c>
      <c r="J278" t="n">
        <v>0</v>
      </c>
      <c r="K278" t="n">
        <v>0</v>
      </c>
      <c r="L278" t="n">
        <v>0</v>
      </c>
      <c r="M278" t="n">
        <v>0</v>
      </c>
      <c r="N278" t="n">
        <v>0</v>
      </c>
      <c r="O278" t="n">
        <v>0</v>
      </c>
      <c r="P278" t="n">
        <v>0</v>
      </c>
      <c r="Q278" t="n">
        <v>0</v>
      </c>
      <c r="R278" s="2" t="inlineStr"/>
    </row>
    <row r="279" ht="15" customHeight="1">
      <c r="A279" t="inlineStr">
        <is>
          <t>A 47979-2019</t>
        </is>
      </c>
      <c r="B279" s="1" t="n">
        <v>43725</v>
      </c>
      <c r="C279" s="1" t="n">
        <v>45726</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48040-2019</t>
        </is>
      </c>
      <c r="B280" s="1" t="n">
        <v>43725</v>
      </c>
      <c r="C280" s="1" t="n">
        <v>45726</v>
      </c>
      <c r="D280" t="inlineStr">
        <is>
          <t>VÄRMLANDS LÄN</t>
        </is>
      </c>
      <c r="E280" t="inlineStr">
        <is>
          <t>TORSBY</t>
        </is>
      </c>
      <c r="G280" t="n">
        <v>2.7</v>
      </c>
      <c r="H280" t="n">
        <v>0</v>
      </c>
      <c r="I280" t="n">
        <v>0</v>
      </c>
      <c r="J280" t="n">
        <v>0</v>
      </c>
      <c r="K280" t="n">
        <v>0</v>
      </c>
      <c r="L280" t="n">
        <v>0</v>
      </c>
      <c r="M280" t="n">
        <v>0</v>
      </c>
      <c r="N280" t="n">
        <v>0</v>
      </c>
      <c r="O280" t="n">
        <v>0</v>
      </c>
      <c r="P280" t="n">
        <v>0</v>
      </c>
      <c r="Q280" t="n">
        <v>0</v>
      </c>
      <c r="R280" s="2" t="inlineStr"/>
    </row>
    <row r="281" ht="15" customHeight="1">
      <c r="A281" t="inlineStr">
        <is>
          <t>A 48346-2019</t>
        </is>
      </c>
      <c r="B281" s="1" t="n">
        <v>43726</v>
      </c>
      <c r="C281" s="1" t="n">
        <v>45726</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48366-2019</t>
        </is>
      </c>
      <c r="B282" s="1" t="n">
        <v>43726</v>
      </c>
      <c r="C282" s="1" t="n">
        <v>45726</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49550-2019</t>
        </is>
      </c>
      <c r="B283" s="1" t="n">
        <v>43727</v>
      </c>
      <c r="C283" s="1" t="n">
        <v>45726</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51497-2019</t>
        </is>
      </c>
      <c r="B284" s="1" t="n">
        <v>43734</v>
      </c>
      <c r="C284" s="1" t="n">
        <v>45726</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50428-2019</t>
        </is>
      </c>
      <c r="B285" s="1" t="n">
        <v>43735</v>
      </c>
      <c r="C285" s="1" t="n">
        <v>45726</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52319-2019</t>
        </is>
      </c>
      <c r="B286" s="1" t="n">
        <v>43735</v>
      </c>
      <c r="C286" s="1" t="n">
        <v>45726</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52326-2019</t>
        </is>
      </c>
      <c r="B287" s="1" t="n">
        <v>43735</v>
      </c>
      <c r="C287" s="1" t="n">
        <v>45726</v>
      </c>
      <c r="D287" t="inlineStr">
        <is>
          <t>VÄRMLANDS LÄN</t>
        </is>
      </c>
      <c r="E287" t="inlineStr">
        <is>
          <t>TORSBY</t>
        </is>
      </c>
      <c r="G287" t="n">
        <v>6.2</v>
      </c>
      <c r="H287" t="n">
        <v>0</v>
      </c>
      <c r="I287" t="n">
        <v>0</v>
      </c>
      <c r="J287" t="n">
        <v>0</v>
      </c>
      <c r="K287" t="n">
        <v>0</v>
      </c>
      <c r="L287" t="n">
        <v>0</v>
      </c>
      <c r="M287" t="n">
        <v>0</v>
      </c>
      <c r="N287" t="n">
        <v>0</v>
      </c>
      <c r="O287" t="n">
        <v>0</v>
      </c>
      <c r="P287" t="n">
        <v>0</v>
      </c>
      <c r="Q287" t="n">
        <v>0</v>
      </c>
      <c r="R287" s="2" t="inlineStr"/>
    </row>
    <row r="288" ht="15" customHeight="1">
      <c r="A288" t="inlineStr">
        <is>
          <t>A 52317-2019</t>
        </is>
      </c>
      <c r="B288" s="1" t="n">
        <v>43735</v>
      </c>
      <c r="C288" s="1" t="n">
        <v>45726</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51254-2019</t>
        </is>
      </c>
      <c r="B289" s="1" t="n">
        <v>43739</v>
      </c>
      <c r="C289" s="1" t="n">
        <v>45726</v>
      </c>
      <c r="D289" t="inlineStr">
        <is>
          <t>VÄRMLANDS LÄN</t>
        </is>
      </c>
      <c r="E289" t="inlineStr">
        <is>
          <t>TORSBY</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52186-2019</t>
        </is>
      </c>
      <c r="B290" s="1" t="n">
        <v>43742</v>
      </c>
      <c r="C290" s="1" t="n">
        <v>45726</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52311-2019</t>
        </is>
      </c>
      <c r="B291" s="1" t="n">
        <v>43745</v>
      </c>
      <c r="C291" s="1" t="n">
        <v>45726</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52674-2019</t>
        </is>
      </c>
      <c r="B292" s="1" t="n">
        <v>43746</v>
      </c>
      <c r="C292" s="1" t="n">
        <v>45726</v>
      </c>
      <c r="D292" t="inlineStr">
        <is>
          <t>VÄRMLANDS LÄN</t>
        </is>
      </c>
      <c r="E292" t="inlineStr">
        <is>
          <t>TORSBY</t>
        </is>
      </c>
      <c r="F292" t="inlineStr">
        <is>
          <t>Bergvik skog väst AB</t>
        </is>
      </c>
      <c r="G292" t="n">
        <v>26.4</v>
      </c>
      <c r="H292" t="n">
        <v>0</v>
      </c>
      <c r="I292" t="n">
        <v>0</v>
      </c>
      <c r="J292" t="n">
        <v>0</v>
      </c>
      <c r="K292" t="n">
        <v>0</v>
      </c>
      <c r="L292" t="n">
        <v>0</v>
      </c>
      <c r="M292" t="n">
        <v>0</v>
      </c>
      <c r="N292" t="n">
        <v>0</v>
      </c>
      <c r="O292" t="n">
        <v>0</v>
      </c>
      <c r="P292" t="n">
        <v>0</v>
      </c>
      <c r="Q292" t="n">
        <v>0</v>
      </c>
      <c r="R292" s="2" t="inlineStr"/>
    </row>
    <row r="293" ht="15" customHeight="1">
      <c r="A293" t="inlineStr">
        <is>
          <t>A 52885-2019</t>
        </is>
      </c>
      <c r="B293" s="1" t="n">
        <v>43746</v>
      </c>
      <c r="C293" s="1" t="n">
        <v>45726</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53271-2019</t>
        </is>
      </c>
      <c r="B294" s="1" t="n">
        <v>43748</v>
      </c>
      <c r="C294" s="1" t="n">
        <v>45726</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54764-2019</t>
        </is>
      </c>
      <c r="B295" s="1" t="n">
        <v>43748</v>
      </c>
      <c r="C295" s="1" t="n">
        <v>45726</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53635-2019</t>
        </is>
      </c>
      <c r="B296" s="1" t="n">
        <v>43749</v>
      </c>
      <c r="C296" s="1" t="n">
        <v>45726</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53746-2019</t>
        </is>
      </c>
      <c r="B297" s="1" t="n">
        <v>43749</v>
      </c>
      <c r="C297" s="1" t="n">
        <v>45726</v>
      </c>
      <c r="D297" t="inlineStr">
        <is>
          <t>VÄRMLANDS LÄN</t>
        </is>
      </c>
      <c r="E297" t="inlineStr">
        <is>
          <t>TORSBY</t>
        </is>
      </c>
      <c r="G297" t="n">
        <v>0.3</v>
      </c>
      <c r="H297" t="n">
        <v>0</v>
      </c>
      <c r="I297" t="n">
        <v>0</v>
      </c>
      <c r="J297" t="n">
        <v>0</v>
      </c>
      <c r="K297" t="n">
        <v>0</v>
      </c>
      <c r="L297" t="n">
        <v>0</v>
      </c>
      <c r="M297" t="n">
        <v>0</v>
      </c>
      <c r="N297" t="n">
        <v>0</v>
      </c>
      <c r="O297" t="n">
        <v>0</v>
      </c>
      <c r="P297" t="n">
        <v>0</v>
      </c>
      <c r="Q297" t="n">
        <v>0</v>
      </c>
      <c r="R297" s="2" t="inlineStr"/>
    </row>
    <row r="298" ht="15" customHeight="1">
      <c r="A298" t="inlineStr">
        <is>
          <t>A 53744-2019</t>
        </is>
      </c>
      <c r="B298" s="1" t="n">
        <v>43749</v>
      </c>
      <c r="C298" s="1" t="n">
        <v>45726</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54437-2019</t>
        </is>
      </c>
      <c r="B299" s="1" t="n">
        <v>43754</v>
      </c>
      <c r="C299" s="1" t="n">
        <v>45726</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56256-2019</t>
        </is>
      </c>
      <c r="B300" s="1" t="n">
        <v>43756</v>
      </c>
      <c r="C300" s="1" t="n">
        <v>45726</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55988-2019</t>
        </is>
      </c>
      <c r="B301" s="1" t="n">
        <v>43759</v>
      </c>
      <c r="C301" s="1" t="n">
        <v>45726</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56704-2019</t>
        </is>
      </c>
      <c r="B302" s="1" t="n">
        <v>43759</v>
      </c>
      <c r="C302" s="1" t="n">
        <v>45726</v>
      </c>
      <c r="D302" t="inlineStr">
        <is>
          <t>VÄRMLANDS LÄN</t>
        </is>
      </c>
      <c r="E302" t="inlineStr">
        <is>
          <t>TORSBY</t>
        </is>
      </c>
      <c r="G302" t="n">
        <v>2.6</v>
      </c>
      <c r="H302" t="n">
        <v>0</v>
      </c>
      <c r="I302" t="n">
        <v>0</v>
      </c>
      <c r="J302" t="n">
        <v>0</v>
      </c>
      <c r="K302" t="n">
        <v>0</v>
      </c>
      <c r="L302" t="n">
        <v>0</v>
      </c>
      <c r="M302" t="n">
        <v>0</v>
      </c>
      <c r="N302" t="n">
        <v>0</v>
      </c>
      <c r="O302" t="n">
        <v>0</v>
      </c>
      <c r="P302" t="n">
        <v>0</v>
      </c>
      <c r="Q302" t="n">
        <v>0</v>
      </c>
      <c r="R302" s="2" t="inlineStr"/>
    </row>
    <row r="303" ht="15" customHeight="1">
      <c r="A303" t="inlineStr">
        <is>
          <t>A 55927-2019</t>
        </is>
      </c>
      <c r="B303" s="1" t="n">
        <v>43761</v>
      </c>
      <c r="C303" s="1" t="n">
        <v>45726</v>
      </c>
      <c r="D303" t="inlineStr">
        <is>
          <t>VÄRMLANDS LÄN</t>
        </is>
      </c>
      <c r="E303" t="inlineStr">
        <is>
          <t>TORSBY</t>
        </is>
      </c>
      <c r="G303" t="n">
        <v>2.8</v>
      </c>
      <c r="H303" t="n">
        <v>0</v>
      </c>
      <c r="I303" t="n">
        <v>0</v>
      </c>
      <c r="J303" t="n">
        <v>0</v>
      </c>
      <c r="K303" t="n">
        <v>0</v>
      </c>
      <c r="L303" t="n">
        <v>0</v>
      </c>
      <c r="M303" t="n">
        <v>0</v>
      </c>
      <c r="N303" t="n">
        <v>0</v>
      </c>
      <c r="O303" t="n">
        <v>0</v>
      </c>
      <c r="P303" t="n">
        <v>0</v>
      </c>
      <c r="Q303" t="n">
        <v>0</v>
      </c>
      <c r="R303" s="2" t="inlineStr"/>
    </row>
    <row r="304" ht="15" customHeight="1">
      <c r="A304" t="inlineStr">
        <is>
          <t>A 56021-2019</t>
        </is>
      </c>
      <c r="B304" s="1" t="n">
        <v>43761</v>
      </c>
      <c r="C304" s="1" t="n">
        <v>45726</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56305-2019</t>
        </is>
      </c>
      <c r="B305" s="1" t="n">
        <v>43762</v>
      </c>
      <c r="C305" s="1" t="n">
        <v>45726</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56594-2019</t>
        </is>
      </c>
      <c r="B306" s="1" t="n">
        <v>43763</v>
      </c>
      <c r="C306" s="1" t="n">
        <v>45726</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56633-2019</t>
        </is>
      </c>
      <c r="B307" s="1" t="n">
        <v>43763</v>
      </c>
      <c r="C307" s="1" t="n">
        <v>45726</v>
      </c>
      <c r="D307" t="inlineStr">
        <is>
          <t>VÄRMLANDS LÄN</t>
        </is>
      </c>
      <c r="E307" t="inlineStr">
        <is>
          <t>TORSBY</t>
        </is>
      </c>
      <c r="G307" t="n">
        <v>1.6</v>
      </c>
      <c r="H307" t="n">
        <v>0</v>
      </c>
      <c r="I307" t="n">
        <v>0</v>
      </c>
      <c r="J307" t="n">
        <v>0</v>
      </c>
      <c r="K307" t="n">
        <v>0</v>
      </c>
      <c r="L307" t="n">
        <v>0</v>
      </c>
      <c r="M307" t="n">
        <v>0</v>
      </c>
      <c r="N307" t="n">
        <v>0</v>
      </c>
      <c r="O307" t="n">
        <v>0</v>
      </c>
      <c r="P307" t="n">
        <v>0</v>
      </c>
      <c r="Q307" t="n">
        <v>0</v>
      </c>
      <c r="R307" s="2" t="inlineStr"/>
    </row>
    <row r="308" ht="15" customHeight="1">
      <c r="A308" t="inlineStr">
        <is>
          <t>A 56824-2019</t>
        </is>
      </c>
      <c r="B308" s="1" t="n">
        <v>43764</v>
      </c>
      <c r="C308" s="1" t="n">
        <v>45726</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56935-2019</t>
        </is>
      </c>
      <c r="B309" s="1" t="n">
        <v>43766</v>
      </c>
      <c r="C309" s="1" t="n">
        <v>45726</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57399-2019</t>
        </is>
      </c>
      <c r="B310" s="1" t="n">
        <v>43767</v>
      </c>
      <c r="C310" s="1" t="n">
        <v>45726</v>
      </c>
      <c r="D310" t="inlineStr">
        <is>
          <t>VÄRMLANDS LÄN</t>
        </is>
      </c>
      <c r="E310" t="inlineStr">
        <is>
          <t>TORSBY</t>
        </is>
      </c>
      <c r="F310" t="inlineStr">
        <is>
          <t>Bergvik skog väst AB</t>
        </is>
      </c>
      <c r="G310" t="n">
        <v>18.9</v>
      </c>
      <c r="H310" t="n">
        <v>0</v>
      </c>
      <c r="I310" t="n">
        <v>0</v>
      </c>
      <c r="J310" t="n">
        <v>0</v>
      </c>
      <c r="K310" t="n">
        <v>0</v>
      </c>
      <c r="L310" t="n">
        <v>0</v>
      </c>
      <c r="M310" t="n">
        <v>0</v>
      </c>
      <c r="N310" t="n">
        <v>0</v>
      </c>
      <c r="O310" t="n">
        <v>0</v>
      </c>
      <c r="P310" t="n">
        <v>0</v>
      </c>
      <c r="Q310" t="n">
        <v>0</v>
      </c>
      <c r="R310" s="2" t="inlineStr"/>
    </row>
    <row r="311" ht="15" customHeight="1">
      <c r="A311" t="inlineStr">
        <is>
          <t>A 57251-2019</t>
        </is>
      </c>
      <c r="B311" s="1" t="n">
        <v>43767</v>
      </c>
      <c r="C311" s="1" t="n">
        <v>45726</v>
      </c>
      <c r="D311" t="inlineStr">
        <is>
          <t>VÄRMLANDS LÄN</t>
        </is>
      </c>
      <c r="E311" t="inlineStr">
        <is>
          <t>TORSBY</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57301-2019</t>
        </is>
      </c>
      <c r="B312" s="1" t="n">
        <v>43767</v>
      </c>
      <c r="C312" s="1" t="n">
        <v>45726</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57268-2019</t>
        </is>
      </c>
      <c r="B313" s="1" t="n">
        <v>43767</v>
      </c>
      <c r="C313" s="1" t="n">
        <v>45726</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58530-2019</t>
        </is>
      </c>
      <c r="B314" s="1" t="n">
        <v>43767</v>
      </c>
      <c r="C314" s="1" t="n">
        <v>45726</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57223-2019</t>
        </is>
      </c>
      <c r="B315" s="1" t="n">
        <v>43767</v>
      </c>
      <c r="C315" s="1" t="n">
        <v>45726</v>
      </c>
      <c r="D315" t="inlineStr">
        <is>
          <t>VÄRMLANDS LÄN</t>
        </is>
      </c>
      <c r="E315" t="inlineStr">
        <is>
          <t>TORSBY</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57566-2019</t>
        </is>
      </c>
      <c r="B316" s="1" t="n">
        <v>43768</v>
      </c>
      <c r="C316" s="1" t="n">
        <v>45726</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57704-2019</t>
        </is>
      </c>
      <c r="B317" s="1" t="n">
        <v>43768</v>
      </c>
      <c r="C317" s="1" t="n">
        <v>45726</v>
      </c>
      <c r="D317" t="inlineStr">
        <is>
          <t>VÄRMLANDS LÄN</t>
        </is>
      </c>
      <c r="E317" t="inlineStr">
        <is>
          <t>TORSBY</t>
        </is>
      </c>
      <c r="F317" t="inlineStr">
        <is>
          <t>Kommuner</t>
        </is>
      </c>
      <c r="G317" t="n">
        <v>0.9</v>
      </c>
      <c r="H317" t="n">
        <v>0</v>
      </c>
      <c r="I317" t="n">
        <v>0</v>
      </c>
      <c r="J317" t="n">
        <v>0</v>
      </c>
      <c r="K317" t="n">
        <v>0</v>
      </c>
      <c r="L317" t="n">
        <v>0</v>
      </c>
      <c r="M317" t="n">
        <v>0</v>
      </c>
      <c r="N317" t="n">
        <v>0</v>
      </c>
      <c r="O317" t="n">
        <v>0</v>
      </c>
      <c r="P317" t="n">
        <v>0</v>
      </c>
      <c r="Q317" t="n">
        <v>0</v>
      </c>
      <c r="R317" s="2" t="inlineStr"/>
    </row>
    <row r="318" ht="15" customHeight="1">
      <c r="A318" t="inlineStr">
        <is>
          <t>A 57565-2019</t>
        </is>
      </c>
      <c r="B318" s="1" t="n">
        <v>43768</v>
      </c>
      <c r="C318" s="1" t="n">
        <v>45726</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58004-2019</t>
        </is>
      </c>
      <c r="B319" s="1" t="n">
        <v>43769</v>
      </c>
      <c r="C319" s="1" t="n">
        <v>45726</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58678-2019</t>
        </is>
      </c>
      <c r="B320" s="1" t="n">
        <v>43773</v>
      </c>
      <c r="C320" s="1" t="n">
        <v>45726</v>
      </c>
      <c r="D320" t="inlineStr">
        <is>
          <t>VÄRMLANDS LÄN</t>
        </is>
      </c>
      <c r="E320" t="inlineStr">
        <is>
          <t>TORSBY</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59127-2019</t>
        </is>
      </c>
      <c r="B321" s="1" t="n">
        <v>43775</v>
      </c>
      <c r="C321" s="1" t="n">
        <v>45726</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59593-2019</t>
        </is>
      </c>
      <c r="B322" s="1" t="n">
        <v>43776</v>
      </c>
      <c r="C322" s="1" t="n">
        <v>45726</v>
      </c>
      <c r="D322" t="inlineStr">
        <is>
          <t>VÄRMLANDS LÄN</t>
        </is>
      </c>
      <c r="E322" t="inlineStr">
        <is>
          <t>TORSBY</t>
        </is>
      </c>
      <c r="F322" t="inlineStr">
        <is>
          <t>Bergvik skog väst AB</t>
        </is>
      </c>
      <c r="G322" t="n">
        <v>6.8</v>
      </c>
      <c r="H322" t="n">
        <v>0</v>
      </c>
      <c r="I322" t="n">
        <v>0</v>
      </c>
      <c r="J322" t="n">
        <v>0</v>
      </c>
      <c r="K322" t="n">
        <v>0</v>
      </c>
      <c r="L322" t="n">
        <v>0</v>
      </c>
      <c r="M322" t="n">
        <v>0</v>
      </c>
      <c r="N322" t="n">
        <v>0</v>
      </c>
      <c r="O322" t="n">
        <v>0</v>
      </c>
      <c r="P322" t="n">
        <v>0</v>
      </c>
      <c r="Q322" t="n">
        <v>0</v>
      </c>
      <c r="R322" s="2" t="inlineStr"/>
    </row>
    <row r="323" ht="15" customHeight="1">
      <c r="A323" t="inlineStr">
        <is>
          <t>A 60545-2019</t>
        </is>
      </c>
      <c r="B323" s="1" t="n">
        <v>43781</v>
      </c>
      <c r="C323" s="1" t="n">
        <v>45726</v>
      </c>
      <c r="D323" t="inlineStr">
        <is>
          <t>VÄRMLANDS LÄN</t>
        </is>
      </c>
      <c r="E323" t="inlineStr">
        <is>
          <t>TORSBY</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61074-2019</t>
        </is>
      </c>
      <c r="B324" s="1" t="n">
        <v>43782</v>
      </c>
      <c r="C324" s="1" t="n">
        <v>45726</v>
      </c>
      <c r="D324" t="inlineStr">
        <is>
          <t>VÄRMLANDS LÄN</t>
        </is>
      </c>
      <c r="E324" t="inlineStr">
        <is>
          <t>TORSBY</t>
        </is>
      </c>
      <c r="G324" t="n">
        <v>6.4</v>
      </c>
      <c r="H324" t="n">
        <v>0</v>
      </c>
      <c r="I324" t="n">
        <v>0</v>
      </c>
      <c r="J324" t="n">
        <v>0</v>
      </c>
      <c r="K324" t="n">
        <v>0</v>
      </c>
      <c r="L324" t="n">
        <v>0</v>
      </c>
      <c r="M324" t="n">
        <v>0</v>
      </c>
      <c r="N324" t="n">
        <v>0</v>
      </c>
      <c r="O324" t="n">
        <v>0</v>
      </c>
      <c r="P324" t="n">
        <v>0</v>
      </c>
      <c r="Q324" t="n">
        <v>0</v>
      </c>
      <c r="R324" s="2" t="inlineStr"/>
    </row>
    <row r="325" ht="15" customHeight="1">
      <c r="A325" t="inlineStr">
        <is>
          <t>A 62050-2019</t>
        </is>
      </c>
      <c r="B325" s="1" t="n">
        <v>43787</v>
      </c>
      <c r="C325" s="1" t="n">
        <v>45726</v>
      </c>
      <c r="D325" t="inlineStr">
        <is>
          <t>VÄRMLANDS LÄN</t>
        </is>
      </c>
      <c r="E325" t="inlineStr">
        <is>
          <t>TORSBY</t>
        </is>
      </c>
      <c r="F325" t="inlineStr">
        <is>
          <t>Bergvik skog väst AB</t>
        </is>
      </c>
      <c r="G325" t="n">
        <v>4.3</v>
      </c>
      <c r="H325" t="n">
        <v>0</v>
      </c>
      <c r="I325" t="n">
        <v>0</v>
      </c>
      <c r="J325" t="n">
        <v>0</v>
      </c>
      <c r="K325" t="n">
        <v>0</v>
      </c>
      <c r="L325" t="n">
        <v>0</v>
      </c>
      <c r="M325" t="n">
        <v>0</v>
      </c>
      <c r="N325" t="n">
        <v>0</v>
      </c>
      <c r="O325" t="n">
        <v>0</v>
      </c>
      <c r="P325" t="n">
        <v>0</v>
      </c>
      <c r="Q325" t="n">
        <v>0</v>
      </c>
      <c r="R325" s="2" t="inlineStr"/>
    </row>
    <row r="326" ht="15" customHeight="1">
      <c r="A326" t="inlineStr">
        <is>
          <t>A 61958-2019</t>
        </is>
      </c>
      <c r="B326" s="1" t="n">
        <v>43787</v>
      </c>
      <c r="C326" s="1" t="n">
        <v>45726</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62255-2019</t>
        </is>
      </c>
      <c r="B327" s="1" t="n">
        <v>43788</v>
      </c>
      <c r="C327" s="1" t="n">
        <v>45726</v>
      </c>
      <c r="D327" t="inlineStr">
        <is>
          <t>VÄRMLANDS LÄN</t>
        </is>
      </c>
      <c r="E327" t="inlineStr">
        <is>
          <t>TORSBY</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62286-2019</t>
        </is>
      </c>
      <c r="B328" s="1" t="n">
        <v>43788</v>
      </c>
      <c r="C328" s="1" t="n">
        <v>45726</v>
      </c>
      <c r="D328" t="inlineStr">
        <is>
          <t>VÄRMLANDS LÄN</t>
        </is>
      </c>
      <c r="E328" t="inlineStr">
        <is>
          <t>TORSBY</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63743-2019</t>
        </is>
      </c>
      <c r="B329" s="1" t="n">
        <v>43795</v>
      </c>
      <c r="C329" s="1" t="n">
        <v>45726</v>
      </c>
      <c r="D329" t="inlineStr">
        <is>
          <t>VÄRMLANDS LÄN</t>
        </is>
      </c>
      <c r="E329" t="inlineStr">
        <is>
          <t>TORSBY</t>
        </is>
      </c>
      <c r="F329" t="inlineStr">
        <is>
          <t>Bergvik skog väst AB</t>
        </is>
      </c>
      <c r="G329" t="n">
        <v>6.3</v>
      </c>
      <c r="H329" t="n">
        <v>0</v>
      </c>
      <c r="I329" t="n">
        <v>0</v>
      </c>
      <c r="J329" t="n">
        <v>0</v>
      </c>
      <c r="K329" t="n">
        <v>0</v>
      </c>
      <c r="L329" t="n">
        <v>0</v>
      </c>
      <c r="M329" t="n">
        <v>0</v>
      </c>
      <c r="N329" t="n">
        <v>0</v>
      </c>
      <c r="O329" t="n">
        <v>0</v>
      </c>
      <c r="P329" t="n">
        <v>0</v>
      </c>
      <c r="Q329" t="n">
        <v>0</v>
      </c>
      <c r="R329" s="2" t="inlineStr"/>
    </row>
    <row r="330" ht="15" customHeight="1">
      <c r="A330" t="inlineStr">
        <is>
          <t>A 64114-2019</t>
        </is>
      </c>
      <c r="B330" s="1" t="n">
        <v>43796</v>
      </c>
      <c r="C330" s="1" t="n">
        <v>45726</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64444-2019</t>
        </is>
      </c>
      <c r="B331" s="1" t="n">
        <v>43797</v>
      </c>
      <c r="C331" s="1" t="n">
        <v>45726</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65187-2019</t>
        </is>
      </c>
      <c r="B332" s="1" t="n">
        <v>43797</v>
      </c>
      <c r="C332" s="1" t="n">
        <v>45726</v>
      </c>
      <c r="D332" t="inlineStr">
        <is>
          <t>VÄRMLANDS LÄN</t>
        </is>
      </c>
      <c r="E332" t="inlineStr">
        <is>
          <t>TORSBY</t>
        </is>
      </c>
      <c r="G332" t="n">
        <v>2</v>
      </c>
      <c r="H332" t="n">
        <v>0</v>
      </c>
      <c r="I332" t="n">
        <v>0</v>
      </c>
      <c r="J332" t="n">
        <v>0</v>
      </c>
      <c r="K332" t="n">
        <v>0</v>
      </c>
      <c r="L332" t="n">
        <v>0</v>
      </c>
      <c r="M332" t="n">
        <v>0</v>
      </c>
      <c r="N332" t="n">
        <v>0</v>
      </c>
      <c r="O332" t="n">
        <v>0</v>
      </c>
      <c r="P332" t="n">
        <v>0</v>
      </c>
      <c r="Q332" t="n">
        <v>0</v>
      </c>
      <c r="R332" s="2" t="inlineStr"/>
    </row>
    <row r="333" ht="15" customHeight="1">
      <c r="A333" t="inlineStr">
        <is>
          <t>A 65243-2019</t>
        </is>
      </c>
      <c r="B333" s="1" t="n">
        <v>43797</v>
      </c>
      <c r="C333" s="1" t="n">
        <v>45726</v>
      </c>
      <c r="D333" t="inlineStr">
        <is>
          <t>VÄRMLANDS LÄN</t>
        </is>
      </c>
      <c r="E333" t="inlineStr">
        <is>
          <t>TORSBY</t>
        </is>
      </c>
      <c r="F333" t="inlineStr">
        <is>
          <t>Övriga statliga verk och myndigheter</t>
        </is>
      </c>
      <c r="G333" t="n">
        <v>20.3</v>
      </c>
      <c r="H333" t="n">
        <v>0</v>
      </c>
      <c r="I333" t="n">
        <v>0</v>
      </c>
      <c r="J333" t="n">
        <v>0</v>
      </c>
      <c r="K333" t="n">
        <v>0</v>
      </c>
      <c r="L333" t="n">
        <v>0</v>
      </c>
      <c r="M333" t="n">
        <v>0</v>
      </c>
      <c r="N333" t="n">
        <v>0</v>
      </c>
      <c r="O333" t="n">
        <v>0</v>
      </c>
      <c r="P333" t="n">
        <v>0</v>
      </c>
      <c r="Q333" t="n">
        <v>0</v>
      </c>
      <c r="R333" s="2" t="inlineStr"/>
    </row>
    <row r="334" ht="15" customHeight="1">
      <c r="A334" t="inlineStr">
        <is>
          <t>A 64803-2019</t>
        </is>
      </c>
      <c r="B334" s="1" t="n">
        <v>43801</v>
      </c>
      <c r="C334" s="1" t="n">
        <v>45726</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65132-2019</t>
        </is>
      </c>
      <c r="B335" s="1" t="n">
        <v>43802</v>
      </c>
      <c r="C335" s="1" t="n">
        <v>45726</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65076-2019</t>
        </is>
      </c>
      <c r="B336" s="1" t="n">
        <v>43802</v>
      </c>
      <c r="C336" s="1" t="n">
        <v>45726</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65465-2019</t>
        </is>
      </c>
      <c r="B337" s="1" t="n">
        <v>43803</v>
      </c>
      <c r="C337" s="1" t="n">
        <v>45726</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65914-2019</t>
        </is>
      </c>
      <c r="B338" s="1" t="n">
        <v>43805</v>
      </c>
      <c r="C338" s="1" t="n">
        <v>45726</v>
      </c>
      <c r="D338" t="inlineStr">
        <is>
          <t>VÄRMLANDS LÄN</t>
        </is>
      </c>
      <c r="E338" t="inlineStr">
        <is>
          <t>TORSBY</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67527-2019</t>
        </is>
      </c>
      <c r="B339" s="1" t="n">
        <v>43808</v>
      </c>
      <c r="C339" s="1" t="n">
        <v>45726</v>
      </c>
      <c r="D339" t="inlineStr">
        <is>
          <t>VÄRMLANDS LÄN</t>
        </is>
      </c>
      <c r="E339" t="inlineStr">
        <is>
          <t>TORSBY</t>
        </is>
      </c>
      <c r="G339" t="n">
        <v>1.2</v>
      </c>
      <c r="H339" t="n">
        <v>0</v>
      </c>
      <c r="I339" t="n">
        <v>0</v>
      </c>
      <c r="J339" t="n">
        <v>0</v>
      </c>
      <c r="K339" t="n">
        <v>0</v>
      </c>
      <c r="L339" t="n">
        <v>0</v>
      </c>
      <c r="M339" t="n">
        <v>0</v>
      </c>
      <c r="N339" t="n">
        <v>0</v>
      </c>
      <c r="O339" t="n">
        <v>0</v>
      </c>
      <c r="P339" t="n">
        <v>0</v>
      </c>
      <c r="Q339" t="n">
        <v>0</v>
      </c>
      <c r="R339" s="2" t="inlineStr"/>
    </row>
    <row r="340" ht="15" customHeight="1">
      <c r="A340" t="inlineStr">
        <is>
          <t>A 66690-2019</t>
        </is>
      </c>
      <c r="B340" s="1" t="n">
        <v>43809</v>
      </c>
      <c r="C340" s="1" t="n">
        <v>45726</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66689-2019</t>
        </is>
      </c>
      <c r="B341" s="1" t="n">
        <v>43809</v>
      </c>
      <c r="C341" s="1" t="n">
        <v>45726</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67686-2019</t>
        </is>
      </c>
      <c r="B342" s="1" t="n">
        <v>43809</v>
      </c>
      <c r="C342" s="1" t="n">
        <v>45726</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66688-2019</t>
        </is>
      </c>
      <c r="B343" s="1" t="n">
        <v>43809</v>
      </c>
      <c r="C343" s="1" t="n">
        <v>45726</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67690-2019</t>
        </is>
      </c>
      <c r="B344" s="1" t="n">
        <v>43809</v>
      </c>
      <c r="C344" s="1" t="n">
        <v>45726</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67671-2019</t>
        </is>
      </c>
      <c r="B345" s="1" t="n">
        <v>43810</v>
      </c>
      <c r="C345" s="1" t="n">
        <v>45726</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67728-2019</t>
        </is>
      </c>
      <c r="B346" s="1" t="n">
        <v>43815</v>
      </c>
      <c r="C346" s="1" t="n">
        <v>45726</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68354-2019</t>
        </is>
      </c>
      <c r="B347" s="1" t="n">
        <v>43818</v>
      </c>
      <c r="C347" s="1" t="n">
        <v>45726</v>
      </c>
      <c r="D347" t="inlineStr">
        <is>
          <t>VÄRMLANDS LÄN</t>
        </is>
      </c>
      <c r="E347" t="inlineStr">
        <is>
          <t>TORSBY</t>
        </is>
      </c>
      <c r="G347" t="n">
        <v>61.1</v>
      </c>
      <c r="H347" t="n">
        <v>0</v>
      </c>
      <c r="I347" t="n">
        <v>0</v>
      </c>
      <c r="J347" t="n">
        <v>0</v>
      </c>
      <c r="K347" t="n">
        <v>0</v>
      </c>
      <c r="L347" t="n">
        <v>0</v>
      </c>
      <c r="M347" t="n">
        <v>0</v>
      </c>
      <c r="N347" t="n">
        <v>0</v>
      </c>
      <c r="O347" t="n">
        <v>0</v>
      </c>
      <c r="P347" t="n">
        <v>0</v>
      </c>
      <c r="Q347" t="n">
        <v>0</v>
      </c>
      <c r="R347" s="2" t="inlineStr"/>
    </row>
    <row r="348" ht="15" customHeight="1">
      <c r="A348" t="inlineStr">
        <is>
          <t>A 68360-2019</t>
        </is>
      </c>
      <c r="B348" s="1" t="n">
        <v>43818</v>
      </c>
      <c r="C348" s="1" t="n">
        <v>45726</v>
      </c>
      <c r="D348" t="inlineStr">
        <is>
          <t>VÄRMLANDS LÄN</t>
        </is>
      </c>
      <c r="E348" t="inlineStr">
        <is>
          <t>TORSBY</t>
        </is>
      </c>
      <c r="G348" t="n">
        <v>9</v>
      </c>
      <c r="H348" t="n">
        <v>0</v>
      </c>
      <c r="I348" t="n">
        <v>0</v>
      </c>
      <c r="J348" t="n">
        <v>0</v>
      </c>
      <c r="K348" t="n">
        <v>0</v>
      </c>
      <c r="L348" t="n">
        <v>0</v>
      </c>
      <c r="M348" t="n">
        <v>0</v>
      </c>
      <c r="N348" t="n">
        <v>0</v>
      </c>
      <c r="O348" t="n">
        <v>0</v>
      </c>
      <c r="P348" t="n">
        <v>0</v>
      </c>
      <c r="Q348" t="n">
        <v>0</v>
      </c>
      <c r="R348" s="2" t="inlineStr"/>
    </row>
    <row r="349" ht="15" customHeight="1">
      <c r="A349" t="inlineStr">
        <is>
          <t>A 68553-2019</t>
        </is>
      </c>
      <c r="B349" s="1" t="n">
        <v>43818</v>
      </c>
      <c r="C349" s="1" t="n">
        <v>45726</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140-2020</t>
        </is>
      </c>
      <c r="B350" s="1" t="n">
        <v>43833</v>
      </c>
      <c r="C350" s="1" t="n">
        <v>45726</v>
      </c>
      <c r="D350" t="inlineStr">
        <is>
          <t>VÄRMLANDS LÄN</t>
        </is>
      </c>
      <c r="E350" t="inlineStr">
        <is>
          <t>TORSBY</t>
        </is>
      </c>
      <c r="G350" t="n">
        <v>2.8</v>
      </c>
      <c r="H350" t="n">
        <v>0</v>
      </c>
      <c r="I350" t="n">
        <v>0</v>
      </c>
      <c r="J350" t="n">
        <v>0</v>
      </c>
      <c r="K350" t="n">
        <v>0</v>
      </c>
      <c r="L350" t="n">
        <v>0</v>
      </c>
      <c r="M350" t="n">
        <v>0</v>
      </c>
      <c r="N350" t="n">
        <v>0</v>
      </c>
      <c r="O350" t="n">
        <v>0</v>
      </c>
      <c r="P350" t="n">
        <v>0</v>
      </c>
      <c r="Q350" t="n">
        <v>0</v>
      </c>
      <c r="R350" s="2" t="inlineStr"/>
    </row>
    <row r="351" ht="15" customHeight="1">
      <c r="A351" t="inlineStr">
        <is>
          <t>A 338-2020</t>
        </is>
      </c>
      <c r="B351" s="1" t="n">
        <v>43837</v>
      </c>
      <c r="C351" s="1" t="n">
        <v>45726</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388-2020</t>
        </is>
      </c>
      <c r="B352" s="1" t="n">
        <v>43837</v>
      </c>
      <c r="C352" s="1" t="n">
        <v>45726</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3263-2020</t>
        </is>
      </c>
      <c r="B353" s="1" t="n">
        <v>43844</v>
      </c>
      <c r="C353" s="1" t="n">
        <v>45726</v>
      </c>
      <c r="D353" t="inlineStr">
        <is>
          <t>VÄRMLANDS LÄN</t>
        </is>
      </c>
      <c r="E353" t="inlineStr">
        <is>
          <t>TORSBY</t>
        </is>
      </c>
      <c r="G353" t="n">
        <v>14.7</v>
      </c>
      <c r="H353" t="n">
        <v>0</v>
      </c>
      <c r="I353" t="n">
        <v>0</v>
      </c>
      <c r="J353" t="n">
        <v>0</v>
      </c>
      <c r="K353" t="n">
        <v>0</v>
      </c>
      <c r="L353" t="n">
        <v>0</v>
      </c>
      <c r="M353" t="n">
        <v>0</v>
      </c>
      <c r="N353" t="n">
        <v>0</v>
      </c>
      <c r="O353" t="n">
        <v>0</v>
      </c>
      <c r="P353" t="n">
        <v>0</v>
      </c>
      <c r="Q353" t="n">
        <v>0</v>
      </c>
      <c r="R353" s="2" t="inlineStr"/>
    </row>
    <row r="354" ht="15" customHeight="1">
      <c r="A354" t="inlineStr">
        <is>
          <t>A 3172-2020</t>
        </is>
      </c>
      <c r="B354" s="1" t="n">
        <v>43844</v>
      </c>
      <c r="C354" s="1" t="n">
        <v>45726</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2082-2020</t>
        </is>
      </c>
      <c r="B355" s="1" t="n">
        <v>43845</v>
      </c>
      <c r="C355" s="1" t="n">
        <v>45726</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1875-2020</t>
        </is>
      </c>
      <c r="B356" s="1" t="n">
        <v>43845</v>
      </c>
      <c r="C356" s="1" t="n">
        <v>45726</v>
      </c>
      <c r="D356" t="inlineStr">
        <is>
          <t>VÄRMLANDS LÄN</t>
        </is>
      </c>
      <c r="E356" t="inlineStr">
        <is>
          <t>TORSBY</t>
        </is>
      </c>
      <c r="G356" t="n">
        <v>3</v>
      </c>
      <c r="H356" t="n">
        <v>0</v>
      </c>
      <c r="I356" t="n">
        <v>0</v>
      </c>
      <c r="J356" t="n">
        <v>0</v>
      </c>
      <c r="K356" t="n">
        <v>0</v>
      </c>
      <c r="L356" t="n">
        <v>0</v>
      </c>
      <c r="M356" t="n">
        <v>0</v>
      </c>
      <c r="N356" t="n">
        <v>0</v>
      </c>
      <c r="O356" t="n">
        <v>0</v>
      </c>
      <c r="P356" t="n">
        <v>0</v>
      </c>
      <c r="Q356" t="n">
        <v>0</v>
      </c>
      <c r="R356" s="2" t="inlineStr"/>
    </row>
    <row r="357" ht="15" customHeight="1">
      <c r="A357" t="inlineStr">
        <is>
          <t>A 2068-2020</t>
        </is>
      </c>
      <c r="B357" s="1" t="n">
        <v>43845</v>
      </c>
      <c r="C357" s="1" t="n">
        <v>45726</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4017-2020</t>
        </is>
      </c>
      <c r="B358" s="1" t="n">
        <v>43846</v>
      </c>
      <c r="C358" s="1" t="n">
        <v>45726</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4753-2020</t>
        </is>
      </c>
      <c r="B359" s="1" t="n">
        <v>43859</v>
      </c>
      <c r="C359" s="1" t="n">
        <v>45726</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5180-2020</t>
        </is>
      </c>
      <c r="B360" s="1" t="n">
        <v>43860</v>
      </c>
      <c r="C360" s="1" t="n">
        <v>45726</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5426-2020</t>
        </is>
      </c>
      <c r="B361" s="1" t="n">
        <v>43861</v>
      </c>
      <c r="C361" s="1" t="n">
        <v>45726</v>
      </c>
      <c r="D361" t="inlineStr">
        <is>
          <t>VÄRMLANDS LÄN</t>
        </is>
      </c>
      <c r="E361" t="inlineStr">
        <is>
          <t>TORSBY</t>
        </is>
      </c>
      <c r="G361" t="n">
        <v>7.2</v>
      </c>
      <c r="H361" t="n">
        <v>0</v>
      </c>
      <c r="I361" t="n">
        <v>0</v>
      </c>
      <c r="J361" t="n">
        <v>0</v>
      </c>
      <c r="K361" t="n">
        <v>0</v>
      </c>
      <c r="L361" t="n">
        <v>0</v>
      </c>
      <c r="M361" t="n">
        <v>0</v>
      </c>
      <c r="N361" t="n">
        <v>0</v>
      </c>
      <c r="O361" t="n">
        <v>0</v>
      </c>
      <c r="P361" t="n">
        <v>0</v>
      </c>
      <c r="Q361" t="n">
        <v>0</v>
      </c>
      <c r="R361" s="2" t="inlineStr"/>
    </row>
    <row r="362" ht="15" customHeight="1">
      <c r="A362" t="inlineStr">
        <is>
          <t>A 5425-2020</t>
        </is>
      </c>
      <c r="B362" s="1" t="n">
        <v>43861</v>
      </c>
      <c r="C362" s="1" t="n">
        <v>45726</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5427-2020</t>
        </is>
      </c>
      <c r="B363" s="1" t="n">
        <v>43861</v>
      </c>
      <c r="C363" s="1" t="n">
        <v>45726</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7000-2020</t>
        </is>
      </c>
      <c r="B364" s="1" t="n">
        <v>43868</v>
      </c>
      <c r="C364" s="1" t="n">
        <v>45726</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6862-2020</t>
        </is>
      </c>
      <c r="B365" s="1" t="n">
        <v>43868</v>
      </c>
      <c r="C365" s="1" t="n">
        <v>45726</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7153-2020</t>
        </is>
      </c>
      <c r="B366" s="1" t="n">
        <v>43870</v>
      </c>
      <c r="C366" s="1" t="n">
        <v>45726</v>
      </c>
      <c r="D366" t="inlineStr">
        <is>
          <t>VÄRMLANDS LÄN</t>
        </is>
      </c>
      <c r="E366" t="inlineStr">
        <is>
          <t>TORSBY</t>
        </is>
      </c>
      <c r="G366" t="n">
        <v>2.5</v>
      </c>
      <c r="H366" t="n">
        <v>0</v>
      </c>
      <c r="I366" t="n">
        <v>0</v>
      </c>
      <c r="J366" t="n">
        <v>0</v>
      </c>
      <c r="K366" t="n">
        <v>0</v>
      </c>
      <c r="L366" t="n">
        <v>0</v>
      </c>
      <c r="M366" t="n">
        <v>0</v>
      </c>
      <c r="N366" t="n">
        <v>0</v>
      </c>
      <c r="O366" t="n">
        <v>0</v>
      </c>
      <c r="P366" t="n">
        <v>0</v>
      </c>
      <c r="Q366" t="n">
        <v>0</v>
      </c>
      <c r="R366" s="2" t="inlineStr"/>
    </row>
    <row r="367" ht="15" customHeight="1">
      <c r="A367" t="inlineStr">
        <is>
          <t>A 7279-2020</t>
        </is>
      </c>
      <c r="B367" s="1" t="n">
        <v>43871</v>
      </c>
      <c r="C367" s="1" t="n">
        <v>45726</v>
      </c>
      <c r="D367" t="inlineStr">
        <is>
          <t>VÄRMLANDS LÄN</t>
        </is>
      </c>
      <c r="E367" t="inlineStr">
        <is>
          <t>TORSBY</t>
        </is>
      </c>
      <c r="G367" t="n">
        <v>6.7</v>
      </c>
      <c r="H367" t="n">
        <v>0</v>
      </c>
      <c r="I367" t="n">
        <v>0</v>
      </c>
      <c r="J367" t="n">
        <v>0</v>
      </c>
      <c r="K367" t="n">
        <v>0</v>
      </c>
      <c r="L367" t="n">
        <v>0</v>
      </c>
      <c r="M367" t="n">
        <v>0</v>
      </c>
      <c r="N367" t="n">
        <v>0</v>
      </c>
      <c r="O367" t="n">
        <v>0</v>
      </c>
      <c r="P367" t="n">
        <v>0</v>
      </c>
      <c r="Q367" t="n">
        <v>0</v>
      </c>
      <c r="R367" s="2" t="inlineStr"/>
    </row>
    <row r="368" ht="15" customHeight="1">
      <c r="A368" t="inlineStr">
        <is>
          <t>A 7526-2020</t>
        </is>
      </c>
      <c r="B368" s="1" t="n">
        <v>43871</v>
      </c>
      <c r="C368" s="1" t="n">
        <v>45726</v>
      </c>
      <c r="D368" t="inlineStr">
        <is>
          <t>VÄRMLANDS LÄN</t>
        </is>
      </c>
      <c r="E368" t="inlineStr">
        <is>
          <t>TORSBY</t>
        </is>
      </c>
      <c r="G368" t="n">
        <v>11.8</v>
      </c>
      <c r="H368" t="n">
        <v>0</v>
      </c>
      <c r="I368" t="n">
        <v>0</v>
      </c>
      <c r="J368" t="n">
        <v>0</v>
      </c>
      <c r="K368" t="n">
        <v>0</v>
      </c>
      <c r="L368" t="n">
        <v>0</v>
      </c>
      <c r="M368" t="n">
        <v>0</v>
      </c>
      <c r="N368" t="n">
        <v>0</v>
      </c>
      <c r="O368" t="n">
        <v>0</v>
      </c>
      <c r="P368" t="n">
        <v>0</v>
      </c>
      <c r="Q368" t="n">
        <v>0</v>
      </c>
      <c r="R368" s="2" t="inlineStr"/>
    </row>
    <row r="369" ht="15" customHeight="1">
      <c r="A369" t="inlineStr">
        <is>
          <t>A 7582-2020</t>
        </is>
      </c>
      <c r="B369" s="1" t="n">
        <v>43871</v>
      </c>
      <c r="C369" s="1" t="n">
        <v>45726</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7749-2020</t>
        </is>
      </c>
      <c r="B370" s="1" t="n">
        <v>43872</v>
      </c>
      <c r="C370" s="1" t="n">
        <v>45726</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7856-2020</t>
        </is>
      </c>
      <c r="B371" s="1" t="n">
        <v>43873</v>
      </c>
      <c r="C371" s="1" t="n">
        <v>45726</v>
      </c>
      <c r="D371" t="inlineStr">
        <is>
          <t>VÄRMLANDS LÄN</t>
        </is>
      </c>
      <c r="E371" t="inlineStr">
        <is>
          <t>TORSBY</t>
        </is>
      </c>
      <c r="G371" t="n">
        <v>4.5</v>
      </c>
      <c r="H371" t="n">
        <v>0</v>
      </c>
      <c r="I371" t="n">
        <v>0</v>
      </c>
      <c r="J371" t="n">
        <v>0</v>
      </c>
      <c r="K371" t="n">
        <v>0</v>
      </c>
      <c r="L371" t="n">
        <v>0</v>
      </c>
      <c r="M371" t="n">
        <v>0</v>
      </c>
      <c r="N371" t="n">
        <v>0</v>
      </c>
      <c r="O371" t="n">
        <v>0</v>
      </c>
      <c r="P371" t="n">
        <v>0</v>
      </c>
      <c r="Q371" t="n">
        <v>0</v>
      </c>
      <c r="R371" s="2" t="inlineStr"/>
    </row>
    <row r="372" ht="15" customHeight="1">
      <c r="A372" t="inlineStr">
        <is>
          <t>A 8631-2020</t>
        </is>
      </c>
      <c r="B372" s="1" t="n">
        <v>43874</v>
      </c>
      <c r="C372" s="1" t="n">
        <v>45726</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8899-2020</t>
        </is>
      </c>
      <c r="B373" s="1" t="n">
        <v>43878</v>
      </c>
      <c r="C373" s="1" t="n">
        <v>45726</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9192-2020</t>
        </is>
      </c>
      <c r="B374" s="1" t="n">
        <v>43879</v>
      </c>
      <c r="C374" s="1" t="n">
        <v>45726</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9766-2020</t>
        </is>
      </c>
      <c r="B375" s="1" t="n">
        <v>43879</v>
      </c>
      <c r="C375" s="1" t="n">
        <v>45726</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9760-2020</t>
        </is>
      </c>
      <c r="B376" s="1" t="n">
        <v>43879</v>
      </c>
      <c r="C376" s="1" t="n">
        <v>45726</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9600-2020</t>
        </is>
      </c>
      <c r="B377" s="1" t="n">
        <v>43881</v>
      </c>
      <c r="C377" s="1" t="n">
        <v>45726</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10899-2020</t>
        </is>
      </c>
      <c r="B378" s="1" t="n">
        <v>43885</v>
      </c>
      <c r="C378" s="1" t="n">
        <v>45726</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10422-2020</t>
        </is>
      </c>
      <c r="B379" s="1" t="n">
        <v>43886</v>
      </c>
      <c r="C379" s="1" t="n">
        <v>45726</v>
      </c>
      <c r="D379" t="inlineStr">
        <is>
          <t>VÄRMLANDS LÄN</t>
        </is>
      </c>
      <c r="E379" t="inlineStr">
        <is>
          <t>TORSBY</t>
        </is>
      </c>
      <c r="G379" t="n">
        <v>3.4</v>
      </c>
      <c r="H379" t="n">
        <v>0</v>
      </c>
      <c r="I379" t="n">
        <v>0</v>
      </c>
      <c r="J379" t="n">
        <v>0</v>
      </c>
      <c r="K379" t="n">
        <v>0</v>
      </c>
      <c r="L379" t="n">
        <v>0</v>
      </c>
      <c r="M379" t="n">
        <v>0</v>
      </c>
      <c r="N379" t="n">
        <v>0</v>
      </c>
      <c r="O379" t="n">
        <v>0</v>
      </c>
      <c r="P379" t="n">
        <v>0</v>
      </c>
      <c r="Q379" t="n">
        <v>0</v>
      </c>
      <c r="R379" s="2" t="inlineStr"/>
    </row>
    <row r="380" ht="15" customHeight="1">
      <c r="A380" t="inlineStr">
        <is>
          <t>A 10449-2020</t>
        </is>
      </c>
      <c r="B380" s="1" t="n">
        <v>43886</v>
      </c>
      <c r="C380" s="1" t="n">
        <v>45726</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11213-2020</t>
        </is>
      </c>
      <c r="B381" s="1" t="n">
        <v>43892</v>
      </c>
      <c r="C381" s="1" t="n">
        <v>45726</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12428-2020</t>
        </is>
      </c>
      <c r="B382" s="1" t="n">
        <v>43896</v>
      </c>
      <c r="C382" s="1" t="n">
        <v>45726</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12855-2020</t>
        </is>
      </c>
      <c r="B383" s="1" t="n">
        <v>43899</v>
      </c>
      <c r="C383" s="1" t="n">
        <v>45726</v>
      </c>
      <c r="D383" t="inlineStr">
        <is>
          <t>VÄRMLANDS LÄN</t>
        </is>
      </c>
      <c r="E383" t="inlineStr">
        <is>
          <t>TORSBY</t>
        </is>
      </c>
      <c r="G383" t="n">
        <v>5.9</v>
      </c>
      <c r="H383" t="n">
        <v>0</v>
      </c>
      <c r="I383" t="n">
        <v>0</v>
      </c>
      <c r="J383" t="n">
        <v>0</v>
      </c>
      <c r="K383" t="n">
        <v>0</v>
      </c>
      <c r="L383" t="n">
        <v>0</v>
      </c>
      <c r="M383" t="n">
        <v>0</v>
      </c>
      <c r="N383" t="n">
        <v>0</v>
      </c>
      <c r="O383" t="n">
        <v>0</v>
      </c>
      <c r="P383" t="n">
        <v>0</v>
      </c>
      <c r="Q383" t="n">
        <v>0</v>
      </c>
      <c r="R383" s="2" t="inlineStr"/>
    </row>
    <row r="384" ht="15" customHeight="1">
      <c r="A384" t="inlineStr">
        <is>
          <t>A 12881-2020</t>
        </is>
      </c>
      <c r="B384" s="1" t="n">
        <v>43900</v>
      </c>
      <c r="C384" s="1" t="n">
        <v>45726</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14246-2020</t>
        </is>
      </c>
      <c r="B385" s="1" t="n">
        <v>43900</v>
      </c>
      <c r="C385" s="1" t="n">
        <v>45726</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13153-2020</t>
        </is>
      </c>
      <c r="B386" s="1" t="n">
        <v>43901</v>
      </c>
      <c r="C386" s="1" t="n">
        <v>45726</v>
      </c>
      <c r="D386" t="inlineStr">
        <is>
          <t>VÄRMLANDS LÄN</t>
        </is>
      </c>
      <c r="E386" t="inlineStr">
        <is>
          <t>TORSBY</t>
        </is>
      </c>
      <c r="G386" t="n">
        <v>1.9</v>
      </c>
      <c r="H386" t="n">
        <v>0</v>
      </c>
      <c r="I386" t="n">
        <v>0</v>
      </c>
      <c r="J386" t="n">
        <v>0</v>
      </c>
      <c r="K386" t="n">
        <v>0</v>
      </c>
      <c r="L386" t="n">
        <v>0</v>
      </c>
      <c r="M386" t="n">
        <v>0</v>
      </c>
      <c r="N386" t="n">
        <v>0</v>
      </c>
      <c r="O386" t="n">
        <v>0</v>
      </c>
      <c r="P386" t="n">
        <v>0</v>
      </c>
      <c r="Q386" t="n">
        <v>0</v>
      </c>
      <c r="R386" s="2" t="inlineStr"/>
    </row>
    <row r="387" ht="15" customHeight="1">
      <c r="A387" t="inlineStr">
        <is>
          <t>A 13250-2020</t>
        </is>
      </c>
      <c r="B387" s="1" t="n">
        <v>43901</v>
      </c>
      <c r="C387" s="1" t="n">
        <v>45726</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14695-2020</t>
        </is>
      </c>
      <c r="B388" s="1" t="n">
        <v>43903</v>
      </c>
      <c r="C388" s="1" t="n">
        <v>45726</v>
      </c>
      <c r="D388" t="inlineStr">
        <is>
          <t>VÄRMLANDS LÄN</t>
        </is>
      </c>
      <c r="E388" t="inlineStr">
        <is>
          <t>TORSBY</t>
        </is>
      </c>
      <c r="G388" t="n">
        <v>8</v>
      </c>
      <c r="H388" t="n">
        <v>0</v>
      </c>
      <c r="I388" t="n">
        <v>0</v>
      </c>
      <c r="J388" t="n">
        <v>0</v>
      </c>
      <c r="K388" t="n">
        <v>0</v>
      </c>
      <c r="L388" t="n">
        <v>0</v>
      </c>
      <c r="M388" t="n">
        <v>0</v>
      </c>
      <c r="N388" t="n">
        <v>0</v>
      </c>
      <c r="O388" t="n">
        <v>0</v>
      </c>
      <c r="P388" t="n">
        <v>0</v>
      </c>
      <c r="Q388" t="n">
        <v>0</v>
      </c>
      <c r="R388" s="2" t="inlineStr"/>
    </row>
    <row r="389" ht="15" customHeight="1">
      <c r="A389" t="inlineStr">
        <is>
          <t>A 14693-2020</t>
        </is>
      </c>
      <c r="B389" s="1" t="n">
        <v>43903</v>
      </c>
      <c r="C389" s="1" t="n">
        <v>45726</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14962-2020</t>
        </is>
      </c>
      <c r="B390" s="1" t="n">
        <v>43907</v>
      </c>
      <c r="C390" s="1" t="n">
        <v>45726</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14968-2020</t>
        </is>
      </c>
      <c r="B391" s="1" t="n">
        <v>43907</v>
      </c>
      <c r="C391" s="1" t="n">
        <v>45726</v>
      </c>
      <c r="D391" t="inlineStr">
        <is>
          <t>VÄRMLANDS LÄN</t>
        </is>
      </c>
      <c r="E391" t="inlineStr">
        <is>
          <t>TORSBY</t>
        </is>
      </c>
      <c r="G391" t="n">
        <v>3.2</v>
      </c>
      <c r="H391" t="n">
        <v>0</v>
      </c>
      <c r="I391" t="n">
        <v>0</v>
      </c>
      <c r="J391" t="n">
        <v>0</v>
      </c>
      <c r="K391" t="n">
        <v>0</v>
      </c>
      <c r="L391" t="n">
        <v>0</v>
      </c>
      <c r="M391" t="n">
        <v>0</v>
      </c>
      <c r="N391" t="n">
        <v>0</v>
      </c>
      <c r="O391" t="n">
        <v>0</v>
      </c>
      <c r="P391" t="n">
        <v>0</v>
      </c>
      <c r="Q391" t="n">
        <v>0</v>
      </c>
      <c r="R391" s="2" t="inlineStr"/>
    </row>
    <row r="392" ht="15" customHeight="1">
      <c r="A392" t="inlineStr">
        <is>
          <t>A 14702-2020</t>
        </is>
      </c>
      <c r="B392" s="1" t="n">
        <v>43909</v>
      </c>
      <c r="C392" s="1" t="n">
        <v>45726</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14694-2020</t>
        </is>
      </c>
      <c r="B393" s="1" t="n">
        <v>43909</v>
      </c>
      <c r="C393" s="1" t="n">
        <v>45726</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14851-2020</t>
        </is>
      </c>
      <c r="B394" s="1" t="n">
        <v>43909</v>
      </c>
      <c r="C394" s="1" t="n">
        <v>45726</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15161-2020</t>
        </is>
      </c>
      <c r="B395" s="1" t="n">
        <v>43912</v>
      </c>
      <c r="C395" s="1" t="n">
        <v>45726</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15280-2020</t>
        </is>
      </c>
      <c r="B396" s="1" t="n">
        <v>43913</v>
      </c>
      <c r="C396" s="1" t="n">
        <v>45726</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15589-2020</t>
        </is>
      </c>
      <c r="B397" s="1" t="n">
        <v>43914</v>
      </c>
      <c r="C397" s="1" t="n">
        <v>45726</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15701-2020</t>
        </is>
      </c>
      <c r="B398" s="1" t="n">
        <v>43915</v>
      </c>
      <c r="C398" s="1" t="n">
        <v>45726</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15768-2020</t>
        </is>
      </c>
      <c r="B399" s="1" t="n">
        <v>43915</v>
      </c>
      <c r="C399" s="1" t="n">
        <v>45726</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16364-2020</t>
        </is>
      </c>
      <c r="B400" s="1" t="n">
        <v>43917</v>
      </c>
      <c r="C400" s="1" t="n">
        <v>45726</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16437-2020</t>
        </is>
      </c>
      <c r="B401" s="1" t="n">
        <v>43919</v>
      </c>
      <c r="C401" s="1" t="n">
        <v>45726</v>
      </c>
      <c r="D401" t="inlineStr">
        <is>
          <t>VÄRMLANDS LÄN</t>
        </is>
      </c>
      <c r="E401" t="inlineStr">
        <is>
          <t>TORSBY</t>
        </is>
      </c>
      <c r="G401" t="n">
        <v>1.2</v>
      </c>
      <c r="H401" t="n">
        <v>0</v>
      </c>
      <c r="I401" t="n">
        <v>0</v>
      </c>
      <c r="J401" t="n">
        <v>0</v>
      </c>
      <c r="K401" t="n">
        <v>0</v>
      </c>
      <c r="L401" t="n">
        <v>0</v>
      </c>
      <c r="M401" t="n">
        <v>0</v>
      </c>
      <c r="N401" t="n">
        <v>0</v>
      </c>
      <c r="O401" t="n">
        <v>0</v>
      </c>
      <c r="P401" t="n">
        <v>0</v>
      </c>
      <c r="Q401" t="n">
        <v>0</v>
      </c>
      <c r="R401" s="2" t="inlineStr"/>
    </row>
    <row r="402" ht="15" customHeight="1">
      <c r="A402" t="inlineStr">
        <is>
          <t>A 17021-2020</t>
        </is>
      </c>
      <c r="B402" s="1" t="n">
        <v>43921</v>
      </c>
      <c r="C402" s="1" t="n">
        <v>45726</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16999-2020</t>
        </is>
      </c>
      <c r="B403" s="1" t="n">
        <v>43921</v>
      </c>
      <c r="C403" s="1" t="n">
        <v>45726</v>
      </c>
      <c r="D403" t="inlineStr">
        <is>
          <t>VÄRMLANDS LÄN</t>
        </is>
      </c>
      <c r="E403" t="inlineStr">
        <is>
          <t>TORSBY</t>
        </is>
      </c>
      <c r="G403" t="n">
        <v>6.6</v>
      </c>
      <c r="H403" t="n">
        <v>0</v>
      </c>
      <c r="I403" t="n">
        <v>0</v>
      </c>
      <c r="J403" t="n">
        <v>0</v>
      </c>
      <c r="K403" t="n">
        <v>0</v>
      </c>
      <c r="L403" t="n">
        <v>0</v>
      </c>
      <c r="M403" t="n">
        <v>0</v>
      </c>
      <c r="N403" t="n">
        <v>0</v>
      </c>
      <c r="O403" t="n">
        <v>0</v>
      </c>
      <c r="P403" t="n">
        <v>0</v>
      </c>
      <c r="Q403" t="n">
        <v>0</v>
      </c>
      <c r="R403" s="2" t="inlineStr"/>
    </row>
    <row r="404" ht="15" customHeight="1">
      <c r="A404" t="inlineStr">
        <is>
          <t>A 17009-2020</t>
        </is>
      </c>
      <c r="B404" s="1" t="n">
        <v>43921</v>
      </c>
      <c r="C404" s="1" t="n">
        <v>45726</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18155-2020</t>
        </is>
      </c>
      <c r="B405" s="1" t="n">
        <v>43927</v>
      </c>
      <c r="C405" s="1" t="n">
        <v>45726</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18641-2020</t>
        </is>
      </c>
      <c r="B406" s="1" t="n">
        <v>43928</v>
      </c>
      <c r="C406" s="1" t="n">
        <v>45726</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18769-2020</t>
        </is>
      </c>
      <c r="B407" s="1" t="n">
        <v>43930</v>
      </c>
      <c r="C407" s="1" t="n">
        <v>45726</v>
      </c>
      <c r="D407" t="inlineStr">
        <is>
          <t>VÄRMLANDS LÄN</t>
        </is>
      </c>
      <c r="E407" t="inlineStr">
        <is>
          <t>TORSBY</t>
        </is>
      </c>
      <c r="G407" t="n">
        <v>5.2</v>
      </c>
      <c r="H407" t="n">
        <v>0</v>
      </c>
      <c r="I407" t="n">
        <v>0</v>
      </c>
      <c r="J407" t="n">
        <v>0</v>
      </c>
      <c r="K407" t="n">
        <v>0</v>
      </c>
      <c r="L407" t="n">
        <v>0</v>
      </c>
      <c r="M407" t="n">
        <v>0</v>
      </c>
      <c r="N407" t="n">
        <v>0</v>
      </c>
      <c r="O407" t="n">
        <v>0</v>
      </c>
      <c r="P407" t="n">
        <v>0</v>
      </c>
      <c r="Q407" t="n">
        <v>0</v>
      </c>
      <c r="R407" s="2" t="inlineStr"/>
    </row>
    <row r="408" ht="15" customHeight="1">
      <c r="A408" t="inlineStr">
        <is>
          <t>A 18770-2020</t>
        </is>
      </c>
      <c r="B408" s="1" t="n">
        <v>43930</v>
      </c>
      <c r="C408" s="1" t="n">
        <v>45726</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18972-2020</t>
        </is>
      </c>
      <c r="B409" s="1" t="n">
        <v>43935</v>
      </c>
      <c r="C409" s="1" t="n">
        <v>45726</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19032-2020</t>
        </is>
      </c>
      <c r="B410" s="1" t="n">
        <v>43936</v>
      </c>
      <c r="C410" s="1" t="n">
        <v>45726</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19181-2020</t>
        </is>
      </c>
      <c r="B411" s="1" t="n">
        <v>43937</v>
      </c>
      <c r="C411" s="1" t="n">
        <v>45726</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19384-2020</t>
        </is>
      </c>
      <c r="B412" s="1" t="n">
        <v>43938</v>
      </c>
      <c r="C412" s="1" t="n">
        <v>45726</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19963-2020</t>
        </is>
      </c>
      <c r="B413" s="1" t="n">
        <v>43941</v>
      </c>
      <c r="C413" s="1" t="n">
        <v>45726</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20025-2020</t>
        </is>
      </c>
      <c r="B414" s="1" t="n">
        <v>43943</v>
      </c>
      <c r="C414" s="1" t="n">
        <v>45726</v>
      </c>
      <c r="D414" t="inlineStr">
        <is>
          <t>VÄRMLANDS LÄN</t>
        </is>
      </c>
      <c r="E414" t="inlineStr">
        <is>
          <t>TORSBY</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20280-2020</t>
        </is>
      </c>
      <c r="B415" s="1" t="n">
        <v>43945</v>
      </c>
      <c r="C415" s="1" t="n">
        <v>45726</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20464-2020</t>
        </is>
      </c>
      <c r="B416" s="1" t="n">
        <v>43948</v>
      </c>
      <c r="C416" s="1" t="n">
        <v>45726</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21099-2020</t>
        </is>
      </c>
      <c r="B417" s="1" t="n">
        <v>43951</v>
      </c>
      <c r="C417" s="1" t="n">
        <v>45726</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21335-2020</t>
        </is>
      </c>
      <c r="B418" s="1" t="n">
        <v>43951</v>
      </c>
      <c r="C418" s="1" t="n">
        <v>45726</v>
      </c>
      <c r="D418" t="inlineStr">
        <is>
          <t>VÄRMLANDS LÄN</t>
        </is>
      </c>
      <c r="E418" t="inlineStr">
        <is>
          <t>TORSBY</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21369-2020</t>
        </is>
      </c>
      <c r="B419" s="1" t="n">
        <v>43951</v>
      </c>
      <c r="C419" s="1" t="n">
        <v>45726</v>
      </c>
      <c r="D419" t="inlineStr">
        <is>
          <t>VÄRMLANDS LÄN</t>
        </is>
      </c>
      <c r="E419" t="inlineStr">
        <is>
          <t>TORSBY</t>
        </is>
      </c>
      <c r="F419" t="inlineStr">
        <is>
          <t>Övriga Aktiebolag</t>
        </is>
      </c>
      <c r="G419" t="n">
        <v>3.5</v>
      </c>
      <c r="H419" t="n">
        <v>0</v>
      </c>
      <c r="I419" t="n">
        <v>0</v>
      </c>
      <c r="J419" t="n">
        <v>0</v>
      </c>
      <c r="K419" t="n">
        <v>0</v>
      </c>
      <c r="L419" t="n">
        <v>0</v>
      </c>
      <c r="M419" t="n">
        <v>0</v>
      </c>
      <c r="N419" t="n">
        <v>0</v>
      </c>
      <c r="O419" t="n">
        <v>0</v>
      </c>
      <c r="P419" t="n">
        <v>0</v>
      </c>
      <c r="Q419" t="n">
        <v>0</v>
      </c>
      <c r="R419" s="2" t="inlineStr"/>
    </row>
    <row r="420" ht="15" customHeight="1">
      <c r="A420" t="inlineStr">
        <is>
          <t>A 21045-2020</t>
        </is>
      </c>
      <c r="B420" s="1" t="n">
        <v>43951</v>
      </c>
      <c r="C420" s="1" t="n">
        <v>45726</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21347-2020</t>
        </is>
      </c>
      <c r="B421" s="1" t="n">
        <v>43951</v>
      </c>
      <c r="C421" s="1" t="n">
        <v>45726</v>
      </c>
      <c r="D421" t="inlineStr">
        <is>
          <t>VÄRMLANDS LÄN</t>
        </is>
      </c>
      <c r="E421" t="inlineStr">
        <is>
          <t>TORSBY</t>
        </is>
      </c>
      <c r="F421" t="inlineStr">
        <is>
          <t>Övriga Aktiebolag</t>
        </is>
      </c>
      <c r="G421" t="n">
        <v>0.8</v>
      </c>
      <c r="H421" t="n">
        <v>0</v>
      </c>
      <c r="I421" t="n">
        <v>0</v>
      </c>
      <c r="J421" t="n">
        <v>0</v>
      </c>
      <c r="K421" t="n">
        <v>0</v>
      </c>
      <c r="L421" t="n">
        <v>0</v>
      </c>
      <c r="M421" t="n">
        <v>0</v>
      </c>
      <c r="N421" t="n">
        <v>0</v>
      </c>
      <c r="O421" t="n">
        <v>0</v>
      </c>
      <c r="P421" t="n">
        <v>0</v>
      </c>
      <c r="Q421" t="n">
        <v>0</v>
      </c>
      <c r="R421" s="2" t="inlineStr"/>
    </row>
    <row r="422" ht="15" customHeight="1">
      <c r="A422" t="inlineStr">
        <is>
          <t>A 21900-2020</t>
        </is>
      </c>
      <c r="B422" s="1" t="n">
        <v>43955</v>
      </c>
      <c r="C422" s="1" t="n">
        <v>45726</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21672-2020</t>
        </is>
      </c>
      <c r="B423" s="1" t="n">
        <v>43957</v>
      </c>
      <c r="C423" s="1" t="n">
        <v>45726</v>
      </c>
      <c r="D423" t="inlineStr">
        <is>
          <t>VÄRMLANDS LÄN</t>
        </is>
      </c>
      <c r="E423" t="inlineStr">
        <is>
          <t>TORSBY</t>
        </is>
      </c>
      <c r="F423" t="inlineStr">
        <is>
          <t>Bergvik skog väst AB</t>
        </is>
      </c>
      <c r="G423" t="n">
        <v>44.1</v>
      </c>
      <c r="H423" t="n">
        <v>0</v>
      </c>
      <c r="I423" t="n">
        <v>0</v>
      </c>
      <c r="J423" t="n">
        <v>0</v>
      </c>
      <c r="K423" t="n">
        <v>0</v>
      </c>
      <c r="L423" t="n">
        <v>0</v>
      </c>
      <c r="M423" t="n">
        <v>0</v>
      </c>
      <c r="N423" t="n">
        <v>0</v>
      </c>
      <c r="O423" t="n">
        <v>0</v>
      </c>
      <c r="P423" t="n">
        <v>0</v>
      </c>
      <c r="Q423" t="n">
        <v>0</v>
      </c>
      <c r="R423" s="2" t="inlineStr"/>
    </row>
    <row r="424" ht="15" customHeight="1">
      <c r="A424" t="inlineStr">
        <is>
          <t>A 22194-2020</t>
        </is>
      </c>
      <c r="B424" s="1" t="n">
        <v>43962</v>
      </c>
      <c r="C424" s="1" t="n">
        <v>45726</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22209-2020</t>
        </is>
      </c>
      <c r="B425" s="1" t="n">
        <v>43962</v>
      </c>
      <c r="C425" s="1" t="n">
        <v>45726</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25518-2020</t>
        </is>
      </c>
      <c r="B426" s="1" t="n">
        <v>43983</v>
      </c>
      <c r="C426" s="1" t="n">
        <v>45726</v>
      </c>
      <c r="D426" t="inlineStr">
        <is>
          <t>VÄRMLANDS LÄN</t>
        </is>
      </c>
      <c r="E426" t="inlineStr">
        <is>
          <t>TORSBY</t>
        </is>
      </c>
      <c r="G426" t="n">
        <v>0.2</v>
      </c>
      <c r="H426" t="n">
        <v>0</v>
      </c>
      <c r="I426" t="n">
        <v>0</v>
      </c>
      <c r="J426" t="n">
        <v>0</v>
      </c>
      <c r="K426" t="n">
        <v>0</v>
      </c>
      <c r="L426" t="n">
        <v>0</v>
      </c>
      <c r="M426" t="n">
        <v>0</v>
      </c>
      <c r="N426" t="n">
        <v>0</v>
      </c>
      <c r="O426" t="n">
        <v>0</v>
      </c>
      <c r="P426" t="n">
        <v>0</v>
      </c>
      <c r="Q426" t="n">
        <v>0</v>
      </c>
      <c r="R426" s="2" t="inlineStr"/>
    </row>
    <row r="427" ht="15" customHeight="1">
      <c r="A427" t="inlineStr">
        <is>
          <t>A 26915-2020</t>
        </is>
      </c>
      <c r="B427" s="1" t="n">
        <v>43986</v>
      </c>
      <c r="C427" s="1" t="n">
        <v>45726</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26926-2020</t>
        </is>
      </c>
      <c r="B428" s="1" t="n">
        <v>43986</v>
      </c>
      <c r="C428" s="1" t="n">
        <v>45726</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26919-2020</t>
        </is>
      </c>
      <c r="B429" s="1" t="n">
        <v>43986</v>
      </c>
      <c r="C429" s="1" t="n">
        <v>45726</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26666-2020</t>
        </is>
      </c>
      <c r="B430" s="1" t="n">
        <v>43989</v>
      </c>
      <c r="C430" s="1" t="n">
        <v>45726</v>
      </c>
      <c r="D430" t="inlineStr">
        <is>
          <t>VÄRMLANDS LÄN</t>
        </is>
      </c>
      <c r="E430" t="inlineStr">
        <is>
          <t>TORSBY</t>
        </is>
      </c>
      <c r="G430" t="n">
        <v>8.4</v>
      </c>
      <c r="H430" t="n">
        <v>0</v>
      </c>
      <c r="I430" t="n">
        <v>0</v>
      </c>
      <c r="J430" t="n">
        <v>0</v>
      </c>
      <c r="K430" t="n">
        <v>0</v>
      </c>
      <c r="L430" t="n">
        <v>0</v>
      </c>
      <c r="M430" t="n">
        <v>0</v>
      </c>
      <c r="N430" t="n">
        <v>0</v>
      </c>
      <c r="O430" t="n">
        <v>0</v>
      </c>
      <c r="P430" t="n">
        <v>0</v>
      </c>
      <c r="Q430" t="n">
        <v>0</v>
      </c>
      <c r="R430" s="2" t="inlineStr"/>
    </row>
    <row r="431" ht="15" customHeight="1">
      <c r="A431" t="inlineStr">
        <is>
          <t>A 27339-2020</t>
        </is>
      </c>
      <c r="B431" s="1" t="n">
        <v>43990</v>
      </c>
      <c r="C431" s="1" t="n">
        <v>45726</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27009-2020</t>
        </is>
      </c>
      <c r="B432" s="1" t="n">
        <v>43991</v>
      </c>
      <c r="C432" s="1" t="n">
        <v>45726</v>
      </c>
      <c r="D432" t="inlineStr">
        <is>
          <t>VÄRMLANDS LÄN</t>
        </is>
      </c>
      <c r="E432" t="inlineStr">
        <is>
          <t>TORSBY</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28397-2020</t>
        </is>
      </c>
      <c r="B433" s="1" t="n">
        <v>43998</v>
      </c>
      <c r="C433" s="1" t="n">
        <v>45726</v>
      </c>
      <c r="D433" t="inlineStr">
        <is>
          <t>VÄRMLANDS LÄN</t>
        </is>
      </c>
      <c r="E433" t="inlineStr">
        <is>
          <t>TORSBY</t>
        </is>
      </c>
      <c r="G433" t="n">
        <v>7.3</v>
      </c>
      <c r="H433" t="n">
        <v>0</v>
      </c>
      <c r="I433" t="n">
        <v>0</v>
      </c>
      <c r="J433" t="n">
        <v>0</v>
      </c>
      <c r="K433" t="n">
        <v>0</v>
      </c>
      <c r="L433" t="n">
        <v>0</v>
      </c>
      <c r="M433" t="n">
        <v>0</v>
      </c>
      <c r="N433" t="n">
        <v>0</v>
      </c>
      <c r="O433" t="n">
        <v>0</v>
      </c>
      <c r="P433" t="n">
        <v>0</v>
      </c>
      <c r="Q433" t="n">
        <v>0</v>
      </c>
      <c r="R433" s="2" t="inlineStr"/>
    </row>
    <row r="434" ht="15" customHeight="1">
      <c r="A434" t="inlineStr">
        <is>
          <t>A 28416-2020</t>
        </is>
      </c>
      <c r="B434" s="1" t="n">
        <v>43998</v>
      </c>
      <c r="C434" s="1" t="n">
        <v>45726</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28703-2020</t>
        </is>
      </c>
      <c r="B435" s="1" t="n">
        <v>43999</v>
      </c>
      <c r="C435" s="1" t="n">
        <v>45726</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28849-2020</t>
        </is>
      </c>
      <c r="B436" s="1" t="n">
        <v>44000</v>
      </c>
      <c r="C436" s="1" t="n">
        <v>45726</v>
      </c>
      <c r="D436" t="inlineStr">
        <is>
          <t>VÄRMLANDS LÄN</t>
        </is>
      </c>
      <c r="E436" t="inlineStr">
        <is>
          <t>TORSBY</t>
        </is>
      </c>
      <c r="G436" t="n">
        <v>10.9</v>
      </c>
      <c r="H436" t="n">
        <v>0</v>
      </c>
      <c r="I436" t="n">
        <v>0</v>
      </c>
      <c r="J436" t="n">
        <v>0</v>
      </c>
      <c r="K436" t="n">
        <v>0</v>
      </c>
      <c r="L436" t="n">
        <v>0</v>
      </c>
      <c r="M436" t="n">
        <v>0</v>
      </c>
      <c r="N436" t="n">
        <v>0</v>
      </c>
      <c r="O436" t="n">
        <v>0</v>
      </c>
      <c r="P436" t="n">
        <v>0</v>
      </c>
      <c r="Q436" t="n">
        <v>0</v>
      </c>
      <c r="R436" s="2" t="inlineStr"/>
    </row>
    <row r="437" ht="15" customHeight="1">
      <c r="A437" t="inlineStr">
        <is>
          <t>A 28897-2020</t>
        </is>
      </c>
      <c r="B437" s="1" t="n">
        <v>44000</v>
      </c>
      <c r="C437" s="1" t="n">
        <v>45726</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28911-2020</t>
        </is>
      </c>
      <c r="B438" s="1" t="n">
        <v>44000</v>
      </c>
      <c r="C438" s="1" t="n">
        <v>45726</v>
      </c>
      <c r="D438" t="inlineStr">
        <is>
          <t>VÄRMLANDS LÄN</t>
        </is>
      </c>
      <c r="E438" t="inlineStr">
        <is>
          <t>TORSBY</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28976-2020</t>
        </is>
      </c>
      <c r="B439" s="1" t="n">
        <v>44000</v>
      </c>
      <c r="C439" s="1" t="n">
        <v>45726</v>
      </c>
      <c r="D439" t="inlineStr">
        <is>
          <t>VÄRMLANDS LÄN</t>
        </is>
      </c>
      <c r="E439" t="inlineStr">
        <is>
          <t>TORSBY</t>
        </is>
      </c>
      <c r="G439" t="n">
        <v>2.2</v>
      </c>
      <c r="H439" t="n">
        <v>0</v>
      </c>
      <c r="I439" t="n">
        <v>0</v>
      </c>
      <c r="J439" t="n">
        <v>0</v>
      </c>
      <c r="K439" t="n">
        <v>0</v>
      </c>
      <c r="L439" t="n">
        <v>0</v>
      </c>
      <c r="M439" t="n">
        <v>0</v>
      </c>
      <c r="N439" t="n">
        <v>0</v>
      </c>
      <c r="O439" t="n">
        <v>0</v>
      </c>
      <c r="P439" t="n">
        <v>0</v>
      </c>
      <c r="Q439" t="n">
        <v>0</v>
      </c>
      <c r="R439" s="2" t="inlineStr"/>
    </row>
    <row r="440" ht="15" customHeight="1">
      <c r="A440" t="inlineStr">
        <is>
          <t>A 28987-2020</t>
        </is>
      </c>
      <c r="B440" s="1" t="n">
        <v>44000</v>
      </c>
      <c r="C440" s="1" t="n">
        <v>45726</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29970-2020</t>
        </is>
      </c>
      <c r="B441" s="1" t="n">
        <v>44006</v>
      </c>
      <c r="C441" s="1" t="n">
        <v>45726</v>
      </c>
      <c r="D441" t="inlineStr">
        <is>
          <t>VÄRMLANDS LÄN</t>
        </is>
      </c>
      <c r="E441" t="inlineStr">
        <is>
          <t>TORSBY</t>
        </is>
      </c>
      <c r="F441" t="inlineStr">
        <is>
          <t>Bergvik skog väst AB</t>
        </is>
      </c>
      <c r="G441" t="n">
        <v>7.4</v>
      </c>
      <c r="H441" t="n">
        <v>0</v>
      </c>
      <c r="I441" t="n">
        <v>0</v>
      </c>
      <c r="J441" t="n">
        <v>0</v>
      </c>
      <c r="K441" t="n">
        <v>0</v>
      </c>
      <c r="L441" t="n">
        <v>0</v>
      </c>
      <c r="M441" t="n">
        <v>0</v>
      </c>
      <c r="N441" t="n">
        <v>0</v>
      </c>
      <c r="O441" t="n">
        <v>0</v>
      </c>
      <c r="P441" t="n">
        <v>0</v>
      </c>
      <c r="Q441" t="n">
        <v>0</v>
      </c>
      <c r="R441" s="2" t="inlineStr"/>
    </row>
    <row r="442" ht="15" customHeight="1">
      <c r="A442" t="inlineStr">
        <is>
          <t>A 30572-2020</t>
        </is>
      </c>
      <c r="B442" s="1" t="n">
        <v>44008</v>
      </c>
      <c r="C442" s="1" t="n">
        <v>45726</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30996-2020</t>
        </is>
      </c>
      <c r="B443" s="1" t="n">
        <v>44011</v>
      </c>
      <c r="C443" s="1" t="n">
        <v>45726</v>
      </c>
      <c r="D443" t="inlineStr">
        <is>
          <t>VÄRMLANDS LÄN</t>
        </is>
      </c>
      <c r="E443" t="inlineStr">
        <is>
          <t>TORSBY</t>
        </is>
      </c>
      <c r="G443" t="n">
        <v>0.4</v>
      </c>
      <c r="H443" t="n">
        <v>0</v>
      </c>
      <c r="I443" t="n">
        <v>0</v>
      </c>
      <c r="J443" t="n">
        <v>0</v>
      </c>
      <c r="K443" t="n">
        <v>0</v>
      </c>
      <c r="L443" t="n">
        <v>0</v>
      </c>
      <c r="M443" t="n">
        <v>0</v>
      </c>
      <c r="N443" t="n">
        <v>0</v>
      </c>
      <c r="O443" t="n">
        <v>0</v>
      </c>
      <c r="P443" t="n">
        <v>0</v>
      </c>
      <c r="Q443" t="n">
        <v>0</v>
      </c>
      <c r="R443" s="2" t="inlineStr"/>
    </row>
    <row r="444" ht="15" customHeight="1">
      <c r="A444" t="inlineStr">
        <is>
          <t>A 30930-2020</t>
        </is>
      </c>
      <c r="B444" s="1" t="n">
        <v>44011</v>
      </c>
      <c r="C444" s="1" t="n">
        <v>45726</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31298-2020</t>
        </is>
      </c>
      <c r="B445" s="1" t="n">
        <v>44012</v>
      </c>
      <c r="C445" s="1" t="n">
        <v>45726</v>
      </c>
      <c r="D445" t="inlineStr">
        <is>
          <t>VÄRMLANDS LÄN</t>
        </is>
      </c>
      <c r="E445" t="inlineStr">
        <is>
          <t>TORSBY</t>
        </is>
      </c>
      <c r="G445" t="n">
        <v>4.3</v>
      </c>
      <c r="H445" t="n">
        <v>0</v>
      </c>
      <c r="I445" t="n">
        <v>0</v>
      </c>
      <c r="J445" t="n">
        <v>0</v>
      </c>
      <c r="K445" t="n">
        <v>0</v>
      </c>
      <c r="L445" t="n">
        <v>0</v>
      </c>
      <c r="M445" t="n">
        <v>0</v>
      </c>
      <c r="N445" t="n">
        <v>0</v>
      </c>
      <c r="O445" t="n">
        <v>0</v>
      </c>
      <c r="P445" t="n">
        <v>0</v>
      </c>
      <c r="Q445" t="n">
        <v>0</v>
      </c>
      <c r="R445" s="2" t="inlineStr"/>
    </row>
    <row r="446" ht="15" customHeight="1">
      <c r="A446" t="inlineStr">
        <is>
          <t>A 31436-2020</t>
        </is>
      </c>
      <c r="B446" s="1" t="n">
        <v>44013</v>
      </c>
      <c r="C446" s="1" t="n">
        <v>45726</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31577-2020</t>
        </is>
      </c>
      <c r="B447" s="1" t="n">
        <v>44013</v>
      </c>
      <c r="C447" s="1" t="n">
        <v>45726</v>
      </c>
      <c r="D447" t="inlineStr">
        <is>
          <t>VÄRMLANDS LÄN</t>
        </is>
      </c>
      <c r="E447" t="inlineStr">
        <is>
          <t>TORSBY</t>
        </is>
      </c>
      <c r="F447" t="inlineStr">
        <is>
          <t>Kommuner</t>
        </is>
      </c>
      <c r="G447" t="n">
        <v>1</v>
      </c>
      <c r="H447" t="n">
        <v>0</v>
      </c>
      <c r="I447" t="n">
        <v>0</v>
      </c>
      <c r="J447" t="n">
        <v>0</v>
      </c>
      <c r="K447" t="n">
        <v>0</v>
      </c>
      <c r="L447" t="n">
        <v>0</v>
      </c>
      <c r="M447" t="n">
        <v>0</v>
      </c>
      <c r="N447" t="n">
        <v>0</v>
      </c>
      <c r="O447" t="n">
        <v>0</v>
      </c>
      <c r="P447" t="n">
        <v>0</v>
      </c>
      <c r="Q447" t="n">
        <v>0</v>
      </c>
      <c r="R447" s="2" t="inlineStr"/>
    </row>
    <row r="448" ht="15" customHeight="1">
      <c r="A448" t="inlineStr">
        <is>
          <t>A 31759-2020</t>
        </is>
      </c>
      <c r="B448" s="1" t="n">
        <v>44014</v>
      </c>
      <c r="C448" s="1" t="n">
        <v>45726</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32122-2020</t>
        </is>
      </c>
      <c r="B449" s="1" t="n">
        <v>44015</v>
      </c>
      <c r="C449" s="1" t="n">
        <v>45726</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32623-2020</t>
        </is>
      </c>
      <c r="B450" s="1" t="n">
        <v>44019</v>
      </c>
      <c r="C450" s="1" t="n">
        <v>45726</v>
      </c>
      <c r="D450" t="inlineStr">
        <is>
          <t>VÄRMLANDS LÄN</t>
        </is>
      </c>
      <c r="E450" t="inlineStr">
        <is>
          <t>TORSBY</t>
        </is>
      </c>
      <c r="F450" t="inlineStr">
        <is>
          <t>Kommuner</t>
        </is>
      </c>
      <c r="G450" t="n">
        <v>13.9</v>
      </c>
      <c r="H450" t="n">
        <v>0</v>
      </c>
      <c r="I450" t="n">
        <v>0</v>
      </c>
      <c r="J450" t="n">
        <v>0</v>
      </c>
      <c r="K450" t="n">
        <v>0</v>
      </c>
      <c r="L450" t="n">
        <v>0</v>
      </c>
      <c r="M450" t="n">
        <v>0</v>
      </c>
      <c r="N450" t="n">
        <v>0</v>
      </c>
      <c r="O450" t="n">
        <v>0</v>
      </c>
      <c r="P450" t="n">
        <v>0</v>
      </c>
      <c r="Q450" t="n">
        <v>0</v>
      </c>
      <c r="R450" s="2" t="inlineStr"/>
    </row>
    <row r="451" ht="15" customHeight="1">
      <c r="A451" t="inlineStr">
        <is>
          <t>A 32651-2020</t>
        </is>
      </c>
      <c r="B451" s="1" t="n">
        <v>44019</v>
      </c>
      <c r="C451" s="1" t="n">
        <v>45726</v>
      </c>
      <c r="D451" t="inlineStr">
        <is>
          <t>VÄRMLANDS LÄN</t>
        </is>
      </c>
      <c r="E451" t="inlineStr">
        <is>
          <t>TORSBY</t>
        </is>
      </c>
      <c r="F451" t="inlineStr">
        <is>
          <t>Kommuner</t>
        </is>
      </c>
      <c r="G451" t="n">
        <v>8.6</v>
      </c>
      <c r="H451" t="n">
        <v>0</v>
      </c>
      <c r="I451" t="n">
        <v>0</v>
      </c>
      <c r="J451" t="n">
        <v>0</v>
      </c>
      <c r="K451" t="n">
        <v>0</v>
      </c>
      <c r="L451" t="n">
        <v>0</v>
      </c>
      <c r="M451" t="n">
        <v>0</v>
      </c>
      <c r="N451" t="n">
        <v>0</v>
      </c>
      <c r="O451" t="n">
        <v>0</v>
      </c>
      <c r="P451" t="n">
        <v>0</v>
      </c>
      <c r="Q451" t="n">
        <v>0</v>
      </c>
      <c r="R451" s="2" t="inlineStr"/>
    </row>
    <row r="452" ht="15" customHeight="1">
      <c r="A452" t="inlineStr">
        <is>
          <t>A 33124-2020</t>
        </is>
      </c>
      <c r="B452" s="1" t="n">
        <v>44021</v>
      </c>
      <c r="C452" s="1" t="n">
        <v>45726</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33095-2020</t>
        </is>
      </c>
      <c r="B453" s="1" t="n">
        <v>44021</v>
      </c>
      <c r="C453" s="1" t="n">
        <v>45726</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33126-2020</t>
        </is>
      </c>
      <c r="B454" s="1" t="n">
        <v>44021</v>
      </c>
      <c r="C454" s="1" t="n">
        <v>45726</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33691-2020</t>
        </is>
      </c>
      <c r="B455" s="1" t="n">
        <v>44022</v>
      </c>
      <c r="C455" s="1" t="n">
        <v>45726</v>
      </c>
      <c r="D455" t="inlineStr">
        <is>
          <t>VÄRMLANDS LÄN</t>
        </is>
      </c>
      <c r="E455" t="inlineStr">
        <is>
          <t>TORSBY</t>
        </is>
      </c>
      <c r="F455" t="inlineStr">
        <is>
          <t>Övriga Aktiebolag</t>
        </is>
      </c>
      <c r="G455" t="n">
        <v>3.8</v>
      </c>
      <c r="H455" t="n">
        <v>0</v>
      </c>
      <c r="I455" t="n">
        <v>0</v>
      </c>
      <c r="J455" t="n">
        <v>0</v>
      </c>
      <c r="K455" t="n">
        <v>0</v>
      </c>
      <c r="L455" t="n">
        <v>0</v>
      </c>
      <c r="M455" t="n">
        <v>0</v>
      </c>
      <c r="N455" t="n">
        <v>0</v>
      </c>
      <c r="O455" t="n">
        <v>0</v>
      </c>
      <c r="P455" t="n">
        <v>0</v>
      </c>
      <c r="Q455" t="n">
        <v>0</v>
      </c>
      <c r="R455" s="2" t="inlineStr"/>
    </row>
    <row r="456" ht="15" customHeight="1">
      <c r="A456" t="inlineStr">
        <is>
          <t>A 34901-2020</t>
        </is>
      </c>
      <c r="B456" s="1" t="n">
        <v>44022</v>
      </c>
      <c r="C456" s="1" t="n">
        <v>45726</v>
      </c>
      <c r="D456" t="inlineStr">
        <is>
          <t>VÄRMLANDS LÄN</t>
        </is>
      </c>
      <c r="E456" t="inlineStr">
        <is>
          <t>TORSBY</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33908-2020</t>
        </is>
      </c>
      <c r="B457" s="1" t="n">
        <v>44027</v>
      </c>
      <c r="C457" s="1" t="n">
        <v>45726</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33864-2020</t>
        </is>
      </c>
      <c r="B458" s="1" t="n">
        <v>44027</v>
      </c>
      <c r="C458" s="1" t="n">
        <v>45726</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34118-2020</t>
        </is>
      </c>
      <c r="B459" s="1" t="n">
        <v>44028</v>
      </c>
      <c r="C459" s="1" t="n">
        <v>45726</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34247-2020</t>
        </is>
      </c>
      <c r="B460" s="1" t="n">
        <v>44029</v>
      </c>
      <c r="C460" s="1" t="n">
        <v>45726</v>
      </c>
      <c r="D460" t="inlineStr">
        <is>
          <t>VÄRMLANDS LÄN</t>
        </is>
      </c>
      <c r="E460" t="inlineStr">
        <is>
          <t>TORSBY</t>
        </is>
      </c>
      <c r="F460" t="inlineStr">
        <is>
          <t>Kommuner</t>
        </is>
      </c>
      <c r="G460" t="n">
        <v>3.3</v>
      </c>
      <c r="H460" t="n">
        <v>0</v>
      </c>
      <c r="I460" t="n">
        <v>0</v>
      </c>
      <c r="J460" t="n">
        <v>0</v>
      </c>
      <c r="K460" t="n">
        <v>0</v>
      </c>
      <c r="L460" t="n">
        <v>0</v>
      </c>
      <c r="M460" t="n">
        <v>0</v>
      </c>
      <c r="N460" t="n">
        <v>0</v>
      </c>
      <c r="O460" t="n">
        <v>0</v>
      </c>
      <c r="P460" t="n">
        <v>0</v>
      </c>
      <c r="Q460" t="n">
        <v>0</v>
      </c>
      <c r="R460" s="2" t="inlineStr"/>
    </row>
    <row r="461" ht="15" customHeight="1">
      <c r="A461" t="inlineStr">
        <is>
          <t>A 35132-2020</t>
        </is>
      </c>
      <c r="B461" s="1" t="n">
        <v>44040</v>
      </c>
      <c r="C461" s="1" t="n">
        <v>45726</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35174-2020</t>
        </is>
      </c>
      <c r="B462" s="1" t="n">
        <v>44040</v>
      </c>
      <c r="C462" s="1" t="n">
        <v>45726</v>
      </c>
      <c r="D462" t="inlineStr">
        <is>
          <t>VÄRMLANDS LÄN</t>
        </is>
      </c>
      <c r="E462" t="inlineStr">
        <is>
          <t>TORSBY</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35500-2020</t>
        </is>
      </c>
      <c r="B463" s="1" t="n">
        <v>44043</v>
      </c>
      <c r="C463" s="1" t="n">
        <v>45726</v>
      </c>
      <c r="D463" t="inlineStr">
        <is>
          <t>VÄRMLANDS LÄN</t>
        </is>
      </c>
      <c r="E463" t="inlineStr">
        <is>
          <t>TORSBY</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35778-2020</t>
        </is>
      </c>
      <c r="B464" s="1" t="n">
        <v>44046</v>
      </c>
      <c r="C464" s="1" t="n">
        <v>45726</v>
      </c>
      <c r="D464" t="inlineStr">
        <is>
          <t>VÄRMLANDS LÄN</t>
        </is>
      </c>
      <c r="E464" t="inlineStr">
        <is>
          <t>TORSBY</t>
        </is>
      </c>
      <c r="G464" t="n">
        <v>10.2</v>
      </c>
      <c r="H464" t="n">
        <v>0</v>
      </c>
      <c r="I464" t="n">
        <v>0</v>
      </c>
      <c r="J464" t="n">
        <v>0</v>
      </c>
      <c r="K464" t="n">
        <v>0</v>
      </c>
      <c r="L464" t="n">
        <v>0</v>
      </c>
      <c r="M464" t="n">
        <v>0</v>
      </c>
      <c r="N464" t="n">
        <v>0</v>
      </c>
      <c r="O464" t="n">
        <v>0</v>
      </c>
      <c r="P464" t="n">
        <v>0</v>
      </c>
      <c r="Q464" t="n">
        <v>0</v>
      </c>
      <c r="R464" s="2" t="inlineStr"/>
    </row>
    <row r="465" ht="15" customHeight="1">
      <c r="A465" t="inlineStr">
        <is>
          <t>A 35900-2020</t>
        </is>
      </c>
      <c r="B465" s="1" t="n">
        <v>44047</v>
      </c>
      <c r="C465" s="1" t="n">
        <v>45726</v>
      </c>
      <c r="D465" t="inlineStr">
        <is>
          <t>VÄRMLANDS LÄN</t>
        </is>
      </c>
      <c r="E465" t="inlineStr">
        <is>
          <t>TORSBY</t>
        </is>
      </c>
      <c r="G465" t="n">
        <v>7.2</v>
      </c>
      <c r="H465" t="n">
        <v>0</v>
      </c>
      <c r="I465" t="n">
        <v>0</v>
      </c>
      <c r="J465" t="n">
        <v>0</v>
      </c>
      <c r="K465" t="n">
        <v>0</v>
      </c>
      <c r="L465" t="n">
        <v>0</v>
      </c>
      <c r="M465" t="n">
        <v>0</v>
      </c>
      <c r="N465" t="n">
        <v>0</v>
      </c>
      <c r="O465" t="n">
        <v>0</v>
      </c>
      <c r="P465" t="n">
        <v>0</v>
      </c>
      <c r="Q465" t="n">
        <v>0</v>
      </c>
      <c r="R465" s="2" t="inlineStr"/>
    </row>
    <row r="466" ht="15" customHeight="1">
      <c r="A466" t="inlineStr">
        <is>
          <t>A 35955-2020</t>
        </is>
      </c>
      <c r="B466" s="1" t="n">
        <v>44047</v>
      </c>
      <c r="C466" s="1" t="n">
        <v>45726</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35826-2020</t>
        </is>
      </c>
      <c r="B467" s="1" t="n">
        <v>44047</v>
      </c>
      <c r="C467" s="1" t="n">
        <v>45726</v>
      </c>
      <c r="D467" t="inlineStr">
        <is>
          <t>VÄRMLANDS LÄN</t>
        </is>
      </c>
      <c r="E467" t="inlineStr">
        <is>
          <t>TORSBY</t>
        </is>
      </c>
      <c r="G467" t="n">
        <v>0.8</v>
      </c>
      <c r="H467" t="n">
        <v>0</v>
      </c>
      <c r="I467" t="n">
        <v>0</v>
      </c>
      <c r="J467" t="n">
        <v>0</v>
      </c>
      <c r="K467" t="n">
        <v>0</v>
      </c>
      <c r="L467" t="n">
        <v>0</v>
      </c>
      <c r="M467" t="n">
        <v>0</v>
      </c>
      <c r="N467" t="n">
        <v>0</v>
      </c>
      <c r="O467" t="n">
        <v>0</v>
      </c>
      <c r="P467" t="n">
        <v>0</v>
      </c>
      <c r="Q467" t="n">
        <v>0</v>
      </c>
      <c r="R467" s="2" t="inlineStr"/>
    </row>
    <row r="468" ht="15" customHeight="1">
      <c r="A468" t="inlineStr">
        <is>
          <t>A 35905-2020</t>
        </is>
      </c>
      <c r="B468" s="1" t="n">
        <v>44047</v>
      </c>
      <c r="C468" s="1" t="n">
        <v>45726</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36482-2020</t>
        </is>
      </c>
      <c r="B469" s="1" t="n">
        <v>44048</v>
      </c>
      <c r="C469" s="1" t="n">
        <v>45726</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36104-2020</t>
        </is>
      </c>
      <c r="B470" s="1" t="n">
        <v>44048</v>
      </c>
      <c r="C470" s="1" t="n">
        <v>45726</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36265-2020</t>
        </is>
      </c>
      <c r="B471" s="1" t="n">
        <v>44049</v>
      </c>
      <c r="C471" s="1" t="n">
        <v>45726</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36396-2020</t>
        </is>
      </c>
      <c r="B472" s="1" t="n">
        <v>44049</v>
      </c>
      <c r="C472" s="1" t="n">
        <v>45726</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36394-2020</t>
        </is>
      </c>
      <c r="B473" s="1" t="n">
        <v>44049</v>
      </c>
      <c r="C473" s="1" t="n">
        <v>45726</v>
      </c>
      <c r="D473" t="inlineStr">
        <is>
          <t>VÄRMLANDS LÄN</t>
        </is>
      </c>
      <c r="E473" t="inlineStr">
        <is>
          <t>TORSBY</t>
        </is>
      </c>
      <c r="G473" t="n">
        <v>7</v>
      </c>
      <c r="H473" t="n">
        <v>0</v>
      </c>
      <c r="I473" t="n">
        <v>0</v>
      </c>
      <c r="J473" t="n">
        <v>0</v>
      </c>
      <c r="K473" t="n">
        <v>0</v>
      </c>
      <c r="L473" t="n">
        <v>0</v>
      </c>
      <c r="M473" t="n">
        <v>0</v>
      </c>
      <c r="N473" t="n">
        <v>0</v>
      </c>
      <c r="O473" t="n">
        <v>0</v>
      </c>
      <c r="P473" t="n">
        <v>0</v>
      </c>
      <c r="Q473" t="n">
        <v>0</v>
      </c>
      <c r="R473" s="2" t="inlineStr"/>
    </row>
    <row r="474" ht="15" customHeight="1">
      <c r="A474" t="inlineStr">
        <is>
          <t>A 36847-2020</t>
        </is>
      </c>
      <c r="B474" s="1" t="n">
        <v>44053</v>
      </c>
      <c r="C474" s="1" t="n">
        <v>45726</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36901-2020</t>
        </is>
      </c>
      <c r="B475" s="1" t="n">
        <v>44053</v>
      </c>
      <c r="C475" s="1" t="n">
        <v>45726</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37305-2020</t>
        </is>
      </c>
      <c r="B476" s="1" t="n">
        <v>44055</v>
      </c>
      <c r="C476" s="1" t="n">
        <v>45726</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37302-2020</t>
        </is>
      </c>
      <c r="B477" s="1" t="n">
        <v>44055</v>
      </c>
      <c r="C477" s="1" t="n">
        <v>45726</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37307-2020</t>
        </is>
      </c>
      <c r="B478" s="1" t="n">
        <v>44055</v>
      </c>
      <c r="C478" s="1" t="n">
        <v>45726</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37303-2020</t>
        </is>
      </c>
      <c r="B479" s="1" t="n">
        <v>44055</v>
      </c>
      <c r="C479" s="1" t="n">
        <v>45726</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38506-2020</t>
        </is>
      </c>
      <c r="B480" s="1" t="n">
        <v>44061</v>
      </c>
      <c r="C480" s="1" t="n">
        <v>45726</v>
      </c>
      <c r="D480" t="inlineStr">
        <is>
          <t>VÄRMLANDS LÄN</t>
        </is>
      </c>
      <c r="E480" t="inlineStr">
        <is>
          <t>TORSBY</t>
        </is>
      </c>
      <c r="G480" t="n">
        <v>5</v>
      </c>
      <c r="H480" t="n">
        <v>0</v>
      </c>
      <c r="I480" t="n">
        <v>0</v>
      </c>
      <c r="J480" t="n">
        <v>0</v>
      </c>
      <c r="K480" t="n">
        <v>0</v>
      </c>
      <c r="L480" t="n">
        <v>0</v>
      </c>
      <c r="M480" t="n">
        <v>0</v>
      </c>
      <c r="N480" t="n">
        <v>0</v>
      </c>
      <c r="O480" t="n">
        <v>0</v>
      </c>
      <c r="P480" t="n">
        <v>0</v>
      </c>
      <c r="Q480" t="n">
        <v>0</v>
      </c>
      <c r="R480" s="2" t="inlineStr"/>
    </row>
    <row r="481" ht="15" customHeight="1">
      <c r="A481" t="inlineStr">
        <is>
          <t>A 38978-2020</t>
        </is>
      </c>
      <c r="B481" s="1" t="n">
        <v>44062</v>
      </c>
      <c r="C481" s="1" t="n">
        <v>45726</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40218-2020</t>
        </is>
      </c>
      <c r="B482" s="1" t="n">
        <v>44064</v>
      </c>
      <c r="C482" s="1" t="n">
        <v>45726</v>
      </c>
      <c r="D482" t="inlineStr">
        <is>
          <t>VÄRMLANDS LÄN</t>
        </is>
      </c>
      <c r="E482" t="inlineStr">
        <is>
          <t>TORSBY</t>
        </is>
      </c>
      <c r="G482" t="n">
        <v>3.7</v>
      </c>
      <c r="H482" t="n">
        <v>0</v>
      </c>
      <c r="I482" t="n">
        <v>0</v>
      </c>
      <c r="J482" t="n">
        <v>0</v>
      </c>
      <c r="K482" t="n">
        <v>0</v>
      </c>
      <c r="L482" t="n">
        <v>0</v>
      </c>
      <c r="M482" t="n">
        <v>0</v>
      </c>
      <c r="N482" t="n">
        <v>0</v>
      </c>
      <c r="O482" t="n">
        <v>0</v>
      </c>
      <c r="P482" t="n">
        <v>0</v>
      </c>
      <c r="Q482" t="n">
        <v>0</v>
      </c>
      <c r="R482" s="2" t="inlineStr"/>
    </row>
    <row r="483" ht="15" customHeight="1">
      <c r="A483" t="inlineStr">
        <is>
          <t>A 40015-2020</t>
        </is>
      </c>
      <c r="B483" s="1" t="n">
        <v>44067</v>
      </c>
      <c r="C483" s="1" t="n">
        <v>45726</v>
      </c>
      <c r="D483" t="inlineStr">
        <is>
          <t>VÄRMLANDS LÄN</t>
        </is>
      </c>
      <c r="E483" t="inlineStr">
        <is>
          <t>TORSBY</t>
        </is>
      </c>
      <c r="G483" t="n">
        <v>5.7</v>
      </c>
      <c r="H483" t="n">
        <v>0</v>
      </c>
      <c r="I483" t="n">
        <v>0</v>
      </c>
      <c r="J483" t="n">
        <v>0</v>
      </c>
      <c r="K483" t="n">
        <v>0</v>
      </c>
      <c r="L483" t="n">
        <v>0</v>
      </c>
      <c r="M483" t="n">
        <v>0</v>
      </c>
      <c r="N483" t="n">
        <v>0</v>
      </c>
      <c r="O483" t="n">
        <v>0</v>
      </c>
      <c r="P483" t="n">
        <v>0</v>
      </c>
      <c r="Q483" t="n">
        <v>0</v>
      </c>
      <c r="R483" s="2" t="inlineStr"/>
    </row>
    <row r="484" ht="15" customHeight="1">
      <c r="A484" t="inlineStr">
        <is>
          <t>A 40550-2020</t>
        </is>
      </c>
      <c r="B484" s="1" t="n">
        <v>44069</v>
      </c>
      <c r="C484" s="1" t="n">
        <v>45726</v>
      </c>
      <c r="D484" t="inlineStr">
        <is>
          <t>VÄRMLANDS LÄN</t>
        </is>
      </c>
      <c r="E484" t="inlineStr">
        <is>
          <t>TORSBY</t>
        </is>
      </c>
      <c r="G484" t="n">
        <v>1.6</v>
      </c>
      <c r="H484" t="n">
        <v>0</v>
      </c>
      <c r="I484" t="n">
        <v>0</v>
      </c>
      <c r="J484" t="n">
        <v>0</v>
      </c>
      <c r="K484" t="n">
        <v>0</v>
      </c>
      <c r="L484" t="n">
        <v>0</v>
      </c>
      <c r="M484" t="n">
        <v>0</v>
      </c>
      <c r="N484" t="n">
        <v>0</v>
      </c>
      <c r="O484" t="n">
        <v>0</v>
      </c>
      <c r="P484" t="n">
        <v>0</v>
      </c>
      <c r="Q484" t="n">
        <v>0</v>
      </c>
      <c r="R484" s="2" t="inlineStr"/>
    </row>
    <row r="485" ht="15" customHeight="1">
      <c r="A485" t="inlineStr">
        <is>
          <t>A 40594-2020</t>
        </is>
      </c>
      <c r="B485" s="1" t="n">
        <v>44069</v>
      </c>
      <c r="C485" s="1" t="n">
        <v>45726</v>
      </c>
      <c r="D485" t="inlineStr">
        <is>
          <t>VÄRMLANDS LÄN</t>
        </is>
      </c>
      <c r="E485" t="inlineStr">
        <is>
          <t>TORSBY</t>
        </is>
      </c>
      <c r="G485" t="n">
        <v>0.9</v>
      </c>
      <c r="H485" t="n">
        <v>0</v>
      </c>
      <c r="I485" t="n">
        <v>0</v>
      </c>
      <c r="J485" t="n">
        <v>0</v>
      </c>
      <c r="K485" t="n">
        <v>0</v>
      </c>
      <c r="L485" t="n">
        <v>0</v>
      </c>
      <c r="M485" t="n">
        <v>0</v>
      </c>
      <c r="N485" t="n">
        <v>0</v>
      </c>
      <c r="O485" t="n">
        <v>0</v>
      </c>
      <c r="P485" t="n">
        <v>0</v>
      </c>
      <c r="Q485" t="n">
        <v>0</v>
      </c>
      <c r="R485" s="2" t="inlineStr"/>
    </row>
    <row r="486" ht="15" customHeight="1">
      <c r="A486" t="inlineStr">
        <is>
          <t>A 40509-2020</t>
        </is>
      </c>
      <c r="B486" s="1" t="n">
        <v>44069</v>
      </c>
      <c r="C486" s="1" t="n">
        <v>45726</v>
      </c>
      <c r="D486" t="inlineStr">
        <is>
          <t>VÄRMLANDS LÄN</t>
        </is>
      </c>
      <c r="E486" t="inlineStr">
        <is>
          <t>TORSBY</t>
        </is>
      </c>
      <c r="F486" t="inlineStr">
        <is>
          <t>Naturvårdsverket</t>
        </is>
      </c>
      <c r="G486" t="n">
        <v>57</v>
      </c>
      <c r="H486" t="n">
        <v>0</v>
      </c>
      <c r="I486" t="n">
        <v>0</v>
      </c>
      <c r="J486" t="n">
        <v>0</v>
      </c>
      <c r="K486" t="n">
        <v>0</v>
      </c>
      <c r="L486" t="n">
        <v>0</v>
      </c>
      <c r="M486" t="n">
        <v>0</v>
      </c>
      <c r="N486" t="n">
        <v>0</v>
      </c>
      <c r="O486" t="n">
        <v>0</v>
      </c>
      <c r="P486" t="n">
        <v>0</v>
      </c>
      <c r="Q486" t="n">
        <v>0</v>
      </c>
      <c r="R486" s="2" t="inlineStr"/>
    </row>
    <row r="487" ht="15" customHeight="1">
      <c r="A487" t="inlineStr">
        <is>
          <t>A 40601-2020</t>
        </is>
      </c>
      <c r="B487" s="1" t="n">
        <v>44069</v>
      </c>
      <c r="C487" s="1" t="n">
        <v>45726</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40994-2020</t>
        </is>
      </c>
      <c r="B488" s="1" t="n">
        <v>44070</v>
      </c>
      <c r="C488" s="1" t="n">
        <v>45726</v>
      </c>
      <c r="D488" t="inlineStr">
        <is>
          <t>VÄRMLANDS LÄN</t>
        </is>
      </c>
      <c r="E488" t="inlineStr">
        <is>
          <t>TORSBY</t>
        </is>
      </c>
      <c r="F488" t="inlineStr">
        <is>
          <t>Bergvik skog väst AB</t>
        </is>
      </c>
      <c r="G488" t="n">
        <v>3.8</v>
      </c>
      <c r="H488" t="n">
        <v>0</v>
      </c>
      <c r="I488" t="n">
        <v>0</v>
      </c>
      <c r="J488" t="n">
        <v>0</v>
      </c>
      <c r="K488" t="n">
        <v>0</v>
      </c>
      <c r="L488" t="n">
        <v>0</v>
      </c>
      <c r="M488" t="n">
        <v>0</v>
      </c>
      <c r="N488" t="n">
        <v>0</v>
      </c>
      <c r="O488" t="n">
        <v>0</v>
      </c>
      <c r="P488" t="n">
        <v>0</v>
      </c>
      <c r="Q488" t="n">
        <v>0</v>
      </c>
      <c r="R488" s="2" t="inlineStr"/>
    </row>
    <row r="489" ht="15" customHeight="1">
      <c r="A489" t="inlineStr">
        <is>
          <t>A 40987-2020</t>
        </is>
      </c>
      <c r="B489" s="1" t="n">
        <v>44070</v>
      </c>
      <c r="C489" s="1" t="n">
        <v>45726</v>
      </c>
      <c r="D489" t="inlineStr">
        <is>
          <t>VÄRMLANDS LÄN</t>
        </is>
      </c>
      <c r="E489" t="inlineStr">
        <is>
          <t>TORSBY</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40993-2020</t>
        </is>
      </c>
      <c r="B490" s="1" t="n">
        <v>44070</v>
      </c>
      <c r="C490" s="1" t="n">
        <v>45726</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41469-2020</t>
        </is>
      </c>
      <c r="B491" s="1" t="n">
        <v>44074</v>
      </c>
      <c r="C491" s="1" t="n">
        <v>45726</v>
      </c>
      <c r="D491" t="inlineStr">
        <is>
          <t>VÄRMLANDS LÄN</t>
        </is>
      </c>
      <c r="E491" t="inlineStr">
        <is>
          <t>TORSBY</t>
        </is>
      </c>
      <c r="F491" t="inlineStr">
        <is>
          <t>Bergvik skog väst AB</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42391-2020</t>
        </is>
      </c>
      <c r="B492" s="1" t="n">
        <v>44076</v>
      </c>
      <c r="C492" s="1" t="n">
        <v>45726</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42566-2020</t>
        </is>
      </c>
      <c r="B493" s="1" t="n">
        <v>44077</v>
      </c>
      <c r="C493" s="1" t="n">
        <v>45726</v>
      </c>
      <c r="D493" t="inlineStr">
        <is>
          <t>VÄRMLANDS LÄN</t>
        </is>
      </c>
      <c r="E493" t="inlineStr">
        <is>
          <t>TORSBY</t>
        </is>
      </c>
      <c r="G493" t="n">
        <v>1.7</v>
      </c>
      <c r="H493" t="n">
        <v>0</v>
      </c>
      <c r="I493" t="n">
        <v>0</v>
      </c>
      <c r="J493" t="n">
        <v>0</v>
      </c>
      <c r="K493" t="n">
        <v>0</v>
      </c>
      <c r="L493" t="n">
        <v>0</v>
      </c>
      <c r="M493" t="n">
        <v>0</v>
      </c>
      <c r="N493" t="n">
        <v>0</v>
      </c>
      <c r="O493" t="n">
        <v>0</v>
      </c>
      <c r="P493" t="n">
        <v>0</v>
      </c>
      <c r="Q493" t="n">
        <v>0</v>
      </c>
      <c r="R493" s="2" t="inlineStr"/>
    </row>
    <row r="494" ht="15" customHeight="1">
      <c r="A494" t="inlineStr">
        <is>
          <t>A 42982-2020</t>
        </is>
      </c>
      <c r="B494" s="1" t="n">
        <v>44078</v>
      </c>
      <c r="C494" s="1" t="n">
        <v>45726</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44722-2020</t>
        </is>
      </c>
      <c r="B495" s="1" t="n">
        <v>44078</v>
      </c>
      <c r="C495" s="1" t="n">
        <v>45726</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43547-2020</t>
        </is>
      </c>
      <c r="B496" s="1" t="n">
        <v>44078</v>
      </c>
      <c r="C496" s="1" t="n">
        <v>45726</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44715-2020</t>
        </is>
      </c>
      <c r="B497" s="1" t="n">
        <v>44078</v>
      </c>
      <c r="C497" s="1" t="n">
        <v>45726</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44720-2020</t>
        </is>
      </c>
      <c r="B498" s="1" t="n">
        <v>44078</v>
      </c>
      <c r="C498" s="1" t="n">
        <v>45726</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43725-2020</t>
        </is>
      </c>
      <c r="B499" s="1" t="n">
        <v>44082</v>
      </c>
      <c r="C499" s="1" t="n">
        <v>45726</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44666-2020</t>
        </is>
      </c>
      <c r="B500" s="1" t="n">
        <v>44085</v>
      </c>
      <c r="C500" s="1" t="n">
        <v>45726</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46482-2020</t>
        </is>
      </c>
      <c r="B501" s="1" t="n">
        <v>44089</v>
      </c>
      <c r="C501" s="1" t="n">
        <v>45726</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45404-2020</t>
        </is>
      </c>
      <c r="B502" s="1" t="n">
        <v>44089</v>
      </c>
      <c r="C502" s="1" t="n">
        <v>45726</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45872-2020</t>
        </is>
      </c>
      <c r="B503" s="1" t="n">
        <v>44091</v>
      </c>
      <c r="C503" s="1" t="n">
        <v>45726</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45898-2020</t>
        </is>
      </c>
      <c r="B504" s="1" t="n">
        <v>44091</v>
      </c>
      <c r="C504" s="1" t="n">
        <v>45726</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46271-2020</t>
        </is>
      </c>
      <c r="B505" s="1" t="n">
        <v>44092</v>
      </c>
      <c r="C505" s="1" t="n">
        <v>45726</v>
      </c>
      <c r="D505" t="inlineStr">
        <is>
          <t>VÄRMLANDS LÄN</t>
        </is>
      </c>
      <c r="E505" t="inlineStr">
        <is>
          <t>TORSBY</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47707-2020</t>
        </is>
      </c>
      <c r="B506" s="1" t="n">
        <v>44096</v>
      </c>
      <c r="C506" s="1" t="n">
        <v>45726</v>
      </c>
      <c r="D506" t="inlineStr">
        <is>
          <t>VÄRMLANDS LÄN</t>
        </is>
      </c>
      <c r="E506" t="inlineStr">
        <is>
          <t>TORSBY</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47709-2020</t>
        </is>
      </c>
      <c r="B507" s="1" t="n">
        <v>44096</v>
      </c>
      <c r="C507" s="1" t="n">
        <v>45726</v>
      </c>
      <c r="D507" t="inlineStr">
        <is>
          <t>VÄRMLANDS LÄN</t>
        </is>
      </c>
      <c r="E507" t="inlineStr">
        <is>
          <t>TORSBY</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47490-2020</t>
        </is>
      </c>
      <c r="B508" s="1" t="n">
        <v>44098</v>
      </c>
      <c r="C508" s="1" t="n">
        <v>45726</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48231-2020</t>
        </is>
      </c>
      <c r="B509" s="1" t="n">
        <v>44102</v>
      </c>
      <c r="C509" s="1" t="n">
        <v>45726</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48383-2020</t>
        </is>
      </c>
      <c r="B510" s="1" t="n">
        <v>44102</v>
      </c>
      <c r="C510" s="1" t="n">
        <v>45726</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48488-2020</t>
        </is>
      </c>
      <c r="B511" s="1" t="n">
        <v>44103</v>
      </c>
      <c r="C511" s="1" t="n">
        <v>45726</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53557-2020</t>
        </is>
      </c>
      <c r="B512" s="1" t="n">
        <v>44104</v>
      </c>
      <c r="C512" s="1" t="n">
        <v>45726</v>
      </c>
      <c r="D512" t="inlineStr">
        <is>
          <t>VÄRMLANDS LÄN</t>
        </is>
      </c>
      <c r="E512" t="inlineStr">
        <is>
          <t>TORSBY</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50084-2020</t>
        </is>
      </c>
      <c r="B513" s="1" t="n">
        <v>44109</v>
      </c>
      <c r="C513" s="1" t="n">
        <v>45726</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50092-2020</t>
        </is>
      </c>
      <c r="B514" s="1" t="n">
        <v>44109</v>
      </c>
      <c r="C514" s="1" t="n">
        <v>45726</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50103-2020</t>
        </is>
      </c>
      <c r="B515" s="1" t="n">
        <v>44109</v>
      </c>
      <c r="C515" s="1" t="n">
        <v>45726</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50096-2020</t>
        </is>
      </c>
      <c r="B516" s="1" t="n">
        <v>44109</v>
      </c>
      <c r="C516" s="1" t="n">
        <v>45726</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50486-2020</t>
        </is>
      </c>
      <c r="B517" s="1" t="n">
        <v>44110</v>
      </c>
      <c r="C517" s="1" t="n">
        <v>45726</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50943-2020</t>
        </is>
      </c>
      <c r="B518" s="1" t="n">
        <v>44111</v>
      </c>
      <c r="C518" s="1" t="n">
        <v>45726</v>
      </c>
      <c r="D518" t="inlineStr">
        <is>
          <t>VÄRMLANDS LÄN</t>
        </is>
      </c>
      <c r="E518" t="inlineStr">
        <is>
          <t>TORSBY</t>
        </is>
      </c>
      <c r="F518" t="inlineStr">
        <is>
          <t>Bergvik skog väst AB</t>
        </is>
      </c>
      <c r="G518" t="n">
        <v>18.4</v>
      </c>
      <c r="H518" t="n">
        <v>0</v>
      </c>
      <c r="I518" t="n">
        <v>0</v>
      </c>
      <c r="J518" t="n">
        <v>0</v>
      </c>
      <c r="K518" t="n">
        <v>0</v>
      </c>
      <c r="L518" t="n">
        <v>0</v>
      </c>
      <c r="M518" t="n">
        <v>0</v>
      </c>
      <c r="N518" t="n">
        <v>0</v>
      </c>
      <c r="O518" t="n">
        <v>0</v>
      </c>
      <c r="P518" t="n">
        <v>0</v>
      </c>
      <c r="Q518" t="n">
        <v>0</v>
      </c>
      <c r="R518" s="2" t="inlineStr"/>
    </row>
    <row r="519" ht="15" customHeight="1">
      <c r="A519" t="inlineStr">
        <is>
          <t>A 51380-2020</t>
        </is>
      </c>
      <c r="B519" s="1" t="n">
        <v>44113</v>
      </c>
      <c r="C519" s="1" t="n">
        <v>45726</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51385-2020</t>
        </is>
      </c>
      <c r="B520" s="1" t="n">
        <v>44113</v>
      </c>
      <c r="C520" s="1" t="n">
        <v>45726</v>
      </c>
      <c r="D520" t="inlineStr">
        <is>
          <t>VÄRMLANDS LÄN</t>
        </is>
      </c>
      <c r="E520" t="inlineStr">
        <is>
          <t>TORSBY</t>
        </is>
      </c>
      <c r="G520" t="n">
        <v>6.8</v>
      </c>
      <c r="H520" t="n">
        <v>0</v>
      </c>
      <c r="I520" t="n">
        <v>0</v>
      </c>
      <c r="J520" t="n">
        <v>0</v>
      </c>
      <c r="K520" t="n">
        <v>0</v>
      </c>
      <c r="L520" t="n">
        <v>0</v>
      </c>
      <c r="M520" t="n">
        <v>0</v>
      </c>
      <c r="N520" t="n">
        <v>0</v>
      </c>
      <c r="O520" t="n">
        <v>0</v>
      </c>
      <c r="P520" t="n">
        <v>0</v>
      </c>
      <c r="Q520" t="n">
        <v>0</v>
      </c>
      <c r="R520" s="2" t="inlineStr"/>
    </row>
    <row r="521" ht="15" customHeight="1">
      <c r="A521" t="inlineStr">
        <is>
          <t>A 51389-2020</t>
        </is>
      </c>
      <c r="B521" s="1" t="n">
        <v>44113</v>
      </c>
      <c r="C521" s="1" t="n">
        <v>45726</v>
      </c>
      <c r="D521" t="inlineStr">
        <is>
          <t>VÄRMLANDS LÄN</t>
        </is>
      </c>
      <c r="E521" t="inlineStr">
        <is>
          <t>TORSBY</t>
        </is>
      </c>
      <c r="G521" t="n">
        <v>15.4</v>
      </c>
      <c r="H521" t="n">
        <v>0</v>
      </c>
      <c r="I521" t="n">
        <v>0</v>
      </c>
      <c r="J521" t="n">
        <v>0</v>
      </c>
      <c r="K521" t="n">
        <v>0</v>
      </c>
      <c r="L521" t="n">
        <v>0</v>
      </c>
      <c r="M521" t="n">
        <v>0</v>
      </c>
      <c r="N521" t="n">
        <v>0</v>
      </c>
      <c r="O521" t="n">
        <v>0</v>
      </c>
      <c r="P521" t="n">
        <v>0</v>
      </c>
      <c r="Q521" t="n">
        <v>0</v>
      </c>
      <c r="R521" s="2" t="inlineStr"/>
    </row>
    <row r="522" ht="15" customHeight="1">
      <c r="A522" t="inlineStr">
        <is>
          <t>A 51382-2020</t>
        </is>
      </c>
      <c r="B522" s="1" t="n">
        <v>44113</v>
      </c>
      <c r="C522" s="1" t="n">
        <v>45726</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51381-2020</t>
        </is>
      </c>
      <c r="B523" s="1" t="n">
        <v>44113</v>
      </c>
      <c r="C523" s="1" t="n">
        <v>45726</v>
      </c>
      <c r="D523" t="inlineStr">
        <is>
          <t>VÄRMLANDS LÄN</t>
        </is>
      </c>
      <c r="E523" t="inlineStr">
        <is>
          <t>TORSBY</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51386-2020</t>
        </is>
      </c>
      <c r="B524" s="1" t="n">
        <v>44113</v>
      </c>
      <c r="C524" s="1" t="n">
        <v>45726</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51635-2020</t>
        </is>
      </c>
      <c r="B525" s="1" t="n">
        <v>44113</v>
      </c>
      <c r="C525" s="1" t="n">
        <v>45726</v>
      </c>
      <c r="D525" t="inlineStr">
        <is>
          <t>VÄRMLANDS LÄN</t>
        </is>
      </c>
      <c r="E525" t="inlineStr">
        <is>
          <t>TORSBY</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51383-2020</t>
        </is>
      </c>
      <c r="B526" s="1" t="n">
        <v>44113</v>
      </c>
      <c r="C526" s="1" t="n">
        <v>45726</v>
      </c>
      <c r="D526" t="inlineStr">
        <is>
          <t>VÄRMLANDS LÄN</t>
        </is>
      </c>
      <c r="E526" t="inlineStr">
        <is>
          <t>TORSBY</t>
        </is>
      </c>
      <c r="G526" t="n">
        <v>3.8</v>
      </c>
      <c r="H526" t="n">
        <v>0</v>
      </c>
      <c r="I526" t="n">
        <v>0</v>
      </c>
      <c r="J526" t="n">
        <v>0</v>
      </c>
      <c r="K526" t="n">
        <v>0</v>
      </c>
      <c r="L526" t="n">
        <v>0</v>
      </c>
      <c r="M526" t="n">
        <v>0</v>
      </c>
      <c r="N526" t="n">
        <v>0</v>
      </c>
      <c r="O526" t="n">
        <v>0</v>
      </c>
      <c r="P526" t="n">
        <v>0</v>
      </c>
      <c r="Q526" t="n">
        <v>0</v>
      </c>
      <c r="R526" s="2" t="inlineStr"/>
    </row>
    <row r="527" ht="15" customHeight="1">
      <c r="A527" t="inlineStr">
        <is>
          <t>A 51838-2020</t>
        </is>
      </c>
      <c r="B527" s="1" t="n">
        <v>44116</v>
      </c>
      <c r="C527" s="1" t="n">
        <v>45726</v>
      </c>
      <c r="D527" t="inlineStr">
        <is>
          <t>VÄRMLANDS LÄN</t>
        </is>
      </c>
      <c r="E527" t="inlineStr">
        <is>
          <t>TORSBY</t>
        </is>
      </c>
      <c r="G527" t="n">
        <v>0.5</v>
      </c>
      <c r="H527" t="n">
        <v>0</v>
      </c>
      <c r="I527" t="n">
        <v>0</v>
      </c>
      <c r="J527" t="n">
        <v>0</v>
      </c>
      <c r="K527" t="n">
        <v>0</v>
      </c>
      <c r="L527" t="n">
        <v>0</v>
      </c>
      <c r="M527" t="n">
        <v>0</v>
      </c>
      <c r="N527" t="n">
        <v>0</v>
      </c>
      <c r="O527" t="n">
        <v>0</v>
      </c>
      <c r="P527" t="n">
        <v>0</v>
      </c>
      <c r="Q527" t="n">
        <v>0</v>
      </c>
      <c r="R527" s="2" t="inlineStr"/>
    </row>
    <row r="528" ht="15" customHeight="1">
      <c r="A528" t="inlineStr">
        <is>
          <t>A 52460-2020</t>
        </is>
      </c>
      <c r="B528" s="1" t="n">
        <v>44116</v>
      </c>
      <c r="C528" s="1" t="n">
        <v>45726</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51837-2020</t>
        </is>
      </c>
      <c r="B529" s="1" t="n">
        <v>44116</v>
      </c>
      <c r="C529" s="1" t="n">
        <v>45726</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52141-2020</t>
        </is>
      </c>
      <c r="B530" s="1" t="n">
        <v>44117</v>
      </c>
      <c r="C530" s="1" t="n">
        <v>45726</v>
      </c>
      <c r="D530" t="inlineStr">
        <is>
          <t>VÄRMLANDS LÄN</t>
        </is>
      </c>
      <c r="E530" t="inlineStr">
        <is>
          <t>TORSBY</t>
        </is>
      </c>
      <c r="G530" t="n">
        <v>4.1</v>
      </c>
      <c r="H530" t="n">
        <v>0</v>
      </c>
      <c r="I530" t="n">
        <v>0</v>
      </c>
      <c r="J530" t="n">
        <v>0</v>
      </c>
      <c r="K530" t="n">
        <v>0</v>
      </c>
      <c r="L530" t="n">
        <v>0</v>
      </c>
      <c r="M530" t="n">
        <v>0</v>
      </c>
      <c r="N530" t="n">
        <v>0</v>
      </c>
      <c r="O530" t="n">
        <v>0</v>
      </c>
      <c r="P530" t="n">
        <v>0</v>
      </c>
      <c r="Q530" t="n">
        <v>0</v>
      </c>
      <c r="R530" s="2" t="inlineStr"/>
    </row>
    <row r="531" ht="15" customHeight="1">
      <c r="A531" t="inlineStr">
        <is>
          <t>A 52799-2020</t>
        </is>
      </c>
      <c r="B531" s="1" t="n">
        <v>44119</v>
      </c>
      <c r="C531" s="1" t="n">
        <v>45726</v>
      </c>
      <c r="D531" t="inlineStr">
        <is>
          <t>VÄRMLANDS LÄN</t>
        </is>
      </c>
      <c r="E531" t="inlineStr">
        <is>
          <t>TORSBY</t>
        </is>
      </c>
      <c r="G531" t="n">
        <v>6.2</v>
      </c>
      <c r="H531" t="n">
        <v>0</v>
      </c>
      <c r="I531" t="n">
        <v>0</v>
      </c>
      <c r="J531" t="n">
        <v>0</v>
      </c>
      <c r="K531" t="n">
        <v>0</v>
      </c>
      <c r="L531" t="n">
        <v>0</v>
      </c>
      <c r="M531" t="n">
        <v>0</v>
      </c>
      <c r="N531" t="n">
        <v>0</v>
      </c>
      <c r="O531" t="n">
        <v>0</v>
      </c>
      <c r="P531" t="n">
        <v>0</v>
      </c>
      <c r="Q531" t="n">
        <v>0</v>
      </c>
      <c r="R531" s="2" t="inlineStr"/>
    </row>
    <row r="532" ht="15" customHeight="1">
      <c r="A532" t="inlineStr">
        <is>
          <t>A 52979-2020</t>
        </is>
      </c>
      <c r="B532" s="1" t="n">
        <v>44120</v>
      </c>
      <c r="C532" s="1" t="n">
        <v>45726</v>
      </c>
      <c r="D532" t="inlineStr">
        <is>
          <t>VÄRMLANDS LÄN</t>
        </is>
      </c>
      <c r="E532" t="inlineStr">
        <is>
          <t>TORSBY</t>
        </is>
      </c>
      <c r="G532" t="n">
        <v>3.6</v>
      </c>
      <c r="H532" t="n">
        <v>0</v>
      </c>
      <c r="I532" t="n">
        <v>0</v>
      </c>
      <c r="J532" t="n">
        <v>0</v>
      </c>
      <c r="K532" t="n">
        <v>0</v>
      </c>
      <c r="L532" t="n">
        <v>0</v>
      </c>
      <c r="M532" t="n">
        <v>0</v>
      </c>
      <c r="N532" t="n">
        <v>0</v>
      </c>
      <c r="O532" t="n">
        <v>0</v>
      </c>
      <c r="P532" t="n">
        <v>0</v>
      </c>
      <c r="Q532" t="n">
        <v>0</v>
      </c>
      <c r="R532" s="2" t="inlineStr"/>
    </row>
    <row r="533" ht="15" customHeight="1">
      <c r="A533" t="inlineStr">
        <is>
          <t>A 53111-2020</t>
        </is>
      </c>
      <c r="B533" s="1" t="n">
        <v>44120</v>
      </c>
      <c r="C533" s="1" t="n">
        <v>45726</v>
      </c>
      <c r="D533" t="inlineStr">
        <is>
          <t>VÄRMLANDS LÄN</t>
        </is>
      </c>
      <c r="E533" t="inlineStr">
        <is>
          <t>TORSBY</t>
        </is>
      </c>
      <c r="F533" t="inlineStr">
        <is>
          <t>Bergvik skog väst AB</t>
        </is>
      </c>
      <c r="G533" t="n">
        <v>3.4</v>
      </c>
      <c r="H533" t="n">
        <v>0</v>
      </c>
      <c r="I533" t="n">
        <v>0</v>
      </c>
      <c r="J533" t="n">
        <v>0</v>
      </c>
      <c r="K533" t="n">
        <v>0</v>
      </c>
      <c r="L533" t="n">
        <v>0</v>
      </c>
      <c r="M533" t="n">
        <v>0</v>
      </c>
      <c r="N533" t="n">
        <v>0</v>
      </c>
      <c r="O533" t="n">
        <v>0</v>
      </c>
      <c r="P533" t="n">
        <v>0</v>
      </c>
      <c r="Q533" t="n">
        <v>0</v>
      </c>
      <c r="R533" s="2" t="inlineStr"/>
    </row>
    <row r="534" ht="15" customHeight="1">
      <c r="A534" t="inlineStr">
        <is>
          <t>A 53771-2020</t>
        </is>
      </c>
      <c r="B534" s="1" t="n">
        <v>44124</v>
      </c>
      <c r="C534" s="1" t="n">
        <v>45726</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53733-2020</t>
        </is>
      </c>
      <c r="B535" s="1" t="n">
        <v>44124</v>
      </c>
      <c r="C535" s="1" t="n">
        <v>45726</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45726</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54060-2020</t>
        </is>
      </c>
      <c r="B537" s="1" t="n">
        <v>44125</v>
      </c>
      <c r="C537" s="1" t="n">
        <v>45726</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54072-2020</t>
        </is>
      </c>
      <c r="B538" s="1" t="n">
        <v>44125</v>
      </c>
      <c r="C538" s="1" t="n">
        <v>45726</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54916-2020</t>
        </is>
      </c>
      <c r="B539" s="1" t="n">
        <v>44127</v>
      </c>
      <c r="C539" s="1" t="n">
        <v>45726</v>
      </c>
      <c r="D539" t="inlineStr">
        <is>
          <t>VÄRMLANDS LÄN</t>
        </is>
      </c>
      <c r="E539" t="inlineStr">
        <is>
          <t>TORSBY</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54924-2020</t>
        </is>
      </c>
      <c r="B540" s="1" t="n">
        <v>44127</v>
      </c>
      <c r="C540" s="1" t="n">
        <v>45726</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55058-2020</t>
        </is>
      </c>
      <c r="B541" s="1" t="n">
        <v>44130</v>
      </c>
      <c r="C541" s="1" t="n">
        <v>45726</v>
      </c>
      <c r="D541" t="inlineStr">
        <is>
          <t>VÄRMLANDS LÄN</t>
        </is>
      </c>
      <c r="E541" t="inlineStr">
        <is>
          <t>TORSBY</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55217-2020</t>
        </is>
      </c>
      <c r="B542" s="1" t="n">
        <v>44130</v>
      </c>
      <c r="C542" s="1" t="n">
        <v>45726</v>
      </c>
      <c r="D542" t="inlineStr">
        <is>
          <t>VÄRMLANDS LÄN</t>
        </is>
      </c>
      <c r="E542" t="inlineStr">
        <is>
          <t>TORSBY</t>
        </is>
      </c>
      <c r="G542" t="n">
        <v>4.2</v>
      </c>
      <c r="H542" t="n">
        <v>0</v>
      </c>
      <c r="I542" t="n">
        <v>0</v>
      </c>
      <c r="J542" t="n">
        <v>0</v>
      </c>
      <c r="K542" t="n">
        <v>0</v>
      </c>
      <c r="L542" t="n">
        <v>0</v>
      </c>
      <c r="M542" t="n">
        <v>0</v>
      </c>
      <c r="N542" t="n">
        <v>0</v>
      </c>
      <c r="O542" t="n">
        <v>0</v>
      </c>
      <c r="P542" t="n">
        <v>0</v>
      </c>
      <c r="Q542" t="n">
        <v>0</v>
      </c>
      <c r="R542" s="2" t="inlineStr"/>
    </row>
    <row r="543" ht="15" customHeight="1">
      <c r="A543" t="inlineStr">
        <is>
          <t>A 55401-2020</t>
        </is>
      </c>
      <c r="B543" s="1" t="n">
        <v>44131</v>
      </c>
      <c r="C543" s="1" t="n">
        <v>45726</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56979-2020</t>
        </is>
      </c>
      <c r="B544" s="1" t="n">
        <v>44138</v>
      </c>
      <c r="C544" s="1" t="n">
        <v>45726</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57119-2020</t>
        </is>
      </c>
      <c r="B545" s="1" t="n">
        <v>44139</v>
      </c>
      <c r="C545" s="1" t="n">
        <v>45726</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57896-2020</t>
        </is>
      </c>
      <c r="B546" s="1" t="n">
        <v>44141</v>
      </c>
      <c r="C546" s="1" t="n">
        <v>45726</v>
      </c>
      <c r="D546" t="inlineStr">
        <is>
          <t>VÄRMLANDS LÄN</t>
        </is>
      </c>
      <c r="E546" t="inlineStr">
        <is>
          <t>TORSBY</t>
        </is>
      </c>
      <c r="F546" t="inlineStr">
        <is>
          <t>Bergvik skog väst AB</t>
        </is>
      </c>
      <c r="G546" t="n">
        <v>5.2</v>
      </c>
      <c r="H546" t="n">
        <v>0</v>
      </c>
      <c r="I546" t="n">
        <v>0</v>
      </c>
      <c r="J546" t="n">
        <v>0</v>
      </c>
      <c r="K546" t="n">
        <v>0</v>
      </c>
      <c r="L546" t="n">
        <v>0</v>
      </c>
      <c r="M546" t="n">
        <v>0</v>
      </c>
      <c r="N546" t="n">
        <v>0</v>
      </c>
      <c r="O546" t="n">
        <v>0</v>
      </c>
      <c r="P546" t="n">
        <v>0</v>
      </c>
      <c r="Q546" t="n">
        <v>0</v>
      </c>
      <c r="R546" s="2" t="inlineStr"/>
    </row>
    <row r="547" ht="15" customHeight="1">
      <c r="A547" t="inlineStr">
        <is>
          <t>A 57980-2020</t>
        </is>
      </c>
      <c r="B547" s="1" t="n">
        <v>44143</v>
      </c>
      <c r="C547" s="1" t="n">
        <v>45726</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58078-2020</t>
        </is>
      </c>
      <c r="B548" s="1" t="n">
        <v>44144</v>
      </c>
      <c r="C548" s="1" t="n">
        <v>45726</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58599-2020</t>
        </is>
      </c>
      <c r="B549" s="1" t="n">
        <v>44145</v>
      </c>
      <c r="C549" s="1" t="n">
        <v>45726</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58574-2020</t>
        </is>
      </c>
      <c r="B550" s="1" t="n">
        <v>44145</v>
      </c>
      <c r="C550" s="1" t="n">
        <v>45726</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58643-2020</t>
        </is>
      </c>
      <c r="B551" s="1" t="n">
        <v>44145</v>
      </c>
      <c r="C551" s="1" t="n">
        <v>45726</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58680-2020</t>
        </is>
      </c>
      <c r="B552" s="1" t="n">
        <v>44146</v>
      </c>
      <c r="C552" s="1" t="n">
        <v>45726</v>
      </c>
      <c r="D552" t="inlineStr">
        <is>
          <t>VÄRMLANDS LÄN</t>
        </is>
      </c>
      <c r="E552" t="inlineStr">
        <is>
          <t>TORSBY</t>
        </is>
      </c>
      <c r="G552" t="n">
        <v>4.7</v>
      </c>
      <c r="H552" t="n">
        <v>0</v>
      </c>
      <c r="I552" t="n">
        <v>0</v>
      </c>
      <c r="J552" t="n">
        <v>0</v>
      </c>
      <c r="K552" t="n">
        <v>0</v>
      </c>
      <c r="L552" t="n">
        <v>0</v>
      </c>
      <c r="M552" t="n">
        <v>0</v>
      </c>
      <c r="N552" t="n">
        <v>0</v>
      </c>
      <c r="O552" t="n">
        <v>0</v>
      </c>
      <c r="P552" t="n">
        <v>0</v>
      </c>
      <c r="Q552" t="n">
        <v>0</v>
      </c>
      <c r="R552" s="2" t="inlineStr"/>
    </row>
    <row r="553" ht="15" customHeight="1">
      <c r="A553" t="inlineStr">
        <is>
          <t>A 58877-2020</t>
        </is>
      </c>
      <c r="B553" s="1" t="n">
        <v>44146</v>
      </c>
      <c r="C553" s="1" t="n">
        <v>45726</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58930-2020</t>
        </is>
      </c>
      <c r="B554" s="1" t="n">
        <v>44146</v>
      </c>
      <c r="C554" s="1" t="n">
        <v>45726</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59800-2020</t>
        </is>
      </c>
      <c r="B555" s="1" t="n">
        <v>44151</v>
      </c>
      <c r="C555" s="1" t="n">
        <v>45726</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60167-2020</t>
        </is>
      </c>
      <c r="B556" s="1" t="n">
        <v>44152</v>
      </c>
      <c r="C556" s="1" t="n">
        <v>45726</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60533-2020</t>
        </is>
      </c>
      <c r="B557" s="1" t="n">
        <v>44153</v>
      </c>
      <c r="C557" s="1" t="n">
        <v>45726</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60719-2020</t>
        </is>
      </c>
      <c r="B558" s="1" t="n">
        <v>44153</v>
      </c>
      <c r="C558" s="1" t="n">
        <v>45726</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60823-2020</t>
        </is>
      </c>
      <c r="B559" s="1" t="n">
        <v>44153</v>
      </c>
      <c r="C559" s="1" t="n">
        <v>45726</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60941-2020</t>
        </is>
      </c>
      <c r="B560" s="1" t="n">
        <v>44154</v>
      </c>
      <c r="C560" s="1" t="n">
        <v>45726</v>
      </c>
      <c r="D560" t="inlineStr">
        <is>
          <t>VÄRMLANDS LÄN</t>
        </is>
      </c>
      <c r="E560" t="inlineStr">
        <is>
          <t>TORSBY</t>
        </is>
      </c>
      <c r="G560" t="n">
        <v>4.1</v>
      </c>
      <c r="H560" t="n">
        <v>0</v>
      </c>
      <c r="I560" t="n">
        <v>0</v>
      </c>
      <c r="J560" t="n">
        <v>0</v>
      </c>
      <c r="K560" t="n">
        <v>0</v>
      </c>
      <c r="L560" t="n">
        <v>0</v>
      </c>
      <c r="M560" t="n">
        <v>0</v>
      </c>
      <c r="N560" t="n">
        <v>0</v>
      </c>
      <c r="O560" t="n">
        <v>0</v>
      </c>
      <c r="P560" t="n">
        <v>0</v>
      </c>
      <c r="Q560" t="n">
        <v>0</v>
      </c>
      <c r="R560" s="2" t="inlineStr"/>
    </row>
    <row r="561" ht="15" customHeight="1">
      <c r="A561" t="inlineStr">
        <is>
          <t>A 61009-2020</t>
        </is>
      </c>
      <c r="B561" s="1" t="n">
        <v>44154</v>
      </c>
      <c r="C561" s="1" t="n">
        <v>45726</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61594-2020</t>
        </is>
      </c>
      <c r="B562" s="1" t="n">
        <v>44154</v>
      </c>
      <c r="C562" s="1" t="n">
        <v>45726</v>
      </c>
      <c r="D562" t="inlineStr">
        <is>
          <t>VÄRMLANDS LÄN</t>
        </is>
      </c>
      <c r="E562" t="inlineStr">
        <is>
          <t>TORSBY</t>
        </is>
      </c>
      <c r="G562" t="n">
        <v>6</v>
      </c>
      <c r="H562" t="n">
        <v>0</v>
      </c>
      <c r="I562" t="n">
        <v>0</v>
      </c>
      <c r="J562" t="n">
        <v>0</v>
      </c>
      <c r="K562" t="n">
        <v>0</v>
      </c>
      <c r="L562" t="n">
        <v>0</v>
      </c>
      <c r="M562" t="n">
        <v>0</v>
      </c>
      <c r="N562" t="n">
        <v>0</v>
      </c>
      <c r="O562" t="n">
        <v>0</v>
      </c>
      <c r="P562" t="n">
        <v>0</v>
      </c>
      <c r="Q562" t="n">
        <v>0</v>
      </c>
      <c r="R562" s="2" t="inlineStr"/>
    </row>
    <row r="563" ht="15" customHeight="1">
      <c r="A563" t="inlineStr">
        <is>
          <t>A 61970-2020</t>
        </is>
      </c>
      <c r="B563" s="1" t="n">
        <v>44155</v>
      </c>
      <c r="C563" s="1" t="n">
        <v>45726</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61738-2020</t>
        </is>
      </c>
      <c r="B564" s="1" t="n">
        <v>44158</v>
      </c>
      <c r="C564" s="1" t="n">
        <v>45726</v>
      </c>
      <c r="D564" t="inlineStr">
        <is>
          <t>VÄRMLANDS LÄN</t>
        </is>
      </c>
      <c r="E564" t="inlineStr">
        <is>
          <t>TORSBY</t>
        </is>
      </c>
      <c r="F564" t="inlineStr">
        <is>
          <t>Kommuner</t>
        </is>
      </c>
      <c r="G564" t="n">
        <v>5.8</v>
      </c>
      <c r="H564" t="n">
        <v>0</v>
      </c>
      <c r="I564" t="n">
        <v>0</v>
      </c>
      <c r="J564" t="n">
        <v>0</v>
      </c>
      <c r="K564" t="n">
        <v>0</v>
      </c>
      <c r="L564" t="n">
        <v>0</v>
      </c>
      <c r="M564" t="n">
        <v>0</v>
      </c>
      <c r="N564" t="n">
        <v>0</v>
      </c>
      <c r="O564" t="n">
        <v>0</v>
      </c>
      <c r="P564" t="n">
        <v>0</v>
      </c>
      <c r="Q564" t="n">
        <v>0</v>
      </c>
      <c r="R564" s="2" t="inlineStr"/>
    </row>
    <row r="565" ht="15" customHeight="1">
      <c r="A565" t="inlineStr">
        <is>
          <t>A 61753-2020</t>
        </is>
      </c>
      <c r="B565" s="1" t="n">
        <v>44158</v>
      </c>
      <c r="C565" s="1" t="n">
        <v>45726</v>
      </c>
      <c r="D565" t="inlineStr">
        <is>
          <t>VÄRMLANDS LÄN</t>
        </is>
      </c>
      <c r="E565" t="inlineStr">
        <is>
          <t>TORSBY</t>
        </is>
      </c>
      <c r="G565" t="n">
        <v>2.2</v>
      </c>
      <c r="H565" t="n">
        <v>0</v>
      </c>
      <c r="I565" t="n">
        <v>0</v>
      </c>
      <c r="J565" t="n">
        <v>0</v>
      </c>
      <c r="K565" t="n">
        <v>0</v>
      </c>
      <c r="L565" t="n">
        <v>0</v>
      </c>
      <c r="M565" t="n">
        <v>0</v>
      </c>
      <c r="N565" t="n">
        <v>0</v>
      </c>
      <c r="O565" t="n">
        <v>0</v>
      </c>
      <c r="P565" t="n">
        <v>0</v>
      </c>
      <c r="Q565" t="n">
        <v>0</v>
      </c>
      <c r="R565" s="2" t="inlineStr"/>
    </row>
    <row r="566" ht="15" customHeight="1">
      <c r="A566" t="inlineStr">
        <is>
          <t>A 61998-2020</t>
        </is>
      </c>
      <c r="B566" s="1" t="n">
        <v>44158</v>
      </c>
      <c r="C566" s="1" t="n">
        <v>45726</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61910-2020</t>
        </is>
      </c>
      <c r="B567" s="1" t="n">
        <v>44159</v>
      </c>
      <c r="C567" s="1" t="n">
        <v>45726</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61956-2020</t>
        </is>
      </c>
      <c r="B568" s="1" t="n">
        <v>44159</v>
      </c>
      <c r="C568" s="1" t="n">
        <v>45726</v>
      </c>
      <c r="D568" t="inlineStr">
        <is>
          <t>VÄRMLANDS LÄN</t>
        </is>
      </c>
      <c r="E568" t="inlineStr">
        <is>
          <t>TORSBY</t>
        </is>
      </c>
      <c r="F568" t="inlineStr">
        <is>
          <t>Kommuner</t>
        </is>
      </c>
      <c r="G568" t="n">
        <v>7.5</v>
      </c>
      <c r="H568" t="n">
        <v>0</v>
      </c>
      <c r="I568" t="n">
        <v>0</v>
      </c>
      <c r="J568" t="n">
        <v>0</v>
      </c>
      <c r="K568" t="n">
        <v>0</v>
      </c>
      <c r="L568" t="n">
        <v>0</v>
      </c>
      <c r="M568" t="n">
        <v>0</v>
      </c>
      <c r="N568" t="n">
        <v>0</v>
      </c>
      <c r="O568" t="n">
        <v>0</v>
      </c>
      <c r="P568" t="n">
        <v>0</v>
      </c>
      <c r="Q568" t="n">
        <v>0</v>
      </c>
      <c r="R568" s="2" t="inlineStr"/>
    </row>
    <row r="569" ht="15" customHeight="1">
      <c r="A569" t="inlineStr">
        <is>
          <t>A 62209-2020</t>
        </is>
      </c>
      <c r="B569" s="1" t="n">
        <v>44159</v>
      </c>
      <c r="C569" s="1" t="n">
        <v>45726</v>
      </c>
      <c r="D569" t="inlineStr">
        <is>
          <t>VÄRMLANDS LÄN</t>
        </is>
      </c>
      <c r="E569" t="inlineStr">
        <is>
          <t>TORSBY</t>
        </is>
      </c>
      <c r="F569" t="inlineStr">
        <is>
          <t>Kommuner</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62211-2020</t>
        </is>
      </c>
      <c r="B570" s="1" t="n">
        <v>44159</v>
      </c>
      <c r="C570" s="1" t="n">
        <v>45726</v>
      </c>
      <c r="D570" t="inlineStr">
        <is>
          <t>VÄRMLANDS LÄN</t>
        </is>
      </c>
      <c r="E570" t="inlineStr">
        <is>
          <t>TORSBY</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62915-2020</t>
        </is>
      </c>
      <c r="B571" s="1" t="n">
        <v>44162</v>
      </c>
      <c r="C571" s="1" t="n">
        <v>45726</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63565-2020</t>
        </is>
      </c>
      <c r="B572" s="1" t="n">
        <v>44165</v>
      </c>
      <c r="C572" s="1" t="n">
        <v>45726</v>
      </c>
      <c r="D572" t="inlineStr">
        <is>
          <t>VÄRMLANDS LÄN</t>
        </is>
      </c>
      <c r="E572" t="inlineStr">
        <is>
          <t>TORSBY</t>
        </is>
      </c>
      <c r="G572" t="n">
        <v>10.3</v>
      </c>
      <c r="H572" t="n">
        <v>0</v>
      </c>
      <c r="I572" t="n">
        <v>0</v>
      </c>
      <c r="J572" t="n">
        <v>0</v>
      </c>
      <c r="K572" t="n">
        <v>0</v>
      </c>
      <c r="L572" t="n">
        <v>0</v>
      </c>
      <c r="M572" t="n">
        <v>0</v>
      </c>
      <c r="N572" t="n">
        <v>0</v>
      </c>
      <c r="O572" t="n">
        <v>0</v>
      </c>
      <c r="P572" t="n">
        <v>0</v>
      </c>
      <c r="Q572" t="n">
        <v>0</v>
      </c>
      <c r="R572" s="2" t="inlineStr"/>
    </row>
    <row r="573" ht="15" customHeight="1">
      <c r="A573" t="inlineStr">
        <is>
          <t>A 64396-2020</t>
        </is>
      </c>
      <c r="B573" s="1" t="n">
        <v>44168</v>
      </c>
      <c r="C573" s="1" t="n">
        <v>45726</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64434-2020</t>
        </is>
      </c>
      <c r="B574" s="1" t="n">
        <v>44168</v>
      </c>
      <c r="C574" s="1" t="n">
        <v>45726</v>
      </c>
      <c r="D574" t="inlineStr">
        <is>
          <t>VÄRMLANDS LÄN</t>
        </is>
      </c>
      <c r="E574" t="inlineStr">
        <is>
          <t>TORSBY</t>
        </is>
      </c>
      <c r="G574" t="n">
        <v>7.7</v>
      </c>
      <c r="H574" t="n">
        <v>0</v>
      </c>
      <c r="I574" t="n">
        <v>0</v>
      </c>
      <c r="J574" t="n">
        <v>0</v>
      </c>
      <c r="K574" t="n">
        <v>0</v>
      </c>
      <c r="L574" t="n">
        <v>0</v>
      </c>
      <c r="M574" t="n">
        <v>0</v>
      </c>
      <c r="N574" t="n">
        <v>0</v>
      </c>
      <c r="O574" t="n">
        <v>0</v>
      </c>
      <c r="P574" t="n">
        <v>0</v>
      </c>
      <c r="Q574" t="n">
        <v>0</v>
      </c>
      <c r="R574" s="2" t="inlineStr"/>
    </row>
    <row r="575" ht="15" customHeight="1">
      <c r="A575" t="inlineStr">
        <is>
          <t>A 65369-2020</t>
        </is>
      </c>
      <c r="B575" s="1" t="n">
        <v>44169</v>
      </c>
      <c r="C575" s="1" t="n">
        <v>45726</v>
      </c>
      <c r="D575" t="inlineStr">
        <is>
          <t>VÄRMLANDS LÄN</t>
        </is>
      </c>
      <c r="E575" t="inlineStr">
        <is>
          <t>TORSBY</t>
        </is>
      </c>
      <c r="G575" t="n">
        <v>32.5</v>
      </c>
      <c r="H575" t="n">
        <v>0</v>
      </c>
      <c r="I575" t="n">
        <v>0</v>
      </c>
      <c r="J575" t="n">
        <v>0</v>
      </c>
      <c r="K575" t="n">
        <v>0</v>
      </c>
      <c r="L575" t="n">
        <v>0</v>
      </c>
      <c r="M575" t="n">
        <v>0</v>
      </c>
      <c r="N575" t="n">
        <v>0</v>
      </c>
      <c r="O575" t="n">
        <v>0</v>
      </c>
      <c r="P575" t="n">
        <v>0</v>
      </c>
      <c r="Q575" t="n">
        <v>0</v>
      </c>
      <c r="R575" s="2" t="inlineStr"/>
    </row>
    <row r="576" ht="15" customHeight="1">
      <c r="A576" t="inlineStr">
        <is>
          <t>A 65482-2020</t>
        </is>
      </c>
      <c r="B576" s="1" t="n">
        <v>44169</v>
      </c>
      <c r="C576" s="1" t="n">
        <v>45726</v>
      </c>
      <c r="D576" t="inlineStr">
        <is>
          <t>VÄRMLANDS LÄN</t>
        </is>
      </c>
      <c r="E576" t="inlineStr">
        <is>
          <t>TORSBY</t>
        </is>
      </c>
      <c r="F576" t="inlineStr">
        <is>
          <t>Kyrkan</t>
        </is>
      </c>
      <c r="G576" t="n">
        <v>21.6</v>
      </c>
      <c r="H576" t="n">
        <v>0</v>
      </c>
      <c r="I576" t="n">
        <v>0</v>
      </c>
      <c r="J576" t="n">
        <v>0</v>
      </c>
      <c r="K576" t="n">
        <v>0</v>
      </c>
      <c r="L576" t="n">
        <v>0</v>
      </c>
      <c r="M576" t="n">
        <v>0</v>
      </c>
      <c r="N576" t="n">
        <v>0</v>
      </c>
      <c r="O576" t="n">
        <v>0</v>
      </c>
      <c r="P576" t="n">
        <v>0</v>
      </c>
      <c r="Q576" t="n">
        <v>0</v>
      </c>
      <c r="R576" s="2" t="inlineStr"/>
    </row>
    <row r="577" ht="15" customHeight="1">
      <c r="A577" t="inlineStr">
        <is>
          <t>A 65398-2020</t>
        </is>
      </c>
      <c r="B577" s="1" t="n">
        <v>44169</v>
      </c>
      <c r="C577" s="1" t="n">
        <v>45726</v>
      </c>
      <c r="D577" t="inlineStr">
        <is>
          <t>VÄRMLANDS LÄN</t>
        </is>
      </c>
      <c r="E577" t="inlineStr">
        <is>
          <t>TORSBY</t>
        </is>
      </c>
      <c r="G577" t="n">
        <v>3.6</v>
      </c>
      <c r="H577" t="n">
        <v>0</v>
      </c>
      <c r="I577" t="n">
        <v>0</v>
      </c>
      <c r="J577" t="n">
        <v>0</v>
      </c>
      <c r="K577" t="n">
        <v>0</v>
      </c>
      <c r="L577" t="n">
        <v>0</v>
      </c>
      <c r="M577" t="n">
        <v>0</v>
      </c>
      <c r="N577" t="n">
        <v>0</v>
      </c>
      <c r="O577" t="n">
        <v>0</v>
      </c>
      <c r="P577" t="n">
        <v>0</v>
      </c>
      <c r="Q577" t="n">
        <v>0</v>
      </c>
      <c r="R577" s="2" t="inlineStr"/>
    </row>
    <row r="578" ht="15" customHeight="1">
      <c r="A578" t="inlineStr">
        <is>
          <t>A 65678-2020</t>
        </is>
      </c>
      <c r="B578" s="1" t="n">
        <v>44172</v>
      </c>
      <c r="C578" s="1" t="n">
        <v>45726</v>
      </c>
      <c r="D578" t="inlineStr">
        <is>
          <t>VÄRMLANDS LÄN</t>
        </is>
      </c>
      <c r="E578" t="inlineStr">
        <is>
          <t>TORSBY</t>
        </is>
      </c>
      <c r="G578" t="n">
        <v>3.5</v>
      </c>
      <c r="H578" t="n">
        <v>0</v>
      </c>
      <c r="I578" t="n">
        <v>0</v>
      </c>
      <c r="J578" t="n">
        <v>0</v>
      </c>
      <c r="K578" t="n">
        <v>0</v>
      </c>
      <c r="L578" t="n">
        <v>0</v>
      </c>
      <c r="M578" t="n">
        <v>0</v>
      </c>
      <c r="N578" t="n">
        <v>0</v>
      </c>
      <c r="O578" t="n">
        <v>0</v>
      </c>
      <c r="P578" t="n">
        <v>0</v>
      </c>
      <c r="Q578" t="n">
        <v>0</v>
      </c>
      <c r="R578" s="2" t="inlineStr"/>
    </row>
    <row r="579" ht="15" customHeight="1">
      <c r="A579" t="inlineStr">
        <is>
          <t>A 65827-2020</t>
        </is>
      </c>
      <c r="B579" s="1" t="n">
        <v>44173</v>
      </c>
      <c r="C579" s="1" t="n">
        <v>45726</v>
      </c>
      <c r="D579" t="inlineStr">
        <is>
          <t>VÄRMLANDS LÄN</t>
        </is>
      </c>
      <c r="E579" t="inlineStr">
        <is>
          <t>TORSBY</t>
        </is>
      </c>
      <c r="G579" t="n">
        <v>6.7</v>
      </c>
      <c r="H579" t="n">
        <v>0</v>
      </c>
      <c r="I579" t="n">
        <v>0</v>
      </c>
      <c r="J579" t="n">
        <v>0</v>
      </c>
      <c r="K579" t="n">
        <v>0</v>
      </c>
      <c r="L579" t="n">
        <v>0</v>
      </c>
      <c r="M579" t="n">
        <v>0</v>
      </c>
      <c r="N579" t="n">
        <v>0</v>
      </c>
      <c r="O579" t="n">
        <v>0</v>
      </c>
      <c r="P579" t="n">
        <v>0</v>
      </c>
      <c r="Q579" t="n">
        <v>0</v>
      </c>
      <c r="R579" s="2" t="inlineStr"/>
    </row>
    <row r="580" ht="15" customHeight="1">
      <c r="A580" t="inlineStr">
        <is>
          <t>A 66703-2020</t>
        </is>
      </c>
      <c r="B580" s="1" t="n">
        <v>44174</v>
      </c>
      <c r="C580" s="1" t="n">
        <v>45726</v>
      </c>
      <c r="D580" t="inlineStr">
        <is>
          <t>VÄRMLANDS LÄN</t>
        </is>
      </c>
      <c r="E580" t="inlineStr">
        <is>
          <t>TORSBY</t>
        </is>
      </c>
      <c r="G580" t="n">
        <v>6.3</v>
      </c>
      <c r="H580" t="n">
        <v>0</v>
      </c>
      <c r="I580" t="n">
        <v>0</v>
      </c>
      <c r="J580" t="n">
        <v>0</v>
      </c>
      <c r="K580" t="n">
        <v>0</v>
      </c>
      <c r="L580" t="n">
        <v>0</v>
      </c>
      <c r="M580" t="n">
        <v>0</v>
      </c>
      <c r="N580" t="n">
        <v>0</v>
      </c>
      <c r="O580" t="n">
        <v>0</v>
      </c>
      <c r="P580" t="n">
        <v>0</v>
      </c>
      <c r="Q580" t="n">
        <v>0</v>
      </c>
      <c r="R580" s="2" t="inlineStr"/>
    </row>
    <row r="581" ht="15" customHeight="1">
      <c r="A581" t="inlineStr">
        <is>
          <t>A 66194-2020</t>
        </is>
      </c>
      <c r="B581" s="1" t="n">
        <v>44175</v>
      </c>
      <c r="C581" s="1" t="n">
        <v>45726</v>
      </c>
      <c r="D581" t="inlineStr">
        <is>
          <t>VÄRMLANDS LÄN</t>
        </is>
      </c>
      <c r="E581" t="inlineStr">
        <is>
          <t>TORSBY</t>
        </is>
      </c>
      <c r="F581" t="inlineStr">
        <is>
          <t>Bergvik skog väst AB</t>
        </is>
      </c>
      <c r="G581" t="n">
        <v>18.4</v>
      </c>
      <c r="H581" t="n">
        <v>0</v>
      </c>
      <c r="I581" t="n">
        <v>0</v>
      </c>
      <c r="J581" t="n">
        <v>0</v>
      </c>
      <c r="K581" t="n">
        <v>0</v>
      </c>
      <c r="L581" t="n">
        <v>0</v>
      </c>
      <c r="M581" t="n">
        <v>0</v>
      </c>
      <c r="N581" t="n">
        <v>0</v>
      </c>
      <c r="O581" t="n">
        <v>0</v>
      </c>
      <c r="P581" t="n">
        <v>0</v>
      </c>
      <c r="Q581" t="n">
        <v>0</v>
      </c>
      <c r="R581" s="2" t="inlineStr"/>
    </row>
    <row r="582" ht="15" customHeight="1">
      <c r="A582" t="inlineStr">
        <is>
          <t>A 66326-2020</t>
        </is>
      </c>
      <c r="B582" s="1" t="n">
        <v>44176</v>
      </c>
      <c r="C582" s="1" t="n">
        <v>45726</v>
      </c>
      <c r="D582" t="inlineStr">
        <is>
          <t>VÄRMLANDS LÄN</t>
        </is>
      </c>
      <c r="E582" t="inlineStr">
        <is>
          <t>TORSBY</t>
        </is>
      </c>
      <c r="G582" t="n">
        <v>1.7</v>
      </c>
      <c r="H582" t="n">
        <v>0</v>
      </c>
      <c r="I582" t="n">
        <v>0</v>
      </c>
      <c r="J582" t="n">
        <v>0</v>
      </c>
      <c r="K582" t="n">
        <v>0</v>
      </c>
      <c r="L582" t="n">
        <v>0</v>
      </c>
      <c r="M582" t="n">
        <v>0</v>
      </c>
      <c r="N582" t="n">
        <v>0</v>
      </c>
      <c r="O582" t="n">
        <v>0</v>
      </c>
      <c r="P582" t="n">
        <v>0</v>
      </c>
      <c r="Q582" t="n">
        <v>0</v>
      </c>
      <c r="R582" s="2" t="inlineStr"/>
    </row>
    <row r="583" ht="15" customHeight="1">
      <c r="A583" t="inlineStr">
        <is>
          <t>A 67084-2020</t>
        </is>
      </c>
      <c r="B583" s="1" t="n">
        <v>44179</v>
      </c>
      <c r="C583" s="1" t="n">
        <v>45726</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67547-2020</t>
        </is>
      </c>
      <c r="B584" s="1" t="n">
        <v>44181</v>
      </c>
      <c r="C584" s="1" t="n">
        <v>45726</v>
      </c>
      <c r="D584" t="inlineStr">
        <is>
          <t>VÄRMLANDS LÄN</t>
        </is>
      </c>
      <c r="E584" t="inlineStr">
        <is>
          <t>TORSBY</t>
        </is>
      </c>
      <c r="G584" t="n">
        <v>3</v>
      </c>
      <c r="H584" t="n">
        <v>0</v>
      </c>
      <c r="I584" t="n">
        <v>0</v>
      </c>
      <c r="J584" t="n">
        <v>0</v>
      </c>
      <c r="K584" t="n">
        <v>0</v>
      </c>
      <c r="L584" t="n">
        <v>0</v>
      </c>
      <c r="M584" t="n">
        <v>0</v>
      </c>
      <c r="N584" t="n">
        <v>0</v>
      </c>
      <c r="O584" t="n">
        <v>0</v>
      </c>
      <c r="P584" t="n">
        <v>0</v>
      </c>
      <c r="Q584" t="n">
        <v>0</v>
      </c>
      <c r="R584" s="2" t="inlineStr"/>
    </row>
    <row r="585" ht="15" customHeight="1">
      <c r="A585" t="inlineStr">
        <is>
          <t>A 67464-2020</t>
        </is>
      </c>
      <c r="B585" s="1" t="n">
        <v>44181</v>
      </c>
      <c r="C585" s="1" t="n">
        <v>45726</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67734-2020</t>
        </is>
      </c>
      <c r="B586" s="1" t="n">
        <v>44182</v>
      </c>
      <c r="C586" s="1" t="n">
        <v>45726</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68220-2020</t>
        </is>
      </c>
      <c r="B587" s="1" t="n">
        <v>44183</v>
      </c>
      <c r="C587" s="1" t="n">
        <v>45726</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68238-2020</t>
        </is>
      </c>
      <c r="B588" s="1" t="n">
        <v>44183</v>
      </c>
      <c r="C588" s="1" t="n">
        <v>45726</v>
      </c>
      <c r="D588" t="inlineStr">
        <is>
          <t>VÄRMLANDS LÄN</t>
        </is>
      </c>
      <c r="E588" t="inlineStr">
        <is>
          <t>TORSBY</t>
        </is>
      </c>
      <c r="F588" t="inlineStr">
        <is>
          <t>Bergvik skog väst AB</t>
        </is>
      </c>
      <c r="G588" t="n">
        <v>6.7</v>
      </c>
      <c r="H588" t="n">
        <v>0</v>
      </c>
      <c r="I588" t="n">
        <v>0</v>
      </c>
      <c r="J588" t="n">
        <v>0</v>
      </c>
      <c r="K588" t="n">
        <v>0</v>
      </c>
      <c r="L588" t="n">
        <v>0</v>
      </c>
      <c r="M588" t="n">
        <v>0</v>
      </c>
      <c r="N588" t="n">
        <v>0</v>
      </c>
      <c r="O588" t="n">
        <v>0</v>
      </c>
      <c r="P588" t="n">
        <v>0</v>
      </c>
      <c r="Q588" t="n">
        <v>0</v>
      </c>
      <c r="R588" s="2" t="inlineStr"/>
    </row>
    <row r="589" ht="15" customHeight="1">
      <c r="A589" t="inlineStr">
        <is>
          <t>A 68246-2020</t>
        </is>
      </c>
      <c r="B589" s="1" t="n">
        <v>44183</v>
      </c>
      <c r="C589" s="1" t="n">
        <v>45726</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68603-2020</t>
        </is>
      </c>
      <c r="B590" s="1" t="n">
        <v>44186</v>
      </c>
      <c r="C590" s="1" t="n">
        <v>45726</v>
      </c>
      <c r="D590" t="inlineStr">
        <is>
          <t>VÄRMLANDS LÄN</t>
        </is>
      </c>
      <c r="E590" t="inlineStr">
        <is>
          <t>TORSBY</t>
        </is>
      </c>
      <c r="G590" t="n">
        <v>11.2</v>
      </c>
      <c r="H590" t="n">
        <v>0</v>
      </c>
      <c r="I590" t="n">
        <v>0</v>
      </c>
      <c r="J590" t="n">
        <v>0</v>
      </c>
      <c r="K590" t="n">
        <v>0</v>
      </c>
      <c r="L590" t="n">
        <v>0</v>
      </c>
      <c r="M590" t="n">
        <v>0</v>
      </c>
      <c r="N590" t="n">
        <v>0</v>
      </c>
      <c r="O590" t="n">
        <v>0</v>
      </c>
      <c r="P590" t="n">
        <v>0</v>
      </c>
      <c r="Q590" t="n">
        <v>0</v>
      </c>
      <c r="R590" s="2" t="inlineStr"/>
    </row>
    <row r="591" ht="15" customHeight="1">
      <c r="A591" t="inlineStr">
        <is>
          <t>A 69245-2020</t>
        </is>
      </c>
      <c r="B591" s="1" t="n">
        <v>44192</v>
      </c>
      <c r="C591" s="1" t="n">
        <v>45726</v>
      </c>
      <c r="D591" t="inlineStr">
        <is>
          <t>VÄRMLANDS LÄN</t>
        </is>
      </c>
      <c r="E591" t="inlineStr">
        <is>
          <t>TORSBY</t>
        </is>
      </c>
      <c r="G591" t="n">
        <v>0.2</v>
      </c>
      <c r="H591" t="n">
        <v>0</v>
      </c>
      <c r="I591" t="n">
        <v>0</v>
      </c>
      <c r="J591" t="n">
        <v>0</v>
      </c>
      <c r="K591" t="n">
        <v>0</v>
      </c>
      <c r="L591" t="n">
        <v>0</v>
      </c>
      <c r="M591" t="n">
        <v>0</v>
      </c>
      <c r="N591" t="n">
        <v>0</v>
      </c>
      <c r="O591" t="n">
        <v>0</v>
      </c>
      <c r="P591" t="n">
        <v>0</v>
      </c>
      <c r="Q591" t="n">
        <v>0</v>
      </c>
      <c r="R591" s="2" t="inlineStr"/>
    </row>
    <row r="592" ht="15" customHeight="1">
      <c r="A592" t="inlineStr">
        <is>
          <t>A 69250-2020</t>
        </is>
      </c>
      <c r="B592" s="1" t="n">
        <v>44192</v>
      </c>
      <c r="C592" s="1" t="n">
        <v>45726</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69242-2020</t>
        </is>
      </c>
      <c r="B593" s="1" t="n">
        <v>44192</v>
      </c>
      <c r="C593" s="1" t="n">
        <v>45726</v>
      </c>
      <c r="D593" t="inlineStr">
        <is>
          <t>VÄRMLANDS LÄN</t>
        </is>
      </c>
      <c r="E593" t="inlineStr">
        <is>
          <t>TORSBY</t>
        </is>
      </c>
      <c r="G593" t="n">
        <v>0.5</v>
      </c>
      <c r="H593" t="n">
        <v>0</v>
      </c>
      <c r="I593" t="n">
        <v>0</v>
      </c>
      <c r="J593" t="n">
        <v>0</v>
      </c>
      <c r="K593" t="n">
        <v>0</v>
      </c>
      <c r="L593" t="n">
        <v>0</v>
      </c>
      <c r="M593" t="n">
        <v>0</v>
      </c>
      <c r="N593" t="n">
        <v>0</v>
      </c>
      <c r="O593" t="n">
        <v>0</v>
      </c>
      <c r="P593" t="n">
        <v>0</v>
      </c>
      <c r="Q593" t="n">
        <v>0</v>
      </c>
      <c r="R593" s="2" t="inlineStr"/>
    </row>
    <row r="594" ht="15" customHeight="1">
      <c r="A594" t="inlineStr">
        <is>
          <t>A 69247-2020</t>
        </is>
      </c>
      <c r="B594" s="1" t="n">
        <v>44192</v>
      </c>
      <c r="C594" s="1" t="n">
        <v>45726</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69244-2020</t>
        </is>
      </c>
      <c r="B595" s="1" t="n">
        <v>44192</v>
      </c>
      <c r="C595" s="1" t="n">
        <v>45726</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69248-2020</t>
        </is>
      </c>
      <c r="B596" s="1" t="n">
        <v>44192</v>
      </c>
      <c r="C596" s="1" t="n">
        <v>45726</v>
      </c>
      <c r="D596" t="inlineStr">
        <is>
          <t>VÄRMLANDS LÄN</t>
        </is>
      </c>
      <c r="E596" t="inlineStr">
        <is>
          <t>TORSBY</t>
        </is>
      </c>
      <c r="G596" t="n">
        <v>0.4</v>
      </c>
      <c r="H596" t="n">
        <v>0</v>
      </c>
      <c r="I596" t="n">
        <v>0</v>
      </c>
      <c r="J596" t="n">
        <v>0</v>
      </c>
      <c r="K596" t="n">
        <v>0</v>
      </c>
      <c r="L596" t="n">
        <v>0</v>
      </c>
      <c r="M596" t="n">
        <v>0</v>
      </c>
      <c r="N596" t="n">
        <v>0</v>
      </c>
      <c r="O596" t="n">
        <v>0</v>
      </c>
      <c r="P596" t="n">
        <v>0</v>
      </c>
      <c r="Q596" t="n">
        <v>0</v>
      </c>
      <c r="R596" s="2" t="inlineStr"/>
    </row>
    <row r="597" ht="15" customHeight="1">
      <c r="A597" t="inlineStr">
        <is>
          <t>A 69241-2020</t>
        </is>
      </c>
      <c r="B597" s="1" t="n">
        <v>44192</v>
      </c>
      <c r="C597" s="1" t="n">
        <v>45726</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69246-2020</t>
        </is>
      </c>
      <c r="B598" s="1" t="n">
        <v>44192</v>
      </c>
      <c r="C598" s="1" t="n">
        <v>45726</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69434-2020</t>
        </is>
      </c>
      <c r="B599" s="1" t="n">
        <v>44194</v>
      </c>
      <c r="C599" s="1" t="n">
        <v>45726</v>
      </c>
      <c r="D599" t="inlineStr">
        <is>
          <t>VÄRMLANDS LÄN</t>
        </is>
      </c>
      <c r="E599" t="inlineStr">
        <is>
          <t>TORSBY</t>
        </is>
      </c>
      <c r="G599" t="n">
        <v>6.3</v>
      </c>
      <c r="H599" t="n">
        <v>0</v>
      </c>
      <c r="I599" t="n">
        <v>0</v>
      </c>
      <c r="J599" t="n">
        <v>0</v>
      </c>
      <c r="K599" t="n">
        <v>0</v>
      </c>
      <c r="L599" t="n">
        <v>0</v>
      </c>
      <c r="M599" t="n">
        <v>0</v>
      </c>
      <c r="N599" t="n">
        <v>0</v>
      </c>
      <c r="O599" t="n">
        <v>0</v>
      </c>
      <c r="P599" t="n">
        <v>0</v>
      </c>
      <c r="Q599" t="n">
        <v>0</v>
      </c>
      <c r="R599" s="2" t="inlineStr"/>
    </row>
    <row r="600" ht="15" customHeight="1">
      <c r="A600" t="inlineStr">
        <is>
          <t>A 69448-2020</t>
        </is>
      </c>
      <c r="B600" s="1" t="n">
        <v>44194</v>
      </c>
      <c r="C600" s="1" t="n">
        <v>45726</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69628-2020</t>
        </is>
      </c>
      <c r="B601" s="1" t="n">
        <v>44195</v>
      </c>
      <c r="C601" s="1" t="n">
        <v>45726</v>
      </c>
      <c r="D601" t="inlineStr">
        <is>
          <t>VÄRMLANDS LÄN</t>
        </is>
      </c>
      <c r="E601" t="inlineStr">
        <is>
          <t>TORSBY</t>
        </is>
      </c>
      <c r="G601" t="n">
        <v>2.1</v>
      </c>
      <c r="H601" t="n">
        <v>0</v>
      </c>
      <c r="I601" t="n">
        <v>0</v>
      </c>
      <c r="J601" t="n">
        <v>0</v>
      </c>
      <c r="K601" t="n">
        <v>0</v>
      </c>
      <c r="L601" t="n">
        <v>0</v>
      </c>
      <c r="M601" t="n">
        <v>0</v>
      </c>
      <c r="N601" t="n">
        <v>0</v>
      </c>
      <c r="O601" t="n">
        <v>0</v>
      </c>
      <c r="P601" t="n">
        <v>0</v>
      </c>
      <c r="Q601" t="n">
        <v>0</v>
      </c>
      <c r="R601" s="2" t="inlineStr"/>
    </row>
    <row r="602" ht="15" customHeight="1">
      <c r="A602" t="inlineStr">
        <is>
          <t>A 339-2021</t>
        </is>
      </c>
      <c r="B602" s="1" t="n">
        <v>44201</v>
      </c>
      <c r="C602" s="1" t="n">
        <v>45726</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1516-2021</t>
        </is>
      </c>
      <c r="B603" s="1" t="n">
        <v>44209</v>
      </c>
      <c r="C603" s="1" t="n">
        <v>45726</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1526-2021</t>
        </is>
      </c>
      <c r="B604" s="1" t="n">
        <v>44209</v>
      </c>
      <c r="C604" s="1" t="n">
        <v>45726</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1535-2021</t>
        </is>
      </c>
      <c r="B605" s="1" t="n">
        <v>44209</v>
      </c>
      <c r="C605" s="1" t="n">
        <v>45726</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1544-2021</t>
        </is>
      </c>
      <c r="B606" s="1" t="n">
        <v>44209</v>
      </c>
      <c r="C606" s="1" t="n">
        <v>45726</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2321-2021</t>
        </is>
      </c>
      <c r="B607" s="1" t="n">
        <v>44214</v>
      </c>
      <c r="C607" s="1" t="n">
        <v>45726</v>
      </c>
      <c r="D607" t="inlineStr">
        <is>
          <t>VÄRMLANDS LÄN</t>
        </is>
      </c>
      <c r="E607" t="inlineStr">
        <is>
          <t>TORSBY</t>
        </is>
      </c>
      <c r="G607" t="n">
        <v>4.8</v>
      </c>
      <c r="H607" t="n">
        <v>0</v>
      </c>
      <c r="I607" t="n">
        <v>0</v>
      </c>
      <c r="J607" t="n">
        <v>0</v>
      </c>
      <c r="K607" t="n">
        <v>0</v>
      </c>
      <c r="L607" t="n">
        <v>0</v>
      </c>
      <c r="M607" t="n">
        <v>0</v>
      </c>
      <c r="N607" t="n">
        <v>0</v>
      </c>
      <c r="O607" t="n">
        <v>0</v>
      </c>
      <c r="P607" t="n">
        <v>0</v>
      </c>
      <c r="Q607" t="n">
        <v>0</v>
      </c>
      <c r="R607" s="2" t="inlineStr"/>
    </row>
    <row r="608" ht="15" customHeight="1">
      <c r="A608" t="inlineStr">
        <is>
          <t>A 2576-2021</t>
        </is>
      </c>
      <c r="B608" s="1" t="n">
        <v>44214</v>
      </c>
      <c r="C608" s="1" t="n">
        <v>45726</v>
      </c>
      <c r="D608" t="inlineStr">
        <is>
          <t>VÄRMLANDS LÄN</t>
        </is>
      </c>
      <c r="E608" t="inlineStr">
        <is>
          <t>TORSBY</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2758-2021</t>
        </is>
      </c>
      <c r="B609" s="1" t="n">
        <v>44215</v>
      </c>
      <c r="C609" s="1" t="n">
        <v>45726</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3160-2021</t>
        </is>
      </c>
      <c r="B610" s="1" t="n">
        <v>44217</v>
      </c>
      <c r="C610" s="1" t="n">
        <v>45726</v>
      </c>
      <c r="D610" t="inlineStr">
        <is>
          <t>VÄRMLANDS LÄN</t>
        </is>
      </c>
      <c r="E610" t="inlineStr">
        <is>
          <t>TORSBY</t>
        </is>
      </c>
      <c r="G610" t="n">
        <v>4.4</v>
      </c>
      <c r="H610" t="n">
        <v>0</v>
      </c>
      <c r="I610" t="n">
        <v>0</v>
      </c>
      <c r="J610" t="n">
        <v>0</v>
      </c>
      <c r="K610" t="n">
        <v>0</v>
      </c>
      <c r="L610" t="n">
        <v>0</v>
      </c>
      <c r="M610" t="n">
        <v>0</v>
      </c>
      <c r="N610" t="n">
        <v>0</v>
      </c>
      <c r="O610" t="n">
        <v>0</v>
      </c>
      <c r="P610" t="n">
        <v>0</v>
      </c>
      <c r="Q610" t="n">
        <v>0</v>
      </c>
      <c r="R610" s="2" t="inlineStr"/>
    </row>
    <row r="611" ht="15" customHeight="1">
      <c r="A611" t="inlineStr">
        <is>
          <t>A 3336-2021</t>
        </is>
      </c>
      <c r="B611" s="1" t="n">
        <v>44217</v>
      </c>
      <c r="C611" s="1" t="n">
        <v>45726</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4392-2021</t>
        </is>
      </c>
      <c r="B612" s="1" t="n">
        <v>44223</v>
      </c>
      <c r="C612" s="1" t="n">
        <v>45726</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4558-2021</t>
        </is>
      </c>
      <c r="B613" s="1" t="n">
        <v>44223</v>
      </c>
      <c r="C613" s="1" t="n">
        <v>45726</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4393-2021</t>
        </is>
      </c>
      <c r="B614" s="1" t="n">
        <v>44223</v>
      </c>
      <c r="C614" s="1" t="n">
        <v>45726</v>
      </c>
      <c r="D614" t="inlineStr">
        <is>
          <t>VÄRMLANDS LÄN</t>
        </is>
      </c>
      <c r="E614" t="inlineStr">
        <is>
          <t>TORSBY</t>
        </is>
      </c>
      <c r="G614" t="n">
        <v>2.8</v>
      </c>
      <c r="H614" t="n">
        <v>0</v>
      </c>
      <c r="I614" t="n">
        <v>0</v>
      </c>
      <c r="J614" t="n">
        <v>0</v>
      </c>
      <c r="K614" t="n">
        <v>0</v>
      </c>
      <c r="L614" t="n">
        <v>0</v>
      </c>
      <c r="M614" t="n">
        <v>0</v>
      </c>
      <c r="N614" t="n">
        <v>0</v>
      </c>
      <c r="O614" t="n">
        <v>0</v>
      </c>
      <c r="P614" t="n">
        <v>0</v>
      </c>
      <c r="Q614" t="n">
        <v>0</v>
      </c>
      <c r="R614" s="2" t="inlineStr"/>
    </row>
    <row r="615" ht="15" customHeight="1">
      <c r="A615" t="inlineStr">
        <is>
          <t>A 4564-2021</t>
        </is>
      </c>
      <c r="B615" s="1" t="n">
        <v>44223</v>
      </c>
      <c r="C615" s="1" t="n">
        <v>45726</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4479-2021</t>
        </is>
      </c>
      <c r="B616" s="1" t="n">
        <v>44224</v>
      </c>
      <c r="C616" s="1" t="n">
        <v>45726</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4711-2021</t>
        </is>
      </c>
      <c r="B617" s="1" t="n">
        <v>44225</v>
      </c>
      <c r="C617" s="1" t="n">
        <v>45726</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5050-2021</t>
        </is>
      </c>
      <c r="B618" s="1" t="n">
        <v>44228</v>
      </c>
      <c r="C618" s="1" t="n">
        <v>45726</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5105-2021</t>
        </is>
      </c>
      <c r="B619" s="1" t="n">
        <v>44228</v>
      </c>
      <c r="C619" s="1" t="n">
        <v>45726</v>
      </c>
      <c r="D619" t="inlineStr">
        <is>
          <t>VÄRMLANDS LÄN</t>
        </is>
      </c>
      <c r="E619" t="inlineStr">
        <is>
          <t>TORSBY</t>
        </is>
      </c>
      <c r="G619" t="n">
        <v>5.6</v>
      </c>
      <c r="H619" t="n">
        <v>0</v>
      </c>
      <c r="I619" t="n">
        <v>0</v>
      </c>
      <c r="J619" t="n">
        <v>0</v>
      </c>
      <c r="K619" t="n">
        <v>0</v>
      </c>
      <c r="L619" t="n">
        <v>0</v>
      </c>
      <c r="M619" t="n">
        <v>0</v>
      </c>
      <c r="N619" t="n">
        <v>0</v>
      </c>
      <c r="O619" t="n">
        <v>0</v>
      </c>
      <c r="P619" t="n">
        <v>0</v>
      </c>
      <c r="Q619" t="n">
        <v>0</v>
      </c>
      <c r="R619" s="2" t="inlineStr"/>
    </row>
    <row r="620" ht="15" customHeight="1">
      <c r="A620" t="inlineStr">
        <is>
          <t>A 5365-2021</t>
        </is>
      </c>
      <c r="B620" s="1" t="n">
        <v>44229</v>
      </c>
      <c r="C620" s="1" t="n">
        <v>45726</v>
      </c>
      <c r="D620" t="inlineStr">
        <is>
          <t>VÄRMLANDS LÄN</t>
        </is>
      </c>
      <c r="E620" t="inlineStr">
        <is>
          <t>TORSBY</t>
        </is>
      </c>
      <c r="G620" t="n">
        <v>8.1</v>
      </c>
      <c r="H620" t="n">
        <v>0</v>
      </c>
      <c r="I620" t="n">
        <v>0</v>
      </c>
      <c r="J620" t="n">
        <v>0</v>
      </c>
      <c r="K620" t="n">
        <v>0</v>
      </c>
      <c r="L620" t="n">
        <v>0</v>
      </c>
      <c r="M620" t="n">
        <v>0</v>
      </c>
      <c r="N620" t="n">
        <v>0</v>
      </c>
      <c r="O620" t="n">
        <v>0</v>
      </c>
      <c r="P620" t="n">
        <v>0</v>
      </c>
      <c r="Q620" t="n">
        <v>0</v>
      </c>
      <c r="R620" s="2" t="inlineStr"/>
    </row>
    <row r="621" ht="15" customHeight="1">
      <c r="A621" t="inlineStr">
        <is>
          <t>A 5572-2021</t>
        </is>
      </c>
      <c r="B621" s="1" t="n">
        <v>44230</v>
      </c>
      <c r="C621" s="1" t="n">
        <v>45726</v>
      </c>
      <c r="D621" t="inlineStr">
        <is>
          <t>VÄRMLANDS LÄN</t>
        </is>
      </c>
      <c r="E621" t="inlineStr">
        <is>
          <t>TORSBY</t>
        </is>
      </c>
      <c r="G621" t="n">
        <v>2</v>
      </c>
      <c r="H621" t="n">
        <v>0</v>
      </c>
      <c r="I621" t="n">
        <v>0</v>
      </c>
      <c r="J621" t="n">
        <v>0</v>
      </c>
      <c r="K621" t="n">
        <v>0</v>
      </c>
      <c r="L621" t="n">
        <v>0</v>
      </c>
      <c r="M621" t="n">
        <v>0</v>
      </c>
      <c r="N621" t="n">
        <v>0</v>
      </c>
      <c r="O621" t="n">
        <v>0</v>
      </c>
      <c r="P621" t="n">
        <v>0</v>
      </c>
      <c r="Q621" t="n">
        <v>0</v>
      </c>
      <c r="R621" s="2" t="inlineStr"/>
    </row>
    <row r="622" ht="15" customHeight="1">
      <c r="A622" t="inlineStr">
        <is>
          <t>A 5839-2021</t>
        </is>
      </c>
      <c r="B622" s="1" t="n">
        <v>44231</v>
      </c>
      <c r="C622" s="1" t="n">
        <v>45726</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6063-2021</t>
        </is>
      </c>
      <c r="B623" s="1" t="n">
        <v>44232</v>
      </c>
      <c r="C623" s="1" t="n">
        <v>45726</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6111-2021</t>
        </is>
      </c>
      <c r="B624" s="1" t="n">
        <v>44232</v>
      </c>
      <c r="C624" s="1" t="n">
        <v>45726</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6121-2021</t>
        </is>
      </c>
      <c r="B625" s="1" t="n">
        <v>44232</v>
      </c>
      <c r="C625" s="1" t="n">
        <v>45726</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6068-2021</t>
        </is>
      </c>
      <c r="B626" s="1" t="n">
        <v>44232</v>
      </c>
      <c r="C626" s="1" t="n">
        <v>45726</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6102-2021</t>
        </is>
      </c>
      <c r="B627" s="1" t="n">
        <v>44232</v>
      </c>
      <c r="C627" s="1" t="n">
        <v>45726</v>
      </c>
      <c r="D627" t="inlineStr">
        <is>
          <t>VÄRMLANDS LÄN</t>
        </is>
      </c>
      <c r="E627" t="inlineStr">
        <is>
          <t>TORSBY</t>
        </is>
      </c>
      <c r="G627" t="n">
        <v>1.5</v>
      </c>
      <c r="H627" t="n">
        <v>0</v>
      </c>
      <c r="I627" t="n">
        <v>0</v>
      </c>
      <c r="J627" t="n">
        <v>0</v>
      </c>
      <c r="K627" t="n">
        <v>0</v>
      </c>
      <c r="L627" t="n">
        <v>0</v>
      </c>
      <c r="M627" t="n">
        <v>0</v>
      </c>
      <c r="N627" t="n">
        <v>0</v>
      </c>
      <c r="O627" t="n">
        <v>0</v>
      </c>
      <c r="P627" t="n">
        <v>0</v>
      </c>
      <c r="Q627" t="n">
        <v>0</v>
      </c>
      <c r="R627" s="2" t="inlineStr"/>
    </row>
    <row r="628" ht="15" customHeight="1">
      <c r="A628" t="inlineStr">
        <is>
          <t>A 6656-2021</t>
        </is>
      </c>
      <c r="B628" s="1" t="n">
        <v>44236</v>
      </c>
      <c r="C628" s="1" t="n">
        <v>45726</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7661-2021</t>
        </is>
      </c>
      <c r="B629" s="1" t="n">
        <v>44242</v>
      </c>
      <c r="C629" s="1" t="n">
        <v>45726</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8034-2021</t>
        </is>
      </c>
      <c r="B630" s="1" t="n">
        <v>44243</v>
      </c>
      <c r="C630" s="1" t="n">
        <v>45726</v>
      </c>
      <c r="D630" t="inlineStr">
        <is>
          <t>VÄRMLANDS LÄN</t>
        </is>
      </c>
      <c r="E630" t="inlineStr">
        <is>
          <t>TORSBY</t>
        </is>
      </c>
      <c r="G630" t="n">
        <v>15.4</v>
      </c>
      <c r="H630" t="n">
        <v>0</v>
      </c>
      <c r="I630" t="n">
        <v>0</v>
      </c>
      <c r="J630" t="n">
        <v>0</v>
      </c>
      <c r="K630" t="n">
        <v>0</v>
      </c>
      <c r="L630" t="n">
        <v>0</v>
      </c>
      <c r="M630" t="n">
        <v>0</v>
      </c>
      <c r="N630" t="n">
        <v>0</v>
      </c>
      <c r="O630" t="n">
        <v>0</v>
      </c>
      <c r="P630" t="n">
        <v>0</v>
      </c>
      <c r="Q630" t="n">
        <v>0</v>
      </c>
      <c r="R630" s="2" t="inlineStr"/>
    </row>
    <row r="631" ht="15" customHeight="1">
      <c r="A631" t="inlineStr">
        <is>
          <t>A 7898-2021</t>
        </is>
      </c>
      <c r="B631" s="1" t="n">
        <v>44243</v>
      </c>
      <c r="C631" s="1" t="n">
        <v>45726</v>
      </c>
      <c r="D631" t="inlineStr">
        <is>
          <t>VÄRMLANDS LÄN</t>
        </is>
      </c>
      <c r="E631" t="inlineStr">
        <is>
          <t>TORSBY</t>
        </is>
      </c>
      <c r="G631" t="n">
        <v>1.7</v>
      </c>
      <c r="H631" t="n">
        <v>0</v>
      </c>
      <c r="I631" t="n">
        <v>0</v>
      </c>
      <c r="J631" t="n">
        <v>0</v>
      </c>
      <c r="K631" t="n">
        <v>0</v>
      </c>
      <c r="L631" t="n">
        <v>0</v>
      </c>
      <c r="M631" t="n">
        <v>0</v>
      </c>
      <c r="N631" t="n">
        <v>0</v>
      </c>
      <c r="O631" t="n">
        <v>0</v>
      </c>
      <c r="P631" t="n">
        <v>0</v>
      </c>
      <c r="Q631" t="n">
        <v>0</v>
      </c>
      <c r="R631" s="2" t="inlineStr"/>
    </row>
    <row r="632" ht="15" customHeight="1">
      <c r="A632" t="inlineStr">
        <is>
          <t>A 8910-2021</t>
        </is>
      </c>
      <c r="B632" s="1" t="n">
        <v>44246</v>
      </c>
      <c r="C632" s="1" t="n">
        <v>45726</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9775-2021</t>
        </is>
      </c>
      <c r="B633" s="1" t="n">
        <v>44252</v>
      </c>
      <c r="C633" s="1" t="n">
        <v>45726</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10133-2021</t>
        </is>
      </c>
      <c r="B634" s="1" t="n">
        <v>44256</v>
      </c>
      <c r="C634" s="1" t="n">
        <v>45726</v>
      </c>
      <c r="D634" t="inlineStr">
        <is>
          <t>VÄRMLANDS LÄN</t>
        </is>
      </c>
      <c r="E634" t="inlineStr">
        <is>
          <t>TORSBY</t>
        </is>
      </c>
      <c r="G634" t="n">
        <v>5</v>
      </c>
      <c r="H634" t="n">
        <v>0</v>
      </c>
      <c r="I634" t="n">
        <v>0</v>
      </c>
      <c r="J634" t="n">
        <v>0</v>
      </c>
      <c r="K634" t="n">
        <v>0</v>
      </c>
      <c r="L634" t="n">
        <v>0</v>
      </c>
      <c r="M634" t="n">
        <v>0</v>
      </c>
      <c r="N634" t="n">
        <v>0</v>
      </c>
      <c r="O634" t="n">
        <v>0</v>
      </c>
      <c r="P634" t="n">
        <v>0</v>
      </c>
      <c r="Q634" t="n">
        <v>0</v>
      </c>
      <c r="R634" s="2" t="inlineStr"/>
    </row>
    <row r="635" ht="15" customHeight="1">
      <c r="A635" t="inlineStr">
        <is>
          <t>A 10118-2021</t>
        </is>
      </c>
      <c r="B635" s="1" t="n">
        <v>44256</v>
      </c>
      <c r="C635" s="1" t="n">
        <v>45726</v>
      </c>
      <c r="D635" t="inlineStr">
        <is>
          <t>VÄRMLANDS LÄN</t>
        </is>
      </c>
      <c r="E635" t="inlineStr">
        <is>
          <t>TORSBY</t>
        </is>
      </c>
      <c r="G635" t="n">
        <v>12.5</v>
      </c>
      <c r="H635" t="n">
        <v>0</v>
      </c>
      <c r="I635" t="n">
        <v>0</v>
      </c>
      <c r="J635" t="n">
        <v>0</v>
      </c>
      <c r="K635" t="n">
        <v>0</v>
      </c>
      <c r="L635" t="n">
        <v>0</v>
      </c>
      <c r="M635" t="n">
        <v>0</v>
      </c>
      <c r="N635" t="n">
        <v>0</v>
      </c>
      <c r="O635" t="n">
        <v>0</v>
      </c>
      <c r="P635" t="n">
        <v>0</v>
      </c>
      <c r="Q635" t="n">
        <v>0</v>
      </c>
      <c r="R635" s="2" t="inlineStr"/>
    </row>
    <row r="636" ht="15" customHeight="1">
      <c r="A636" t="inlineStr">
        <is>
          <t>A 10579-2021</t>
        </is>
      </c>
      <c r="B636" s="1" t="n">
        <v>44257</v>
      </c>
      <c r="C636" s="1" t="n">
        <v>45726</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10778-2021</t>
        </is>
      </c>
      <c r="B637" s="1" t="n">
        <v>44259</v>
      </c>
      <c r="C637" s="1" t="n">
        <v>45726</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11695-2021</t>
        </is>
      </c>
      <c r="B638" s="1" t="n">
        <v>44264</v>
      </c>
      <c r="C638" s="1" t="n">
        <v>45726</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11947-2021</t>
        </is>
      </c>
      <c r="B639" s="1" t="n">
        <v>44265</v>
      </c>
      <c r="C639" s="1" t="n">
        <v>45726</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13013-2021</t>
        </is>
      </c>
      <c r="B640" s="1" t="n">
        <v>44271</v>
      </c>
      <c r="C640" s="1" t="n">
        <v>45726</v>
      </c>
      <c r="D640" t="inlineStr">
        <is>
          <t>VÄRMLANDS LÄN</t>
        </is>
      </c>
      <c r="E640" t="inlineStr">
        <is>
          <t>TORSBY</t>
        </is>
      </c>
      <c r="G640" t="n">
        <v>7.7</v>
      </c>
      <c r="H640" t="n">
        <v>0</v>
      </c>
      <c r="I640" t="n">
        <v>0</v>
      </c>
      <c r="J640" t="n">
        <v>0</v>
      </c>
      <c r="K640" t="n">
        <v>0</v>
      </c>
      <c r="L640" t="n">
        <v>0</v>
      </c>
      <c r="M640" t="n">
        <v>0</v>
      </c>
      <c r="N640" t="n">
        <v>0</v>
      </c>
      <c r="O640" t="n">
        <v>0</v>
      </c>
      <c r="P640" t="n">
        <v>0</v>
      </c>
      <c r="Q640" t="n">
        <v>0</v>
      </c>
      <c r="R640" s="2" t="inlineStr"/>
    </row>
    <row r="641" ht="15" customHeight="1">
      <c r="A641" t="inlineStr">
        <is>
          <t>A 14942-2021</t>
        </is>
      </c>
      <c r="B641" s="1" t="n">
        <v>44281</v>
      </c>
      <c r="C641" s="1" t="n">
        <v>45726</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15279-2021</t>
        </is>
      </c>
      <c r="B642" s="1" t="n">
        <v>44284</v>
      </c>
      <c r="C642" s="1" t="n">
        <v>45726</v>
      </c>
      <c r="D642" t="inlineStr">
        <is>
          <t>VÄRMLANDS LÄN</t>
        </is>
      </c>
      <c r="E642" t="inlineStr">
        <is>
          <t>TORSBY</t>
        </is>
      </c>
      <c r="G642" t="n">
        <v>3.9</v>
      </c>
      <c r="H642" t="n">
        <v>0</v>
      </c>
      <c r="I642" t="n">
        <v>0</v>
      </c>
      <c r="J642" t="n">
        <v>0</v>
      </c>
      <c r="K642" t="n">
        <v>0</v>
      </c>
      <c r="L642" t="n">
        <v>0</v>
      </c>
      <c r="M642" t="n">
        <v>0</v>
      </c>
      <c r="N642" t="n">
        <v>0</v>
      </c>
      <c r="O642" t="n">
        <v>0</v>
      </c>
      <c r="P642" t="n">
        <v>0</v>
      </c>
      <c r="Q642" t="n">
        <v>0</v>
      </c>
      <c r="R642" s="2" t="inlineStr"/>
    </row>
    <row r="643" ht="15" customHeight="1">
      <c r="A643" t="inlineStr">
        <is>
          <t>A 16191-2021</t>
        </is>
      </c>
      <c r="B643" s="1" t="n">
        <v>44285</v>
      </c>
      <c r="C643" s="1" t="n">
        <v>45726</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15854-2021</t>
        </is>
      </c>
      <c r="B644" s="1" t="n">
        <v>44286</v>
      </c>
      <c r="C644" s="1" t="n">
        <v>45726</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15853-2021</t>
        </is>
      </c>
      <c r="B645" s="1" t="n">
        <v>44286</v>
      </c>
      <c r="C645" s="1" t="n">
        <v>45726</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15945-2021</t>
        </is>
      </c>
      <c r="B646" s="1" t="n">
        <v>44287</v>
      </c>
      <c r="C646" s="1" t="n">
        <v>45726</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15939-2021</t>
        </is>
      </c>
      <c r="B647" s="1" t="n">
        <v>44287</v>
      </c>
      <c r="C647" s="1" t="n">
        <v>45726</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16303-2021</t>
        </is>
      </c>
      <c r="B648" s="1" t="n">
        <v>44292</v>
      </c>
      <c r="C648" s="1" t="n">
        <v>45726</v>
      </c>
      <c r="D648" t="inlineStr">
        <is>
          <t>VÄRMLANDS LÄN</t>
        </is>
      </c>
      <c r="E648" t="inlineStr">
        <is>
          <t>TORSBY</t>
        </is>
      </c>
      <c r="G648" t="n">
        <v>3.5</v>
      </c>
      <c r="H648" t="n">
        <v>0</v>
      </c>
      <c r="I648" t="n">
        <v>0</v>
      </c>
      <c r="J648" t="n">
        <v>0</v>
      </c>
      <c r="K648" t="n">
        <v>0</v>
      </c>
      <c r="L648" t="n">
        <v>0</v>
      </c>
      <c r="M648" t="n">
        <v>0</v>
      </c>
      <c r="N648" t="n">
        <v>0</v>
      </c>
      <c r="O648" t="n">
        <v>0</v>
      </c>
      <c r="P648" t="n">
        <v>0</v>
      </c>
      <c r="Q648" t="n">
        <v>0</v>
      </c>
      <c r="R648" s="2" t="inlineStr"/>
    </row>
    <row r="649" ht="15" customHeight="1">
      <c r="A649" t="inlineStr">
        <is>
          <t>A 16299-2021</t>
        </is>
      </c>
      <c r="B649" s="1" t="n">
        <v>44292</v>
      </c>
      <c r="C649" s="1" t="n">
        <v>45726</v>
      </c>
      <c r="D649" t="inlineStr">
        <is>
          <t>VÄRMLANDS LÄN</t>
        </is>
      </c>
      <c r="E649" t="inlineStr">
        <is>
          <t>TORSBY</t>
        </is>
      </c>
      <c r="G649" t="n">
        <v>3.4</v>
      </c>
      <c r="H649" t="n">
        <v>0</v>
      </c>
      <c r="I649" t="n">
        <v>0</v>
      </c>
      <c r="J649" t="n">
        <v>0</v>
      </c>
      <c r="K649" t="n">
        <v>0</v>
      </c>
      <c r="L649" t="n">
        <v>0</v>
      </c>
      <c r="M649" t="n">
        <v>0</v>
      </c>
      <c r="N649" t="n">
        <v>0</v>
      </c>
      <c r="O649" t="n">
        <v>0</v>
      </c>
      <c r="P649" t="n">
        <v>0</v>
      </c>
      <c r="Q649" t="n">
        <v>0</v>
      </c>
      <c r="R649" s="2" t="inlineStr"/>
    </row>
    <row r="650" ht="15" customHeight="1">
      <c r="A650" t="inlineStr">
        <is>
          <t>A 16375-2021</t>
        </is>
      </c>
      <c r="B650" s="1" t="n">
        <v>44292</v>
      </c>
      <c r="C650" s="1" t="n">
        <v>45726</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17249-2021</t>
        </is>
      </c>
      <c r="B651" s="1" t="n">
        <v>44298</v>
      </c>
      <c r="C651" s="1" t="n">
        <v>45726</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17941-2021</t>
        </is>
      </c>
      <c r="B652" s="1" t="n">
        <v>44301</v>
      </c>
      <c r="C652" s="1" t="n">
        <v>45726</v>
      </c>
      <c r="D652" t="inlineStr">
        <is>
          <t>VÄRMLANDS LÄN</t>
        </is>
      </c>
      <c r="E652" t="inlineStr">
        <is>
          <t>TORSBY</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17962-2021</t>
        </is>
      </c>
      <c r="B653" s="1" t="n">
        <v>44301</v>
      </c>
      <c r="C653" s="1" t="n">
        <v>45726</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17944-2021</t>
        </is>
      </c>
      <c r="B654" s="1" t="n">
        <v>44301</v>
      </c>
      <c r="C654" s="1" t="n">
        <v>45726</v>
      </c>
      <c r="D654" t="inlineStr">
        <is>
          <t>VÄRMLANDS LÄN</t>
        </is>
      </c>
      <c r="E654" t="inlineStr">
        <is>
          <t>TORSBY</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23524-2021</t>
        </is>
      </c>
      <c r="B655" s="1" t="n">
        <v>44301</v>
      </c>
      <c r="C655" s="1" t="n">
        <v>45726</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18174-2021</t>
        </is>
      </c>
      <c r="B656" s="1" t="n">
        <v>44302</v>
      </c>
      <c r="C656" s="1" t="n">
        <v>45726</v>
      </c>
      <c r="D656" t="inlineStr">
        <is>
          <t>VÄRMLANDS LÄN</t>
        </is>
      </c>
      <c r="E656" t="inlineStr">
        <is>
          <t>TORSBY</t>
        </is>
      </c>
      <c r="G656" t="n">
        <v>4.5</v>
      </c>
      <c r="H656" t="n">
        <v>0</v>
      </c>
      <c r="I656" t="n">
        <v>0</v>
      </c>
      <c r="J656" t="n">
        <v>0</v>
      </c>
      <c r="K656" t="n">
        <v>0</v>
      </c>
      <c r="L656" t="n">
        <v>0</v>
      </c>
      <c r="M656" t="n">
        <v>0</v>
      </c>
      <c r="N656" t="n">
        <v>0</v>
      </c>
      <c r="O656" t="n">
        <v>0</v>
      </c>
      <c r="P656" t="n">
        <v>0</v>
      </c>
      <c r="Q656" t="n">
        <v>0</v>
      </c>
      <c r="R656" s="2" t="inlineStr"/>
    </row>
    <row r="657" ht="15" customHeight="1">
      <c r="A657" t="inlineStr">
        <is>
          <t>A 18033-2021</t>
        </is>
      </c>
      <c r="B657" s="1" t="n">
        <v>44302</v>
      </c>
      <c r="C657" s="1" t="n">
        <v>45726</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18354-2021</t>
        </is>
      </c>
      <c r="B658" s="1" t="n">
        <v>44305</v>
      </c>
      <c r="C658" s="1" t="n">
        <v>45726</v>
      </c>
      <c r="D658" t="inlineStr">
        <is>
          <t>VÄRMLANDS LÄN</t>
        </is>
      </c>
      <c r="E658" t="inlineStr">
        <is>
          <t>TORSBY</t>
        </is>
      </c>
      <c r="F658" t="inlineStr">
        <is>
          <t>Kommuner</t>
        </is>
      </c>
      <c r="G658" t="n">
        <v>2.4</v>
      </c>
      <c r="H658" t="n">
        <v>0</v>
      </c>
      <c r="I658" t="n">
        <v>0</v>
      </c>
      <c r="J658" t="n">
        <v>0</v>
      </c>
      <c r="K658" t="n">
        <v>0</v>
      </c>
      <c r="L658" t="n">
        <v>0</v>
      </c>
      <c r="M658" t="n">
        <v>0</v>
      </c>
      <c r="N658" t="n">
        <v>0</v>
      </c>
      <c r="O658" t="n">
        <v>0</v>
      </c>
      <c r="P658" t="n">
        <v>0</v>
      </c>
      <c r="Q658" t="n">
        <v>0</v>
      </c>
      <c r="R658" s="2" t="inlineStr"/>
    </row>
    <row r="659" ht="15" customHeight="1">
      <c r="A659" t="inlineStr">
        <is>
          <t>A 18344-2021</t>
        </is>
      </c>
      <c r="B659" s="1" t="n">
        <v>44305</v>
      </c>
      <c r="C659" s="1" t="n">
        <v>45726</v>
      </c>
      <c r="D659" t="inlineStr">
        <is>
          <t>VÄRMLANDS LÄN</t>
        </is>
      </c>
      <c r="E659" t="inlineStr">
        <is>
          <t>TORSBY</t>
        </is>
      </c>
      <c r="F659" t="inlineStr">
        <is>
          <t>Kommuner</t>
        </is>
      </c>
      <c r="G659" t="n">
        <v>4.3</v>
      </c>
      <c r="H659" t="n">
        <v>0</v>
      </c>
      <c r="I659" t="n">
        <v>0</v>
      </c>
      <c r="J659" t="n">
        <v>0</v>
      </c>
      <c r="K659" t="n">
        <v>0</v>
      </c>
      <c r="L659" t="n">
        <v>0</v>
      </c>
      <c r="M659" t="n">
        <v>0</v>
      </c>
      <c r="N659" t="n">
        <v>0</v>
      </c>
      <c r="O659" t="n">
        <v>0</v>
      </c>
      <c r="P659" t="n">
        <v>0</v>
      </c>
      <c r="Q659" t="n">
        <v>0</v>
      </c>
      <c r="R659" s="2" t="inlineStr"/>
    </row>
    <row r="660" ht="15" customHeight="1">
      <c r="A660" t="inlineStr">
        <is>
          <t>A 18349-2021</t>
        </is>
      </c>
      <c r="B660" s="1" t="n">
        <v>44305</v>
      </c>
      <c r="C660" s="1" t="n">
        <v>45726</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18560-2021</t>
        </is>
      </c>
      <c r="B661" s="1" t="n">
        <v>44306</v>
      </c>
      <c r="C661" s="1" t="n">
        <v>45726</v>
      </c>
      <c r="D661" t="inlineStr">
        <is>
          <t>VÄRMLANDS LÄN</t>
        </is>
      </c>
      <c r="E661" t="inlineStr">
        <is>
          <t>TORSBY</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19031-2021</t>
        </is>
      </c>
      <c r="B662" s="1" t="n">
        <v>44308</v>
      </c>
      <c r="C662" s="1" t="n">
        <v>45726</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19338-2021</t>
        </is>
      </c>
      <c r="B663" s="1" t="n">
        <v>44309</v>
      </c>
      <c r="C663" s="1" t="n">
        <v>45726</v>
      </c>
      <c r="D663" t="inlineStr">
        <is>
          <t>VÄRMLANDS LÄN</t>
        </is>
      </c>
      <c r="E663" t="inlineStr">
        <is>
          <t>TORSBY</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19375-2021</t>
        </is>
      </c>
      <c r="B664" s="1" t="n">
        <v>44309</v>
      </c>
      <c r="C664" s="1" t="n">
        <v>45726</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20182-2021</t>
        </is>
      </c>
      <c r="B665" s="1" t="n">
        <v>44312</v>
      </c>
      <c r="C665" s="1" t="n">
        <v>45726</v>
      </c>
      <c r="D665" t="inlineStr">
        <is>
          <t>VÄRMLANDS LÄN</t>
        </is>
      </c>
      <c r="E665" t="inlineStr">
        <is>
          <t>TORSBY</t>
        </is>
      </c>
      <c r="G665" t="n">
        <v>14.4</v>
      </c>
      <c r="H665" t="n">
        <v>0</v>
      </c>
      <c r="I665" t="n">
        <v>0</v>
      </c>
      <c r="J665" t="n">
        <v>0</v>
      </c>
      <c r="K665" t="n">
        <v>0</v>
      </c>
      <c r="L665" t="n">
        <v>0</v>
      </c>
      <c r="M665" t="n">
        <v>0</v>
      </c>
      <c r="N665" t="n">
        <v>0</v>
      </c>
      <c r="O665" t="n">
        <v>0</v>
      </c>
      <c r="P665" t="n">
        <v>0</v>
      </c>
      <c r="Q665" t="n">
        <v>0</v>
      </c>
      <c r="R665" s="2" t="inlineStr"/>
    </row>
    <row r="666" ht="15" customHeight="1">
      <c r="A666" t="inlineStr">
        <is>
          <t>A 20199-2021</t>
        </is>
      </c>
      <c r="B666" s="1" t="n">
        <v>44312</v>
      </c>
      <c r="C666" s="1" t="n">
        <v>45726</v>
      </c>
      <c r="D666" t="inlineStr">
        <is>
          <t>VÄRMLANDS LÄN</t>
        </is>
      </c>
      <c r="E666" t="inlineStr">
        <is>
          <t>TORSBY</t>
        </is>
      </c>
      <c r="G666" t="n">
        <v>11.4</v>
      </c>
      <c r="H666" t="n">
        <v>0</v>
      </c>
      <c r="I666" t="n">
        <v>0</v>
      </c>
      <c r="J666" t="n">
        <v>0</v>
      </c>
      <c r="K666" t="n">
        <v>0</v>
      </c>
      <c r="L666" t="n">
        <v>0</v>
      </c>
      <c r="M666" t="n">
        <v>0</v>
      </c>
      <c r="N666" t="n">
        <v>0</v>
      </c>
      <c r="O666" t="n">
        <v>0</v>
      </c>
      <c r="P666" t="n">
        <v>0</v>
      </c>
      <c r="Q666" t="n">
        <v>0</v>
      </c>
      <c r="R666" s="2" t="inlineStr"/>
    </row>
    <row r="667" ht="15" customHeight="1">
      <c r="A667" t="inlineStr">
        <is>
          <t>A 20170-2021</t>
        </is>
      </c>
      <c r="B667" s="1" t="n">
        <v>44312</v>
      </c>
      <c r="C667" s="1" t="n">
        <v>45726</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19877-2021</t>
        </is>
      </c>
      <c r="B668" s="1" t="n">
        <v>44313</v>
      </c>
      <c r="C668" s="1" t="n">
        <v>45726</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19974-2021</t>
        </is>
      </c>
      <c r="B669" s="1" t="n">
        <v>44313</v>
      </c>
      <c r="C669" s="1" t="n">
        <v>45726</v>
      </c>
      <c r="D669" t="inlineStr">
        <is>
          <t>VÄRMLANDS LÄN</t>
        </is>
      </c>
      <c r="E669" t="inlineStr">
        <is>
          <t>TORSBY</t>
        </is>
      </c>
      <c r="G669" t="n">
        <v>0.4</v>
      </c>
      <c r="H669" t="n">
        <v>0</v>
      </c>
      <c r="I669" t="n">
        <v>0</v>
      </c>
      <c r="J669" t="n">
        <v>0</v>
      </c>
      <c r="K669" t="n">
        <v>0</v>
      </c>
      <c r="L669" t="n">
        <v>0</v>
      </c>
      <c r="M669" t="n">
        <v>0</v>
      </c>
      <c r="N669" t="n">
        <v>0</v>
      </c>
      <c r="O669" t="n">
        <v>0</v>
      </c>
      <c r="P669" t="n">
        <v>0</v>
      </c>
      <c r="Q669" t="n">
        <v>0</v>
      </c>
      <c r="R669" s="2" t="inlineStr"/>
    </row>
    <row r="670" ht="15" customHeight="1">
      <c r="A670" t="inlineStr">
        <is>
          <t>A 20122-2021</t>
        </is>
      </c>
      <c r="B670" s="1" t="n">
        <v>44314</v>
      </c>
      <c r="C670" s="1" t="n">
        <v>45726</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21031-2021</t>
        </is>
      </c>
      <c r="B671" s="1" t="n">
        <v>44319</v>
      </c>
      <c r="C671" s="1" t="n">
        <v>45726</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21206-2021</t>
        </is>
      </c>
      <c r="B672" s="1" t="n">
        <v>44320</v>
      </c>
      <c r="C672" s="1" t="n">
        <v>45726</v>
      </c>
      <c r="D672" t="inlineStr">
        <is>
          <t>VÄRMLANDS LÄN</t>
        </is>
      </c>
      <c r="E672" t="inlineStr">
        <is>
          <t>TORSBY</t>
        </is>
      </c>
      <c r="G672" t="n">
        <v>2.6</v>
      </c>
      <c r="H672" t="n">
        <v>0</v>
      </c>
      <c r="I672" t="n">
        <v>0</v>
      </c>
      <c r="J672" t="n">
        <v>0</v>
      </c>
      <c r="K672" t="n">
        <v>0</v>
      </c>
      <c r="L672" t="n">
        <v>0</v>
      </c>
      <c r="M672" t="n">
        <v>0</v>
      </c>
      <c r="N672" t="n">
        <v>0</v>
      </c>
      <c r="O672" t="n">
        <v>0</v>
      </c>
      <c r="P672" t="n">
        <v>0</v>
      </c>
      <c r="Q672" t="n">
        <v>0</v>
      </c>
      <c r="R672" s="2" t="inlineStr"/>
    </row>
    <row r="673" ht="15" customHeight="1">
      <c r="A673" t="inlineStr">
        <is>
          <t>A 22038-2021</t>
        </is>
      </c>
      <c r="B673" s="1" t="n">
        <v>44323</v>
      </c>
      <c r="C673" s="1" t="n">
        <v>45726</v>
      </c>
      <c r="D673" t="inlineStr">
        <is>
          <t>VÄRMLANDS LÄN</t>
        </is>
      </c>
      <c r="E673" t="inlineStr">
        <is>
          <t>TORSBY</t>
        </is>
      </c>
      <c r="G673" t="n">
        <v>4</v>
      </c>
      <c r="H673" t="n">
        <v>0</v>
      </c>
      <c r="I673" t="n">
        <v>0</v>
      </c>
      <c r="J673" t="n">
        <v>0</v>
      </c>
      <c r="K673" t="n">
        <v>0</v>
      </c>
      <c r="L673" t="n">
        <v>0</v>
      </c>
      <c r="M673" t="n">
        <v>0</v>
      </c>
      <c r="N673" t="n">
        <v>0</v>
      </c>
      <c r="O673" t="n">
        <v>0</v>
      </c>
      <c r="P673" t="n">
        <v>0</v>
      </c>
      <c r="Q673" t="n">
        <v>0</v>
      </c>
      <c r="R673" s="2" t="inlineStr"/>
    </row>
    <row r="674" ht="15" customHeight="1">
      <c r="A674" t="inlineStr">
        <is>
          <t>A 22113-2021</t>
        </is>
      </c>
      <c r="B674" s="1" t="n">
        <v>44323</v>
      </c>
      <c r="C674" s="1" t="n">
        <v>45726</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22464-2021</t>
        </is>
      </c>
      <c r="B675" s="1" t="n">
        <v>44326</v>
      </c>
      <c r="C675" s="1" t="n">
        <v>45726</v>
      </c>
      <c r="D675" t="inlineStr">
        <is>
          <t>VÄRMLANDS LÄN</t>
        </is>
      </c>
      <c r="E675" t="inlineStr">
        <is>
          <t>TORSBY</t>
        </is>
      </c>
      <c r="G675" t="n">
        <v>6</v>
      </c>
      <c r="H675" t="n">
        <v>0</v>
      </c>
      <c r="I675" t="n">
        <v>0</v>
      </c>
      <c r="J675" t="n">
        <v>0</v>
      </c>
      <c r="K675" t="n">
        <v>0</v>
      </c>
      <c r="L675" t="n">
        <v>0</v>
      </c>
      <c r="M675" t="n">
        <v>0</v>
      </c>
      <c r="N675" t="n">
        <v>0</v>
      </c>
      <c r="O675" t="n">
        <v>0</v>
      </c>
      <c r="P675" t="n">
        <v>0</v>
      </c>
      <c r="Q675" t="n">
        <v>0</v>
      </c>
      <c r="R675" s="2" t="inlineStr"/>
    </row>
    <row r="676" ht="15" customHeight="1">
      <c r="A676" t="inlineStr">
        <is>
          <t>A 22463-2021</t>
        </is>
      </c>
      <c r="B676" s="1" t="n">
        <v>44326</v>
      </c>
      <c r="C676" s="1" t="n">
        <v>45726</v>
      </c>
      <c r="D676" t="inlineStr">
        <is>
          <t>VÄRMLANDS LÄN</t>
        </is>
      </c>
      <c r="E676" t="inlineStr">
        <is>
          <t>TORSBY</t>
        </is>
      </c>
      <c r="G676" t="n">
        <v>0.9</v>
      </c>
      <c r="H676" t="n">
        <v>0</v>
      </c>
      <c r="I676" t="n">
        <v>0</v>
      </c>
      <c r="J676" t="n">
        <v>0</v>
      </c>
      <c r="K676" t="n">
        <v>0</v>
      </c>
      <c r="L676" t="n">
        <v>0</v>
      </c>
      <c r="M676" t="n">
        <v>0</v>
      </c>
      <c r="N676" t="n">
        <v>0</v>
      </c>
      <c r="O676" t="n">
        <v>0</v>
      </c>
      <c r="P676" t="n">
        <v>0</v>
      </c>
      <c r="Q676" t="n">
        <v>0</v>
      </c>
      <c r="R676" s="2" t="inlineStr"/>
    </row>
    <row r="677" ht="15" customHeight="1">
      <c r="A677" t="inlineStr">
        <is>
          <t>A 22671-2021</t>
        </is>
      </c>
      <c r="B677" s="1" t="n">
        <v>44327</v>
      </c>
      <c r="C677" s="1" t="n">
        <v>45726</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22638-2021</t>
        </is>
      </c>
      <c r="B678" s="1" t="n">
        <v>44327</v>
      </c>
      <c r="C678" s="1" t="n">
        <v>45726</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23191-2021</t>
        </is>
      </c>
      <c r="B679" s="1" t="n">
        <v>44328</v>
      </c>
      <c r="C679" s="1" t="n">
        <v>45726</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23194-2021</t>
        </is>
      </c>
      <c r="B680" s="1" t="n">
        <v>44328</v>
      </c>
      <c r="C680" s="1" t="n">
        <v>45726</v>
      </c>
      <c r="D680" t="inlineStr">
        <is>
          <t>VÄRMLANDS LÄN</t>
        </is>
      </c>
      <c r="E680" t="inlineStr">
        <is>
          <t>TORSBY</t>
        </is>
      </c>
      <c r="G680" t="n">
        <v>4.3</v>
      </c>
      <c r="H680" t="n">
        <v>0</v>
      </c>
      <c r="I680" t="n">
        <v>0</v>
      </c>
      <c r="J680" t="n">
        <v>0</v>
      </c>
      <c r="K680" t="n">
        <v>0</v>
      </c>
      <c r="L680" t="n">
        <v>0</v>
      </c>
      <c r="M680" t="n">
        <v>0</v>
      </c>
      <c r="N680" t="n">
        <v>0</v>
      </c>
      <c r="O680" t="n">
        <v>0</v>
      </c>
      <c r="P680" t="n">
        <v>0</v>
      </c>
      <c r="Q680" t="n">
        <v>0</v>
      </c>
      <c r="R680" s="2" t="inlineStr"/>
    </row>
    <row r="681" ht="15" customHeight="1">
      <c r="A681" t="inlineStr">
        <is>
          <t>A 23435-2021</t>
        </is>
      </c>
      <c r="B681" s="1" t="n">
        <v>44333</v>
      </c>
      <c r="C681" s="1" t="n">
        <v>45726</v>
      </c>
      <c r="D681" t="inlineStr">
        <is>
          <t>VÄRMLANDS LÄN</t>
        </is>
      </c>
      <c r="E681" t="inlineStr">
        <is>
          <t>TORSBY</t>
        </is>
      </c>
      <c r="G681" t="n">
        <v>4.9</v>
      </c>
      <c r="H681" t="n">
        <v>0</v>
      </c>
      <c r="I681" t="n">
        <v>0</v>
      </c>
      <c r="J681" t="n">
        <v>0</v>
      </c>
      <c r="K681" t="n">
        <v>0</v>
      </c>
      <c r="L681" t="n">
        <v>0</v>
      </c>
      <c r="M681" t="n">
        <v>0</v>
      </c>
      <c r="N681" t="n">
        <v>0</v>
      </c>
      <c r="O681" t="n">
        <v>0</v>
      </c>
      <c r="P681" t="n">
        <v>0</v>
      </c>
      <c r="Q681" t="n">
        <v>0</v>
      </c>
      <c r="R681" s="2" t="inlineStr"/>
    </row>
    <row r="682" ht="15" customHeight="1">
      <c r="A682" t="inlineStr">
        <is>
          <t>A 23548-2021</t>
        </is>
      </c>
      <c r="B682" s="1" t="n">
        <v>44333</v>
      </c>
      <c r="C682" s="1" t="n">
        <v>45726</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23842-2021</t>
        </is>
      </c>
      <c r="B683" s="1" t="n">
        <v>44335</v>
      </c>
      <c r="C683" s="1" t="n">
        <v>45726</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23823-2021</t>
        </is>
      </c>
      <c r="B684" s="1" t="n">
        <v>44335</v>
      </c>
      <c r="C684" s="1" t="n">
        <v>45726</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24054-2021</t>
        </is>
      </c>
      <c r="B685" s="1" t="n">
        <v>44336</v>
      </c>
      <c r="C685" s="1" t="n">
        <v>45726</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24150-2021</t>
        </is>
      </c>
      <c r="B686" s="1" t="n">
        <v>44336</v>
      </c>
      <c r="C686" s="1" t="n">
        <v>45726</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24165-2021</t>
        </is>
      </c>
      <c r="B687" s="1" t="n">
        <v>44336</v>
      </c>
      <c r="C687" s="1" t="n">
        <v>45726</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25096-2021</t>
        </is>
      </c>
      <c r="B688" s="1" t="n">
        <v>44341</v>
      </c>
      <c r="C688" s="1" t="n">
        <v>45726</v>
      </c>
      <c r="D688" t="inlineStr">
        <is>
          <t>VÄRMLANDS LÄN</t>
        </is>
      </c>
      <c r="E688" t="inlineStr">
        <is>
          <t>TORSBY</t>
        </is>
      </c>
      <c r="F688" t="inlineStr">
        <is>
          <t>Bergvik skog väst AB</t>
        </is>
      </c>
      <c r="G688" t="n">
        <v>14.7</v>
      </c>
      <c r="H688" t="n">
        <v>0</v>
      </c>
      <c r="I688" t="n">
        <v>0</v>
      </c>
      <c r="J688" t="n">
        <v>0</v>
      </c>
      <c r="K688" t="n">
        <v>0</v>
      </c>
      <c r="L688" t="n">
        <v>0</v>
      </c>
      <c r="M688" t="n">
        <v>0</v>
      </c>
      <c r="N688" t="n">
        <v>0</v>
      </c>
      <c r="O688" t="n">
        <v>0</v>
      </c>
      <c r="P688" t="n">
        <v>0</v>
      </c>
      <c r="Q688" t="n">
        <v>0</v>
      </c>
      <c r="R688" s="2" t="inlineStr"/>
    </row>
    <row r="689" ht="15" customHeight="1">
      <c r="A689" t="inlineStr">
        <is>
          <t>A 25247-2021</t>
        </is>
      </c>
      <c r="B689" s="1" t="n">
        <v>44342</v>
      </c>
      <c r="C689" s="1" t="n">
        <v>45726</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25920-2021</t>
        </is>
      </c>
      <c r="B690" s="1" t="n">
        <v>44344</v>
      </c>
      <c r="C690" s="1" t="n">
        <v>45726</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26082-2021</t>
        </is>
      </c>
      <c r="B691" s="1" t="n">
        <v>44344</v>
      </c>
      <c r="C691" s="1" t="n">
        <v>45726</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26223-2021</t>
        </is>
      </c>
      <c r="B692" s="1" t="n">
        <v>44347</v>
      </c>
      <c r="C692" s="1" t="n">
        <v>45726</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26558-2021</t>
        </is>
      </c>
      <c r="B693" s="1" t="n">
        <v>44348</v>
      </c>
      <c r="C693" s="1" t="n">
        <v>45726</v>
      </c>
      <c r="D693" t="inlineStr">
        <is>
          <t>VÄRMLANDS LÄN</t>
        </is>
      </c>
      <c r="E693" t="inlineStr">
        <is>
          <t>TORSBY</t>
        </is>
      </c>
      <c r="G693" t="n">
        <v>19.7</v>
      </c>
      <c r="H693" t="n">
        <v>0</v>
      </c>
      <c r="I693" t="n">
        <v>0</v>
      </c>
      <c r="J693" t="n">
        <v>0</v>
      </c>
      <c r="K693" t="n">
        <v>0</v>
      </c>
      <c r="L693" t="n">
        <v>0</v>
      </c>
      <c r="M693" t="n">
        <v>0</v>
      </c>
      <c r="N693" t="n">
        <v>0</v>
      </c>
      <c r="O693" t="n">
        <v>0</v>
      </c>
      <c r="P693" t="n">
        <v>0</v>
      </c>
      <c r="Q693" t="n">
        <v>0</v>
      </c>
      <c r="R693" s="2" t="inlineStr"/>
    </row>
    <row r="694" ht="15" customHeight="1">
      <c r="A694" t="inlineStr">
        <is>
          <t>A 27446-2021</t>
        </is>
      </c>
      <c r="B694" s="1" t="n">
        <v>44351</v>
      </c>
      <c r="C694" s="1" t="n">
        <v>45726</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27411-2021</t>
        </is>
      </c>
      <c r="B695" s="1" t="n">
        <v>44351</v>
      </c>
      <c r="C695" s="1" t="n">
        <v>45726</v>
      </c>
      <c r="D695" t="inlineStr">
        <is>
          <t>VÄRMLANDS LÄN</t>
        </is>
      </c>
      <c r="E695" t="inlineStr">
        <is>
          <t>TORSBY</t>
        </is>
      </c>
      <c r="G695" t="n">
        <v>2.5</v>
      </c>
      <c r="H695" t="n">
        <v>0</v>
      </c>
      <c r="I695" t="n">
        <v>0</v>
      </c>
      <c r="J695" t="n">
        <v>0</v>
      </c>
      <c r="K695" t="n">
        <v>0</v>
      </c>
      <c r="L695" t="n">
        <v>0</v>
      </c>
      <c r="M695" t="n">
        <v>0</v>
      </c>
      <c r="N695" t="n">
        <v>0</v>
      </c>
      <c r="O695" t="n">
        <v>0</v>
      </c>
      <c r="P695" t="n">
        <v>0</v>
      </c>
      <c r="Q695" t="n">
        <v>0</v>
      </c>
      <c r="R695" s="2" t="inlineStr"/>
    </row>
    <row r="696" ht="15" customHeight="1">
      <c r="A696" t="inlineStr">
        <is>
          <t>A 27362-2021</t>
        </is>
      </c>
      <c r="B696" s="1" t="n">
        <v>44351</v>
      </c>
      <c r="C696" s="1" t="n">
        <v>45726</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27932-2021</t>
        </is>
      </c>
      <c r="B697" s="1" t="n">
        <v>44354</v>
      </c>
      <c r="C697" s="1" t="n">
        <v>45726</v>
      </c>
      <c r="D697" t="inlineStr">
        <is>
          <t>VÄRMLANDS LÄN</t>
        </is>
      </c>
      <c r="E697" t="inlineStr">
        <is>
          <t>TORSBY</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28559-2021</t>
        </is>
      </c>
      <c r="B698" s="1" t="n">
        <v>44356</v>
      </c>
      <c r="C698" s="1" t="n">
        <v>45726</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28562-2021</t>
        </is>
      </c>
      <c r="B699" s="1" t="n">
        <v>44356</v>
      </c>
      <c r="C699" s="1" t="n">
        <v>45726</v>
      </c>
      <c r="D699" t="inlineStr">
        <is>
          <t>VÄRMLANDS LÄN</t>
        </is>
      </c>
      <c r="E699" t="inlineStr">
        <is>
          <t>TORSBY</t>
        </is>
      </c>
      <c r="G699" t="n">
        <v>4.4</v>
      </c>
      <c r="H699" t="n">
        <v>0</v>
      </c>
      <c r="I699" t="n">
        <v>0</v>
      </c>
      <c r="J699" t="n">
        <v>0</v>
      </c>
      <c r="K699" t="n">
        <v>0</v>
      </c>
      <c r="L699" t="n">
        <v>0</v>
      </c>
      <c r="M699" t="n">
        <v>0</v>
      </c>
      <c r="N699" t="n">
        <v>0</v>
      </c>
      <c r="O699" t="n">
        <v>0</v>
      </c>
      <c r="P699" t="n">
        <v>0</v>
      </c>
      <c r="Q699" t="n">
        <v>0</v>
      </c>
      <c r="R699" s="2" t="inlineStr"/>
    </row>
    <row r="700" ht="15" customHeight="1">
      <c r="A700" t="inlineStr">
        <is>
          <t>A 28940-2021</t>
        </is>
      </c>
      <c r="B700" s="1" t="n">
        <v>44358</v>
      </c>
      <c r="C700" s="1" t="n">
        <v>45726</v>
      </c>
      <c r="D700" t="inlineStr">
        <is>
          <t>VÄRMLANDS LÄN</t>
        </is>
      </c>
      <c r="E700" t="inlineStr">
        <is>
          <t>TORSBY</t>
        </is>
      </c>
      <c r="G700" t="n">
        <v>1.1</v>
      </c>
      <c r="H700" t="n">
        <v>0</v>
      </c>
      <c r="I700" t="n">
        <v>0</v>
      </c>
      <c r="J700" t="n">
        <v>0</v>
      </c>
      <c r="K700" t="n">
        <v>0</v>
      </c>
      <c r="L700" t="n">
        <v>0</v>
      </c>
      <c r="M700" t="n">
        <v>0</v>
      </c>
      <c r="N700" t="n">
        <v>0</v>
      </c>
      <c r="O700" t="n">
        <v>0</v>
      </c>
      <c r="P700" t="n">
        <v>0</v>
      </c>
      <c r="Q700" t="n">
        <v>0</v>
      </c>
      <c r="R700" s="2" t="inlineStr"/>
    </row>
    <row r="701" ht="15" customHeight="1">
      <c r="A701" t="inlineStr">
        <is>
          <t>A 29495-2021</t>
        </is>
      </c>
      <c r="B701" s="1" t="n">
        <v>44361</v>
      </c>
      <c r="C701" s="1" t="n">
        <v>45726</v>
      </c>
      <c r="D701" t="inlineStr">
        <is>
          <t>VÄRMLANDS LÄN</t>
        </is>
      </c>
      <c r="E701" t="inlineStr">
        <is>
          <t>TORSBY</t>
        </is>
      </c>
      <c r="F701" t="inlineStr">
        <is>
          <t>Övriga Aktiebolag</t>
        </is>
      </c>
      <c r="G701" t="n">
        <v>38.2</v>
      </c>
      <c r="H701" t="n">
        <v>0</v>
      </c>
      <c r="I701" t="n">
        <v>0</v>
      </c>
      <c r="J701" t="n">
        <v>0</v>
      </c>
      <c r="K701" t="n">
        <v>0</v>
      </c>
      <c r="L701" t="n">
        <v>0</v>
      </c>
      <c r="M701" t="n">
        <v>0</v>
      </c>
      <c r="N701" t="n">
        <v>0</v>
      </c>
      <c r="O701" t="n">
        <v>0</v>
      </c>
      <c r="P701" t="n">
        <v>0</v>
      </c>
      <c r="Q701" t="n">
        <v>0</v>
      </c>
      <c r="R701" s="2" t="inlineStr"/>
    </row>
    <row r="702" ht="15" customHeight="1">
      <c r="A702" t="inlineStr">
        <is>
          <t>A 29457-2021</t>
        </is>
      </c>
      <c r="B702" s="1" t="n">
        <v>44361</v>
      </c>
      <c r="C702" s="1" t="n">
        <v>45726</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29518-2021</t>
        </is>
      </c>
      <c r="B703" s="1" t="n">
        <v>44361</v>
      </c>
      <c r="C703" s="1" t="n">
        <v>45726</v>
      </c>
      <c r="D703" t="inlineStr">
        <is>
          <t>VÄRMLANDS LÄN</t>
        </is>
      </c>
      <c r="E703" t="inlineStr">
        <is>
          <t>TORSBY</t>
        </is>
      </c>
      <c r="F703" t="inlineStr">
        <is>
          <t>Bergvik skog väst AB</t>
        </is>
      </c>
      <c r="G703" t="n">
        <v>16.7</v>
      </c>
      <c r="H703" t="n">
        <v>0</v>
      </c>
      <c r="I703" t="n">
        <v>0</v>
      </c>
      <c r="J703" t="n">
        <v>0</v>
      </c>
      <c r="K703" t="n">
        <v>0</v>
      </c>
      <c r="L703" t="n">
        <v>0</v>
      </c>
      <c r="M703" t="n">
        <v>0</v>
      </c>
      <c r="N703" t="n">
        <v>0</v>
      </c>
      <c r="O703" t="n">
        <v>0</v>
      </c>
      <c r="P703" t="n">
        <v>0</v>
      </c>
      <c r="Q703" t="n">
        <v>0</v>
      </c>
      <c r="R703" s="2" t="inlineStr"/>
    </row>
    <row r="704" ht="15" customHeight="1">
      <c r="A704" t="inlineStr">
        <is>
          <t>A 29746-2021</t>
        </is>
      </c>
      <c r="B704" s="1" t="n">
        <v>44362</v>
      </c>
      <c r="C704" s="1" t="n">
        <v>45726</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30162-2021</t>
        </is>
      </c>
      <c r="B705" s="1" t="n">
        <v>44363</v>
      </c>
      <c r="C705" s="1" t="n">
        <v>45726</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30384-2021</t>
        </is>
      </c>
      <c r="B706" s="1" t="n">
        <v>44364</v>
      </c>
      <c r="C706" s="1" t="n">
        <v>45726</v>
      </c>
      <c r="D706" t="inlineStr">
        <is>
          <t>VÄRMLANDS LÄN</t>
        </is>
      </c>
      <c r="E706" t="inlineStr">
        <is>
          <t>TORSBY</t>
        </is>
      </c>
      <c r="G706" t="n">
        <v>2.8</v>
      </c>
      <c r="H706" t="n">
        <v>0</v>
      </c>
      <c r="I706" t="n">
        <v>0</v>
      </c>
      <c r="J706" t="n">
        <v>0</v>
      </c>
      <c r="K706" t="n">
        <v>0</v>
      </c>
      <c r="L706" t="n">
        <v>0</v>
      </c>
      <c r="M706" t="n">
        <v>0</v>
      </c>
      <c r="N706" t="n">
        <v>0</v>
      </c>
      <c r="O706" t="n">
        <v>0</v>
      </c>
      <c r="P706" t="n">
        <v>0</v>
      </c>
      <c r="Q706" t="n">
        <v>0</v>
      </c>
      <c r="R706" s="2" t="inlineStr"/>
    </row>
    <row r="707" ht="15" customHeight="1">
      <c r="A707" t="inlineStr">
        <is>
          <t>A 30802-2021</t>
        </is>
      </c>
      <c r="B707" s="1" t="n">
        <v>44365</v>
      </c>
      <c r="C707" s="1" t="n">
        <v>45726</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31494-2021</t>
        </is>
      </c>
      <c r="B708" s="1" t="n">
        <v>44369</v>
      </c>
      <c r="C708" s="1" t="n">
        <v>45726</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31493-2021</t>
        </is>
      </c>
      <c r="B709" s="1" t="n">
        <v>44369</v>
      </c>
      <c r="C709" s="1" t="n">
        <v>45726</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31511-2021</t>
        </is>
      </c>
      <c r="B710" s="1" t="n">
        <v>44369</v>
      </c>
      <c r="C710" s="1" t="n">
        <v>45726</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31894-2021</t>
        </is>
      </c>
      <c r="B711" s="1" t="n">
        <v>44370</v>
      </c>
      <c r="C711" s="1" t="n">
        <v>45726</v>
      </c>
      <c r="D711" t="inlineStr">
        <is>
          <t>VÄRMLANDS LÄN</t>
        </is>
      </c>
      <c r="E711" t="inlineStr">
        <is>
          <t>TORSBY</t>
        </is>
      </c>
      <c r="G711" t="n">
        <v>1.7</v>
      </c>
      <c r="H711" t="n">
        <v>0</v>
      </c>
      <c r="I711" t="n">
        <v>0</v>
      </c>
      <c r="J711" t="n">
        <v>0</v>
      </c>
      <c r="K711" t="n">
        <v>0</v>
      </c>
      <c r="L711" t="n">
        <v>0</v>
      </c>
      <c r="M711" t="n">
        <v>0</v>
      </c>
      <c r="N711" t="n">
        <v>0</v>
      </c>
      <c r="O711" t="n">
        <v>0</v>
      </c>
      <c r="P711" t="n">
        <v>0</v>
      </c>
      <c r="Q711" t="n">
        <v>0</v>
      </c>
      <c r="R711" s="2" t="inlineStr"/>
    </row>
    <row r="712" ht="15" customHeight="1">
      <c r="A712" t="inlineStr">
        <is>
          <t>A 31911-2021</t>
        </is>
      </c>
      <c r="B712" s="1" t="n">
        <v>44370</v>
      </c>
      <c r="C712" s="1" t="n">
        <v>45726</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32696-2021</t>
        </is>
      </c>
      <c r="B713" s="1" t="n">
        <v>44375</v>
      </c>
      <c r="C713" s="1" t="n">
        <v>45726</v>
      </c>
      <c r="D713" t="inlineStr">
        <is>
          <t>VÄRMLANDS LÄN</t>
        </is>
      </c>
      <c r="E713" t="inlineStr">
        <is>
          <t>TORSBY</t>
        </is>
      </c>
      <c r="F713" t="inlineStr">
        <is>
          <t>Bergvik skog väst AB</t>
        </is>
      </c>
      <c r="G713" t="n">
        <v>14.8</v>
      </c>
      <c r="H713" t="n">
        <v>0</v>
      </c>
      <c r="I713" t="n">
        <v>0</v>
      </c>
      <c r="J713" t="n">
        <v>0</v>
      </c>
      <c r="K713" t="n">
        <v>0</v>
      </c>
      <c r="L713" t="n">
        <v>0</v>
      </c>
      <c r="M713" t="n">
        <v>0</v>
      </c>
      <c r="N713" t="n">
        <v>0</v>
      </c>
      <c r="O713" t="n">
        <v>0</v>
      </c>
      <c r="P713" t="n">
        <v>0</v>
      </c>
      <c r="Q713" t="n">
        <v>0</v>
      </c>
      <c r="R713" s="2" t="inlineStr"/>
    </row>
    <row r="714" ht="15" customHeight="1">
      <c r="A714" t="inlineStr">
        <is>
          <t>A 32821-2021</t>
        </is>
      </c>
      <c r="B714" s="1" t="n">
        <v>44375</v>
      </c>
      <c r="C714" s="1" t="n">
        <v>45726</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32747-2021</t>
        </is>
      </c>
      <c r="B715" s="1" t="n">
        <v>44375</v>
      </c>
      <c r="C715" s="1" t="n">
        <v>45726</v>
      </c>
      <c r="D715" t="inlineStr">
        <is>
          <t>VÄRMLANDS LÄN</t>
        </is>
      </c>
      <c r="E715" t="inlineStr">
        <is>
          <t>TORSBY</t>
        </is>
      </c>
      <c r="G715" t="n">
        <v>6.3</v>
      </c>
      <c r="H715" t="n">
        <v>0</v>
      </c>
      <c r="I715" t="n">
        <v>0</v>
      </c>
      <c r="J715" t="n">
        <v>0</v>
      </c>
      <c r="K715" t="n">
        <v>0</v>
      </c>
      <c r="L715" t="n">
        <v>0</v>
      </c>
      <c r="M715" t="n">
        <v>0</v>
      </c>
      <c r="N715" t="n">
        <v>0</v>
      </c>
      <c r="O715" t="n">
        <v>0</v>
      </c>
      <c r="P715" t="n">
        <v>0</v>
      </c>
      <c r="Q715" t="n">
        <v>0</v>
      </c>
      <c r="R715" s="2" t="inlineStr"/>
    </row>
    <row r="716" ht="15" customHeight="1">
      <c r="A716" t="inlineStr">
        <is>
          <t>A 33146-2021</t>
        </is>
      </c>
      <c r="B716" s="1" t="n">
        <v>44376</v>
      </c>
      <c r="C716" s="1" t="n">
        <v>45726</v>
      </c>
      <c r="D716" t="inlineStr">
        <is>
          <t>VÄRMLANDS LÄN</t>
        </is>
      </c>
      <c r="E716" t="inlineStr">
        <is>
          <t>TORSBY</t>
        </is>
      </c>
      <c r="F716" t="inlineStr">
        <is>
          <t>Bergvik skog väst AB</t>
        </is>
      </c>
      <c r="G716" t="n">
        <v>44.5</v>
      </c>
      <c r="H716" t="n">
        <v>0</v>
      </c>
      <c r="I716" t="n">
        <v>0</v>
      </c>
      <c r="J716" t="n">
        <v>0</v>
      </c>
      <c r="K716" t="n">
        <v>0</v>
      </c>
      <c r="L716" t="n">
        <v>0</v>
      </c>
      <c r="M716" t="n">
        <v>0</v>
      </c>
      <c r="N716" t="n">
        <v>0</v>
      </c>
      <c r="O716" t="n">
        <v>0</v>
      </c>
      <c r="P716" t="n">
        <v>0</v>
      </c>
      <c r="Q716" t="n">
        <v>0</v>
      </c>
      <c r="R716" s="2" t="inlineStr"/>
    </row>
    <row r="717" ht="15" customHeight="1">
      <c r="A717" t="inlineStr">
        <is>
          <t>A 33182-2021</t>
        </is>
      </c>
      <c r="B717" s="1" t="n">
        <v>44376</v>
      </c>
      <c r="C717" s="1" t="n">
        <v>45726</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33145-2021</t>
        </is>
      </c>
      <c r="B718" s="1" t="n">
        <v>44376</v>
      </c>
      <c r="C718" s="1" t="n">
        <v>45726</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33149-2021</t>
        </is>
      </c>
      <c r="B719" s="1" t="n">
        <v>44376</v>
      </c>
      <c r="C719" s="1" t="n">
        <v>45726</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33183-2021</t>
        </is>
      </c>
      <c r="B720" s="1" t="n">
        <v>44376</v>
      </c>
      <c r="C720" s="1" t="n">
        <v>45726</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33517-2021</t>
        </is>
      </c>
      <c r="B721" s="1" t="n">
        <v>44377</v>
      </c>
      <c r="C721" s="1" t="n">
        <v>45726</v>
      </c>
      <c r="D721" t="inlineStr">
        <is>
          <t>VÄRMLANDS LÄN</t>
        </is>
      </c>
      <c r="E721" t="inlineStr">
        <is>
          <t>TORSBY</t>
        </is>
      </c>
      <c r="G721" t="n">
        <v>2.2</v>
      </c>
      <c r="H721" t="n">
        <v>0</v>
      </c>
      <c r="I721" t="n">
        <v>0</v>
      </c>
      <c r="J721" t="n">
        <v>0</v>
      </c>
      <c r="K721" t="n">
        <v>0</v>
      </c>
      <c r="L721" t="n">
        <v>0</v>
      </c>
      <c r="M721" t="n">
        <v>0</v>
      </c>
      <c r="N721" t="n">
        <v>0</v>
      </c>
      <c r="O721" t="n">
        <v>0</v>
      </c>
      <c r="P721" t="n">
        <v>0</v>
      </c>
      <c r="Q721" t="n">
        <v>0</v>
      </c>
      <c r="R721" s="2" t="inlineStr"/>
    </row>
    <row r="722" ht="15" customHeight="1">
      <c r="A722" t="inlineStr">
        <is>
          <t>A 33515-2021</t>
        </is>
      </c>
      <c r="B722" s="1" t="n">
        <v>44377</v>
      </c>
      <c r="C722" s="1" t="n">
        <v>45726</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33839-2021</t>
        </is>
      </c>
      <c r="B723" s="1" t="n">
        <v>44378</v>
      </c>
      <c r="C723" s="1" t="n">
        <v>45726</v>
      </c>
      <c r="D723" t="inlineStr">
        <is>
          <t>VÄRMLANDS LÄN</t>
        </is>
      </c>
      <c r="E723" t="inlineStr">
        <is>
          <t>TORSBY</t>
        </is>
      </c>
      <c r="F723" t="inlineStr">
        <is>
          <t>Bergvik skog väst AB</t>
        </is>
      </c>
      <c r="G723" t="n">
        <v>2.5</v>
      </c>
      <c r="H723" t="n">
        <v>0</v>
      </c>
      <c r="I723" t="n">
        <v>0</v>
      </c>
      <c r="J723" t="n">
        <v>0</v>
      </c>
      <c r="K723" t="n">
        <v>0</v>
      </c>
      <c r="L723" t="n">
        <v>0</v>
      </c>
      <c r="M723" t="n">
        <v>0</v>
      </c>
      <c r="N723" t="n">
        <v>0</v>
      </c>
      <c r="O723" t="n">
        <v>0</v>
      </c>
      <c r="P723" t="n">
        <v>0</v>
      </c>
      <c r="Q723" t="n">
        <v>0</v>
      </c>
      <c r="R723" s="2" t="inlineStr"/>
    </row>
    <row r="724" ht="15" customHeight="1">
      <c r="A724" t="inlineStr">
        <is>
          <t>A 33853-2021</t>
        </is>
      </c>
      <c r="B724" s="1" t="n">
        <v>44378</v>
      </c>
      <c r="C724" s="1" t="n">
        <v>45726</v>
      </c>
      <c r="D724" t="inlineStr">
        <is>
          <t>VÄRMLANDS LÄN</t>
        </is>
      </c>
      <c r="E724" t="inlineStr">
        <is>
          <t>TORSBY</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33937-2021</t>
        </is>
      </c>
      <c r="B725" s="1" t="n">
        <v>44378</v>
      </c>
      <c r="C725" s="1" t="n">
        <v>45726</v>
      </c>
      <c r="D725" t="inlineStr">
        <is>
          <t>VÄRMLANDS LÄN</t>
        </is>
      </c>
      <c r="E725" t="inlineStr">
        <is>
          <t>TORSBY</t>
        </is>
      </c>
      <c r="G725" t="n">
        <v>3.1</v>
      </c>
      <c r="H725" t="n">
        <v>0</v>
      </c>
      <c r="I725" t="n">
        <v>0</v>
      </c>
      <c r="J725" t="n">
        <v>0</v>
      </c>
      <c r="K725" t="n">
        <v>0</v>
      </c>
      <c r="L725" t="n">
        <v>0</v>
      </c>
      <c r="M725" t="n">
        <v>0</v>
      </c>
      <c r="N725" t="n">
        <v>0</v>
      </c>
      <c r="O725" t="n">
        <v>0</v>
      </c>
      <c r="P725" t="n">
        <v>0</v>
      </c>
      <c r="Q725" t="n">
        <v>0</v>
      </c>
      <c r="R725" s="2" t="inlineStr"/>
    </row>
    <row r="726" ht="15" customHeight="1">
      <c r="A726" t="inlineStr">
        <is>
          <t>A 34626-2021</t>
        </is>
      </c>
      <c r="B726" s="1" t="n">
        <v>44382</v>
      </c>
      <c r="C726" s="1" t="n">
        <v>45726</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34694-2021</t>
        </is>
      </c>
      <c r="B727" s="1" t="n">
        <v>44382</v>
      </c>
      <c r="C727" s="1" t="n">
        <v>45726</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34885-2021</t>
        </is>
      </c>
      <c r="B728" s="1" t="n">
        <v>44383</v>
      </c>
      <c r="C728" s="1" t="n">
        <v>45726</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35221-2021</t>
        </is>
      </c>
      <c r="B729" s="1" t="n">
        <v>44384</v>
      </c>
      <c r="C729" s="1" t="n">
        <v>45726</v>
      </c>
      <c r="D729" t="inlineStr">
        <is>
          <t>VÄRMLANDS LÄN</t>
        </is>
      </c>
      <c r="E729" t="inlineStr">
        <is>
          <t>TORSBY</t>
        </is>
      </c>
      <c r="G729" t="n">
        <v>0.9</v>
      </c>
      <c r="H729" t="n">
        <v>0</v>
      </c>
      <c r="I729" t="n">
        <v>0</v>
      </c>
      <c r="J729" t="n">
        <v>0</v>
      </c>
      <c r="K729" t="n">
        <v>0</v>
      </c>
      <c r="L729" t="n">
        <v>0</v>
      </c>
      <c r="M729" t="n">
        <v>0</v>
      </c>
      <c r="N729" t="n">
        <v>0</v>
      </c>
      <c r="O729" t="n">
        <v>0</v>
      </c>
      <c r="P729" t="n">
        <v>0</v>
      </c>
      <c r="Q729" t="n">
        <v>0</v>
      </c>
      <c r="R729" s="2" t="inlineStr"/>
    </row>
    <row r="730" ht="15" customHeight="1">
      <c r="A730" t="inlineStr">
        <is>
          <t>A 35586-2021</t>
        </is>
      </c>
      <c r="B730" s="1" t="n">
        <v>44386</v>
      </c>
      <c r="C730" s="1" t="n">
        <v>45726</v>
      </c>
      <c r="D730" t="inlineStr">
        <is>
          <t>VÄRMLANDS LÄN</t>
        </is>
      </c>
      <c r="E730" t="inlineStr">
        <is>
          <t>TORSBY</t>
        </is>
      </c>
      <c r="F730" t="inlineStr">
        <is>
          <t>Bergvik skog väst AB</t>
        </is>
      </c>
      <c r="G730" t="n">
        <v>5.1</v>
      </c>
      <c r="H730" t="n">
        <v>0</v>
      </c>
      <c r="I730" t="n">
        <v>0</v>
      </c>
      <c r="J730" t="n">
        <v>0</v>
      </c>
      <c r="K730" t="n">
        <v>0</v>
      </c>
      <c r="L730" t="n">
        <v>0</v>
      </c>
      <c r="M730" t="n">
        <v>0</v>
      </c>
      <c r="N730" t="n">
        <v>0</v>
      </c>
      <c r="O730" t="n">
        <v>0</v>
      </c>
      <c r="P730" t="n">
        <v>0</v>
      </c>
      <c r="Q730" t="n">
        <v>0</v>
      </c>
      <c r="R730" s="2" t="inlineStr"/>
    </row>
    <row r="731" ht="15" customHeight="1">
      <c r="A731" t="inlineStr">
        <is>
          <t>A 35907-2021</t>
        </is>
      </c>
      <c r="B731" s="1" t="n">
        <v>44387</v>
      </c>
      <c r="C731" s="1" t="n">
        <v>45726</v>
      </c>
      <c r="D731" t="inlineStr">
        <is>
          <t>VÄRMLANDS LÄN</t>
        </is>
      </c>
      <c r="E731" t="inlineStr">
        <is>
          <t>TORSBY</t>
        </is>
      </c>
      <c r="G731" t="n">
        <v>3</v>
      </c>
      <c r="H731" t="n">
        <v>0</v>
      </c>
      <c r="I731" t="n">
        <v>0</v>
      </c>
      <c r="J731" t="n">
        <v>0</v>
      </c>
      <c r="K731" t="n">
        <v>0</v>
      </c>
      <c r="L731" t="n">
        <v>0</v>
      </c>
      <c r="M731" t="n">
        <v>0</v>
      </c>
      <c r="N731" t="n">
        <v>0</v>
      </c>
      <c r="O731" t="n">
        <v>0</v>
      </c>
      <c r="P731" t="n">
        <v>0</v>
      </c>
      <c r="Q731" t="n">
        <v>0</v>
      </c>
      <c r="R731" s="2" t="inlineStr"/>
    </row>
    <row r="732" ht="15" customHeight="1">
      <c r="A732" t="inlineStr">
        <is>
          <t>A 35909-2021</t>
        </is>
      </c>
      <c r="B732" s="1" t="n">
        <v>44387</v>
      </c>
      <c r="C732" s="1" t="n">
        <v>45726</v>
      </c>
      <c r="D732" t="inlineStr">
        <is>
          <t>VÄRMLANDS LÄN</t>
        </is>
      </c>
      <c r="E732" t="inlineStr">
        <is>
          <t>TORSBY</t>
        </is>
      </c>
      <c r="G732" t="n">
        <v>3.3</v>
      </c>
      <c r="H732" t="n">
        <v>0</v>
      </c>
      <c r="I732" t="n">
        <v>0</v>
      </c>
      <c r="J732" t="n">
        <v>0</v>
      </c>
      <c r="K732" t="n">
        <v>0</v>
      </c>
      <c r="L732" t="n">
        <v>0</v>
      </c>
      <c r="M732" t="n">
        <v>0</v>
      </c>
      <c r="N732" t="n">
        <v>0</v>
      </c>
      <c r="O732" t="n">
        <v>0</v>
      </c>
      <c r="P732" t="n">
        <v>0</v>
      </c>
      <c r="Q732" t="n">
        <v>0</v>
      </c>
      <c r="R732" s="2" t="inlineStr"/>
    </row>
    <row r="733" ht="15" customHeight="1">
      <c r="A733" t="inlineStr">
        <is>
          <t>A 36189-2021</t>
        </is>
      </c>
      <c r="B733" s="1" t="n">
        <v>44389</v>
      </c>
      <c r="C733" s="1" t="n">
        <v>45726</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36186-2021</t>
        </is>
      </c>
      <c r="B734" s="1" t="n">
        <v>44389</v>
      </c>
      <c r="C734" s="1" t="n">
        <v>45726</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36327-2021</t>
        </is>
      </c>
      <c r="B735" s="1" t="n">
        <v>44390</v>
      </c>
      <c r="C735" s="1" t="n">
        <v>45726</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36589-2021</t>
        </is>
      </c>
      <c r="B736" s="1" t="n">
        <v>44391</v>
      </c>
      <c r="C736" s="1" t="n">
        <v>45726</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36700-2021</t>
        </is>
      </c>
      <c r="B737" s="1" t="n">
        <v>44392</v>
      </c>
      <c r="C737" s="1" t="n">
        <v>45726</v>
      </c>
      <c r="D737" t="inlineStr">
        <is>
          <t>VÄRMLANDS LÄN</t>
        </is>
      </c>
      <c r="E737" t="inlineStr">
        <is>
          <t>TORSBY</t>
        </is>
      </c>
      <c r="F737" t="inlineStr">
        <is>
          <t>Bergvik skog väst AB</t>
        </is>
      </c>
      <c r="G737" t="n">
        <v>9.9</v>
      </c>
      <c r="H737" t="n">
        <v>0</v>
      </c>
      <c r="I737" t="n">
        <v>0</v>
      </c>
      <c r="J737" t="n">
        <v>0</v>
      </c>
      <c r="K737" t="n">
        <v>0</v>
      </c>
      <c r="L737" t="n">
        <v>0</v>
      </c>
      <c r="M737" t="n">
        <v>0</v>
      </c>
      <c r="N737" t="n">
        <v>0</v>
      </c>
      <c r="O737" t="n">
        <v>0</v>
      </c>
      <c r="P737" t="n">
        <v>0</v>
      </c>
      <c r="Q737" t="n">
        <v>0</v>
      </c>
      <c r="R737" s="2" t="inlineStr"/>
    </row>
    <row r="738" ht="15" customHeight="1">
      <c r="A738" t="inlineStr">
        <is>
          <t>A 37074-2021</t>
        </is>
      </c>
      <c r="B738" s="1" t="n">
        <v>44394</v>
      </c>
      <c r="C738" s="1" t="n">
        <v>45726</v>
      </c>
      <c r="D738" t="inlineStr">
        <is>
          <t>VÄRMLANDS LÄN</t>
        </is>
      </c>
      <c r="E738" t="inlineStr">
        <is>
          <t>TORSBY</t>
        </is>
      </c>
      <c r="G738" t="n">
        <v>1.8</v>
      </c>
      <c r="H738" t="n">
        <v>0</v>
      </c>
      <c r="I738" t="n">
        <v>0</v>
      </c>
      <c r="J738" t="n">
        <v>0</v>
      </c>
      <c r="K738" t="n">
        <v>0</v>
      </c>
      <c r="L738" t="n">
        <v>0</v>
      </c>
      <c r="M738" t="n">
        <v>0</v>
      </c>
      <c r="N738" t="n">
        <v>0</v>
      </c>
      <c r="O738" t="n">
        <v>0</v>
      </c>
      <c r="P738" t="n">
        <v>0</v>
      </c>
      <c r="Q738" t="n">
        <v>0</v>
      </c>
      <c r="R738" s="2" t="inlineStr"/>
    </row>
    <row r="739" ht="15" customHeight="1">
      <c r="A739" t="inlineStr">
        <is>
          <t>A 37075-2021</t>
        </is>
      </c>
      <c r="B739" s="1" t="n">
        <v>44394</v>
      </c>
      <c r="C739" s="1" t="n">
        <v>45726</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37225-2021</t>
        </is>
      </c>
      <c r="B740" s="1" t="n">
        <v>44396</v>
      </c>
      <c r="C740" s="1" t="n">
        <v>45726</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37609-2021</t>
        </is>
      </c>
      <c r="B741" s="1" t="n">
        <v>44399</v>
      </c>
      <c r="C741" s="1" t="n">
        <v>45726</v>
      </c>
      <c r="D741" t="inlineStr">
        <is>
          <t>VÄRMLANDS LÄN</t>
        </is>
      </c>
      <c r="E741" t="inlineStr">
        <is>
          <t>TORSBY</t>
        </is>
      </c>
      <c r="G741" t="n">
        <v>0.2</v>
      </c>
      <c r="H741" t="n">
        <v>0</v>
      </c>
      <c r="I741" t="n">
        <v>0</v>
      </c>
      <c r="J741" t="n">
        <v>0</v>
      </c>
      <c r="K741" t="n">
        <v>0</v>
      </c>
      <c r="L741" t="n">
        <v>0</v>
      </c>
      <c r="M741" t="n">
        <v>0</v>
      </c>
      <c r="N741" t="n">
        <v>0</v>
      </c>
      <c r="O741" t="n">
        <v>0</v>
      </c>
      <c r="P741" t="n">
        <v>0</v>
      </c>
      <c r="Q741" t="n">
        <v>0</v>
      </c>
      <c r="R741" s="2" t="inlineStr"/>
    </row>
    <row r="742" ht="15" customHeight="1">
      <c r="A742" t="inlineStr">
        <is>
          <t>A 37608-2021</t>
        </is>
      </c>
      <c r="B742" s="1" t="n">
        <v>44399</v>
      </c>
      <c r="C742" s="1" t="n">
        <v>45726</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38467-2021</t>
        </is>
      </c>
      <c r="B743" s="1" t="n">
        <v>44405</v>
      </c>
      <c r="C743" s="1" t="n">
        <v>45726</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38229-2021</t>
        </is>
      </c>
      <c r="B744" s="1" t="n">
        <v>44405</v>
      </c>
      <c r="C744" s="1" t="n">
        <v>45726</v>
      </c>
      <c r="D744" t="inlineStr">
        <is>
          <t>VÄRMLANDS LÄN</t>
        </is>
      </c>
      <c r="E744" t="inlineStr">
        <is>
          <t>TORSBY</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38298-2021</t>
        </is>
      </c>
      <c r="B745" s="1" t="n">
        <v>44406</v>
      </c>
      <c r="C745" s="1" t="n">
        <v>45726</v>
      </c>
      <c r="D745" t="inlineStr">
        <is>
          <t>VÄRMLANDS LÄN</t>
        </is>
      </c>
      <c r="E745" t="inlineStr">
        <is>
          <t>TORSBY</t>
        </is>
      </c>
      <c r="G745" t="n">
        <v>3.3</v>
      </c>
      <c r="H745" t="n">
        <v>0</v>
      </c>
      <c r="I745" t="n">
        <v>0</v>
      </c>
      <c r="J745" t="n">
        <v>0</v>
      </c>
      <c r="K745" t="n">
        <v>0</v>
      </c>
      <c r="L745" t="n">
        <v>0</v>
      </c>
      <c r="M745" t="n">
        <v>0</v>
      </c>
      <c r="N745" t="n">
        <v>0</v>
      </c>
      <c r="O745" t="n">
        <v>0</v>
      </c>
      <c r="P745" t="n">
        <v>0</v>
      </c>
      <c r="Q745" t="n">
        <v>0</v>
      </c>
      <c r="R745" s="2" t="inlineStr"/>
    </row>
    <row r="746" ht="15" customHeight="1">
      <c r="A746" t="inlineStr">
        <is>
          <t>A 38564-2021</t>
        </is>
      </c>
      <c r="B746" s="1" t="n">
        <v>44407</v>
      </c>
      <c r="C746" s="1" t="n">
        <v>45726</v>
      </c>
      <c r="D746" t="inlineStr">
        <is>
          <t>VÄRMLANDS LÄN</t>
        </is>
      </c>
      <c r="E746" t="inlineStr">
        <is>
          <t>TORSBY</t>
        </is>
      </c>
      <c r="F746" t="inlineStr">
        <is>
          <t>Bergvik skog väst AB</t>
        </is>
      </c>
      <c r="G746" t="n">
        <v>15.7</v>
      </c>
      <c r="H746" t="n">
        <v>0</v>
      </c>
      <c r="I746" t="n">
        <v>0</v>
      </c>
      <c r="J746" t="n">
        <v>0</v>
      </c>
      <c r="K746" t="n">
        <v>0</v>
      </c>
      <c r="L746" t="n">
        <v>0</v>
      </c>
      <c r="M746" t="n">
        <v>0</v>
      </c>
      <c r="N746" t="n">
        <v>0</v>
      </c>
      <c r="O746" t="n">
        <v>0</v>
      </c>
      <c r="P746" t="n">
        <v>0</v>
      </c>
      <c r="Q746" t="n">
        <v>0</v>
      </c>
      <c r="R746" s="2" t="inlineStr"/>
    </row>
    <row r="747" ht="15" customHeight="1">
      <c r="A747" t="inlineStr">
        <is>
          <t>A 38528-2021</t>
        </is>
      </c>
      <c r="B747" s="1" t="n">
        <v>44407</v>
      </c>
      <c r="C747" s="1" t="n">
        <v>45726</v>
      </c>
      <c r="D747" t="inlineStr">
        <is>
          <t>VÄRMLANDS LÄN</t>
        </is>
      </c>
      <c r="E747" t="inlineStr">
        <is>
          <t>TORSBY</t>
        </is>
      </c>
      <c r="F747" t="inlineStr">
        <is>
          <t>Bergvik skog väst AB</t>
        </is>
      </c>
      <c r="G747" t="n">
        <v>12.5</v>
      </c>
      <c r="H747" t="n">
        <v>0</v>
      </c>
      <c r="I747" t="n">
        <v>0</v>
      </c>
      <c r="J747" t="n">
        <v>0</v>
      </c>
      <c r="K747" t="n">
        <v>0</v>
      </c>
      <c r="L747" t="n">
        <v>0</v>
      </c>
      <c r="M747" t="n">
        <v>0</v>
      </c>
      <c r="N747" t="n">
        <v>0</v>
      </c>
      <c r="O747" t="n">
        <v>0</v>
      </c>
      <c r="P747" t="n">
        <v>0</v>
      </c>
      <c r="Q747" t="n">
        <v>0</v>
      </c>
      <c r="R747" s="2" t="inlineStr"/>
    </row>
    <row r="748" ht="15" customHeight="1">
      <c r="A748" t="inlineStr">
        <is>
          <t>A 38767-2021</t>
        </is>
      </c>
      <c r="B748" s="1" t="n">
        <v>44410</v>
      </c>
      <c r="C748" s="1" t="n">
        <v>45726</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38841-2021</t>
        </is>
      </c>
      <c r="B749" s="1" t="n">
        <v>44411</v>
      </c>
      <c r="C749" s="1" t="n">
        <v>45726</v>
      </c>
      <c r="D749" t="inlineStr">
        <is>
          <t>VÄRMLANDS LÄN</t>
        </is>
      </c>
      <c r="E749" t="inlineStr">
        <is>
          <t>TORSBY</t>
        </is>
      </c>
      <c r="F749" t="inlineStr">
        <is>
          <t>Bergvik skog väst AB</t>
        </is>
      </c>
      <c r="G749" t="n">
        <v>13.8</v>
      </c>
      <c r="H749" t="n">
        <v>0</v>
      </c>
      <c r="I749" t="n">
        <v>0</v>
      </c>
      <c r="J749" t="n">
        <v>0</v>
      </c>
      <c r="K749" t="n">
        <v>0</v>
      </c>
      <c r="L749" t="n">
        <v>0</v>
      </c>
      <c r="M749" t="n">
        <v>0</v>
      </c>
      <c r="N749" t="n">
        <v>0</v>
      </c>
      <c r="O749" t="n">
        <v>0</v>
      </c>
      <c r="P749" t="n">
        <v>0</v>
      </c>
      <c r="Q749" t="n">
        <v>0</v>
      </c>
      <c r="R749" s="2" t="inlineStr"/>
    </row>
    <row r="750" ht="15" customHeight="1">
      <c r="A750" t="inlineStr">
        <is>
          <t>A 39003-2021</t>
        </is>
      </c>
      <c r="B750" s="1" t="n">
        <v>44412</v>
      </c>
      <c r="C750" s="1" t="n">
        <v>45726</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39260-2021</t>
        </is>
      </c>
      <c r="B751" s="1" t="n">
        <v>44413</v>
      </c>
      <c r="C751" s="1" t="n">
        <v>45726</v>
      </c>
      <c r="D751" t="inlineStr">
        <is>
          <t>VÄRMLANDS LÄN</t>
        </is>
      </c>
      <c r="E751" t="inlineStr">
        <is>
          <t>TORSBY</t>
        </is>
      </c>
      <c r="G751" t="n">
        <v>4.7</v>
      </c>
      <c r="H751" t="n">
        <v>0</v>
      </c>
      <c r="I751" t="n">
        <v>0</v>
      </c>
      <c r="J751" t="n">
        <v>0</v>
      </c>
      <c r="K751" t="n">
        <v>0</v>
      </c>
      <c r="L751" t="n">
        <v>0</v>
      </c>
      <c r="M751" t="n">
        <v>0</v>
      </c>
      <c r="N751" t="n">
        <v>0</v>
      </c>
      <c r="O751" t="n">
        <v>0</v>
      </c>
      <c r="P751" t="n">
        <v>0</v>
      </c>
      <c r="Q751" t="n">
        <v>0</v>
      </c>
      <c r="R751" s="2" t="inlineStr"/>
    </row>
    <row r="752" ht="15" customHeight="1">
      <c r="A752" t="inlineStr">
        <is>
          <t>A 39642-2021</t>
        </is>
      </c>
      <c r="B752" s="1" t="n">
        <v>44417</v>
      </c>
      <c r="C752" s="1" t="n">
        <v>45726</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39826-2021</t>
        </is>
      </c>
      <c r="B753" s="1" t="n">
        <v>44417</v>
      </c>
      <c r="C753" s="1" t="n">
        <v>45726</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39967-2021</t>
        </is>
      </c>
      <c r="B754" s="1" t="n">
        <v>44418</v>
      </c>
      <c r="C754" s="1" t="n">
        <v>45726</v>
      </c>
      <c r="D754" t="inlineStr">
        <is>
          <t>VÄRMLANDS LÄN</t>
        </is>
      </c>
      <c r="E754" t="inlineStr">
        <is>
          <t>TORSBY</t>
        </is>
      </c>
      <c r="F754" t="inlineStr">
        <is>
          <t>Bergvik skog väst AB</t>
        </is>
      </c>
      <c r="G754" t="n">
        <v>11.8</v>
      </c>
      <c r="H754" t="n">
        <v>0</v>
      </c>
      <c r="I754" t="n">
        <v>0</v>
      </c>
      <c r="J754" t="n">
        <v>0</v>
      </c>
      <c r="K754" t="n">
        <v>0</v>
      </c>
      <c r="L754" t="n">
        <v>0</v>
      </c>
      <c r="M754" t="n">
        <v>0</v>
      </c>
      <c r="N754" t="n">
        <v>0</v>
      </c>
      <c r="O754" t="n">
        <v>0</v>
      </c>
      <c r="P754" t="n">
        <v>0</v>
      </c>
      <c r="Q754" t="n">
        <v>0</v>
      </c>
      <c r="R754" s="2" t="inlineStr"/>
    </row>
    <row r="755" ht="15" customHeight="1">
      <c r="A755" t="inlineStr">
        <is>
          <t>A 40281-2021</t>
        </is>
      </c>
      <c r="B755" s="1" t="n">
        <v>44419</v>
      </c>
      <c r="C755" s="1" t="n">
        <v>45726</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40276-2021</t>
        </is>
      </c>
      <c r="B756" s="1" t="n">
        <v>44419</v>
      </c>
      <c r="C756" s="1" t="n">
        <v>45726</v>
      </c>
      <c r="D756" t="inlineStr">
        <is>
          <t>VÄRMLANDS LÄN</t>
        </is>
      </c>
      <c r="E756" t="inlineStr">
        <is>
          <t>TORSBY</t>
        </is>
      </c>
      <c r="G756" t="n">
        <v>2.2</v>
      </c>
      <c r="H756" t="n">
        <v>0</v>
      </c>
      <c r="I756" t="n">
        <v>0</v>
      </c>
      <c r="J756" t="n">
        <v>0</v>
      </c>
      <c r="K756" t="n">
        <v>0</v>
      </c>
      <c r="L756" t="n">
        <v>0</v>
      </c>
      <c r="M756" t="n">
        <v>0</v>
      </c>
      <c r="N756" t="n">
        <v>0</v>
      </c>
      <c r="O756" t="n">
        <v>0</v>
      </c>
      <c r="P756" t="n">
        <v>0</v>
      </c>
      <c r="Q756" t="n">
        <v>0</v>
      </c>
      <c r="R756" s="2" t="inlineStr"/>
    </row>
    <row r="757" ht="15" customHeight="1">
      <c r="A757" t="inlineStr">
        <is>
          <t>A 40278-2021</t>
        </is>
      </c>
      <c r="B757" s="1" t="n">
        <v>44419</v>
      </c>
      <c r="C757" s="1" t="n">
        <v>45726</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40282-2021</t>
        </is>
      </c>
      <c r="B758" s="1" t="n">
        <v>44419</v>
      </c>
      <c r="C758" s="1" t="n">
        <v>45726</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40590-2021</t>
        </is>
      </c>
      <c r="B759" s="1" t="n">
        <v>44420</v>
      </c>
      <c r="C759" s="1" t="n">
        <v>45726</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40876-2021</t>
        </is>
      </c>
      <c r="B760" s="1" t="n">
        <v>44421</v>
      </c>
      <c r="C760" s="1" t="n">
        <v>45726</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41253-2021</t>
        </is>
      </c>
      <c r="B761" s="1" t="n">
        <v>44424</v>
      </c>
      <c r="C761" s="1" t="n">
        <v>45726</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41377-2021</t>
        </is>
      </c>
      <c r="B762" s="1" t="n">
        <v>44424</v>
      </c>
      <c r="C762" s="1" t="n">
        <v>45726</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41633-2021</t>
        </is>
      </c>
      <c r="B763" s="1" t="n">
        <v>44425</v>
      </c>
      <c r="C763" s="1" t="n">
        <v>45726</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41671-2021</t>
        </is>
      </c>
      <c r="B764" s="1" t="n">
        <v>44425</v>
      </c>
      <c r="C764" s="1" t="n">
        <v>45726</v>
      </c>
      <c r="D764" t="inlineStr">
        <is>
          <t>VÄRMLANDS LÄN</t>
        </is>
      </c>
      <c r="E764" t="inlineStr">
        <is>
          <t>TORSBY</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41678-2021</t>
        </is>
      </c>
      <c r="B765" s="1" t="n">
        <v>44425</v>
      </c>
      <c r="C765" s="1" t="n">
        <v>45726</v>
      </c>
      <c r="D765" t="inlineStr">
        <is>
          <t>VÄRMLANDS LÄN</t>
        </is>
      </c>
      <c r="E765" t="inlineStr">
        <is>
          <t>TORSBY</t>
        </is>
      </c>
      <c r="G765" t="n">
        <v>4.3</v>
      </c>
      <c r="H765" t="n">
        <v>0</v>
      </c>
      <c r="I765" t="n">
        <v>0</v>
      </c>
      <c r="J765" t="n">
        <v>0</v>
      </c>
      <c r="K765" t="n">
        <v>0</v>
      </c>
      <c r="L765" t="n">
        <v>0</v>
      </c>
      <c r="M765" t="n">
        <v>0</v>
      </c>
      <c r="N765" t="n">
        <v>0</v>
      </c>
      <c r="O765" t="n">
        <v>0</v>
      </c>
      <c r="P765" t="n">
        <v>0</v>
      </c>
      <c r="Q765" t="n">
        <v>0</v>
      </c>
      <c r="R765" s="2" t="inlineStr"/>
    </row>
    <row r="766" ht="15" customHeight="1">
      <c r="A766" t="inlineStr">
        <is>
          <t>A 41808-2021</t>
        </is>
      </c>
      <c r="B766" s="1" t="n">
        <v>44425</v>
      </c>
      <c r="C766" s="1" t="n">
        <v>45726</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42347-2021</t>
        </is>
      </c>
      <c r="B767" s="1" t="n">
        <v>44427</v>
      </c>
      <c r="C767" s="1" t="n">
        <v>45726</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42615-2021</t>
        </is>
      </c>
      <c r="B768" s="1" t="n">
        <v>44428</v>
      </c>
      <c r="C768" s="1" t="n">
        <v>45726</v>
      </c>
      <c r="D768" t="inlineStr">
        <is>
          <t>VÄRMLANDS LÄN</t>
        </is>
      </c>
      <c r="E768" t="inlineStr">
        <is>
          <t>TORSBY</t>
        </is>
      </c>
      <c r="F768" t="inlineStr">
        <is>
          <t>Bergvik skog väst AB</t>
        </is>
      </c>
      <c r="G768" t="n">
        <v>37.2</v>
      </c>
      <c r="H768" t="n">
        <v>0</v>
      </c>
      <c r="I768" t="n">
        <v>0</v>
      </c>
      <c r="J768" t="n">
        <v>0</v>
      </c>
      <c r="K768" t="n">
        <v>0</v>
      </c>
      <c r="L768" t="n">
        <v>0</v>
      </c>
      <c r="M768" t="n">
        <v>0</v>
      </c>
      <c r="N768" t="n">
        <v>0</v>
      </c>
      <c r="O768" t="n">
        <v>0</v>
      </c>
      <c r="P768" t="n">
        <v>0</v>
      </c>
      <c r="Q768" t="n">
        <v>0</v>
      </c>
      <c r="R768" s="2" t="inlineStr"/>
    </row>
    <row r="769" ht="15" customHeight="1">
      <c r="A769" t="inlineStr">
        <is>
          <t>A 42646-2021</t>
        </is>
      </c>
      <c r="B769" s="1" t="n">
        <v>44428</v>
      </c>
      <c r="C769" s="1" t="n">
        <v>45726</v>
      </c>
      <c r="D769" t="inlineStr">
        <is>
          <t>VÄRMLANDS LÄN</t>
        </is>
      </c>
      <c r="E769" t="inlineStr">
        <is>
          <t>TORSBY</t>
        </is>
      </c>
      <c r="F769" t="inlineStr">
        <is>
          <t>Bergvik skog väst AB</t>
        </is>
      </c>
      <c r="G769" t="n">
        <v>21.4</v>
      </c>
      <c r="H769" t="n">
        <v>0</v>
      </c>
      <c r="I769" t="n">
        <v>0</v>
      </c>
      <c r="J769" t="n">
        <v>0</v>
      </c>
      <c r="K769" t="n">
        <v>0</v>
      </c>
      <c r="L769" t="n">
        <v>0</v>
      </c>
      <c r="M769" t="n">
        <v>0</v>
      </c>
      <c r="N769" t="n">
        <v>0</v>
      </c>
      <c r="O769" t="n">
        <v>0</v>
      </c>
      <c r="P769" t="n">
        <v>0</v>
      </c>
      <c r="Q769" t="n">
        <v>0</v>
      </c>
      <c r="R769" s="2" t="inlineStr"/>
    </row>
    <row r="770" ht="15" customHeight="1">
      <c r="A770" t="inlineStr">
        <is>
          <t>A 43052-2021</t>
        </is>
      </c>
      <c r="B770" s="1" t="n">
        <v>44431</v>
      </c>
      <c r="C770" s="1" t="n">
        <v>45726</v>
      </c>
      <c r="D770" t="inlineStr">
        <is>
          <t>VÄRMLANDS LÄN</t>
        </is>
      </c>
      <c r="E770" t="inlineStr">
        <is>
          <t>TORSBY</t>
        </is>
      </c>
      <c r="G770" t="n">
        <v>25.1</v>
      </c>
      <c r="H770" t="n">
        <v>0</v>
      </c>
      <c r="I770" t="n">
        <v>0</v>
      </c>
      <c r="J770" t="n">
        <v>0</v>
      </c>
      <c r="K770" t="n">
        <v>0</v>
      </c>
      <c r="L770" t="n">
        <v>0</v>
      </c>
      <c r="M770" t="n">
        <v>0</v>
      </c>
      <c r="N770" t="n">
        <v>0</v>
      </c>
      <c r="O770" t="n">
        <v>0</v>
      </c>
      <c r="P770" t="n">
        <v>0</v>
      </c>
      <c r="Q770" t="n">
        <v>0</v>
      </c>
      <c r="R770" s="2" t="inlineStr"/>
    </row>
    <row r="771" ht="15" customHeight="1">
      <c r="A771" t="inlineStr">
        <is>
          <t>A 43060-2021</t>
        </is>
      </c>
      <c r="B771" s="1" t="n">
        <v>44431</v>
      </c>
      <c r="C771" s="1" t="n">
        <v>45726</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v>
      </c>
      <c r="C772" s="1" t="n">
        <v>45726</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43136-2021</t>
        </is>
      </c>
      <c r="B773" s="1" t="n">
        <v>44431</v>
      </c>
      <c r="C773" s="1" t="n">
        <v>45726</v>
      </c>
      <c r="D773" t="inlineStr">
        <is>
          <t>VÄRMLANDS LÄN</t>
        </is>
      </c>
      <c r="E773" t="inlineStr">
        <is>
          <t>TORSBY</t>
        </is>
      </c>
      <c r="G773" t="n">
        <v>14.4</v>
      </c>
      <c r="H773" t="n">
        <v>0</v>
      </c>
      <c r="I773" t="n">
        <v>0</v>
      </c>
      <c r="J773" t="n">
        <v>0</v>
      </c>
      <c r="K773" t="n">
        <v>0</v>
      </c>
      <c r="L773" t="n">
        <v>0</v>
      </c>
      <c r="M773" t="n">
        <v>0</v>
      </c>
      <c r="N773" t="n">
        <v>0</v>
      </c>
      <c r="O773" t="n">
        <v>0</v>
      </c>
      <c r="P773" t="n">
        <v>0</v>
      </c>
      <c r="Q773" t="n">
        <v>0</v>
      </c>
      <c r="R773" s="2" t="inlineStr"/>
    </row>
    <row r="774" ht="15" customHeight="1">
      <c r="A774" t="inlineStr">
        <is>
          <t>A 43169-2021</t>
        </is>
      </c>
      <c r="B774" s="1" t="n">
        <v>44431</v>
      </c>
      <c r="C774" s="1" t="n">
        <v>45726</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43095-2021</t>
        </is>
      </c>
      <c r="B775" s="1" t="n">
        <v>44431</v>
      </c>
      <c r="C775" s="1" t="n">
        <v>45726</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43157-2021</t>
        </is>
      </c>
      <c r="B776" s="1" t="n">
        <v>44431</v>
      </c>
      <c r="C776" s="1" t="n">
        <v>45726</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43127-2021</t>
        </is>
      </c>
      <c r="B777" s="1" t="n">
        <v>44431</v>
      </c>
      <c r="C777" s="1" t="n">
        <v>45726</v>
      </c>
      <c r="D777" t="inlineStr">
        <is>
          <t>VÄRMLANDS LÄN</t>
        </is>
      </c>
      <c r="E777" t="inlineStr">
        <is>
          <t>TORSBY</t>
        </is>
      </c>
      <c r="G777" t="n">
        <v>23.3</v>
      </c>
      <c r="H777" t="n">
        <v>0</v>
      </c>
      <c r="I777" t="n">
        <v>0</v>
      </c>
      <c r="J777" t="n">
        <v>0</v>
      </c>
      <c r="K777" t="n">
        <v>0</v>
      </c>
      <c r="L777" t="n">
        <v>0</v>
      </c>
      <c r="M777" t="n">
        <v>0</v>
      </c>
      <c r="N777" t="n">
        <v>0</v>
      </c>
      <c r="O777" t="n">
        <v>0</v>
      </c>
      <c r="P777" t="n">
        <v>0</v>
      </c>
      <c r="Q777" t="n">
        <v>0</v>
      </c>
      <c r="R777" s="2" t="inlineStr"/>
    </row>
    <row r="778" ht="15" customHeight="1">
      <c r="A778" t="inlineStr">
        <is>
          <t>A 43161-2021</t>
        </is>
      </c>
      <c r="B778" s="1" t="n">
        <v>44431</v>
      </c>
      <c r="C778" s="1" t="n">
        <v>45726</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44018-2021</t>
        </is>
      </c>
      <c r="B779" s="1" t="n">
        <v>44434</v>
      </c>
      <c r="C779" s="1" t="n">
        <v>45726</v>
      </c>
      <c r="D779" t="inlineStr">
        <is>
          <t>VÄRMLANDS LÄN</t>
        </is>
      </c>
      <c r="E779" t="inlineStr">
        <is>
          <t>TORSBY</t>
        </is>
      </c>
      <c r="F779" t="inlineStr">
        <is>
          <t>Bergvik skog väst AB</t>
        </is>
      </c>
      <c r="G779" t="n">
        <v>2.7</v>
      </c>
      <c r="H779" t="n">
        <v>0</v>
      </c>
      <c r="I779" t="n">
        <v>0</v>
      </c>
      <c r="J779" t="n">
        <v>0</v>
      </c>
      <c r="K779" t="n">
        <v>0</v>
      </c>
      <c r="L779" t="n">
        <v>0</v>
      </c>
      <c r="M779" t="n">
        <v>0</v>
      </c>
      <c r="N779" t="n">
        <v>0</v>
      </c>
      <c r="O779" t="n">
        <v>0</v>
      </c>
      <c r="P779" t="n">
        <v>0</v>
      </c>
      <c r="Q779" t="n">
        <v>0</v>
      </c>
      <c r="R779" s="2" t="inlineStr"/>
    </row>
    <row r="780" ht="15" customHeight="1">
      <c r="A780" t="inlineStr">
        <is>
          <t>A 44418-2021</t>
        </is>
      </c>
      <c r="B780" s="1" t="n">
        <v>44435</v>
      </c>
      <c r="C780" s="1" t="n">
        <v>45726</v>
      </c>
      <c r="D780" t="inlineStr">
        <is>
          <t>VÄRMLANDS LÄN</t>
        </is>
      </c>
      <c r="E780" t="inlineStr">
        <is>
          <t>TORSBY</t>
        </is>
      </c>
      <c r="G780" t="n">
        <v>7.5</v>
      </c>
      <c r="H780" t="n">
        <v>0</v>
      </c>
      <c r="I780" t="n">
        <v>0</v>
      </c>
      <c r="J780" t="n">
        <v>0</v>
      </c>
      <c r="K780" t="n">
        <v>0</v>
      </c>
      <c r="L780" t="n">
        <v>0</v>
      </c>
      <c r="M780" t="n">
        <v>0</v>
      </c>
      <c r="N780" t="n">
        <v>0</v>
      </c>
      <c r="O780" t="n">
        <v>0</v>
      </c>
      <c r="P780" t="n">
        <v>0</v>
      </c>
      <c r="Q780" t="n">
        <v>0</v>
      </c>
      <c r="R780" s="2" t="inlineStr"/>
    </row>
    <row r="781" ht="15" customHeight="1">
      <c r="A781" t="inlineStr">
        <is>
          <t>A 44490-2021</t>
        </is>
      </c>
      <c r="B781" s="1" t="n">
        <v>44435</v>
      </c>
      <c r="C781" s="1" t="n">
        <v>45726</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44761-2021</t>
        </is>
      </c>
      <c r="B782" s="1" t="n">
        <v>44438</v>
      </c>
      <c r="C782" s="1" t="n">
        <v>45726</v>
      </c>
      <c r="D782" t="inlineStr">
        <is>
          <t>VÄRMLANDS LÄN</t>
        </is>
      </c>
      <c r="E782" t="inlineStr">
        <is>
          <t>TORSBY</t>
        </is>
      </c>
      <c r="G782" t="n">
        <v>6.5</v>
      </c>
      <c r="H782" t="n">
        <v>0</v>
      </c>
      <c r="I782" t="n">
        <v>0</v>
      </c>
      <c r="J782" t="n">
        <v>0</v>
      </c>
      <c r="K782" t="n">
        <v>0</v>
      </c>
      <c r="L782" t="n">
        <v>0</v>
      </c>
      <c r="M782" t="n">
        <v>0</v>
      </c>
      <c r="N782" t="n">
        <v>0</v>
      </c>
      <c r="O782" t="n">
        <v>0</v>
      </c>
      <c r="P782" t="n">
        <v>0</v>
      </c>
      <c r="Q782" t="n">
        <v>0</v>
      </c>
      <c r="R782" s="2" t="inlineStr"/>
    </row>
    <row r="783" ht="15" customHeight="1">
      <c r="A783" t="inlineStr">
        <is>
          <t>A 44979-2021</t>
        </is>
      </c>
      <c r="B783" s="1" t="n">
        <v>44438</v>
      </c>
      <c r="C783" s="1" t="n">
        <v>45726</v>
      </c>
      <c r="D783" t="inlineStr">
        <is>
          <t>VÄRMLANDS LÄN</t>
        </is>
      </c>
      <c r="E783" t="inlineStr">
        <is>
          <t>TORSBY</t>
        </is>
      </c>
      <c r="F783" t="inlineStr">
        <is>
          <t>Bergvik skog väst AB</t>
        </is>
      </c>
      <c r="G783" t="n">
        <v>22.2</v>
      </c>
      <c r="H783" t="n">
        <v>0</v>
      </c>
      <c r="I783" t="n">
        <v>0</v>
      </c>
      <c r="J783" t="n">
        <v>0</v>
      </c>
      <c r="K783" t="n">
        <v>0</v>
      </c>
      <c r="L783" t="n">
        <v>0</v>
      </c>
      <c r="M783" t="n">
        <v>0</v>
      </c>
      <c r="N783" t="n">
        <v>0</v>
      </c>
      <c r="O783" t="n">
        <v>0</v>
      </c>
      <c r="P783" t="n">
        <v>0</v>
      </c>
      <c r="Q783" t="n">
        <v>0</v>
      </c>
      <c r="R783" s="2" t="inlineStr"/>
    </row>
    <row r="784" ht="15" customHeight="1">
      <c r="A784" t="inlineStr">
        <is>
          <t>A 44923-2021</t>
        </is>
      </c>
      <c r="B784" s="1" t="n">
        <v>44438</v>
      </c>
      <c r="C784" s="1" t="n">
        <v>45726</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45445-2021</t>
        </is>
      </c>
      <c r="B785" s="1" t="n">
        <v>44440</v>
      </c>
      <c r="C785" s="1" t="n">
        <v>45726</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45447-2021</t>
        </is>
      </c>
      <c r="B786" s="1" t="n">
        <v>44440</v>
      </c>
      <c r="C786" s="1" t="n">
        <v>45726</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46302-2021</t>
        </is>
      </c>
      <c r="B787" s="1" t="n">
        <v>44442</v>
      </c>
      <c r="C787" s="1" t="n">
        <v>45726</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46503-2021</t>
        </is>
      </c>
      <c r="B788" s="1" t="n">
        <v>44445</v>
      </c>
      <c r="C788" s="1" t="n">
        <v>45726</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46610-2021</t>
        </is>
      </c>
      <c r="B789" s="1" t="n">
        <v>44445</v>
      </c>
      <c r="C789" s="1" t="n">
        <v>45726</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46795-2021</t>
        </is>
      </c>
      <c r="B790" s="1" t="n">
        <v>44446</v>
      </c>
      <c r="C790" s="1" t="n">
        <v>45726</v>
      </c>
      <c r="D790" t="inlineStr">
        <is>
          <t>VÄRMLANDS LÄN</t>
        </is>
      </c>
      <c r="E790" t="inlineStr">
        <is>
          <t>TORSBY</t>
        </is>
      </c>
      <c r="G790" t="n">
        <v>6</v>
      </c>
      <c r="H790" t="n">
        <v>0</v>
      </c>
      <c r="I790" t="n">
        <v>0</v>
      </c>
      <c r="J790" t="n">
        <v>0</v>
      </c>
      <c r="K790" t="n">
        <v>0</v>
      </c>
      <c r="L790" t="n">
        <v>0</v>
      </c>
      <c r="M790" t="n">
        <v>0</v>
      </c>
      <c r="N790" t="n">
        <v>0</v>
      </c>
      <c r="O790" t="n">
        <v>0</v>
      </c>
      <c r="P790" t="n">
        <v>0</v>
      </c>
      <c r="Q790" t="n">
        <v>0</v>
      </c>
      <c r="R790" s="2" t="inlineStr"/>
    </row>
    <row r="791" ht="15" customHeight="1">
      <c r="A791" t="inlineStr">
        <is>
          <t>A 46934-2021</t>
        </is>
      </c>
      <c r="B791" s="1" t="n">
        <v>44446</v>
      </c>
      <c r="C791" s="1" t="n">
        <v>45726</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46880-2021</t>
        </is>
      </c>
      <c r="B792" s="1" t="n">
        <v>44446</v>
      </c>
      <c r="C792" s="1" t="n">
        <v>45726</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47083-2021</t>
        </is>
      </c>
      <c r="B793" s="1" t="n">
        <v>44446</v>
      </c>
      <c r="C793" s="1" t="n">
        <v>45726</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47098-2021</t>
        </is>
      </c>
      <c r="B794" s="1" t="n">
        <v>44446</v>
      </c>
      <c r="C794" s="1" t="n">
        <v>45726</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47271-2021</t>
        </is>
      </c>
      <c r="B795" s="1" t="n">
        <v>44447</v>
      </c>
      <c r="C795" s="1" t="n">
        <v>45726</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47299-2021</t>
        </is>
      </c>
      <c r="B796" s="1" t="n">
        <v>44447</v>
      </c>
      <c r="C796" s="1" t="n">
        <v>45726</v>
      </c>
      <c r="D796" t="inlineStr">
        <is>
          <t>VÄRMLANDS LÄN</t>
        </is>
      </c>
      <c r="E796" t="inlineStr">
        <is>
          <t>TORSBY</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47602-2021</t>
        </is>
      </c>
      <c r="B797" s="1" t="n">
        <v>44448</v>
      </c>
      <c r="C797" s="1" t="n">
        <v>45726</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48159-2021</t>
        </is>
      </c>
      <c r="B798" s="1" t="n">
        <v>44449</v>
      </c>
      <c r="C798" s="1" t="n">
        <v>45726</v>
      </c>
      <c r="D798" t="inlineStr">
        <is>
          <t>VÄRMLANDS LÄN</t>
        </is>
      </c>
      <c r="E798" t="inlineStr">
        <is>
          <t>TORSBY</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48188-2021</t>
        </is>
      </c>
      <c r="B799" s="1" t="n">
        <v>44449</v>
      </c>
      <c r="C799" s="1" t="n">
        <v>45726</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48324-2021</t>
        </is>
      </c>
      <c r="B800" s="1" t="n">
        <v>44450</v>
      </c>
      <c r="C800" s="1" t="n">
        <v>45726</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48657-2021</t>
        </is>
      </c>
      <c r="B801" s="1" t="n">
        <v>44452</v>
      </c>
      <c r="C801" s="1" t="n">
        <v>45726</v>
      </c>
      <c r="D801" t="inlineStr">
        <is>
          <t>VÄRMLANDS LÄN</t>
        </is>
      </c>
      <c r="E801" t="inlineStr">
        <is>
          <t>TORSBY</t>
        </is>
      </c>
      <c r="F801" t="inlineStr">
        <is>
          <t>Bergvik skog väst AB</t>
        </is>
      </c>
      <c r="G801" t="n">
        <v>7.8</v>
      </c>
      <c r="H801" t="n">
        <v>0</v>
      </c>
      <c r="I801" t="n">
        <v>0</v>
      </c>
      <c r="J801" t="n">
        <v>0</v>
      </c>
      <c r="K801" t="n">
        <v>0</v>
      </c>
      <c r="L801" t="n">
        <v>0</v>
      </c>
      <c r="M801" t="n">
        <v>0</v>
      </c>
      <c r="N801" t="n">
        <v>0</v>
      </c>
      <c r="O801" t="n">
        <v>0</v>
      </c>
      <c r="P801" t="n">
        <v>0</v>
      </c>
      <c r="Q801" t="n">
        <v>0</v>
      </c>
      <c r="R801" s="2" t="inlineStr"/>
    </row>
    <row r="802" ht="15" customHeight="1">
      <c r="A802" t="inlineStr">
        <is>
          <t>A 48771-2021</t>
        </is>
      </c>
      <c r="B802" s="1" t="n">
        <v>44452</v>
      </c>
      <c r="C802" s="1" t="n">
        <v>45726</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49192-2021</t>
        </is>
      </c>
      <c r="B803" s="1" t="n">
        <v>44454</v>
      </c>
      <c r="C803" s="1" t="n">
        <v>45726</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49900-2021</t>
        </is>
      </c>
      <c r="B804" s="1" t="n">
        <v>44455</v>
      </c>
      <c r="C804" s="1" t="n">
        <v>45726</v>
      </c>
      <c r="D804" t="inlineStr">
        <is>
          <t>VÄRMLANDS LÄN</t>
        </is>
      </c>
      <c r="E804" t="inlineStr">
        <is>
          <t>TORSBY</t>
        </is>
      </c>
      <c r="G804" t="n">
        <v>4.1</v>
      </c>
      <c r="H804" t="n">
        <v>0</v>
      </c>
      <c r="I804" t="n">
        <v>0</v>
      </c>
      <c r="J804" t="n">
        <v>0</v>
      </c>
      <c r="K804" t="n">
        <v>0</v>
      </c>
      <c r="L804" t="n">
        <v>0</v>
      </c>
      <c r="M804" t="n">
        <v>0</v>
      </c>
      <c r="N804" t="n">
        <v>0</v>
      </c>
      <c r="O804" t="n">
        <v>0</v>
      </c>
      <c r="P804" t="n">
        <v>0</v>
      </c>
      <c r="Q804" t="n">
        <v>0</v>
      </c>
      <c r="R804" s="2" t="inlineStr"/>
    </row>
    <row r="805" ht="15" customHeight="1">
      <c r="A805" t="inlineStr">
        <is>
          <t>A 50100-2021</t>
        </is>
      </c>
      <c r="B805" s="1" t="n">
        <v>44456</v>
      </c>
      <c r="C805" s="1" t="n">
        <v>45726</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50596-2021</t>
        </is>
      </c>
      <c r="B806" s="1" t="n">
        <v>44459</v>
      </c>
      <c r="C806" s="1" t="n">
        <v>45726</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50549-2021</t>
        </is>
      </c>
      <c r="B807" s="1" t="n">
        <v>44459</v>
      </c>
      <c r="C807" s="1" t="n">
        <v>45726</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50988-2021</t>
        </is>
      </c>
      <c r="B808" s="1" t="n">
        <v>44460</v>
      </c>
      <c r="C808" s="1" t="n">
        <v>45726</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51505-2021</t>
        </is>
      </c>
      <c r="B809" s="1" t="n">
        <v>44460</v>
      </c>
      <c r="C809" s="1" t="n">
        <v>45726</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51494-2021</t>
        </is>
      </c>
      <c r="B810" s="1" t="n">
        <v>44460</v>
      </c>
      <c r="C810" s="1" t="n">
        <v>45726</v>
      </c>
      <c r="D810" t="inlineStr">
        <is>
          <t>VÄRMLANDS LÄN</t>
        </is>
      </c>
      <c r="E810" t="inlineStr">
        <is>
          <t>TORSBY</t>
        </is>
      </c>
      <c r="G810" t="n">
        <v>2.2</v>
      </c>
      <c r="H810" t="n">
        <v>0</v>
      </c>
      <c r="I810" t="n">
        <v>0</v>
      </c>
      <c r="J810" t="n">
        <v>0</v>
      </c>
      <c r="K810" t="n">
        <v>0</v>
      </c>
      <c r="L810" t="n">
        <v>0</v>
      </c>
      <c r="M810" t="n">
        <v>0</v>
      </c>
      <c r="N810" t="n">
        <v>0</v>
      </c>
      <c r="O810" t="n">
        <v>0</v>
      </c>
      <c r="P810" t="n">
        <v>0</v>
      </c>
      <c r="Q810" t="n">
        <v>0</v>
      </c>
      <c r="R810" s="2" t="inlineStr"/>
    </row>
    <row r="811" ht="15" customHeight="1">
      <c r="A811" t="inlineStr">
        <is>
          <t>A 51510-2021</t>
        </is>
      </c>
      <c r="B811" s="1" t="n">
        <v>44460</v>
      </c>
      <c r="C811" s="1" t="n">
        <v>45726</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51099-2021</t>
        </is>
      </c>
      <c r="B812" s="1" t="n">
        <v>44461</v>
      </c>
      <c r="C812" s="1" t="n">
        <v>45726</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45726</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51372-2021</t>
        </is>
      </c>
      <c r="B814" s="1" t="n">
        <v>44461</v>
      </c>
      <c r="C814" s="1" t="n">
        <v>45726</v>
      </c>
      <c r="D814" t="inlineStr">
        <is>
          <t>VÄRMLANDS LÄN</t>
        </is>
      </c>
      <c r="E814" t="inlineStr">
        <is>
          <t>TORSBY</t>
        </is>
      </c>
      <c r="F814" t="inlineStr">
        <is>
          <t>Bergvik skog väst AB</t>
        </is>
      </c>
      <c r="G814" t="n">
        <v>2.3</v>
      </c>
      <c r="H814" t="n">
        <v>0</v>
      </c>
      <c r="I814" t="n">
        <v>0</v>
      </c>
      <c r="J814" t="n">
        <v>0</v>
      </c>
      <c r="K814" t="n">
        <v>0</v>
      </c>
      <c r="L814" t="n">
        <v>0</v>
      </c>
      <c r="M814" t="n">
        <v>0</v>
      </c>
      <c r="N814" t="n">
        <v>0</v>
      </c>
      <c r="O814" t="n">
        <v>0</v>
      </c>
      <c r="P814" t="n">
        <v>0</v>
      </c>
      <c r="Q814" t="n">
        <v>0</v>
      </c>
      <c r="R814" s="2" t="inlineStr"/>
    </row>
    <row r="815" ht="15" customHeight="1">
      <c r="A815" t="inlineStr">
        <is>
          <t>A 51819-2021</t>
        </is>
      </c>
      <c r="B815" s="1" t="n">
        <v>44462</v>
      </c>
      <c r="C815" s="1" t="n">
        <v>45726</v>
      </c>
      <c r="D815" t="inlineStr">
        <is>
          <t>VÄRMLANDS LÄN</t>
        </is>
      </c>
      <c r="E815" t="inlineStr">
        <is>
          <t>TORSBY</t>
        </is>
      </c>
      <c r="F815" t="inlineStr">
        <is>
          <t>Bergvik skog väst AB</t>
        </is>
      </c>
      <c r="G815" t="n">
        <v>14.7</v>
      </c>
      <c r="H815" t="n">
        <v>0</v>
      </c>
      <c r="I815" t="n">
        <v>0</v>
      </c>
      <c r="J815" t="n">
        <v>0</v>
      </c>
      <c r="K815" t="n">
        <v>0</v>
      </c>
      <c r="L815" t="n">
        <v>0</v>
      </c>
      <c r="M815" t="n">
        <v>0</v>
      </c>
      <c r="N815" t="n">
        <v>0</v>
      </c>
      <c r="O815" t="n">
        <v>0</v>
      </c>
      <c r="P815" t="n">
        <v>0</v>
      </c>
      <c r="Q815" t="n">
        <v>0</v>
      </c>
      <c r="R815" s="2" t="inlineStr"/>
    </row>
    <row r="816" ht="15" customHeight="1">
      <c r="A816" t="inlineStr">
        <is>
          <t>A 51522-2021</t>
        </is>
      </c>
      <c r="B816" s="1" t="n">
        <v>44462</v>
      </c>
      <c r="C816" s="1" t="n">
        <v>45726</v>
      </c>
      <c r="D816" t="inlineStr">
        <is>
          <t>VÄRMLANDS LÄN</t>
        </is>
      </c>
      <c r="E816" t="inlineStr">
        <is>
          <t>TORSBY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52121-2021</t>
        </is>
      </c>
      <c r="B817" s="1" t="n">
        <v>44463</v>
      </c>
      <c r="C817" s="1" t="n">
        <v>45726</v>
      </c>
      <c r="D817" t="inlineStr">
        <is>
          <t>VÄRMLANDS LÄN</t>
        </is>
      </c>
      <c r="E817" t="inlineStr">
        <is>
          <t>TORSBY</t>
        </is>
      </c>
      <c r="G817" t="n">
        <v>0</v>
      </c>
      <c r="H817" t="n">
        <v>0</v>
      </c>
      <c r="I817" t="n">
        <v>0</v>
      </c>
      <c r="J817" t="n">
        <v>0</v>
      </c>
      <c r="K817" t="n">
        <v>0</v>
      </c>
      <c r="L817" t="n">
        <v>0</v>
      </c>
      <c r="M817" t="n">
        <v>0</v>
      </c>
      <c r="N817" t="n">
        <v>0</v>
      </c>
      <c r="O817" t="n">
        <v>0</v>
      </c>
      <c r="P817" t="n">
        <v>0</v>
      </c>
      <c r="Q817" t="n">
        <v>0</v>
      </c>
      <c r="R817" s="2" t="inlineStr"/>
    </row>
    <row r="818" ht="15" customHeight="1">
      <c r="A818" t="inlineStr">
        <is>
          <t>A 52520-2021</t>
        </is>
      </c>
      <c r="B818" s="1" t="n">
        <v>44466</v>
      </c>
      <c r="C818" s="1" t="n">
        <v>45726</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52728-2021</t>
        </is>
      </c>
      <c r="B819" s="1" t="n">
        <v>44467</v>
      </c>
      <c r="C819" s="1" t="n">
        <v>45726</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52900-2021</t>
        </is>
      </c>
      <c r="B820" s="1" t="n">
        <v>44467</v>
      </c>
      <c r="C820" s="1" t="n">
        <v>45726</v>
      </c>
      <c r="D820" t="inlineStr">
        <is>
          <t>VÄRMLANDS LÄN</t>
        </is>
      </c>
      <c r="E820" t="inlineStr">
        <is>
          <t>TORSBY</t>
        </is>
      </c>
      <c r="G820" t="n">
        <v>3.8</v>
      </c>
      <c r="H820" t="n">
        <v>0</v>
      </c>
      <c r="I820" t="n">
        <v>0</v>
      </c>
      <c r="J820" t="n">
        <v>0</v>
      </c>
      <c r="K820" t="n">
        <v>0</v>
      </c>
      <c r="L820" t="n">
        <v>0</v>
      </c>
      <c r="M820" t="n">
        <v>0</v>
      </c>
      <c r="N820" t="n">
        <v>0</v>
      </c>
      <c r="O820" t="n">
        <v>0</v>
      </c>
      <c r="P820" t="n">
        <v>0</v>
      </c>
      <c r="Q820" t="n">
        <v>0</v>
      </c>
      <c r="R820" s="2" t="inlineStr"/>
    </row>
    <row r="821" ht="15" customHeight="1">
      <c r="A821" t="inlineStr">
        <is>
          <t>A 53705-2021</t>
        </is>
      </c>
      <c r="B821" s="1" t="n">
        <v>44469</v>
      </c>
      <c r="C821" s="1" t="n">
        <v>45726</v>
      </c>
      <c r="D821" t="inlineStr">
        <is>
          <t>VÄRMLANDS LÄN</t>
        </is>
      </c>
      <c r="E821" t="inlineStr">
        <is>
          <t>TORSBY</t>
        </is>
      </c>
      <c r="F821" t="inlineStr">
        <is>
          <t>Kyrkan</t>
        </is>
      </c>
      <c r="G821" t="n">
        <v>12.4</v>
      </c>
      <c r="H821" t="n">
        <v>0</v>
      </c>
      <c r="I821" t="n">
        <v>0</v>
      </c>
      <c r="J821" t="n">
        <v>0</v>
      </c>
      <c r="K821" t="n">
        <v>0</v>
      </c>
      <c r="L821" t="n">
        <v>0</v>
      </c>
      <c r="M821" t="n">
        <v>0</v>
      </c>
      <c r="N821" t="n">
        <v>0</v>
      </c>
      <c r="O821" t="n">
        <v>0</v>
      </c>
      <c r="P821" t="n">
        <v>0</v>
      </c>
      <c r="Q821" t="n">
        <v>0</v>
      </c>
      <c r="R821" s="2" t="inlineStr"/>
    </row>
    <row r="822" ht="15" customHeight="1">
      <c r="A822" t="inlineStr">
        <is>
          <t>A 54029-2021</t>
        </is>
      </c>
      <c r="B822" s="1" t="n">
        <v>44470</v>
      </c>
      <c r="C822" s="1" t="n">
        <v>45726</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54033-2021</t>
        </is>
      </c>
      <c r="B823" s="1" t="n">
        <v>44470</v>
      </c>
      <c r="C823" s="1" t="n">
        <v>45726</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55794-2021</t>
        </is>
      </c>
      <c r="B824" s="1" t="n">
        <v>44476</v>
      </c>
      <c r="C824" s="1" t="n">
        <v>45726</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55811-2021</t>
        </is>
      </c>
      <c r="B825" s="1" t="n">
        <v>44476</v>
      </c>
      <c r="C825" s="1" t="n">
        <v>45726</v>
      </c>
      <c r="D825" t="inlineStr">
        <is>
          <t>VÄRMLANDS LÄN</t>
        </is>
      </c>
      <c r="E825" t="inlineStr">
        <is>
          <t>TORSBY</t>
        </is>
      </c>
      <c r="G825" t="n">
        <v>3.7</v>
      </c>
      <c r="H825" t="n">
        <v>0</v>
      </c>
      <c r="I825" t="n">
        <v>0</v>
      </c>
      <c r="J825" t="n">
        <v>0</v>
      </c>
      <c r="K825" t="n">
        <v>0</v>
      </c>
      <c r="L825" t="n">
        <v>0</v>
      </c>
      <c r="M825" t="n">
        <v>0</v>
      </c>
      <c r="N825" t="n">
        <v>0</v>
      </c>
      <c r="O825" t="n">
        <v>0</v>
      </c>
      <c r="P825" t="n">
        <v>0</v>
      </c>
      <c r="Q825" t="n">
        <v>0</v>
      </c>
      <c r="R825" s="2" t="inlineStr"/>
    </row>
    <row r="826" ht="15" customHeight="1">
      <c r="A826" t="inlineStr">
        <is>
          <t>A 56102-2021</t>
        </is>
      </c>
      <c r="B826" s="1" t="n">
        <v>44477</v>
      </c>
      <c r="C826" s="1" t="n">
        <v>45726</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56037-2021</t>
        </is>
      </c>
      <c r="B827" s="1" t="n">
        <v>44477</v>
      </c>
      <c r="C827" s="1" t="n">
        <v>45726</v>
      </c>
      <c r="D827" t="inlineStr">
        <is>
          <t>VÄRMLANDS LÄN</t>
        </is>
      </c>
      <c r="E827" t="inlineStr">
        <is>
          <t>TORSBY</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56062-2021</t>
        </is>
      </c>
      <c r="B828" s="1" t="n">
        <v>44477</v>
      </c>
      <c r="C828" s="1" t="n">
        <v>45726</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56981-2021</t>
        </is>
      </c>
      <c r="B829" s="1" t="n">
        <v>44482</v>
      </c>
      <c r="C829" s="1" t="n">
        <v>45726</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57287-2021</t>
        </is>
      </c>
      <c r="B830" s="1" t="n">
        <v>44482</v>
      </c>
      <c r="C830" s="1" t="n">
        <v>45726</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58062-2021</t>
        </is>
      </c>
      <c r="B831" s="1" t="n">
        <v>44487</v>
      </c>
      <c r="C831" s="1" t="n">
        <v>45726</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58479-2021</t>
        </is>
      </c>
      <c r="B832" s="1" t="n">
        <v>44488</v>
      </c>
      <c r="C832" s="1" t="n">
        <v>45726</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58476-2021</t>
        </is>
      </c>
      <c r="B833" s="1" t="n">
        <v>44488</v>
      </c>
      <c r="C833" s="1" t="n">
        <v>45726</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58543-2021</t>
        </is>
      </c>
      <c r="B834" s="1" t="n">
        <v>44488</v>
      </c>
      <c r="C834" s="1" t="n">
        <v>45726</v>
      </c>
      <c r="D834" t="inlineStr">
        <is>
          <t>VÄRMLANDS LÄN</t>
        </is>
      </c>
      <c r="E834" t="inlineStr">
        <is>
          <t>TORSBY</t>
        </is>
      </c>
      <c r="F834" t="inlineStr">
        <is>
          <t>Bergvik skog väst AB</t>
        </is>
      </c>
      <c r="G834" t="n">
        <v>7.1</v>
      </c>
      <c r="H834" t="n">
        <v>0</v>
      </c>
      <c r="I834" t="n">
        <v>0</v>
      </c>
      <c r="J834" t="n">
        <v>0</v>
      </c>
      <c r="K834" t="n">
        <v>0</v>
      </c>
      <c r="L834" t="n">
        <v>0</v>
      </c>
      <c r="M834" t="n">
        <v>0</v>
      </c>
      <c r="N834" t="n">
        <v>0</v>
      </c>
      <c r="O834" t="n">
        <v>0</v>
      </c>
      <c r="P834" t="n">
        <v>0</v>
      </c>
      <c r="Q834" t="n">
        <v>0</v>
      </c>
      <c r="R834" s="2" t="inlineStr"/>
    </row>
    <row r="835" ht="15" customHeight="1">
      <c r="A835" t="inlineStr">
        <is>
          <t>A 58728-2021</t>
        </is>
      </c>
      <c r="B835" s="1" t="n">
        <v>44489</v>
      </c>
      <c r="C835" s="1" t="n">
        <v>45726</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59425-2021</t>
        </is>
      </c>
      <c r="B836" s="1" t="n">
        <v>44491</v>
      </c>
      <c r="C836" s="1" t="n">
        <v>45726</v>
      </c>
      <c r="D836" t="inlineStr">
        <is>
          <t>VÄRMLANDS LÄN</t>
        </is>
      </c>
      <c r="E836" t="inlineStr">
        <is>
          <t>TORSBY</t>
        </is>
      </c>
      <c r="F836" t="inlineStr">
        <is>
          <t>Bergvik skog väst AB</t>
        </is>
      </c>
      <c r="G836" t="n">
        <v>14.9</v>
      </c>
      <c r="H836" t="n">
        <v>0</v>
      </c>
      <c r="I836" t="n">
        <v>0</v>
      </c>
      <c r="J836" t="n">
        <v>0</v>
      </c>
      <c r="K836" t="n">
        <v>0</v>
      </c>
      <c r="L836" t="n">
        <v>0</v>
      </c>
      <c r="M836" t="n">
        <v>0</v>
      </c>
      <c r="N836" t="n">
        <v>0</v>
      </c>
      <c r="O836" t="n">
        <v>0</v>
      </c>
      <c r="P836" t="n">
        <v>0</v>
      </c>
      <c r="Q836" t="n">
        <v>0</v>
      </c>
      <c r="R836" s="2" t="inlineStr"/>
    </row>
    <row r="837" ht="15" customHeight="1">
      <c r="A837" t="inlineStr">
        <is>
          <t>A 60428-2021</t>
        </is>
      </c>
      <c r="B837" s="1" t="n">
        <v>44496</v>
      </c>
      <c r="C837" s="1" t="n">
        <v>45726</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60430-2021</t>
        </is>
      </c>
      <c r="B838" s="1" t="n">
        <v>44496</v>
      </c>
      <c r="C838" s="1" t="n">
        <v>45726</v>
      </c>
      <c r="D838" t="inlineStr">
        <is>
          <t>VÄRMLANDS LÄN</t>
        </is>
      </c>
      <c r="E838" t="inlineStr">
        <is>
          <t>TORSBY</t>
        </is>
      </c>
      <c r="G838" t="n">
        <v>1</v>
      </c>
      <c r="H838" t="n">
        <v>0</v>
      </c>
      <c r="I838" t="n">
        <v>0</v>
      </c>
      <c r="J838" t="n">
        <v>0</v>
      </c>
      <c r="K838" t="n">
        <v>0</v>
      </c>
      <c r="L838" t="n">
        <v>0</v>
      </c>
      <c r="M838" t="n">
        <v>0</v>
      </c>
      <c r="N838" t="n">
        <v>0</v>
      </c>
      <c r="O838" t="n">
        <v>0</v>
      </c>
      <c r="P838" t="n">
        <v>0</v>
      </c>
      <c r="Q838" t="n">
        <v>0</v>
      </c>
      <c r="R838" s="2" t="inlineStr"/>
    </row>
    <row r="839" ht="15" customHeight="1">
      <c r="A839" t="inlineStr">
        <is>
          <t>A 60698-2021</t>
        </is>
      </c>
      <c r="B839" s="1" t="n">
        <v>44496</v>
      </c>
      <c r="C839" s="1" t="n">
        <v>45726</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61231-2021</t>
        </is>
      </c>
      <c r="B840" s="1" t="n">
        <v>44496</v>
      </c>
      <c r="C840" s="1" t="n">
        <v>45726</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61812-2021</t>
        </is>
      </c>
      <c r="B841" s="1" t="n">
        <v>44501</v>
      </c>
      <c r="C841" s="1" t="n">
        <v>45726</v>
      </c>
      <c r="D841" t="inlineStr">
        <is>
          <t>VÄRMLANDS LÄN</t>
        </is>
      </c>
      <c r="E841" t="inlineStr">
        <is>
          <t>TORSBY</t>
        </is>
      </c>
      <c r="G841" t="n">
        <v>5.3</v>
      </c>
      <c r="H841" t="n">
        <v>0</v>
      </c>
      <c r="I841" t="n">
        <v>0</v>
      </c>
      <c r="J841" t="n">
        <v>0</v>
      </c>
      <c r="K841" t="n">
        <v>0</v>
      </c>
      <c r="L841" t="n">
        <v>0</v>
      </c>
      <c r="M841" t="n">
        <v>0</v>
      </c>
      <c r="N841" t="n">
        <v>0</v>
      </c>
      <c r="O841" t="n">
        <v>0</v>
      </c>
      <c r="P841" t="n">
        <v>0</v>
      </c>
      <c r="Q841" t="n">
        <v>0</v>
      </c>
      <c r="R841" s="2" t="inlineStr"/>
    </row>
    <row r="842" ht="15" customHeight="1">
      <c r="A842" t="inlineStr">
        <is>
          <t>A 61809-2021</t>
        </is>
      </c>
      <c r="B842" s="1" t="n">
        <v>44501</v>
      </c>
      <c r="C842" s="1" t="n">
        <v>45726</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62045-2021</t>
        </is>
      </c>
      <c r="B843" s="1" t="n">
        <v>44502</v>
      </c>
      <c r="C843" s="1" t="n">
        <v>45726</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62039-2021</t>
        </is>
      </c>
      <c r="B844" s="1" t="n">
        <v>44502</v>
      </c>
      <c r="C844" s="1" t="n">
        <v>45726</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62576-2021</t>
        </is>
      </c>
      <c r="B845" s="1" t="n">
        <v>44502</v>
      </c>
      <c r="C845" s="1" t="n">
        <v>45726</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62845-2021</t>
        </is>
      </c>
      <c r="B846" s="1" t="n">
        <v>44504</v>
      </c>
      <c r="C846" s="1" t="n">
        <v>45726</v>
      </c>
      <c r="D846" t="inlineStr">
        <is>
          <t>VÄRMLANDS LÄN</t>
        </is>
      </c>
      <c r="E846" t="inlineStr">
        <is>
          <t>TORSBY</t>
        </is>
      </c>
      <c r="G846" t="n">
        <v>4.3</v>
      </c>
      <c r="H846" t="n">
        <v>0</v>
      </c>
      <c r="I846" t="n">
        <v>0</v>
      </c>
      <c r="J846" t="n">
        <v>0</v>
      </c>
      <c r="K846" t="n">
        <v>0</v>
      </c>
      <c r="L846" t="n">
        <v>0</v>
      </c>
      <c r="M846" t="n">
        <v>0</v>
      </c>
      <c r="N846" t="n">
        <v>0</v>
      </c>
      <c r="O846" t="n">
        <v>0</v>
      </c>
      <c r="P846" t="n">
        <v>0</v>
      </c>
      <c r="Q846" t="n">
        <v>0</v>
      </c>
      <c r="R846" s="2" t="inlineStr"/>
    </row>
    <row r="847" ht="15" customHeight="1">
      <c r="A847" t="inlineStr">
        <is>
          <t>A 63251-2021</t>
        </is>
      </c>
      <c r="B847" s="1" t="n">
        <v>44508</v>
      </c>
      <c r="C847" s="1" t="n">
        <v>45726</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v>
      </c>
      <c r="C848" s="1" t="n">
        <v>45726</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64780-2021</t>
        </is>
      </c>
      <c r="B849" s="1" t="n">
        <v>44512</v>
      </c>
      <c r="C849" s="1" t="n">
        <v>45726</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64902-2021</t>
        </is>
      </c>
      <c r="B850" s="1" t="n">
        <v>44512</v>
      </c>
      <c r="C850" s="1" t="n">
        <v>45726</v>
      </c>
      <c r="D850" t="inlineStr">
        <is>
          <t>VÄRMLANDS LÄN</t>
        </is>
      </c>
      <c r="E850" t="inlineStr">
        <is>
          <t>TORSBY</t>
        </is>
      </c>
      <c r="G850" t="n">
        <v>6.1</v>
      </c>
      <c r="H850" t="n">
        <v>0</v>
      </c>
      <c r="I850" t="n">
        <v>0</v>
      </c>
      <c r="J850" t="n">
        <v>0</v>
      </c>
      <c r="K850" t="n">
        <v>0</v>
      </c>
      <c r="L850" t="n">
        <v>0</v>
      </c>
      <c r="M850" t="n">
        <v>0</v>
      </c>
      <c r="N850" t="n">
        <v>0</v>
      </c>
      <c r="O850" t="n">
        <v>0</v>
      </c>
      <c r="P850" t="n">
        <v>0</v>
      </c>
      <c r="Q850" t="n">
        <v>0</v>
      </c>
      <c r="R850" s="2" t="inlineStr"/>
    </row>
    <row r="851" ht="15" customHeight="1">
      <c r="A851" t="inlineStr">
        <is>
          <t>A 65182-2021</t>
        </is>
      </c>
      <c r="B851" s="1" t="n">
        <v>44515</v>
      </c>
      <c r="C851" s="1" t="n">
        <v>45726</v>
      </c>
      <c r="D851" t="inlineStr">
        <is>
          <t>VÄRMLANDS LÄN</t>
        </is>
      </c>
      <c r="E851" t="inlineStr">
        <is>
          <t>TORSBY</t>
        </is>
      </c>
      <c r="G851" t="n">
        <v>5.9</v>
      </c>
      <c r="H851" t="n">
        <v>0</v>
      </c>
      <c r="I851" t="n">
        <v>0</v>
      </c>
      <c r="J851" t="n">
        <v>0</v>
      </c>
      <c r="K851" t="n">
        <v>0</v>
      </c>
      <c r="L851" t="n">
        <v>0</v>
      </c>
      <c r="M851" t="n">
        <v>0</v>
      </c>
      <c r="N851" t="n">
        <v>0</v>
      </c>
      <c r="O851" t="n">
        <v>0</v>
      </c>
      <c r="P851" t="n">
        <v>0</v>
      </c>
      <c r="Q851" t="n">
        <v>0</v>
      </c>
      <c r="R851" s="2" t="inlineStr"/>
    </row>
    <row r="852" ht="15" customHeight="1">
      <c r="A852" t="inlineStr">
        <is>
          <t>A 65301-2021</t>
        </is>
      </c>
      <c r="B852" s="1" t="n">
        <v>44515</v>
      </c>
      <c r="C852" s="1" t="n">
        <v>45726</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65537-2021</t>
        </is>
      </c>
      <c r="B853" s="1" t="n">
        <v>44516</v>
      </c>
      <c r="C853" s="1" t="n">
        <v>45726</v>
      </c>
      <c r="D853" t="inlineStr">
        <is>
          <t>VÄRMLANDS LÄN</t>
        </is>
      </c>
      <c r="E853" t="inlineStr">
        <is>
          <t>TORSBY</t>
        </is>
      </c>
      <c r="G853" t="n">
        <v>2.8</v>
      </c>
      <c r="H853" t="n">
        <v>0</v>
      </c>
      <c r="I853" t="n">
        <v>0</v>
      </c>
      <c r="J853" t="n">
        <v>0</v>
      </c>
      <c r="K853" t="n">
        <v>0</v>
      </c>
      <c r="L853" t="n">
        <v>0</v>
      </c>
      <c r="M853" t="n">
        <v>0</v>
      </c>
      <c r="N853" t="n">
        <v>0</v>
      </c>
      <c r="O853" t="n">
        <v>0</v>
      </c>
      <c r="P853" t="n">
        <v>0</v>
      </c>
      <c r="Q853" t="n">
        <v>0</v>
      </c>
      <c r="R853" s="2" t="inlineStr"/>
    </row>
    <row r="854" ht="15" customHeight="1">
      <c r="A854" t="inlineStr">
        <is>
          <t>A 65713-2021</t>
        </is>
      </c>
      <c r="B854" s="1" t="n">
        <v>44516</v>
      </c>
      <c r="C854" s="1" t="n">
        <v>45726</v>
      </c>
      <c r="D854" t="inlineStr">
        <is>
          <t>VÄRMLANDS LÄN</t>
        </is>
      </c>
      <c r="E854" t="inlineStr">
        <is>
          <t>TORSBY</t>
        </is>
      </c>
      <c r="G854" t="n">
        <v>7</v>
      </c>
      <c r="H854" t="n">
        <v>0</v>
      </c>
      <c r="I854" t="n">
        <v>0</v>
      </c>
      <c r="J854" t="n">
        <v>0</v>
      </c>
      <c r="K854" t="n">
        <v>0</v>
      </c>
      <c r="L854" t="n">
        <v>0</v>
      </c>
      <c r="M854" t="n">
        <v>0</v>
      </c>
      <c r="N854" t="n">
        <v>0</v>
      </c>
      <c r="O854" t="n">
        <v>0</v>
      </c>
      <c r="P854" t="n">
        <v>0</v>
      </c>
      <c r="Q854" t="n">
        <v>0</v>
      </c>
      <c r="R854" s="2" t="inlineStr"/>
    </row>
    <row r="855" ht="15" customHeight="1">
      <c r="A855" t="inlineStr">
        <is>
          <t>A 65705-2021</t>
        </is>
      </c>
      <c r="B855" s="1" t="n">
        <v>44516</v>
      </c>
      <c r="C855" s="1" t="n">
        <v>45726</v>
      </c>
      <c r="D855" t="inlineStr">
        <is>
          <t>VÄRMLANDS LÄN</t>
        </is>
      </c>
      <c r="E855" t="inlineStr">
        <is>
          <t>TORSBY</t>
        </is>
      </c>
      <c r="G855" t="n">
        <v>4.5</v>
      </c>
      <c r="H855" t="n">
        <v>0</v>
      </c>
      <c r="I855" t="n">
        <v>0</v>
      </c>
      <c r="J855" t="n">
        <v>0</v>
      </c>
      <c r="K855" t="n">
        <v>0</v>
      </c>
      <c r="L855" t="n">
        <v>0</v>
      </c>
      <c r="M855" t="n">
        <v>0</v>
      </c>
      <c r="N855" t="n">
        <v>0</v>
      </c>
      <c r="O855" t="n">
        <v>0</v>
      </c>
      <c r="P855" t="n">
        <v>0</v>
      </c>
      <c r="Q855" t="n">
        <v>0</v>
      </c>
      <c r="R855" s="2" t="inlineStr"/>
    </row>
    <row r="856" ht="15" customHeight="1">
      <c r="A856" t="inlineStr">
        <is>
          <t>A 65959-2021</t>
        </is>
      </c>
      <c r="B856" s="1" t="n">
        <v>44517</v>
      </c>
      <c r="C856" s="1" t="n">
        <v>45726</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65998-2021</t>
        </is>
      </c>
      <c r="B857" s="1" t="n">
        <v>44517</v>
      </c>
      <c r="C857" s="1" t="n">
        <v>45726</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66103-2021</t>
        </is>
      </c>
      <c r="B858" s="1" t="n">
        <v>44517</v>
      </c>
      <c r="C858" s="1" t="n">
        <v>45726</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66133-2021</t>
        </is>
      </c>
      <c r="B859" s="1" t="n">
        <v>44517</v>
      </c>
      <c r="C859" s="1" t="n">
        <v>45726</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66978-2021</t>
        </is>
      </c>
      <c r="B860" s="1" t="n">
        <v>44522</v>
      </c>
      <c r="C860" s="1" t="n">
        <v>45726</v>
      </c>
      <c r="D860" t="inlineStr">
        <is>
          <t>VÄRMLANDS LÄN</t>
        </is>
      </c>
      <c r="E860" t="inlineStr">
        <is>
          <t>TORSBY</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67006-2021</t>
        </is>
      </c>
      <c r="B861" s="1" t="n">
        <v>44522</v>
      </c>
      <c r="C861" s="1" t="n">
        <v>45726</v>
      </c>
      <c r="D861" t="inlineStr">
        <is>
          <t>VÄRMLANDS LÄN</t>
        </is>
      </c>
      <c r="E861" t="inlineStr">
        <is>
          <t>TORSBY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67147-2021</t>
        </is>
      </c>
      <c r="B862" s="1" t="n">
        <v>44523</v>
      </c>
      <c r="C862" s="1" t="n">
        <v>45726</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67172-2021</t>
        </is>
      </c>
      <c r="B863" s="1" t="n">
        <v>44523</v>
      </c>
      <c r="C863" s="1" t="n">
        <v>45726</v>
      </c>
      <c r="D863" t="inlineStr">
        <is>
          <t>VÄRMLANDS LÄN</t>
        </is>
      </c>
      <c r="E863" t="inlineStr">
        <is>
          <t>TORSBY</t>
        </is>
      </c>
      <c r="G863" t="n">
        <v>0.5</v>
      </c>
      <c r="H863" t="n">
        <v>0</v>
      </c>
      <c r="I863" t="n">
        <v>0</v>
      </c>
      <c r="J863" t="n">
        <v>0</v>
      </c>
      <c r="K863" t="n">
        <v>0</v>
      </c>
      <c r="L863" t="n">
        <v>0</v>
      </c>
      <c r="M863" t="n">
        <v>0</v>
      </c>
      <c r="N863" t="n">
        <v>0</v>
      </c>
      <c r="O863" t="n">
        <v>0</v>
      </c>
      <c r="P863" t="n">
        <v>0</v>
      </c>
      <c r="Q863" t="n">
        <v>0</v>
      </c>
      <c r="R863" s="2" t="inlineStr"/>
    </row>
    <row r="864" ht="15" customHeight="1">
      <c r="A864" t="inlineStr">
        <is>
          <t>A 67567-2021</t>
        </is>
      </c>
      <c r="B864" s="1" t="n">
        <v>44524</v>
      </c>
      <c r="C864" s="1" t="n">
        <v>45726</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67457-2021</t>
        </is>
      </c>
      <c r="B865" s="1" t="n">
        <v>44524</v>
      </c>
      <c r="C865" s="1" t="n">
        <v>45726</v>
      </c>
      <c r="D865" t="inlineStr">
        <is>
          <t>VÄRMLANDS LÄN</t>
        </is>
      </c>
      <c r="E865" t="inlineStr">
        <is>
          <t>TORSBY</t>
        </is>
      </c>
      <c r="G865" t="n">
        <v>7.6</v>
      </c>
      <c r="H865" t="n">
        <v>0</v>
      </c>
      <c r="I865" t="n">
        <v>0</v>
      </c>
      <c r="J865" t="n">
        <v>0</v>
      </c>
      <c r="K865" t="n">
        <v>0</v>
      </c>
      <c r="L865" t="n">
        <v>0</v>
      </c>
      <c r="M865" t="n">
        <v>0</v>
      </c>
      <c r="N865" t="n">
        <v>0</v>
      </c>
      <c r="O865" t="n">
        <v>0</v>
      </c>
      <c r="P865" t="n">
        <v>0</v>
      </c>
      <c r="Q865" t="n">
        <v>0</v>
      </c>
      <c r="R865" s="2" t="inlineStr"/>
    </row>
    <row r="866" ht="15" customHeight="1">
      <c r="A866" t="inlineStr">
        <is>
          <t>A 67933-2021</t>
        </is>
      </c>
      <c r="B866" s="1" t="n">
        <v>44525</v>
      </c>
      <c r="C866" s="1" t="n">
        <v>45726</v>
      </c>
      <c r="D866" t="inlineStr">
        <is>
          <t>VÄRMLANDS LÄN</t>
        </is>
      </c>
      <c r="E866" t="inlineStr">
        <is>
          <t>TORSBY</t>
        </is>
      </c>
      <c r="F866" t="inlineStr">
        <is>
          <t>Bergvik skog väst AB</t>
        </is>
      </c>
      <c r="G866" t="n">
        <v>4</v>
      </c>
      <c r="H866" t="n">
        <v>0</v>
      </c>
      <c r="I866" t="n">
        <v>0</v>
      </c>
      <c r="J866" t="n">
        <v>0</v>
      </c>
      <c r="K866" t="n">
        <v>0</v>
      </c>
      <c r="L866" t="n">
        <v>0</v>
      </c>
      <c r="M866" t="n">
        <v>0</v>
      </c>
      <c r="N866" t="n">
        <v>0</v>
      </c>
      <c r="O866" t="n">
        <v>0</v>
      </c>
      <c r="P866" t="n">
        <v>0</v>
      </c>
      <c r="Q866" t="n">
        <v>0</v>
      </c>
      <c r="R866" s="2" t="inlineStr"/>
    </row>
    <row r="867" ht="15" customHeight="1">
      <c r="A867" t="inlineStr">
        <is>
          <t>A 67913-2021</t>
        </is>
      </c>
      <c r="B867" s="1" t="n">
        <v>44525</v>
      </c>
      <c r="C867" s="1" t="n">
        <v>45726</v>
      </c>
      <c r="D867" t="inlineStr">
        <is>
          <t>VÄRMLANDS LÄN</t>
        </is>
      </c>
      <c r="E867" t="inlineStr">
        <is>
          <t>TORSBY</t>
        </is>
      </c>
      <c r="F867" t="inlineStr">
        <is>
          <t>Bergvik skog väst AB</t>
        </is>
      </c>
      <c r="G867" t="n">
        <v>8</v>
      </c>
      <c r="H867" t="n">
        <v>0</v>
      </c>
      <c r="I867" t="n">
        <v>0</v>
      </c>
      <c r="J867" t="n">
        <v>0</v>
      </c>
      <c r="K867" t="n">
        <v>0</v>
      </c>
      <c r="L867" t="n">
        <v>0</v>
      </c>
      <c r="M867" t="n">
        <v>0</v>
      </c>
      <c r="N867" t="n">
        <v>0</v>
      </c>
      <c r="O867" t="n">
        <v>0</v>
      </c>
      <c r="P867" t="n">
        <v>0</v>
      </c>
      <c r="Q867" t="n">
        <v>0</v>
      </c>
      <c r="R867" s="2" t="inlineStr"/>
    </row>
    <row r="868" ht="15" customHeight="1">
      <c r="A868" t="inlineStr">
        <is>
          <t>A 69279-2021</t>
        </is>
      </c>
      <c r="B868" s="1" t="n">
        <v>44526</v>
      </c>
      <c r="C868" s="1" t="n">
        <v>45726</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69265-2021</t>
        </is>
      </c>
      <c r="B869" s="1" t="n">
        <v>44526</v>
      </c>
      <c r="C869" s="1" t="n">
        <v>45726</v>
      </c>
      <c r="D869" t="inlineStr">
        <is>
          <t>VÄRMLANDS LÄN</t>
        </is>
      </c>
      <c r="E869" t="inlineStr">
        <is>
          <t>TORSBY</t>
        </is>
      </c>
      <c r="G869" t="n">
        <v>11.1</v>
      </c>
      <c r="H869" t="n">
        <v>0</v>
      </c>
      <c r="I869" t="n">
        <v>0</v>
      </c>
      <c r="J869" t="n">
        <v>0</v>
      </c>
      <c r="K869" t="n">
        <v>0</v>
      </c>
      <c r="L869" t="n">
        <v>0</v>
      </c>
      <c r="M869" t="n">
        <v>0</v>
      </c>
      <c r="N869" t="n">
        <v>0</v>
      </c>
      <c r="O869" t="n">
        <v>0</v>
      </c>
      <c r="P869" t="n">
        <v>0</v>
      </c>
      <c r="Q869" t="n">
        <v>0</v>
      </c>
      <c r="R869" s="2" t="inlineStr"/>
    </row>
    <row r="870" ht="15" customHeight="1">
      <c r="A870" t="inlineStr">
        <is>
          <t>A 69275-2021</t>
        </is>
      </c>
      <c r="B870" s="1" t="n">
        <v>44526</v>
      </c>
      <c r="C870" s="1" t="n">
        <v>45726</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68153-2021</t>
        </is>
      </c>
      <c r="B871" s="1" t="n">
        <v>44526</v>
      </c>
      <c r="C871" s="1" t="n">
        <v>45726</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69281-2021</t>
        </is>
      </c>
      <c r="B872" s="1" t="n">
        <v>44526</v>
      </c>
      <c r="C872" s="1" t="n">
        <v>45726</v>
      </c>
      <c r="D872" t="inlineStr">
        <is>
          <t>VÄRMLANDS LÄN</t>
        </is>
      </c>
      <c r="E872" t="inlineStr">
        <is>
          <t>TORSBY</t>
        </is>
      </c>
      <c r="G872" t="n">
        <v>7.5</v>
      </c>
      <c r="H872" t="n">
        <v>0</v>
      </c>
      <c r="I872" t="n">
        <v>0</v>
      </c>
      <c r="J872" t="n">
        <v>0</v>
      </c>
      <c r="K872" t="n">
        <v>0</v>
      </c>
      <c r="L872" t="n">
        <v>0</v>
      </c>
      <c r="M872" t="n">
        <v>0</v>
      </c>
      <c r="N872" t="n">
        <v>0</v>
      </c>
      <c r="O872" t="n">
        <v>0</v>
      </c>
      <c r="P872" t="n">
        <v>0</v>
      </c>
      <c r="Q872" t="n">
        <v>0</v>
      </c>
      <c r="R872" s="2" t="inlineStr"/>
    </row>
    <row r="873" ht="15" customHeight="1">
      <c r="A873" t="inlineStr">
        <is>
          <t>A 68266-2021</t>
        </is>
      </c>
      <c r="B873" s="1" t="n">
        <v>44526</v>
      </c>
      <c r="C873" s="1" t="n">
        <v>45726</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68136-2021</t>
        </is>
      </c>
      <c r="B874" s="1" t="n">
        <v>44526</v>
      </c>
      <c r="C874" s="1" t="n">
        <v>45726</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68650-2021</t>
        </is>
      </c>
      <c r="B875" s="1" t="n">
        <v>44529</v>
      </c>
      <c r="C875" s="1" t="n">
        <v>45726</v>
      </c>
      <c r="D875" t="inlineStr">
        <is>
          <t>VÄRMLANDS LÄN</t>
        </is>
      </c>
      <c r="E875" t="inlineStr">
        <is>
          <t>TORSBY</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68850-2021</t>
        </is>
      </c>
      <c r="B876" s="1" t="n">
        <v>44530</v>
      </c>
      <c r="C876" s="1" t="n">
        <v>45726</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68855-2021</t>
        </is>
      </c>
      <c r="B877" s="1" t="n">
        <v>44530</v>
      </c>
      <c r="C877" s="1" t="n">
        <v>45726</v>
      </c>
      <c r="D877" t="inlineStr">
        <is>
          <t>VÄRMLANDS LÄN</t>
        </is>
      </c>
      <c r="E877" t="inlineStr">
        <is>
          <t>TORSBY</t>
        </is>
      </c>
      <c r="G877" t="n">
        <v>3.1</v>
      </c>
      <c r="H877" t="n">
        <v>0</v>
      </c>
      <c r="I877" t="n">
        <v>0</v>
      </c>
      <c r="J877" t="n">
        <v>0</v>
      </c>
      <c r="K877" t="n">
        <v>0</v>
      </c>
      <c r="L877" t="n">
        <v>0</v>
      </c>
      <c r="M877" t="n">
        <v>0</v>
      </c>
      <c r="N877" t="n">
        <v>0</v>
      </c>
      <c r="O877" t="n">
        <v>0</v>
      </c>
      <c r="P877" t="n">
        <v>0</v>
      </c>
      <c r="Q877" t="n">
        <v>0</v>
      </c>
      <c r="R877" s="2" t="inlineStr"/>
    </row>
    <row r="878" ht="15" customHeight="1">
      <c r="A878" t="inlineStr">
        <is>
          <t>A 69026-2021</t>
        </is>
      </c>
      <c r="B878" s="1" t="n">
        <v>44530</v>
      </c>
      <c r="C878" s="1" t="n">
        <v>45726</v>
      </c>
      <c r="D878" t="inlineStr">
        <is>
          <t>VÄRMLANDS LÄN</t>
        </is>
      </c>
      <c r="E878" t="inlineStr">
        <is>
          <t>TORSBY</t>
        </is>
      </c>
      <c r="F878" t="inlineStr">
        <is>
          <t>Bergvik skog väst AB</t>
        </is>
      </c>
      <c r="G878" t="n">
        <v>11.3</v>
      </c>
      <c r="H878" t="n">
        <v>0</v>
      </c>
      <c r="I878" t="n">
        <v>0</v>
      </c>
      <c r="J878" t="n">
        <v>0</v>
      </c>
      <c r="K878" t="n">
        <v>0</v>
      </c>
      <c r="L878" t="n">
        <v>0</v>
      </c>
      <c r="M878" t="n">
        <v>0</v>
      </c>
      <c r="N878" t="n">
        <v>0</v>
      </c>
      <c r="O878" t="n">
        <v>0</v>
      </c>
      <c r="P878" t="n">
        <v>0</v>
      </c>
      <c r="Q878" t="n">
        <v>0</v>
      </c>
      <c r="R878" s="2" t="inlineStr"/>
    </row>
    <row r="879" ht="15" customHeight="1">
      <c r="A879" t="inlineStr">
        <is>
          <t>A 69086-2021</t>
        </is>
      </c>
      <c r="B879" s="1" t="n">
        <v>44530</v>
      </c>
      <c r="C879" s="1" t="n">
        <v>45726</v>
      </c>
      <c r="D879" t="inlineStr">
        <is>
          <t>VÄRMLANDS LÄN</t>
        </is>
      </c>
      <c r="E879" t="inlineStr">
        <is>
          <t>TORSBY</t>
        </is>
      </c>
      <c r="F879" t="inlineStr">
        <is>
          <t>Bergvik skog väst AB</t>
        </is>
      </c>
      <c r="G879" t="n">
        <v>3.3</v>
      </c>
      <c r="H879" t="n">
        <v>0</v>
      </c>
      <c r="I879" t="n">
        <v>0</v>
      </c>
      <c r="J879" t="n">
        <v>0</v>
      </c>
      <c r="K879" t="n">
        <v>0</v>
      </c>
      <c r="L879" t="n">
        <v>0</v>
      </c>
      <c r="M879" t="n">
        <v>0</v>
      </c>
      <c r="N879" t="n">
        <v>0</v>
      </c>
      <c r="O879" t="n">
        <v>0</v>
      </c>
      <c r="P879" t="n">
        <v>0</v>
      </c>
      <c r="Q879" t="n">
        <v>0</v>
      </c>
      <c r="R879" s="2" t="inlineStr"/>
    </row>
    <row r="880" ht="15" customHeight="1">
      <c r="A880" t="inlineStr">
        <is>
          <t>A 69877-2021</t>
        </is>
      </c>
      <c r="B880" s="1" t="n">
        <v>44532</v>
      </c>
      <c r="C880" s="1" t="n">
        <v>45726</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69878-2021</t>
        </is>
      </c>
      <c r="B881" s="1" t="n">
        <v>44532</v>
      </c>
      <c r="C881" s="1" t="n">
        <v>45726</v>
      </c>
      <c r="D881" t="inlineStr">
        <is>
          <t>VÄRMLANDS LÄN</t>
        </is>
      </c>
      <c r="E881" t="inlineStr">
        <is>
          <t>TORSBY</t>
        </is>
      </c>
      <c r="G881" t="n">
        <v>0.6</v>
      </c>
      <c r="H881" t="n">
        <v>0</v>
      </c>
      <c r="I881" t="n">
        <v>0</v>
      </c>
      <c r="J881" t="n">
        <v>0</v>
      </c>
      <c r="K881" t="n">
        <v>0</v>
      </c>
      <c r="L881" t="n">
        <v>0</v>
      </c>
      <c r="M881" t="n">
        <v>0</v>
      </c>
      <c r="N881" t="n">
        <v>0</v>
      </c>
      <c r="O881" t="n">
        <v>0</v>
      </c>
      <c r="P881" t="n">
        <v>0</v>
      </c>
      <c r="Q881" t="n">
        <v>0</v>
      </c>
      <c r="R881" s="2" t="inlineStr"/>
    </row>
    <row r="882" ht="15" customHeight="1">
      <c r="A882" t="inlineStr">
        <is>
          <t>A 70166-2021</t>
        </is>
      </c>
      <c r="B882" s="1" t="n">
        <v>44533</v>
      </c>
      <c r="C882" s="1" t="n">
        <v>45726</v>
      </c>
      <c r="D882" t="inlineStr">
        <is>
          <t>VÄRMLANDS LÄN</t>
        </is>
      </c>
      <c r="E882" t="inlineStr">
        <is>
          <t>TORSBY</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69974-2021</t>
        </is>
      </c>
      <c r="B883" s="1" t="n">
        <v>44533</v>
      </c>
      <c r="C883" s="1" t="n">
        <v>45726</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70241-2021</t>
        </is>
      </c>
      <c r="B884" s="1" t="n">
        <v>44536</v>
      </c>
      <c r="C884" s="1" t="n">
        <v>45726</v>
      </c>
      <c r="D884" t="inlineStr">
        <is>
          <t>VÄRMLANDS LÄN</t>
        </is>
      </c>
      <c r="E884" t="inlineStr">
        <is>
          <t>TORSBY</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70253-2021</t>
        </is>
      </c>
      <c r="B885" s="1" t="n">
        <v>44536</v>
      </c>
      <c r="C885" s="1" t="n">
        <v>45726</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70658-2021</t>
        </is>
      </c>
      <c r="B886" s="1" t="n">
        <v>44537</v>
      </c>
      <c r="C886" s="1" t="n">
        <v>45726</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70787-2021</t>
        </is>
      </c>
      <c r="B887" s="1" t="n">
        <v>44537</v>
      </c>
      <c r="C887" s="1" t="n">
        <v>45726</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70775-2021</t>
        </is>
      </c>
      <c r="B888" s="1" t="n">
        <v>44537</v>
      </c>
      <c r="C888" s="1" t="n">
        <v>45726</v>
      </c>
      <c r="D888" t="inlineStr">
        <is>
          <t>VÄRMLANDS LÄN</t>
        </is>
      </c>
      <c r="E888" t="inlineStr">
        <is>
          <t>TORSBY</t>
        </is>
      </c>
      <c r="G888" t="n">
        <v>0.3</v>
      </c>
      <c r="H888" t="n">
        <v>0</v>
      </c>
      <c r="I888" t="n">
        <v>0</v>
      </c>
      <c r="J888" t="n">
        <v>0</v>
      </c>
      <c r="K888" t="n">
        <v>0</v>
      </c>
      <c r="L888" t="n">
        <v>0</v>
      </c>
      <c r="M888" t="n">
        <v>0</v>
      </c>
      <c r="N888" t="n">
        <v>0</v>
      </c>
      <c r="O888" t="n">
        <v>0</v>
      </c>
      <c r="P888" t="n">
        <v>0</v>
      </c>
      <c r="Q888" t="n">
        <v>0</v>
      </c>
      <c r="R888" s="2" t="inlineStr"/>
    </row>
    <row r="889" ht="15" customHeight="1">
      <c r="A889" t="inlineStr">
        <is>
          <t>A 70785-2021</t>
        </is>
      </c>
      <c r="B889" s="1" t="n">
        <v>44537</v>
      </c>
      <c r="C889" s="1" t="n">
        <v>45726</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70978-2021</t>
        </is>
      </c>
      <c r="B890" s="1" t="n">
        <v>44537</v>
      </c>
      <c r="C890" s="1" t="n">
        <v>45726</v>
      </c>
      <c r="D890" t="inlineStr">
        <is>
          <t>VÄRMLANDS LÄN</t>
        </is>
      </c>
      <c r="E890" t="inlineStr">
        <is>
          <t>TORSBY</t>
        </is>
      </c>
      <c r="G890" t="n">
        <v>12.6</v>
      </c>
      <c r="H890" t="n">
        <v>0</v>
      </c>
      <c r="I890" t="n">
        <v>0</v>
      </c>
      <c r="J890" t="n">
        <v>0</v>
      </c>
      <c r="K890" t="n">
        <v>0</v>
      </c>
      <c r="L890" t="n">
        <v>0</v>
      </c>
      <c r="M890" t="n">
        <v>0</v>
      </c>
      <c r="N890" t="n">
        <v>0</v>
      </c>
      <c r="O890" t="n">
        <v>0</v>
      </c>
      <c r="P890" t="n">
        <v>0</v>
      </c>
      <c r="Q890" t="n">
        <v>0</v>
      </c>
      <c r="R890" s="2" t="inlineStr"/>
    </row>
    <row r="891" ht="15" customHeight="1">
      <c r="A891" t="inlineStr">
        <is>
          <t>A 70926-2021</t>
        </is>
      </c>
      <c r="B891" s="1" t="n">
        <v>44538</v>
      </c>
      <c r="C891" s="1" t="n">
        <v>45726</v>
      </c>
      <c r="D891" t="inlineStr">
        <is>
          <t>VÄRMLANDS LÄN</t>
        </is>
      </c>
      <c r="E891" t="inlineStr">
        <is>
          <t>TORSBY</t>
        </is>
      </c>
      <c r="G891" t="n">
        <v>6.5</v>
      </c>
      <c r="H891" t="n">
        <v>0</v>
      </c>
      <c r="I891" t="n">
        <v>0</v>
      </c>
      <c r="J891" t="n">
        <v>0</v>
      </c>
      <c r="K891" t="n">
        <v>0</v>
      </c>
      <c r="L891" t="n">
        <v>0</v>
      </c>
      <c r="M891" t="n">
        <v>0</v>
      </c>
      <c r="N891" t="n">
        <v>0</v>
      </c>
      <c r="O891" t="n">
        <v>0</v>
      </c>
      <c r="P891" t="n">
        <v>0</v>
      </c>
      <c r="Q891" t="n">
        <v>0</v>
      </c>
      <c r="R891" s="2" t="inlineStr"/>
    </row>
    <row r="892" ht="15" customHeight="1">
      <c r="A892" t="inlineStr">
        <is>
          <t>A 70924-2021</t>
        </is>
      </c>
      <c r="B892" s="1" t="n">
        <v>44538</v>
      </c>
      <c r="C892" s="1" t="n">
        <v>45726</v>
      </c>
      <c r="D892" t="inlineStr">
        <is>
          <t>VÄRMLANDS LÄN</t>
        </is>
      </c>
      <c r="E892" t="inlineStr">
        <is>
          <t>TORSBY</t>
        </is>
      </c>
      <c r="G892" t="n">
        <v>3.8</v>
      </c>
      <c r="H892" t="n">
        <v>0</v>
      </c>
      <c r="I892" t="n">
        <v>0</v>
      </c>
      <c r="J892" t="n">
        <v>0</v>
      </c>
      <c r="K892" t="n">
        <v>0</v>
      </c>
      <c r="L892" t="n">
        <v>0</v>
      </c>
      <c r="M892" t="n">
        <v>0</v>
      </c>
      <c r="N892" t="n">
        <v>0</v>
      </c>
      <c r="O892" t="n">
        <v>0</v>
      </c>
      <c r="P892" t="n">
        <v>0</v>
      </c>
      <c r="Q892" t="n">
        <v>0</v>
      </c>
      <c r="R892" s="2" t="inlineStr"/>
    </row>
    <row r="893" ht="15" customHeight="1">
      <c r="A893" t="inlineStr">
        <is>
          <t>A 71255-2021</t>
        </is>
      </c>
      <c r="B893" s="1" t="n">
        <v>44538</v>
      </c>
      <c r="C893" s="1" t="n">
        <v>45726</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71084-2021</t>
        </is>
      </c>
      <c r="B894" s="1" t="n">
        <v>44539</v>
      </c>
      <c r="C894" s="1" t="n">
        <v>45726</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71469-2021</t>
        </is>
      </c>
      <c r="B895" s="1" t="n">
        <v>44540</v>
      </c>
      <c r="C895" s="1" t="n">
        <v>45726</v>
      </c>
      <c r="D895" t="inlineStr">
        <is>
          <t>VÄRMLANDS LÄN</t>
        </is>
      </c>
      <c r="E895" t="inlineStr">
        <is>
          <t>TORSBY</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71679-2021</t>
        </is>
      </c>
      <c r="B896" s="1" t="n">
        <v>44543</v>
      </c>
      <c r="C896" s="1" t="n">
        <v>45726</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71990-2021</t>
        </is>
      </c>
      <c r="B897" s="1" t="n">
        <v>44544</v>
      </c>
      <c r="C897" s="1" t="n">
        <v>45726</v>
      </c>
      <c r="D897" t="inlineStr">
        <is>
          <t>VÄRMLANDS LÄN</t>
        </is>
      </c>
      <c r="E897" t="inlineStr">
        <is>
          <t>TORSBY</t>
        </is>
      </c>
      <c r="G897" t="n">
        <v>4.6</v>
      </c>
      <c r="H897" t="n">
        <v>0</v>
      </c>
      <c r="I897" t="n">
        <v>0</v>
      </c>
      <c r="J897" t="n">
        <v>0</v>
      </c>
      <c r="K897" t="n">
        <v>0</v>
      </c>
      <c r="L897" t="n">
        <v>0</v>
      </c>
      <c r="M897" t="n">
        <v>0</v>
      </c>
      <c r="N897" t="n">
        <v>0</v>
      </c>
      <c r="O897" t="n">
        <v>0</v>
      </c>
      <c r="P897" t="n">
        <v>0</v>
      </c>
      <c r="Q897" t="n">
        <v>0</v>
      </c>
      <c r="R897" s="2" t="inlineStr"/>
    </row>
    <row r="898" ht="15" customHeight="1">
      <c r="A898" t="inlineStr">
        <is>
          <t>A 72200-2021</t>
        </is>
      </c>
      <c r="B898" s="1" t="n">
        <v>44544</v>
      </c>
      <c r="C898" s="1" t="n">
        <v>45726</v>
      </c>
      <c r="D898" t="inlineStr">
        <is>
          <t>VÄRMLANDS LÄN</t>
        </is>
      </c>
      <c r="E898" t="inlineStr">
        <is>
          <t>TORSBY</t>
        </is>
      </c>
      <c r="G898" t="n">
        <v>3.3</v>
      </c>
      <c r="H898" t="n">
        <v>0</v>
      </c>
      <c r="I898" t="n">
        <v>0</v>
      </c>
      <c r="J898" t="n">
        <v>0</v>
      </c>
      <c r="K898" t="n">
        <v>0</v>
      </c>
      <c r="L898" t="n">
        <v>0</v>
      </c>
      <c r="M898" t="n">
        <v>0</v>
      </c>
      <c r="N898" t="n">
        <v>0</v>
      </c>
      <c r="O898" t="n">
        <v>0</v>
      </c>
      <c r="P898" t="n">
        <v>0</v>
      </c>
      <c r="Q898" t="n">
        <v>0</v>
      </c>
      <c r="R898" s="2" t="inlineStr"/>
    </row>
    <row r="899" ht="15" customHeight="1">
      <c r="A899" t="inlineStr">
        <is>
          <t>A 72250-2021</t>
        </is>
      </c>
      <c r="B899" s="1" t="n">
        <v>44544</v>
      </c>
      <c r="C899" s="1" t="n">
        <v>45726</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73055-2021</t>
        </is>
      </c>
      <c r="B900" s="1" t="n">
        <v>44550</v>
      </c>
      <c r="C900" s="1" t="n">
        <v>45726</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73324-2021</t>
        </is>
      </c>
      <c r="B901" s="1" t="n">
        <v>44550</v>
      </c>
      <c r="C901" s="1" t="n">
        <v>45726</v>
      </c>
      <c r="D901" t="inlineStr">
        <is>
          <t>VÄRMLANDS LÄN</t>
        </is>
      </c>
      <c r="E901" t="inlineStr">
        <is>
          <t>TORSBY</t>
        </is>
      </c>
      <c r="G901" t="n">
        <v>9.9</v>
      </c>
      <c r="H901" t="n">
        <v>0</v>
      </c>
      <c r="I901" t="n">
        <v>0</v>
      </c>
      <c r="J901" t="n">
        <v>0</v>
      </c>
      <c r="K901" t="n">
        <v>0</v>
      </c>
      <c r="L901" t="n">
        <v>0</v>
      </c>
      <c r="M901" t="n">
        <v>0</v>
      </c>
      <c r="N901" t="n">
        <v>0</v>
      </c>
      <c r="O901" t="n">
        <v>0</v>
      </c>
      <c r="P901" t="n">
        <v>0</v>
      </c>
      <c r="Q901" t="n">
        <v>0</v>
      </c>
      <c r="R901" s="2" t="inlineStr"/>
    </row>
    <row r="902" ht="15" customHeight="1">
      <c r="A902" t="inlineStr">
        <is>
          <t>A 73165-2021</t>
        </is>
      </c>
      <c r="B902" s="1" t="n">
        <v>44550</v>
      </c>
      <c r="C902" s="1" t="n">
        <v>45726</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73442-2021</t>
        </is>
      </c>
      <c r="B903" s="1" t="n">
        <v>44551</v>
      </c>
      <c r="C903" s="1" t="n">
        <v>45726</v>
      </c>
      <c r="D903" t="inlineStr">
        <is>
          <t>VÄRMLANDS LÄN</t>
        </is>
      </c>
      <c r="E903" t="inlineStr">
        <is>
          <t>TORSBY</t>
        </is>
      </c>
      <c r="F903" t="inlineStr">
        <is>
          <t>Bergvik skog väst AB</t>
        </is>
      </c>
      <c r="G903" t="n">
        <v>4.1</v>
      </c>
      <c r="H903" t="n">
        <v>0</v>
      </c>
      <c r="I903" t="n">
        <v>0</v>
      </c>
      <c r="J903" t="n">
        <v>0</v>
      </c>
      <c r="K903" t="n">
        <v>0</v>
      </c>
      <c r="L903" t="n">
        <v>0</v>
      </c>
      <c r="M903" t="n">
        <v>0</v>
      </c>
      <c r="N903" t="n">
        <v>0</v>
      </c>
      <c r="O903" t="n">
        <v>0</v>
      </c>
      <c r="P903" t="n">
        <v>0</v>
      </c>
      <c r="Q903" t="n">
        <v>0</v>
      </c>
      <c r="R903" s="2" t="inlineStr"/>
    </row>
    <row r="904" ht="15" customHeight="1">
      <c r="A904" t="inlineStr">
        <is>
          <t>A 73553-2021</t>
        </is>
      </c>
      <c r="B904" s="1" t="n">
        <v>44551</v>
      </c>
      <c r="C904" s="1" t="n">
        <v>45726</v>
      </c>
      <c r="D904" t="inlineStr">
        <is>
          <t>VÄRMLANDS LÄN</t>
        </is>
      </c>
      <c r="E904" t="inlineStr">
        <is>
          <t>TORSBY</t>
        </is>
      </c>
      <c r="G904" t="n">
        <v>5.1</v>
      </c>
      <c r="H904" t="n">
        <v>0</v>
      </c>
      <c r="I904" t="n">
        <v>0</v>
      </c>
      <c r="J904" t="n">
        <v>0</v>
      </c>
      <c r="K904" t="n">
        <v>0</v>
      </c>
      <c r="L904" t="n">
        <v>0</v>
      </c>
      <c r="M904" t="n">
        <v>0</v>
      </c>
      <c r="N904" t="n">
        <v>0</v>
      </c>
      <c r="O904" t="n">
        <v>0</v>
      </c>
      <c r="P904" t="n">
        <v>0</v>
      </c>
      <c r="Q904" t="n">
        <v>0</v>
      </c>
      <c r="R904" s="2" t="inlineStr"/>
    </row>
    <row r="905" ht="15" customHeight="1">
      <c r="A905" t="inlineStr">
        <is>
          <t>A 73521-2021</t>
        </is>
      </c>
      <c r="B905" s="1" t="n">
        <v>44551</v>
      </c>
      <c r="C905" s="1" t="n">
        <v>45726</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73882-2021</t>
        </is>
      </c>
      <c r="B906" s="1" t="n">
        <v>44553</v>
      </c>
      <c r="C906" s="1" t="n">
        <v>45726</v>
      </c>
      <c r="D906" t="inlineStr">
        <is>
          <t>VÄRMLANDS LÄN</t>
        </is>
      </c>
      <c r="E906" t="inlineStr">
        <is>
          <t>TORSBY</t>
        </is>
      </c>
      <c r="F906" t="inlineStr">
        <is>
          <t>Kyrkan</t>
        </is>
      </c>
      <c r="G906" t="n">
        <v>0.5</v>
      </c>
      <c r="H906" t="n">
        <v>0</v>
      </c>
      <c r="I906" t="n">
        <v>0</v>
      </c>
      <c r="J906" t="n">
        <v>0</v>
      </c>
      <c r="K906" t="n">
        <v>0</v>
      </c>
      <c r="L906" t="n">
        <v>0</v>
      </c>
      <c r="M906" t="n">
        <v>0</v>
      </c>
      <c r="N906" t="n">
        <v>0</v>
      </c>
      <c r="O906" t="n">
        <v>0</v>
      </c>
      <c r="P906" t="n">
        <v>0</v>
      </c>
      <c r="Q906" t="n">
        <v>0</v>
      </c>
      <c r="R906" s="2" t="inlineStr"/>
    </row>
    <row r="907" ht="15" customHeight="1">
      <c r="A907" t="inlineStr">
        <is>
          <t>A 73874-2021</t>
        </is>
      </c>
      <c r="B907" s="1" t="n">
        <v>44553</v>
      </c>
      <c r="C907" s="1" t="n">
        <v>45726</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74012-2021</t>
        </is>
      </c>
      <c r="B908" s="1" t="n">
        <v>44553</v>
      </c>
      <c r="C908" s="1" t="n">
        <v>45726</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74079-2021</t>
        </is>
      </c>
      <c r="B909" s="1" t="n">
        <v>44557</v>
      </c>
      <c r="C909" s="1" t="n">
        <v>45726</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74375-2021</t>
        </is>
      </c>
      <c r="B910" s="1" t="n">
        <v>44559</v>
      </c>
      <c r="C910" s="1" t="n">
        <v>45726</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74374-2021</t>
        </is>
      </c>
      <c r="B911" s="1" t="n">
        <v>44559</v>
      </c>
      <c r="C911" s="1" t="n">
        <v>45726</v>
      </c>
      <c r="D911" t="inlineStr">
        <is>
          <t>VÄRMLANDS LÄN</t>
        </is>
      </c>
      <c r="E911" t="inlineStr">
        <is>
          <t>TORSBY</t>
        </is>
      </c>
      <c r="G911" t="n">
        <v>4.8</v>
      </c>
      <c r="H911" t="n">
        <v>0</v>
      </c>
      <c r="I911" t="n">
        <v>0</v>
      </c>
      <c r="J911" t="n">
        <v>0</v>
      </c>
      <c r="K911" t="n">
        <v>0</v>
      </c>
      <c r="L911" t="n">
        <v>0</v>
      </c>
      <c r="M911" t="n">
        <v>0</v>
      </c>
      <c r="N911" t="n">
        <v>0</v>
      </c>
      <c r="O911" t="n">
        <v>0</v>
      </c>
      <c r="P911" t="n">
        <v>0</v>
      </c>
      <c r="Q911" t="n">
        <v>0</v>
      </c>
      <c r="R911" s="2" t="inlineStr"/>
    </row>
    <row r="912" ht="15" customHeight="1">
      <c r="A912" t="inlineStr">
        <is>
          <t>A 74351-2021</t>
        </is>
      </c>
      <c r="B912" s="1" t="n">
        <v>44559</v>
      </c>
      <c r="C912" s="1" t="n">
        <v>45726</v>
      </c>
      <c r="D912" t="inlineStr">
        <is>
          <t>VÄRMLANDS LÄN</t>
        </is>
      </c>
      <c r="E912" t="inlineStr">
        <is>
          <t>TORSBY</t>
        </is>
      </c>
      <c r="F912" t="inlineStr">
        <is>
          <t>Bergvik skog väst AB</t>
        </is>
      </c>
      <c r="G912" t="n">
        <v>9.1</v>
      </c>
      <c r="H912" t="n">
        <v>0</v>
      </c>
      <c r="I912" t="n">
        <v>0</v>
      </c>
      <c r="J912" t="n">
        <v>0</v>
      </c>
      <c r="K912" t="n">
        <v>0</v>
      </c>
      <c r="L912" t="n">
        <v>0</v>
      </c>
      <c r="M912" t="n">
        <v>0</v>
      </c>
      <c r="N912" t="n">
        <v>0</v>
      </c>
      <c r="O912" t="n">
        <v>0</v>
      </c>
      <c r="P912" t="n">
        <v>0</v>
      </c>
      <c r="Q912" t="n">
        <v>0</v>
      </c>
      <c r="R912" s="2" t="inlineStr"/>
    </row>
    <row r="913" ht="15" customHeight="1">
      <c r="A913" t="inlineStr">
        <is>
          <t>A 361-2022</t>
        </is>
      </c>
      <c r="B913" s="1" t="n">
        <v>44565</v>
      </c>
      <c r="C913" s="1" t="n">
        <v>45726</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739-2022</t>
        </is>
      </c>
      <c r="B914" s="1" t="n">
        <v>44568</v>
      </c>
      <c r="C914" s="1" t="n">
        <v>45726</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997-2022</t>
        </is>
      </c>
      <c r="B915" s="1" t="n">
        <v>44571</v>
      </c>
      <c r="C915" s="1" t="n">
        <v>45726</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1839-2022</t>
        </is>
      </c>
      <c r="B916" s="1" t="n">
        <v>44574</v>
      </c>
      <c r="C916" s="1" t="n">
        <v>45726</v>
      </c>
      <c r="D916" t="inlineStr">
        <is>
          <t>VÄRMLANDS LÄN</t>
        </is>
      </c>
      <c r="E916" t="inlineStr">
        <is>
          <t>TORSBY</t>
        </is>
      </c>
      <c r="G916" t="n">
        <v>5.3</v>
      </c>
      <c r="H916" t="n">
        <v>0</v>
      </c>
      <c r="I916" t="n">
        <v>0</v>
      </c>
      <c r="J916" t="n">
        <v>0</v>
      </c>
      <c r="K916" t="n">
        <v>0</v>
      </c>
      <c r="L916" t="n">
        <v>0</v>
      </c>
      <c r="M916" t="n">
        <v>0</v>
      </c>
      <c r="N916" t="n">
        <v>0</v>
      </c>
      <c r="O916" t="n">
        <v>0</v>
      </c>
      <c r="P916" t="n">
        <v>0</v>
      </c>
      <c r="Q916" t="n">
        <v>0</v>
      </c>
      <c r="R916" s="2" t="inlineStr"/>
    </row>
    <row r="917" ht="15" customHeight="1">
      <c r="A917" t="inlineStr">
        <is>
          <t>A 1911-2022</t>
        </is>
      </c>
      <c r="B917" s="1" t="n">
        <v>44575</v>
      </c>
      <c r="C917" s="1" t="n">
        <v>45726</v>
      </c>
      <c r="D917" t="inlineStr">
        <is>
          <t>VÄRMLANDS LÄN</t>
        </is>
      </c>
      <c r="E917" t="inlineStr">
        <is>
          <t>TORSBY</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2414-2022</t>
        </is>
      </c>
      <c r="B918" s="1" t="n">
        <v>44579</v>
      </c>
      <c r="C918" s="1" t="n">
        <v>45726</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2421-2022</t>
        </is>
      </c>
      <c r="B919" s="1" t="n">
        <v>44579</v>
      </c>
      <c r="C919" s="1" t="n">
        <v>45726</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2699-2022</t>
        </is>
      </c>
      <c r="B920" s="1" t="n">
        <v>44580</v>
      </c>
      <c r="C920" s="1" t="n">
        <v>45726</v>
      </c>
      <c r="D920" t="inlineStr">
        <is>
          <t>VÄRMLANDS LÄN</t>
        </is>
      </c>
      <c r="E920" t="inlineStr">
        <is>
          <t>TORSBY</t>
        </is>
      </c>
      <c r="G920" t="n">
        <v>0.4</v>
      </c>
      <c r="H920" t="n">
        <v>0</v>
      </c>
      <c r="I920" t="n">
        <v>0</v>
      </c>
      <c r="J920" t="n">
        <v>0</v>
      </c>
      <c r="K920" t="n">
        <v>0</v>
      </c>
      <c r="L920" t="n">
        <v>0</v>
      </c>
      <c r="M920" t="n">
        <v>0</v>
      </c>
      <c r="N920" t="n">
        <v>0</v>
      </c>
      <c r="O920" t="n">
        <v>0</v>
      </c>
      <c r="P920" t="n">
        <v>0</v>
      </c>
      <c r="Q920" t="n">
        <v>0</v>
      </c>
      <c r="R920" s="2" t="inlineStr"/>
    </row>
    <row r="921" ht="15" customHeight="1">
      <c r="A921" t="inlineStr">
        <is>
          <t>A 3071-2022</t>
        </is>
      </c>
      <c r="B921" s="1" t="n">
        <v>44582</v>
      </c>
      <c r="C921" s="1" t="n">
        <v>45726</v>
      </c>
      <c r="D921" t="inlineStr">
        <is>
          <t>VÄRMLANDS LÄN</t>
        </is>
      </c>
      <c r="E921" t="inlineStr">
        <is>
          <t>TORSBY</t>
        </is>
      </c>
      <c r="G921" t="n">
        <v>7.9</v>
      </c>
      <c r="H921" t="n">
        <v>0</v>
      </c>
      <c r="I921" t="n">
        <v>0</v>
      </c>
      <c r="J921" t="n">
        <v>0</v>
      </c>
      <c r="K921" t="n">
        <v>0</v>
      </c>
      <c r="L921" t="n">
        <v>0</v>
      </c>
      <c r="M921" t="n">
        <v>0</v>
      </c>
      <c r="N921" t="n">
        <v>0</v>
      </c>
      <c r="O921" t="n">
        <v>0</v>
      </c>
      <c r="P921" t="n">
        <v>0</v>
      </c>
      <c r="Q921" t="n">
        <v>0</v>
      </c>
      <c r="R921" s="2" t="inlineStr"/>
    </row>
    <row r="922" ht="15" customHeight="1">
      <c r="A922" t="inlineStr">
        <is>
          <t>A 3369-2022</t>
        </is>
      </c>
      <c r="B922" s="1" t="n">
        <v>44585</v>
      </c>
      <c r="C922" s="1" t="n">
        <v>45726</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3385-2022</t>
        </is>
      </c>
      <c r="B923" s="1" t="n">
        <v>44585</v>
      </c>
      <c r="C923" s="1" t="n">
        <v>45726</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3397-2022</t>
        </is>
      </c>
      <c r="B924" s="1" t="n">
        <v>44585</v>
      </c>
      <c r="C924" s="1" t="n">
        <v>45726</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3387-2022</t>
        </is>
      </c>
      <c r="B925" s="1" t="n">
        <v>44585</v>
      </c>
      <c r="C925" s="1" t="n">
        <v>45726</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3382-2022</t>
        </is>
      </c>
      <c r="B926" s="1" t="n">
        <v>44585</v>
      </c>
      <c r="C926" s="1" t="n">
        <v>45726</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3390-2022</t>
        </is>
      </c>
      <c r="B927" s="1" t="n">
        <v>44585</v>
      </c>
      <c r="C927" s="1" t="n">
        <v>45726</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3393-2022</t>
        </is>
      </c>
      <c r="B928" s="1" t="n">
        <v>44585</v>
      </c>
      <c r="C928" s="1" t="n">
        <v>45726</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3749-2022</t>
        </is>
      </c>
      <c r="B929" s="1" t="n">
        <v>44586</v>
      </c>
      <c r="C929" s="1" t="n">
        <v>45726</v>
      </c>
      <c r="D929" t="inlineStr">
        <is>
          <t>VÄRMLANDS LÄN</t>
        </is>
      </c>
      <c r="E929" t="inlineStr">
        <is>
          <t>TORSBY</t>
        </is>
      </c>
      <c r="G929" t="n">
        <v>6.3</v>
      </c>
      <c r="H929" t="n">
        <v>0</v>
      </c>
      <c r="I929" t="n">
        <v>0</v>
      </c>
      <c r="J929" t="n">
        <v>0</v>
      </c>
      <c r="K929" t="n">
        <v>0</v>
      </c>
      <c r="L929" t="n">
        <v>0</v>
      </c>
      <c r="M929" t="n">
        <v>0</v>
      </c>
      <c r="N929" t="n">
        <v>0</v>
      </c>
      <c r="O929" t="n">
        <v>0</v>
      </c>
      <c r="P929" t="n">
        <v>0</v>
      </c>
      <c r="Q929" t="n">
        <v>0</v>
      </c>
      <c r="R929" s="2" t="inlineStr"/>
    </row>
    <row r="930" ht="15" customHeight="1">
      <c r="A930" t="inlineStr">
        <is>
          <t>A 3841-2022</t>
        </is>
      </c>
      <c r="B930" s="1" t="n">
        <v>44587</v>
      </c>
      <c r="C930" s="1" t="n">
        <v>45726</v>
      </c>
      <c r="D930" t="inlineStr">
        <is>
          <t>VÄRMLANDS LÄN</t>
        </is>
      </c>
      <c r="E930" t="inlineStr">
        <is>
          <t>TORSBY</t>
        </is>
      </c>
      <c r="G930" t="n">
        <v>6.4</v>
      </c>
      <c r="H930" t="n">
        <v>0</v>
      </c>
      <c r="I930" t="n">
        <v>0</v>
      </c>
      <c r="J930" t="n">
        <v>0</v>
      </c>
      <c r="K930" t="n">
        <v>0</v>
      </c>
      <c r="L930" t="n">
        <v>0</v>
      </c>
      <c r="M930" t="n">
        <v>0</v>
      </c>
      <c r="N930" t="n">
        <v>0</v>
      </c>
      <c r="O930" t="n">
        <v>0</v>
      </c>
      <c r="P930" t="n">
        <v>0</v>
      </c>
      <c r="Q930" t="n">
        <v>0</v>
      </c>
      <c r="R930" s="2" t="inlineStr"/>
    </row>
    <row r="931" ht="15" customHeight="1">
      <c r="A931" t="inlineStr">
        <is>
          <t>A 3887-2022</t>
        </is>
      </c>
      <c r="B931" s="1" t="n">
        <v>44587</v>
      </c>
      <c r="C931" s="1" t="n">
        <v>45726</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4172-2022</t>
        </is>
      </c>
      <c r="B932" s="1" t="n">
        <v>44588</v>
      </c>
      <c r="C932" s="1" t="n">
        <v>45726</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4557-2022</t>
        </is>
      </c>
      <c r="B933" s="1" t="n">
        <v>44591</v>
      </c>
      <c r="C933" s="1" t="n">
        <v>45726</v>
      </c>
      <c r="D933" t="inlineStr">
        <is>
          <t>VÄRMLANDS LÄN</t>
        </is>
      </c>
      <c r="E933" t="inlineStr">
        <is>
          <t>TORSBY</t>
        </is>
      </c>
      <c r="G933" t="n">
        <v>2.7</v>
      </c>
      <c r="H933" t="n">
        <v>0</v>
      </c>
      <c r="I933" t="n">
        <v>0</v>
      </c>
      <c r="J933" t="n">
        <v>0</v>
      </c>
      <c r="K933" t="n">
        <v>0</v>
      </c>
      <c r="L933" t="n">
        <v>0</v>
      </c>
      <c r="M933" t="n">
        <v>0</v>
      </c>
      <c r="N933" t="n">
        <v>0</v>
      </c>
      <c r="O933" t="n">
        <v>0</v>
      </c>
      <c r="P933" t="n">
        <v>0</v>
      </c>
      <c r="Q933" t="n">
        <v>0</v>
      </c>
      <c r="R933" s="2" t="inlineStr"/>
    </row>
    <row r="934" ht="15" customHeight="1">
      <c r="A934" t="inlineStr">
        <is>
          <t>A 4640-2022</t>
        </is>
      </c>
      <c r="B934" s="1" t="n">
        <v>44592</v>
      </c>
      <c r="C934" s="1" t="n">
        <v>45726</v>
      </c>
      <c r="D934" t="inlineStr">
        <is>
          <t>VÄRMLANDS LÄN</t>
        </is>
      </c>
      <c r="E934" t="inlineStr">
        <is>
          <t>TORSBY</t>
        </is>
      </c>
      <c r="G934" t="n">
        <v>9</v>
      </c>
      <c r="H934" t="n">
        <v>0</v>
      </c>
      <c r="I934" t="n">
        <v>0</v>
      </c>
      <c r="J934" t="n">
        <v>0</v>
      </c>
      <c r="K934" t="n">
        <v>0</v>
      </c>
      <c r="L934" t="n">
        <v>0</v>
      </c>
      <c r="M934" t="n">
        <v>0</v>
      </c>
      <c r="N934" t="n">
        <v>0</v>
      </c>
      <c r="O934" t="n">
        <v>0</v>
      </c>
      <c r="P934" t="n">
        <v>0</v>
      </c>
      <c r="Q934" t="n">
        <v>0</v>
      </c>
      <c r="R934" s="2" t="inlineStr"/>
    </row>
    <row r="935" ht="15" customHeight="1">
      <c r="A935" t="inlineStr">
        <is>
          <t>A 4967-2022</t>
        </is>
      </c>
      <c r="B935" s="1" t="n">
        <v>44593</v>
      </c>
      <c r="C935" s="1" t="n">
        <v>45726</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4960-2022</t>
        </is>
      </c>
      <c r="B936" s="1" t="n">
        <v>44593</v>
      </c>
      <c r="C936" s="1" t="n">
        <v>45726</v>
      </c>
      <c r="D936" t="inlineStr">
        <is>
          <t>VÄRMLANDS LÄN</t>
        </is>
      </c>
      <c r="E936" t="inlineStr">
        <is>
          <t>TORSBY</t>
        </is>
      </c>
      <c r="G936" t="n">
        <v>4.8</v>
      </c>
      <c r="H936" t="n">
        <v>0</v>
      </c>
      <c r="I936" t="n">
        <v>0</v>
      </c>
      <c r="J936" t="n">
        <v>0</v>
      </c>
      <c r="K936" t="n">
        <v>0</v>
      </c>
      <c r="L936" t="n">
        <v>0</v>
      </c>
      <c r="M936" t="n">
        <v>0</v>
      </c>
      <c r="N936" t="n">
        <v>0</v>
      </c>
      <c r="O936" t="n">
        <v>0</v>
      </c>
      <c r="P936" t="n">
        <v>0</v>
      </c>
      <c r="Q936" t="n">
        <v>0</v>
      </c>
      <c r="R936" s="2" t="inlineStr"/>
    </row>
    <row r="937" ht="15" customHeight="1">
      <c r="A937" t="inlineStr">
        <is>
          <t>A 5040-2022</t>
        </is>
      </c>
      <c r="B937" s="1" t="n">
        <v>44593</v>
      </c>
      <c r="C937" s="1" t="n">
        <v>45726</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5015-2022</t>
        </is>
      </c>
      <c r="B938" s="1" t="n">
        <v>44593</v>
      </c>
      <c r="C938" s="1" t="n">
        <v>45726</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5289-2022</t>
        </is>
      </c>
      <c r="B939" s="1" t="n">
        <v>44594</v>
      </c>
      <c r="C939" s="1" t="n">
        <v>45726</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6438-2022</t>
        </is>
      </c>
      <c r="B940" s="1" t="n">
        <v>44601</v>
      </c>
      <c r="C940" s="1" t="n">
        <v>45726</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7091-2022</t>
        </is>
      </c>
      <c r="B941" s="1" t="n">
        <v>44603</v>
      </c>
      <c r="C941" s="1" t="n">
        <v>45726</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7069-2022</t>
        </is>
      </c>
      <c r="B942" s="1" t="n">
        <v>44603</v>
      </c>
      <c r="C942" s="1" t="n">
        <v>45726</v>
      </c>
      <c r="D942" t="inlineStr">
        <is>
          <t>VÄRMLANDS LÄN</t>
        </is>
      </c>
      <c r="E942" t="inlineStr">
        <is>
          <t>TORSBY</t>
        </is>
      </c>
      <c r="G942" t="n">
        <v>1.6</v>
      </c>
      <c r="H942" t="n">
        <v>0</v>
      </c>
      <c r="I942" t="n">
        <v>0</v>
      </c>
      <c r="J942" t="n">
        <v>0</v>
      </c>
      <c r="K942" t="n">
        <v>0</v>
      </c>
      <c r="L942" t="n">
        <v>0</v>
      </c>
      <c r="M942" t="n">
        <v>0</v>
      </c>
      <c r="N942" t="n">
        <v>0</v>
      </c>
      <c r="O942" t="n">
        <v>0</v>
      </c>
      <c r="P942" t="n">
        <v>0</v>
      </c>
      <c r="Q942" t="n">
        <v>0</v>
      </c>
      <c r="R942" s="2" t="inlineStr"/>
    </row>
    <row r="943" ht="15" customHeight="1">
      <c r="A943" t="inlineStr">
        <is>
          <t>A 7544-2022</t>
        </is>
      </c>
      <c r="B943" s="1" t="n">
        <v>44607</v>
      </c>
      <c r="C943" s="1" t="n">
        <v>45726</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7543-2022</t>
        </is>
      </c>
      <c r="B944" s="1" t="n">
        <v>44607</v>
      </c>
      <c r="C944" s="1" t="n">
        <v>45726</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7921-2022</t>
        </is>
      </c>
      <c r="B945" s="1" t="n">
        <v>44608</v>
      </c>
      <c r="C945" s="1" t="n">
        <v>45726</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8048-2022</t>
        </is>
      </c>
      <c r="B946" s="1" t="n">
        <v>44609</v>
      </c>
      <c r="C946" s="1" t="n">
        <v>45726</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8054-2022</t>
        </is>
      </c>
      <c r="B947" s="1" t="n">
        <v>44609</v>
      </c>
      <c r="C947" s="1" t="n">
        <v>45726</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8033-2022</t>
        </is>
      </c>
      <c r="B948" s="1" t="n">
        <v>44609</v>
      </c>
      <c r="C948" s="1" t="n">
        <v>45726</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8739-2022</t>
        </is>
      </c>
      <c r="B949" s="1" t="n">
        <v>44615</v>
      </c>
      <c r="C949" s="1" t="n">
        <v>45726</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9057-2022</t>
        </is>
      </c>
      <c r="B950" s="1" t="n">
        <v>44615</v>
      </c>
      <c r="C950" s="1" t="n">
        <v>45726</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10608-2022</t>
        </is>
      </c>
      <c r="B951" s="1" t="n">
        <v>44624</v>
      </c>
      <c r="C951" s="1" t="n">
        <v>45726</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11050-2022</t>
        </is>
      </c>
      <c r="B952" s="1" t="n">
        <v>44628</v>
      </c>
      <c r="C952" s="1" t="n">
        <v>45726</v>
      </c>
      <c r="D952" t="inlineStr">
        <is>
          <t>VÄRMLANDS LÄN</t>
        </is>
      </c>
      <c r="E952" t="inlineStr">
        <is>
          <t>TORSBY</t>
        </is>
      </c>
      <c r="G952" t="n">
        <v>4.9</v>
      </c>
      <c r="H952" t="n">
        <v>0</v>
      </c>
      <c r="I952" t="n">
        <v>0</v>
      </c>
      <c r="J952" t="n">
        <v>0</v>
      </c>
      <c r="K952" t="n">
        <v>0</v>
      </c>
      <c r="L952" t="n">
        <v>0</v>
      </c>
      <c r="M952" t="n">
        <v>0</v>
      </c>
      <c r="N952" t="n">
        <v>0</v>
      </c>
      <c r="O952" t="n">
        <v>0</v>
      </c>
      <c r="P952" t="n">
        <v>0</v>
      </c>
      <c r="Q952" t="n">
        <v>0</v>
      </c>
      <c r="R952" s="2" t="inlineStr"/>
    </row>
    <row r="953" ht="15" customHeight="1">
      <c r="A953" t="inlineStr">
        <is>
          <t>A 11447-2022</t>
        </is>
      </c>
      <c r="B953" s="1" t="n">
        <v>44630</v>
      </c>
      <c r="C953" s="1" t="n">
        <v>45726</v>
      </c>
      <c r="D953" t="inlineStr">
        <is>
          <t>VÄRMLANDS LÄN</t>
        </is>
      </c>
      <c r="E953" t="inlineStr">
        <is>
          <t>TORSBY</t>
        </is>
      </c>
      <c r="G953" t="n">
        <v>2.4</v>
      </c>
      <c r="H953" t="n">
        <v>0</v>
      </c>
      <c r="I953" t="n">
        <v>0</v>
      </c>
      <c r="J953" t="n">
        <v>0</v>
      </c>
      <c r="K953" t="n">
        <v>0</v>
      </c>
      <c r="L953" t="n">
        <v>0</v>
      </c>
      <c r="M953" t="n">
        <v>0</v>
      </c>
      <c r="N953" t="n">
        <v>0</v>
      </c>
      <c r="O953" t="n">
        <v>0</v>
      </c>
      <c r="P953" t="n">
        <v>0</v>
      </c>
      <c r="Q953" t="n">
        <v>0</v>
      </c>
      <c r="R953" s="2" t="inlineStr"/>
    </row>
    <row r="954" ht="15" customHeight="1">
      <c r="A954" t="inlineStr">
        <is>
          <t>A 11665-2022</t>
        </is>
      </c>
      <c r="B954" s="1" t="n">
        <v>44632</v>
      </c>
      <c r="C954" s="1" t="n">
        <v>45726</v>
      </c>
      <c r="D954" t="inlineStr">
        <is>
          <t>VÄRMLANDS LÄN</t>
        </is>
      </c>
      <c r="E954" t="inlineStr">
        <is>
          <t>TORSBY</t>
        </is>
      </c>
      <c r="G954" t="n">
        <v>4.1</v>
      </c>
      <c r="H954" t="n">
        <v>0</v>
      </c>
      <c r="I954" t="n">
        <v>0</v>
      </c>
      <c r="J954" t="n">
        <v>0</v>
      </c>
      <c r="K954" t="n">
        <v>0</v>
      </c>
      <c r="L954" t="n">
        <v>0</v>
      </c>
      <c r="M954" t="n">
        <v>0</v>
      </c>
      <c r="N954" t="n">
        <v>0</v>
      </c>
      <c r="O954" t="n">
        <v>0</v>
      </c>
      <c r="P954" t="n">
        <v>0</v>
      </c>
      <c r="Q954" t="n">
        <v>0</v>
      </c>
      <c r="R954" s="2" t="inlineStr"/>
    </row>
    <row r="955" ht="15" customHeight="1">
      <c r="A955" t="inlineStr">
        <is>
          <t>A 11667-2022</t>
        </is>
      </c>
      <c r="B955" s="1" t="n">
        <v>44632</v>
      </c>
      <c r="C955" s="1" t="n">
        <v>45726</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11664-2022</t>
        </is>
      </c>
      <c r="B956" s="1" t="n">
        <v>44632</v>
      </c>
      <c r="C956" s="1" t="n">
        <v>45726</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11666-2022</t>
        </is>
      </c>
      <c r="B957" s="1" t="n">
        <v>44632</v>
      </c>
      <c r="C957" s="1" t="n">
        <v>45726</v>
      </c>
      <c r="D957" t="inlineStr">
        <is>
          <t>VÄRMLANDS LÄN</t>
        </is>
      </c>
      <c r="E957" t="inlineStr">
        <is>
          <t>TORSBY</t>
        </is>
      </c>
      <c r="G957" t="n">
        <v>3.6</v>
      </c>
      <c r="H957" t="n">
        <v>0</v>
      </c>
      <c r="I957" t="n">
        <v>0</v>
      </c>
      <c r="J957" t="n">
        <v>0</v>
      </c>
      <c r="K957" t="n">
        <v>0</v>
      </c>
      <c r="L957" t="n">
        <v>0</v>
      </c>
      <c r="M957" t="n">
        <v>0</v>
      </c>
      <c r="N957" t="n">
        <v>0</v>
      </c>
      <c r="O957" t="n">
        <v>0</v>
      </c>
      <c r="P957" t="n">
        <v>0</v>
      </c>
      <c r="Q957" t="n">
        <v>0</v>
      </c>
      <c r="R957" s="2" t="inlineStr"/>
    </row>
    <row r="958" ht="15" customHeight="1">
      <c r="A958" t="inlineStr">
        <is>
          <t>A 11922-2022</t>
        </is>
      </c>
      <c r="B958" s="1" t="n">
        <v>44635</v>
      </c>
      <c r="C958" s="1" t="n">
        <v>45726</v>
      </c>
      <c r="D958" t="inlineStr">
        <is>
          <t>VÄRMLANDS LÄN</t>
        </is>
      </c>
      <c r="E958" t="inlineStr">
        <is>
          <t>TORSBY</t>
        </is>
      </c>
      <c r="G958" t="n">
        <v>2.6</v>
      </c>
      <c r="H958" t="n">
        <v>0</v>
      </c>
      <c r="I958" t="n">
        <v>0</v>
      </c>
      <c r="J958" t="n">
        <v>0</v>
      </c>
      <c r="K958" t="n">
        <v>0</v>
      </c>
      <c r="L958" t="n">
        <v>0</v>
      </c>
      <c r="M958" t="n">
        <v>0</v>
      </c>
      <c r="N958" t="n">
        <v>0</v>
      </c>
      <c r="O958" t="n">
        <v>0</v>
      </c>
      <c r="P958" t="n">
        <v>0</v>
      </c>
      <c r="Q958" t="n">
        <v>0</v>
      </c>
      <c r="R958" s="2" t="inlineStr"/>
    </row>
    <row r="959" ht="15" customHeight="1">
      <c r="A959" t="inlineStr">
        <is>
          <t>A 11918-2022</t>
        </is>
      </c>
      <c r="B959" s="1" t="n">
        <v>44635</v>
      </c>
      <c r="C959" s="1" t="n">
        <v>45726</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12310-2022</t>
        </is>
      </c>
      <c r="B960" s="1" t="n">
        <v>44636</v>
      </c>
      <c r="C960" s="1" t="n">
        <v>45726</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12365-2022</t>
        </is>
      </c>
      <c r="B961" s="1" t="n">
        <v>44637</v>
      </c>
      <c r="C961" s="1" t="n">
        <v>45726</v>
      </c>
      <c r="D961" t="inlineStr">
        <is>
          <t>VÄRMLANDS LÄN</t>
        </is>
      </c>
      <c r="E961" t="inlineStr">
        <is>
          <t>TORSBY</t>
        </is>
      </c>
      <c r="G961" t="n">
        <v>3.5</v>
      </c>
      <c r="H961" t="n">
        <v>0</v>
      </c>
      <c r="I961" t="n">
        <v>0</v>
      </c>
      <c r="J961" t="n">
        <v>0</v>
      </c>
      <c r="K961" t="n">
        <v>0</v>
      </c>
      <c r="L961" t="n">
        <v>0</v>
      </c>
      <c r="M961" t="n">
        <v>0</v>
      </c>
      <c r="N961" t="n">
        <v>0</v>
      </c>
      <c r="O961" t="n">
        <v>0</v>
      </c>
      <c r="P961" t="n">
        <v>0</v>
      </c>
      <c r="Q961" t="n">
        <v>0</v>
      </c>
      <c r="R961" s="2" t="inlineStr"/>
    </row>
    <row r="962" ht="15" customHeight="1">
      <c r="A962" t="inlineStr">
        <is>
          <t>A 13207-2022</t>
        </is>
      </c>
      <c r="B962" s="1" t="n">
        <v>44644</v>
      </c>
      <c r="C962" s="1" t="n">
        <v>45726</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13698-2022</t>
        </is>
      </c>
      <c r="B963" s="1" t="n">
        <v>44648</v>
      </c>
      <c r="C963" s="1" t="n">
        <v>45726</v>
      </c>
      <c r="D963" t="inlineStr">
        <is>
          <t>VÄRMLANDS LÄN</t>
        </is>
      </c>
      <c r="E963" t="inlineStr">
        <is>
          <t>TORSBY</t>
        </is>
      </c>
      <c r="G963" t="n">
        <v>0.5</v>
      </c>
      <c r="H963" t="n">
        <v>0</v>
      </c>
      <c r="I963" t="n">
        <v>0</v>
      </c>
      <c r="J963" t="n">
        <v>0</v>
      </c>
      <c r="K963" t="n">
        <v>0</v>
      </c>
      <c r="L963" t="n">
        <v>0</v>
      </c>
      <c r="M963" t="n">
        <v>0</v>
      </c>
      <c r="N963" t="n">
        <v>0</v>
      </c>
      <c r="O963" t="n">
        <v>0</v>
      </c>
      <c r="P963" t="n">
        <v>0</v>
      </c>
      <c r="Q963" t="n">
        <v>0</v>
      </c>
      <c r="R963" s="2" t="inlineStr"/>
    </row>
    <row r="964" ht="15" customHeight="1">
      <c r="A964" t="inlineStr">
        <is>
          <t>A 13896-2022</t>
        </is>
      </c>
      <c r="B964" s="1" t="n">
        <v>44650</v>
      </c>
      <c r="C964" s="1" t="n">
        <v>45726</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14145-2022</t>
        </is>
      </c>
      <c r="B965" s="1" t="n">
        <v>44651</v>
      </c>
      <c r="C965" s="1" t="n">
        <v>45726</v>
      </c>
      <c r="D965" t="inlineStr">
        <is>
          <t>VÄRMLANDS LÄN</t>
        </is>
      </c>
      <c r="E965" t="inlineStr">
        <is>
          <t>TORSBY</t>
        </is>
      </c>
      <c r="G965" t="n">
        <v>2</v>
      </c>
      <c r="H965" t="n">
        <v>0</v>
      </c>
      <c r="I965" t="n">
        <v>0</v>
      </c>
      <c r="J965" t="n">
        <v>0</v>
      </c>
      <c r="K965" t="n">
        <v>0</v>
      </c>
      <c r="L965" t="n">
        <v>0</v>
      </c>
      <c r="M965" t="n">
        <v>0</v>
      </c>
      <c r="N965" t="n">
        <v>0</v>
      </c>
      <c r="O965" t="n">
        <v>0</v>
      </c>
      <c r="P965" t="n">
        <v>0</v>
      </c>
      <c r="Q965" t="n">
        <v>0</v>
      </c>
      <c r="R965" s="2" t="inlineStr"/>
    </row>
    <row r="966" ht="15" customHeight="1">
      <c r="A966" t="inlineStr">
        <is>
          <t>A 14168-2022</t>
        </is>
      </c>
      <c r="B966" s="1" t="n">
        <v>44651</v>
      </c>
      <c r="C966" s="1" t="n">
        <v>45726</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14320-2022</t>
        </is>
      </c>
      <c r="B967" s="1" t="n">
        <v>44652</v>
      </c>
      <c r="C967" s="1" t="n">
        <v>45726</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15461-2022</t>
        </is>
      </c>
      <c r="B968" s="1" t="n">
        <v>44661</v>
      </c>
      <c r="C968" s="1" t="n">
        <v>45726</v>
      </c>
      <c r="D968" t="inlineStr">
        <is>
          <t>VÄRMLANDS LÄN</t>
        </is>
      </c>
      <c r="E968" t="inlineStr">
        <is>
          <t>TORSBY</t>
        </is>
      </c>
      <c r="G968" t="n">
        <v>13.1</v>
      </c>
      <c r="H968" t="n">
        <v>0</v>
      </c>
      <c r="I968" t="n">
        <v>0</v>
      </c>
      <c r="J968" t="n">
        <v>0</v>
      </c>
      <c r="K968" t="n">
        <v>0</v>
      </c>
      <c r="L968" t="n">
        <v>0</v>
      </c>
      <c r="M968" t="n">
        <v>0</v>
      </c>
      <c r="N968" t="n">
        <v>0</v>
      </c>
      <c r="O968" t="n">
        <v>0</v>
      </c>
      <c r="P968" t="n">
        <v>0</v>
      </c>
      <c r="Q968" t="n">
        <v>0</v>
      </c>
      <c r="R968" s="2" t="inlineStr"/>
    </row>
    <row r="969" ht="15" customHeight="1">
      <c r="A969" t="inlineStr">
        <is>
          <t>A 15460-2022</t>
        </is>
      </c>
      <c r="B969" s="1" t="n">
        <v>44661</v>
      </c>
      <c r="C969" s="1" t="n">
        <v>45726</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16080-2022</t>
        </is>
      </c>
      <c r="B970" s="1" t="n">
        <v>44665</v>
      </c>
      <c r="C970" s="1" t="n">
        <v>45726</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16010-2022</t>
        </is>
      </c>
      <c r="B971" s="1" t="n">
        <v>44665</v>
      </c>
      <c r="C971" s="1" t="n">
        <v>45726</v>
      </c>
      <c r="D971" t="inlineStr">
        <is>
          <t>VÄRMLANDS LÄN</t>
        </is>
      </c>
      <c r="E971" t="inlineStr">
        <is>
          <t>TORSBY</t>
        </is>
      </c>
      <c r="F971" t="inlineStr">
        <is>
          <t>Bergvik skog väst AB</t>
        </is>
      </c>
      <c r="G971" t="n">
        <v>18.7</v>
      </c>
      <c r="H971" t="n">
        <v>0</v>
      </c>
      <c r="I971" t="n">
        <v>0</v>
      </c>
      <c r="J971" t="n">
        <v>0</v>
      </c>
      <c r="K971" t="n">
        <v>0</v>
      </c>
      <c r="L971" t="n">
        <v>0</v>
      </c>
      <c r="M971" t="n">
        <v>0</v>
      </c>
      <c r="N971" t="n">
        <v>0</v>
      </c>
      <c r="O971" t="n">
        <v>0</v>
      </c>
      <c r="P971" t="n">
        <v>0</v>
      </c>
      <c r="Q971" t="n">
        <v>0</v>
      </c>
      <c r="R971" s="2" t="inlineStr"/>
    </row>
    <row r="972" ht="15" customHeight="1">
      <c r="A972" t="inlineStr">
        <is>
          <t>A 16425-2022</t>
        </is>
      </c>
      <c r="B972" s="1" t="n">
        <v>44671</v>
      </c>
      <c r="C972" s="1" t="n">
        <v>45726</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16498-2022</t>
        </is>
      </c>
      <c r="B973" s="1" t="n">
        <v>44671</v>
      </c>
      <c r="C973" s="1" t="n">
        <v>45726</v>
      </c>
      <c r="D973" t="inlineStr">
        <is>
          <t>VÄRMLANDS LÄN</t>
        </is>
      </c>
      <c r="E973" t="inlineStr">
        <is>
          <t>TORSBY</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17765-2022</t>
        </is>
      </c>
      <c r="B974" s="1" t="n">
        <v>44681</v>
      </c>
      <c r="C974" s="1" t="n">
        <v>45726</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18101-2022</t>
        </is>
      </c>
      <c r="B975" s="1" t="n">
        <v>44684</v>
      </c>
      <c r="C975" s="1" t="n">
        <v>45726</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18105-2022</t>
        </is>
      </c>
      <c r="B976" s="1" t="n">
        <v>44684</v>
      </c>
      <c r="C976" s="1" t="n">
        <v>45726</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18099-2022</t>
        </is>
      </c>
      <c r="B977" s="1" t="n">
        <v>44684</v>
      </c>
      <c r="C977" s="1" t="n">
        <v>45726</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18347-2022</t>
        </is>
      </c>
      <c r="B978" s="1" t="n">
        <v>44685</v>
      </c>
      <c r="C978" s="1" t="n">
        <v>45726</v>
      </c>
      <c r="D978" t="inlineStr">
        <is>
          <t>VÄRMLANDS LÄN</t>
        </is>
      </c>
      <c r="E978" t="inlineStr">
        <is>
          <t>TORSBY</t>
        </is>
      </c>
      <c r="F978" t="inlineStr">
        <is>
          <t>Bergvik skog väst AB</t>
        </is>
      </c>
      <c r="G978" t="n">
        <v>14.6</v>
      </c>
      <c r="H978" t="n">
        <v>0</v>
      </c>
      <c r="I978" t="n">
        <v>0</v>
      </c>
      <c r="J978" t="n">
        <v>0</v>
      </c>
      <c r="K978" t="n">
        <v>0</v>
      </c>
      <c r="L978" t="n">
        <v>0</v>
      </c>
      <c r="M978" t="n">
        <v>0</v>
      </c>
      <c r="N978" t="n">
        <v>0</v>
      </c>
      <c r="O978" t="n">
        <v>0</v>
      </c>
      <c r="P978" t="n">
        <v>0</v>
      </c>
      <c r="Q978" t="n">
        <v>0</v>
      </c>
      <c r="R978" s="2" t="inlineStr"/>
    </row>
    <row r="979" ht="15" customHeight="1">
      <c r="A979" t="inlineStr">
        <is>
          <t>A 18628-2022</t>
        </is>
      </c>
      <c r="B979" s="1" t="n">
        <v>44687</v>
      </c>
      <c r="C979" s="1" t="n">
        <v>45726</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18779-2022</t>
        </is>
      </c>
      <c r="B980" s="1" t="n">
        <v>44689</v>
      </c>
      <c r="C980" s="1" t="n">
        <v>45726</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18897-2022</t>
        </is>
      </c>
      <c r="B981" s="1" t="n">
        <v>44690</v>
      </c>
      <c r="C981" s="1" t="n">
        <v>45726</v>
      </c>
      <c r="D981" t="inlineStr">
        <is>
          <t>VÄRMLANDS LÄN</t>
        </is>
      </c>
      <c r="E981" t="inlineStr">
        <is>
          <t>TORSBY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18877-2022</t>
        </is>
      </c>
      <c r="B982" s="1" t="n">
        <v>44690</v>
      </c>
      <c r="C982" s="1" t="n">
        <v>45726</v>
      </c>
      <c r="D982" t="inlineStr">
        <is>
          <t>VÄRMLANDS LÄN</t>
        </is>
      </c>
      <c r="E982" t="inlineStr">
        <is>
          <t>TORSBY</t>
        </is>
      </c>
      <c r="G982" t="n">
        <v>3.1</v>
      </c>
      <c r="H982" t="n">
        <v>0</v>
      </c>
      <c r="I982" t="n">
        <v>0</v>
      </c>
      <c r="J982" t="n">
        <v>0</v>
      </c>
      <c r="K982" t="n">
        <v>0</v>
      </c>
      <c r="L982" t="n">
        <v>0</v>
      </c>
      <c r="M982" t="n">
        <v>0</v>
      </c>
      <c r="N982" t="n">
        <v>0</v>
      </c>
      <c r="O982" t="n">
        <v>0</v>
      </c>
      <c r="P982" t="n">
        <v>0</v>
      </c>
      <c r="Q982" t="n">
        <v>0</v>
      </c>
      <c r="R982" s="2" t="inlineStr"/>
    </row>
    <row r="983" ht="15" customHeight="1">
      <c r="A983" t="inlineStr">
        <is>
          <t>A 18903-2022</t>
        </is>
      </c>
      <c r="B983" s="1" t="n">
        <v>44690</v>
      </c>
      <c r="C983" s="1" t="n">
        <v>45726</v>
      </c>
      <c r="D983" t="inlineStr">
        <is>
          <t>VÄRMLANDS LÄN</t>
        </is>
      </c>
      <c r="E983" t="inlineStr">
        <is>
          <t>TORSBY</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19171-2022</t>
        </is>
      </c>
      <c r="B984" s="1" t="n">
        <v>44691</v>
      </c>
      <c r="C984" s="1" t="n">
        <v>45726</v>
      </c>
      <c r="D984" t="inlineStr">
        <is>
          <t>VÄRMLANDS LÄN</t>
        </is>
      </c>
      <c r="E984" t="inlineStr">
        <is>
          <t>TORSBY</t>
        </is>
      </c>
      <c r="F984" t="inlineStr">
        <is>
          <t>Bergvik skog väst AB</t>
        </is>
      </c>
      <c r="G984" t="n">
        <v>23.3</v>
      </c>
      <c r="H984" t="n">
        <v>0</v>
      </c>
      <c r="I984" t="n">
        <v>0</v>
      </c>
      <c r="J984" t="n">
        <v>0</v>
      </c>
      <c r="K984" t="n">
        <v>0</v>
      </c>
      <c r="L984" t="n">
        <v>0</v>
      </c>
      <c r="M984" t="n">
        <v>0</v>
      </c>
      <c r="N984" t="n">
        <v>0</v>
      </c>
      <c r="O984" t="n">
        <v>0</v>
      </c>
      <c r="P984" t="n">
        <v>0</v>
      </c>
      <c r="Q984" t="n">
        <v>0</v>
      </c>
      <c r="R984" s="2" t="inlineStr"/>
    </row>
    <row r="985" ht="15" customHeight="1">
      <c r="A985" t="inlineStr">
        <is>
          <t>A 19307-2022</t>
        </is>
      </c>
      <c r="B985" s="1" t="n">
        <v>44692</v>
      </c>
      <c r="C985" s="1" t="n">
        <v>45726</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19489-2022</t>
        </is>
      </c>
      <c r="B986" s="1" t="n">
        <v>44693</v>
      </c>
      <c r="C986" s="1" t="n">
        <v>45726</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19632-2022</t>
        </is>
      </c>
      <c r="B987" s="1" t="n">
        <v>44694</v>
      </c>
      <c r="C987" s="1" t="n">
        <v>45726</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19614-2022</t>
        </is>
      </c>
      <c r="B988" s="1" t="n">
        <v>44694</v>
      </c>
      <c r="C988" s="1" t="n">
        <v>45726</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20045-2022</t>
        </is>
      </c>
      <c r="B989" s="1" t="n">
        <v>44697</v>
      </c>
      <c r="C989" s="1" t="n">
        <v>45726</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20046-2022</t>
        </is>
      </c>
      <c r="B990" s="1" t="n">
        <v>44697</v>
      </c>
      <c r="C990" s="1" t="n">
        <v>45726</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20009-2022</t>
        </is>
      </c>
      <c r="B991" s="1" t="n">
        <v>44697</v>
      </c>
      <c r="C991" s="1" t="n">
        <v>45726</v>
      </c>
      <c r="D991" t="inlineStr">
        <is>
          <t>VÄRMLANDS LÄN</t>
        </is>
      </c>
      <c r="E991" t="inlineStr">
        <is>
          <t>TORSBY</t>
        </is>
      </c>
      <c r="G991" t="n">
        <v>14.4</v>
      </c>
      <c r="H991" t="n">
        <v>0</v>
      </c>
      <c r="I991" t="n">
        <v>0</v>
      </c>
      <c r="J991" t="n">
        <v>0</v>
      </c>
      <c r="K991" t="n">
        <v>0</v>
      </c>
      <c r="L991" t="n">
        <v>0</v>
      </c>
      <c r="M991" t="n">
        <v>0</v>
      </c>
      <c r="N991" t="n">
        <v>0</v>
      </c>
      <c r="O991" t="n">
        <v>0</v>
      </c>
      <c r="P991" t="n">
        <v>0</v>
      </c>
      <c r="Q991" t="n">
        <v>0</v>
      </c>
      <c r="R991" s="2" t="inlineStr"/>
    </row>
    <row r="992" ht="15" customHeight="1">
      <c r="A992" t="inlineStr">
        <is>
          <t>A 20168-2022</t>
        </is>
      </c>
      <c r="B992" s="1" t="n">
        <v>44698</v>
      </c>
      <c r="C992" s="1" t="n">
        <v>45726</v>
      </c>
      <c r="D992" t="inlineStr">
        <is>
          <t>VÄRMLANDS LÄN</t>
        </is>
      </c>
      <c r="E992" t="inlineStr">
        <is>
          <t>TORSBY</t>
        </is>
      </c>
      <c r="G992" t="n">
        <v>6.6</v>
      </c>
      <c r="H992" t="n">
        <v>0</v>
      </c>
      <c r="I992" t="n">
        <v>0</v>
      </c>
      <c r="J992" t="n">
        <v>0</v>
      </c>
      <c r="K992" t="n">
        <v>0</v>
      </c>
      <c r="L992" t="n">
        <v>0</v>
      </c>
      <c r="M992" t="n">
        <v>0</v>
      </c>
      <c r="N992" t="n">
        <v>0</v>
      </c>
      <c r="O992" t="n">
        <v>0</v>
      </c>
      <c r="P992" t="n">
        <v>0</v>
      </c>
      <c r="Q992" t="n">
        <v>0</v>
      </c>
      <c r="R992" s="2" t="inlineStr"/>
    </row>
    <row r="993" ht="15" customHeight="1">
      <c r="A993" t="inlineStr">
        <is>
          <t>A 20175-2022</t>
        </is>
      </c>
      <c r="B993" s="1" t="n">
        <v>44698</v>
      </c>
      <c r="C993" s="1" t="n">
        <v>45726</v>
      </c>
      <c r="D993" t="inlineStr">
        <is>
          <t>VÄRMLANDS LÄN</t>
        </is>
      </c>
      <c r="E993" t="inlineStr">
        <is>
          <t>TORSBY</t>
        </is>
      </c>
      <c r="G993" t="n">
        <v>2.8</v>
      </c>
      <c r="H993" t="n">
        <v>0</v>
      </c>
      <c r="I993" t="n">
        <v>0</v>
      </c>
      <c r="J993" t="n">
        <v>0</v>
      </c>
      <c r="K993" t="n">
        <v>0</v>
      </c>
      <c r="L993" t="n">
        <v>0</v>
      </c>
      <c r="M993" t="n">
        <v>0</v>
      </c>
      <c r="N993" t="n">
        <v>0</v>
      </c>
      <c r="O993" t="n">
        <v>0</v>
      </c>
      <c r="P993" t="n">
        <v>0</v>
      </c>
      <c r="Q993" t="n">
        <v>0</v>
      </c>
      <c r="R993" s="2" t="inlineStr"/>
    </row>
    <row r="994" ht="15" customHeight="1">
      <c r="A994" t="inlineStr">
        <is>
          <t>A 20174-2022</t>
        </is>
      </c>
      <c r="B994" s="1" t="n">
        <v>44698</v>
      </c>
      <c r="C994" s="1" t="n">
        <v>45726</v>
      </c>
      <c r="D994" t="inlineStr">
        <is>
          <t>VÄRMLANDS LÄN</t>
        </is>
      </c>
      <c r="E994" t="inlineStr">
        <is>
          <t>TORSBY</t>
        </is>
      </c>
      <c r="G994" t="n">
        <v>4.4</v>
      </c>
      <c r="H994" t="n">
        <v>0</v>
      </c>
      <c r="I994" t="n">
        <v>0</v>
      </c>
      <c r="J994" t="n">
        <v>0</v>
      </c>
      <c r="K994" t="n">
        <v>0</v>
      </c>
      <c r="L994" t="n">
        <v>0</v>
      </c>
      <c r="M994" t="n">
        <v>0</v>
      </c>
      <c r="N994" t="n">
        <v>0</v>
      </c>
      <c r="O994" t="n">
        <v>0</v>
      </c>
      <c r="P994" t="n">
        <v>0</v>
      </c>
      <c r="Q994" t="n">
        <v>0</v>
      </c>
      <c r="R994" s="2" t="inlineStr"/>
    </row>
    <row r="995" ht="15" customHeight="1">
      <c r="A995" t="inlineStr">
        <is>
          <t>A 20382-2022</t>
        </is>
      </c>
      <c r="B995" s="1" t="n">
        <v>44699</v>
      </c>
      <c r="C995" s="1" t="n">
        <v>45726</v>
      </c>
      <c r="D995" t="inlineStr">
        <is>
          <t>VÄRMLANDS LÄN</t>
        </is>
      </c>
      <c r="E995" t="inlineStr">
        <is>
          <t>TORSBY</t>
        </is>
      </c>
      <c r="G995" t="n">
        <v>14.3</v>
      </c>
      <c r="H995" t="n">
        <v>0</v>
      </c>
      <c r="I995" t="n">
        <v>0</v>
      </c>
      <c r="J995" t="n">
        <v>0</v>
      </c>
      <c r="K995" t="n">
        <v>0</v>
      </c>
      <c r="L995" t="n">
        <v>0</v>
      </c>
      <c r="M995" t="n">
        <v>0</v>
      </c>
      <c r="N995" t="n">
        <v>0</v>
      </c>
      <c r="O995" t="n">
        <v>0</v>
      </c>
      <c r="P995" t="n">
        <v>0</v>
      </c>
      <c r="Q995" t="n">
        <v>0</v>
      </c>
      <c r="R995" s="2" t="inlineStr"/>
    </row>
    <row r="996" ht="15" customHeight="1">
      <c r="A996" t="inlineStr">
        <is>
          <t>A 20819-2022</t>
        </is>
      </c>
      <c r="B996" s="1" t="n">
        <v>44699</v>
      </c>
      <c r="C996" s="1" t="n">
        <v>45726</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20881-2022</t>
        </is>
      </c>
      <c r="B997" s="1" t="n">
        <v>44701</v>
      </c>
      <c r="C997" s="1" t="n">
        <v>45726</v>
      </c>
      <c r="D997" t="inlineStr">
        <is>
          <t>VÄRMLANDS LÄN</t>
        </is>
      </c>
      <c r="E997" t="inlineStr">
        <is>
          <t>TORSBY</t>
        </is>
      </c>
      <c r="F997" t="inlineStr">
        <is>
          <t>Bergvik skog väst AB</t>
        </is>
      </c>
      <c r="G997" t="n">
        <v>17.2</v>
      </c>
      <c r="H997" t="n">
        <v>0</v>
      </c>
      <c r="I997" t="n">
        <v>0</v>
      </c>
      <c r="J997" t="n">
        <v>0</v>
      </c>
      <c r="K997" t="n">
        <v>0</v>
      </c>
      <c r="L997" t="n">
        <v>0</v>
      </c>
      <c r="M997" t="n">
        <v>0</v>
      </c>
      <c r="N997" t="n">
        <v>0</v>
      </c>
      <c r="O997" t="n">
        <v>0</v>
      </c>
      <c r="P997" t="n">
        <v>0</v>
      </c>
      <c r="Q997" t="n">
        <v>0</v>
      </c>
      <c r="R997" s="2" t="inlineStr"/>
    </row>
    <row r="998" ht="15" customHeight="1">
      <c r="A998" t="inlineStr">
        <is>
          <t>A 20907-2022</t>
        </is>
      </c>
      <c r="B998" s="1" t="n">
        <v>44701</v>
      </c>
      <c r="C998" s="1" t="n">
        <v>45726</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20899-2022</t>
        </is>
      </c>
      <c r="B999" s="1" t="n">
        <v>44701</v>
      </c>
      <c r="C999" s="1" t="n">
        <v>45726</v>
      </c>
      <c r="D999" t="inlineStr">
        <is>
          <t>VÄRMLANDS LÄN</t>
        </is>
      </c>
      <c r="E999" t="inlineStr">
        <is>
          <t>TORSBY</t>
        </is>
      </c>
      <c r="G999" t="n">
        <v>7.2</v>
      </c>
      <c r="H999" t="n">
        <v>0</v>
      </c>
      <c r="I999" t="n">
        <v>0</v>
      </c>
      <c r="J999" t="n">
        <v>0</v>
      </c>
      <c r="K999" t="n">
        <v>0</v>
      </c>
      <c r="L999" t="n">
        <v>0</v>
      </c>
      <c r="M999" t="n">
        <v>0</v>
      </c>
      <c r="N999" t="n">
        <v>0</v>
      </c>
      <c r="O999" t="n">
        <v>0</v>
      </c>
      <c r="P999" t="n">
        <v>0</v>
      </c>
      <c r="Q999" t="n">
        <v>0</v>
      </c>
      <c r="R999" s="2" t="inlineStr"/>
    </row>
    <row r="1000" ht="15" customHeight="1">
      <c r="A1000" t="inlineStr">
        <is>
          <t>A 21094-2022</t>
        </is>
      </c>
      <c r="B1000" s="1" t="n">
        <v>44704</v>
      </c>
      <c r="C1000" s="1" t="n">
        <v>45726</v>
      </c>
      <c r="D1000" t="inlineStr">
        <is>
          <t>VÄRMLANDS LÄN</t>
        </is>
      </c>
      <c r="E1000" t="inlineStr">
        <is>
          <t>TORSBY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21070-2022</t>
        </is>
      </c>
      <c r="B1001" s="1" t="n">
        <v>44704</v>
      </c>
      <c r="C1001" s="1" t="n">
        <v>45726</v>
      </c>
      <c r="D1001" t="inlineStr">
        <is>
          <t>VÄRMLANDS LÄN</t>
        </is>
      </c>
      <c r="E1001" t="inlineStr">
        <is>
          <t>TORSBY</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21089-2022</t>
        </is>
      </c>
      <c r="B1002" s="1" t="n">
        <v>44704</v>
      </c>
      <c r="C1002" s="1" t="n">
        <v>45726</v>
      </c>
      <c r="D1002" t="inlineStr">
        <is>
          <t>VÄRMLANDS LÄN</t>
        </is>
      </c>
      <c r="E1002" t="inlineStr">
        <is>
          <t>TORSBY</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21516-2022</t>
        </is>
      </c>
      <c r="B1003" s="1" t="n">
        <v>44706</v>
      </c>
      <c r="C1003" s="1" t="n">
        <v>45726</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21465-2022</t>
        </is>
      </c>
      <c r="B1004" s="1" t="n">
        <v>44706</v>
      </c>
      <c r="C1004" s="1" t="n">
        <v>45726</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21521-2022</t>
        </is>
      </c>
      <c r="B1005" s="1" t="n">
        <v>44706</v>
      </c>
      <c r="C1005" s="1" t="n">
        <v>45726</v>
      </c>
      <c r="D1005" t="inlineStr">
        <is>
          <t>VÄRMLANDS LÄN</t>
        </is>
      </c>
      <c r="E1005" t="inlineStr">
        <is>
          <t>TORSBY</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22158-2022</t>
        </is>
      </c>
      <c r="B1006" s="1" t="n">
        <v>44708</v>
      </c>
      <c r="C1006" s="1" t="n">
        <v>45726</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22124-2022</t>
        </is>
      </c>
      <c r="B1007" s="1" t="n">
        <v>44712</v>
      </c>
      <c r="C1007" s="1" t="n">
        <v>45726</v>
      </c>
      <c r="D1007" t="inlineStr">
        <is>
          <t>VÄRMLANDS LÄN</t>
        </is>
      </c>
      <c r="E1007" t="inlineStr">
        <is>
          <t>TORSBY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22635-2022</t>
        </is>
      </c>
      <c r="B1008" s="1" t="n">
        <v>44714</v>
      </c>
      <c r="C1008" s="1" t="n">
        <v>45726</v>
      </c>
      <c r="D1008" t="inlineStr">
        <is>
          <t>VÄRMLANDS LÄN</t>
        </is>
      </c>
      <c r="E1008" t="inlineStr">
        <is>
          <t>TORSBY</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22662-2022</t>
        </is>
      </c>
      <c r="B1009" s="1" t="n">
        <v>44714</v>
      </c>
      <c r="C1009" s="1" t="n">
        <v>45726</v>
      </c>
      <c r="D1009" t="inlineStr">
        <is>
          <t>VÄRMLANDS LÄN</t>
        </is>
      </c>
      <c r="E1009" t="inlineStr">
        <is>
          <t>TORSBY</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22826-2022</t>
        </is>
      </c>
      <c r="B1010" s="1" t="n">
        <v>44714</v>
      </c>
      <c r="C1010" s="1" t="n">
        <v>45726</v>
      </c>
      <c r="D1010" t="inlineStr">
        <is>
          <t>VÄRMLANDS LÄN</t>
        </is>
      </c>
      <c r="E1010" t="inlineStr">
        <is>
          <t>TORSBY</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22823-2022</t>
        </is>
      </c>
      <c r="B1011" s="1" t="n">
        <v>44714</v>
      </c>
      <c r="C1011" s="1" t="n">
        <v>45726</v>
      </c>
      <c r="D1011" t="inlineStr">
        <is>
          <t>VÄRMLANDS LÄN</t>
        </is>
      </c>
      <c r="E1011" t="inlineStr">
        <is>
          <t>TORSBY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23185-2022</t>
        </is>
      </c>
      <c r="B1012" s="1" t="n">
        <v>44719</v>
      </c>
      <c r="C1012" s="1" t="n">
        <v>45726</v>
      </c>
      <c r="D1012" t="inlineStr">
        <is>
          <t>VÄRMLANDS LÄN</t>
        </is>
      </c>
      <c r="E1012" t="inlineStr">
        <is>
          <t>TORSBY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23011-2022</t>
        </is>
      </c>
      <c r="B1013" s="1" t="n">
        <v>44719</v>
      </c>
      <c r="C1013" s="1" t="n">
        <v>45726</v>
      </c>
      <c r="D1013" t="inlineStr">
        <is>
          <t>VÄRMLANDS LÄN</t>
        </is>
      </c>
      <c r="E1013" t="inlineStr">
        <is>
          <t>TORSBY</t>
        </is>
      </c>
      <c r="F1013" t="inlineStr">
        <is>
          <t>Bergvik skog väst AB</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23264-2022</t>
        </is>
      </c>
      <c r="B1014" s="1" t="n">
        <v>44720</v>
      </c>
      <c r="C1014" s="1" t="n">
        <v>45726</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23343-2022</t>
        </is>
      </c>
      <c r="B1015" s="1" t="n">
        <v>44720</v>
      </c>
      <c r="C1015" s="1" t="n">
        <v>45726</v>
      </c>
      <c r="D1015" t="inlineStr">
        <is>
          <t>VÄRMLANDS LÄN</t>
        </is>
      </c>
      <c r="E1015" t="inlineStr">
        <is>
          <t>TORSBY</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23401-2022</t>
        </is>
      </c>
      <c r="B1016" s="1" t="n">
        <v>44720</v>
      </c>
      <c r="C1016" s="1" t="n">
        <v>45726</v>
      </c>
      <c r="D1016" t="inlineStr">
        <is>
          <t>VÄRMLANDS LÄN</t>
        </is>
      </c>
      <c r="E1016" t="inlineStr">
        <is>
          <t>TORSBY</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23405-2022</t>
        </is>
      </c>
      <c r="B1017" s="1" t="n">
        <v>44720</v>
      </c>
      <c r="C1017" s="1" t="n">
        <v>45726</v>
      </c>
      <c r="D1017" t="inlineStr">
        <is>
          <t>VÄRMLANDS LÄN</t>
        </is>
      </c>
      <c r="E1017" t="inlineStr">
        <is>
          <t>TORSBY</t>
        </is>
      </c>
      <c r="F1017" t="inlineStr">
        <is>
          <t>Bergvik skog väst AB</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23803-2022</t>
        </is>
      </c>
      <c r="B1018" s="1" t="n">
        <v>44720</v>
      </c>
      <c r="C1018" s="1" t="n">
        <v>45726</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23804-2022</t>
        </is>
      </c>
      <c r="B1019" s="1" t="n">
        <v>44722</v>
      </c>
      <c r="C1019" s="1" t="n">
        <v>45726</v>
      </c>
      <c r="D1019" t="inlineStr">
        <is>
          <t>VÄRMLANDS LÄN</t>
        </is>
      </c>
      <c r="E1019" t="inlineStr">
        <is>
          <t>TORSBY</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23823-2022</t>
        </is>
      </c>
      <c r="B1020" s="1" t="n">
        <v>44722</v>
      </c>
      <c r="C1020" s="1" t="n">
        <v>45726</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23735-2022</t>
        </is>
      </c>
      <c r="B1021" s="1" t="n">
        <v>44722</v>
      </c>
      <c r="C1021" s="1" t="n">
        <v>45726</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23818-2022</t>
        </is>
      </c>
      <c r="B1022" s="1" t="n">
        <v>44722</v>
      </c>
      <c r="C1022" s="1" t="n">
        <v>45726</v>
      </c>
      <c r="D1022" t="inlineStr">
        <is>
          <t>VÄRMLANDS LÄN</t>
        </is>
      </c>
      <c r="E1022" t="inlineStr">
        <is>
          <t>TORSBY</t>
        </is>
      </c>
      <c r="G1022" t="n">
        <v>23.5</v>
      </c>
      <c r="H1022" t="n">
        <v>0</v>
      </c>
      <c r="I1022" t="n">
        <v>0</v>
      </c>
      <c r="J1022" t="n">
        <v>0</v>
      </c>
      <c r="K1022" t="n">
        <v>0</v>
      </c>
      <c r="L1022" t="n">
        <v>0</v>
      </c>
      <c r="M1022" t="n">
        <v>0</v>
      </c>
      <c r="N1022" t="n">
        <v>0</v>
      </c>
      <c r="O1022" t="n">
        <v>0</v>
      </c>
      <c r="P1022" t="n">
        <v>0</v>
      </c>
      <c r="Q1022" t="n">
        <v>0</v>
      </c>
      <c r="R1022" s="2" t="inlineStr"/>
    </row>
    <row r="1023" ht="15" customHeight="1">
      <c r="A1023" t="inlineStr">
        <is>
          <t>A 23732-2022</t>
        </is>
      </c>
      <c r="B1023" s="1" t="n">
        <v>44722</v>
      </c>
      <c r="C1023" s="1" t="n">
        <v>45726</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23746-2022</t>
        </is>
      </c>
      <c r="B1024" s="1" t="n">
        <v>44722</v>
      </c>
      <c r="C1024" s="1" t="n">
        <v>45726</v>
      </c>
      <c r="D1024" t="inlineStr">
        <is>
          <t>VÄRMLANDS LÄN</t>
        </is>
      </c>
      <c r="E1024" t="inlineStr">
        <is>
          <t>TORSBY</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23851-2022</t>
        </is>
      </c>
      <c r="B1025" s="1" t="n">
        <v>44722</v>
      </c>
      <c r="C1025" s="1" t="n">
        <v>45726</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24960-2022</t>
        </is>
      </c>
      <c r="B1026" s="1" t="n">
        <v>44728</v>
      </c>
      <c r="C1026" s="1" t="n">
        <v>45726</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25537-2022</t>
        </is>
      </c>
      <c r="B1027" s="1" t="n">
        <v>44732</v>
      </c>
      <c r="C1027" s="1" t="n">
        <v>45726</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26686-2022</t>
        </is>
      </c>
      <c r="B1028" s="1" t="n">
        <v>44739</v>
      </c>
      <c r="C1028" s="1" t="n">
        <v>45726</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26842-2022</t>
        </is>
      </c>
      <c r="B1029" s="1" t="n">
        <v>44740</v>
      </c>
      <c r="C1029" s="1" t="n">
        <v>45726</v>
      </c>
      <c r="D1029" t="inlineStr">
        <is>
          <t>VÄRMLANDS LÄN</t>
        </is>
      </c>
      <c r="E1029" t="inlineStr">
        <is>
          <t>TORSBY</t>
        </is>
      </c>
      <c r="F1029" t="inlineStr">
        <is>
          <t>Bergvik skog väst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26988-2022</t>
        </is>
      </c>
      <c r="B1030" s="1" t="n">
        <v>44740</v>
      </c>
      <c r="C1030" s="1" t="n">
        <v>45726</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27223-2022</t>
        </is>
      </c>
      <c r="B1031" s="1" t="n">
        <v>44741</v>
      </c>
      <c r="C1031" s="1" t="n">
        <v>45726</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27686-2022</t>
        </is>
      </c>
      <c r="B1032" s="1" t="n">
        <v>44743</v>
      </c>
      <c r="C1032" s="1" t="n">
        <v>45726</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28008-2022</t>
        </is>
      </c>
      <c r="B1033" s="1" t="n">
        <v>44746</v>
      </c>
      <c r="C1033" s="1" t="n">
        <v>45726</v>
      </c>
      <c r="D1033" t="inlineStr">
        <is>
          <t>VÄRMLANDS LÄN</t>
        </is>
      </c>
      <c r="E1033" t="inlineStr">
        <is>
          <t>TORSBY</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28016-2022</t>
        </is>
      </c>
      <c r="B1034" s="1" t="n">
        <v>44746</v>
      </c>
      <c r="C1034" s="1" t="n">
        <v>45726</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45726</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28172-2022</t>
        </is>
      </c>
      <c r="B1036" s="1" t="n">
        <v>44746</v>
      </c>
      <c r="C1036" s="1" t="n">
        <v>45726</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28471-2022</t>
        </is>
      </c>
      <c r="B1037" s="1" t="n">
        <v>44747</v>
      </c>
      <c r="C1037" s="1" t="n">
        <v>45726</v>
      </c>
      <c r="D1037" t="inlineStr">
        <is>
          <t>VÄRMLANDS LÄN</t>
        </is>
      </c>
      <c r="E1037" t="inlineStr">
        <is>
          <t>TORSBY</t>
        </is>
      </c>
      <c r="F1037" t="inlineStr">
        <is>
          <t>Bergvik skog väst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28955-2022</t>
        </is>
      </c>
      <c r="B1038" s="1" t="n">
        <v>44749</v>
      </c>
      <c r="C1038" s="1" t="n">
        <v>45726</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29142-2022</t>
        </is>
      </c>
      <c r="B1039" s="1" t="n">
        <v>44750</v>
      </c>
      <c r="C1039" s="1" t="n">
        <v>45726</v>
      </c>
      <c r="D1039" t="inlineStr">
        <is>
          <t>VÄRMLANDS LÄN</t>
        </is>
      </c>
      <c r="E1039" t="inlineStr">
        <is>
          <t>TORSBY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29509-2022</t>
        </is>
      </c>
      <c r="B1040" s="1" t="n">
        <v>44753</v>
      </c>
      <c r="C1040" s="1" t="n">
        <v>45726</v>
      </c>
      <c r="D1040" t="inlineStr">
        <is>
          <t>VÄRMLANDS LÄN</t>
        </is>
      </c>
      <c r="E1040" t="inlineStr">
        <is>
          <t>TORSBY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29596-2022</t>
        </is>
      </c>
      <c r="B1041" s="1" t="n">
        <v>44754</v>
      </c>
      <c r="C1041" s="1" t="n">
        <v>45726</v>
      </c>
      <c r="D1041" t="inlineStr">
        <is>
          <t>VÄRMLANDS LÄN</t>
        </is>
      </c>
      <c r="E1041" t="inlineStr">
        <is>
          <t>TORSBY</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29717-2022</t>
        </is>
      </c>
      <c r="B1042" s="1" t="n">
        <v>44755</v>
      </c>
      <c r="C1042" s="1" t="n">
        <v>45726</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29720-2022</t>
        </is>
      </c>
      <c r="B1043" s="1" t="n">
        <v>44755</v>
      </c>
      <c r="C1043" s="1" t="n">
        <v>45726</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29721-2022</t>
        </is>
      </c>
      <c r="B1044" s="1" t="n">
        <v>44755</v>
      </c>
      <c r="C1044" s="1" t="n">
        <v>45726</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29901-2022</t>
        </is>
      </c>
      <c r="B1045" s="1" t="n">
        <v>44756</v>
      </c>
      <c r="C1045" s="1" t="n">
        <v>45726</v>
      </c>
      <c r="D1045" t="inlineStr">
        <is>
          <t>VÄRMLANDS LÄN</t>
        </is>
      </c>
      <c r="E1045" t="inlineStr">
        <is>
          <t>TORSBY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29908-2022</t>
        </is>
      </c>
      <c r="B1046" s="1" t="n">
        <v>44756</v>
      </c>
      <c r="C1046" s="1" t="n">
        <v>45726</v>
      </c>
      <c r="D1046" t="inlineStr">
        <is>
          <t>VÄRMLANDS LÄN</t>
        </is>
      </c>
      <c r="E1046" t="inlineStr">
        <is>
          <t>TORSBY</t>
        </is>
      </c>
      <c r="F1046" t="inlineStr">
        <is>
          <t>Kommuner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29921-2022</t>
        </is>
      </c>
      <c r="B1047" s="1" t="n">
        <v>44756</v>
      </c>
      <c r="C1047" s="1" t="n">
        <v>45726</v>
      </c>
      <c r="D1047" t="inlineStr">
        <is>
          <t>VÄRMLANDS LÄN</t>
        </is>
      </c>
      <c r="E1047" t="inlineStr">
        <is>
          <t>TORSBY</t>
        </is>
      </c>
      <c r="F1047" t="inlineStr">
        <is>
          <t>Kommuner</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29990-2022</t>
        </is>
      </c>
      <c r="B1048" s="1" t="n">
        <v>44756</v>
      </c>
      <c r="C1048" s="1" t="n">
        <v>45726</v>
      </c>
      <c r="D1048" t="inlineStr">
        <is>
          <t>VÄRMLANDS LÄN</t>
        </is>
      </c>
      <c r="E1048" t="inlineStr">
        <is>
          <t>TORSBY</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30326-2022</t>
        </is>
      </c>
      <c r="B1049" s="1" t="n">
        <v>44760</v>
      </c>
      <c r="C1049" s="1" t="n">
        <v>45726</v>
      </c>
      <c r="D1049" t="inlineStr">
        <is>
          <t>VÄRMLANDS LÄN</t>
        </is>
      </c>
      <c r="E1049" t="inlineStr">
        <is>
          <t>TORSBY</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30612-2022</t>
        </is>
      </c>
      <c r="B1050" s="1" t="n">
        <v>44763</v>
      </c>
      <c r="C1050" s="1" t="n">
        <v>45726</v>
      </c>
      <c r="D1050" t="inlineStr">
        <is>
          <t>VÄRMLANDS LÄN</t>
        </is>
      </c>
      <c r="E1050" t="inlineStr">
        <is>
          <t>TORSBY</t>
        </is>
      </c>
      <c r="F1050" t="inlineStr">
        <is>
          <t>Kommuner</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32003-2022</t>
        </is>
      </c>
      <c r="B1051" s="1" t="n">
        <v>44778</v>
      </c>
      <c r="C1051" s="1" t="n">
        <v>45726</v>
      </c>
      <c r="D1051" t="inlineStr">
        <is>
          <t>VÄRMLANDS LÄN</t>
        </is>
      </c>
      <c r="E1051" t="inlineStr">
        <is>
          <t>TORSBY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32438-2022</t>
        </is>
      </c>
      <c r="B1052" s="1" t="n">
        <v>44782</v>
      </c>
      <c r="C1052" s="1" t="n">
        <v>45726</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32444-2022</t>
        </is>
      </c>
      <c r="B1053" s="1" t="n">
        <v>44782</v>
      </c>
      <c r="C1053" s="1" t="n">
        <v>45726</v>
      </c>
      <c r="D1053" t="inlineStr">
        <is>
          <t>VÄRMLANDS LÄN</t>
        </is>
      </c>
      <c r="E1053" t="inlineStr">
        <is>
          <t>TORSBY</t>
        </is>
      </c>
      <c r="F1053" t="inlineStr">
        <is>
          <t>Bergvik skog väst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32400-2022</t>
        </is>
      </c>
      <c r="B1054" s="1" t="n">
        <v>44782</v>
      </c>
      <c r="C1054" s="1" t="n">
        <v>45726</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32496-2022</t>
        </is>
      </c>
      <c r="B1055" s="1" t="n">
        <v>44782</v>
      </c>
      <c r="C1055" s="1" t="n">
        <v>45726</v>
      </c>
      <c r="D1055" t="inlineStr">
        <is>
          <t>VÄRMLANDS LÄN</t>
        </is>
      </c>
      <c r="E1055" t="inlineStr">
        <is>
          <t>TORSBY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33069-2022</t>
        </is>
      </c>
      <c r="B1056" s="1" t="n">
        <v>44785</v>
      </c>
      <c r="C1056" s="1" t="n">
        <v>45726</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33181-2022</t>
        </is>
      </c>
      <c r="B1057" s="1" t="n">
        <v>44785</v>
      </c>
      <c r="C1057" s="1" t="n">
        <v>45726</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33254-2022</t>
        </is>
      </c>
      <c r="B1058" s="1" t="n">
        <v>44787</v>
      </c>
      <c r="C1058" s="1" t="n">
        <v>45726</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33251-2022</t>
        </is>
      </c>
      <c r="B1059" s="1" t="n">
        <v>44787</v>
      </c>
      <c r="C1059" s="1" t="n">
        <v>45726</v>
      </c>
      <c r="D1059" t="inlineStr">
        <is>
          <t>VÄRMLANDS LÄN</t>
        </is>
      </c>
      <c r="E1059" t="inlineStr">
        <is>
          <t>TORSBY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33579-2022</t>
        </is>
      </c>
      <c r="B1060" s="1" t="n">
        <v>44789</v>
      </c>
      <c r="C1060" s="1" t="n">
        <v>45726</v>
      </c>
      <c r="D1060" t="inlineStr">
        <is>
          <t>VÄRMLANDS LÄN</t>
        </is>
      </c>
      <c r="E1060" t="inlineStr">
        <is>
          <t>TORSBY</t>
        </is>
      </c>
      <c r="F1060" t="inlineStr">
        <is>
          <t>Bergvik skog väst AB</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33802-2022</t>
        </is>
      </c>
      <c r="B1061" s="1" t="n">
        <v>44790</v>
      </c>
      <c r="C1061" s="1" t="n">
        <v>45726</v>
      </c>
      <c r="D1061" t="inlineStr">
        <is>
          <t>VÄRMLANDS LÄN</t>
        </is>
      </c>
      <c r="E1061" t="inlineStr">
        <is>
          <t>TORSBY</t>
        </is>
      </c>
      <c r="F1061" t="inlineStr">
        <is>
          <t>Bergvik skog väst AB</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33960-2022</t>
        </is>
      </c>
      <c r="B1062" s="1" t="n">
        <v>44790</v>
      </c>
      <c r="C1062" s="1" t="n">
        <v>45726</v>
      </c>
      <c r="D1062" t="inlineStr">
        <is>
          <t>VÄRMLANDS LÄN</t>
        </is>
      </c>
      <c r="E1062" t="inlineStr">
        <is>
          <t>TORSBY</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33958-2022</t>
        </is>
      </c>
      <c r="B1063" s="1" t="n">
        <v>44790</v>
      </c>
      <c r="C1063" s="1" t="n">
        <v>45726</v>
      </c>
      <c r="D1063" t="inlineStr">
        <is>
          <t>VÄRMLANDS LÄN</t>
        </is>
      </c>
      <c r="E1063" t="inlineStr">
        <is>
          <t>TORSBY</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33943-2022</t>
        </is>
      </c>
      <c r="B1064" s="1" t="n">
        <v>44790</v>
      </c>
      <c r="C1064" s="1" t="n">
        <v>45726</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33959-2022</t>
        </is>
      </c>
      <c r="B1065" s="1" t="n">
        <v>44790</v>
      </c>
      <c r="C1065" s="1" t="n">
        <v>45726</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34371-2022</t>
        </is>
      </c>
      <c r="B1066" s="1" t="n">
        <v>44792</v>
      </c>
      <c r="C1066" s="1" t="n">
        <v>45726</v>
      </c>
      <c r="D1066" t="inlineStr">
        <is>
          <t>VÄRMLANDS LÄN</t>
        </is>
      </c>
      <c r="E1066" t="inlineStr">
        <is>
          <t>TORSBY</t>
        </is>
      </c>
      <c r="F1066" t="inlineStr">
        <is>
          <t>Bergvik skog väst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34378-2022</t>
        </is>
      </c>
      <c r="B1067" s="1" t="n">
        <v>44792</v>
      </c>
      <c r="C1067" s="1" t="n">
        <v>45726</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34434-2022</t>
        </is>
      </c>
      <c r="B1068" s="1" t="n">
        <v>44792</v>
      </c>
      <c r="C1068" s="1" t="n">
        <v>45726</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34440-2022</t>
        </is>
      </c>
      <c r="B1069" s="1" t="n">
        <v>44792</v>
      </c>
      <c r="C1069" s="1" t="n">
        <v>45726</v>
      </c>
      <c r="D1069" t="inlineStr">
        <is>
          <t>VÄRMLANDS LÄN</t>
        </is>
      </c>
      <c r="E1069" t="inlineStr">
        <is>
          <t>TORSBY</t>
        </is>
      </c>
      <c r="F1069" t="inlineStr">
        <is>
          <t>Bergvik skog väst AB</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34581-2022</t>
        </is>
      </c>
      <c r="B1070" s="1" t="n">
        <v>44792</v>
      </c>
      <c r="C1070" s="1" t="n">
        <v>45726</v>
      </c>
      <c r="D1070" t="inlineStr">
        <is>
          <t>VÄRMLANDS LÄN</t>
        </is>
      </c>
      <c r="E1070" t="inlineStr">
        <is>
          <t>TORSBY</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34568-2022</t>
        </is>
      </c>
      <c r="B1071" s="1" t="n">
        <v>44795</v>
      </c>
      <c r="C1071" s="1" t="n">
        <v>45726</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34662-2022</t>
        </is>
      </c>
      <c r="B1072" s="1" t="n">
        <v>44795</v>
      </c>
      <c r="C1072" s="1" t="n">
        <v>45726</v>
      </c>
      <c r="D1072" t="inlineStr">
        <is>
          <t>VÄRMLANDS LÄN</t>
        </is>
      </c>
      <c r="E1072" t="inlineStr">
        <is>
          <t>TORSBY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34667-2022</t>
        </is>
      </c>
      <c r="B1073" s="1" t="n">
        <v>44795</v>
      </c>
      <c r="C1073" s="1" t="n">
        <v>45726</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34655-2022</t>
        </is>
      </c>
      <c r="B1074" s="1" t="n">
        <v>44795</v>
      </c>
      <c r="C1074" s="1" t="n">
        <v>45726</v>
      </c>
      <c r="D1074" t="inlineStr">
        <is>
          <t>VÄRMLANDS LÄN</t>
        </is>
      </c>
      <c r="E1074" t="inlineStr">
        <is>
          <t>TORSBY</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34908-2022</t>
        </is>
      </c>
      <c r="B1075" s="1" t="n">
        <v>44796</v>
      </c>
      <c r="C1075" s="1" t="n">
        <v>45726</v>
      </c>
      <c r="D1075" t="inlineStr">
        <is>
          <t>VÄRMLANDS LÄN</t>
        </is>
      </c>
      <c r="E1075" t="inlineStr">
        <is>
          <t>TORSBY</t>
        </is>
      </c>
      <c r="F1075" t="inlineStr">
        <is>
          <t>Bergvik skog väst AB</t>
        </is>
      </c>
      <c r="G1075" t="n">
        <v>33.4</v>
      </c>
      <c r="H1075" t="n">
        <v>0</v>
      </c>
      <c r="I1075" t="n">
        <v>0</v>
      </c>
      <c r="J1075" t="n">
        <v>0</v>
      </c>
      <c r="K1075" t="n">
        <v>0</v>
      </c>
      <c r="L1075" t="n">
        <v>0</v>
      </c>
      <c r="M1075" t="n">
        <v>0</v>
      </c>
      <c r="N1075" t="n">
        <v>0</v>
      </c>
      <c r="O1075" t="n">
        <v>0</v>
      </c>
      <c r="P1075" t="n">
        <v>0</v>
      </c>
      <c r="Q1075" t="n">
        <v>0</v>
      </c>
      <c r="R1075" s="2" t="inlineStr"/>
    </row>
    <row r="1076" ht="15" customHeight="1">
      <c r="A1076" t="inlineStr">
        <is>
          <t>A 35134-2022</t>
        </is>
      </c>
      <c r="B1076" s="1" t="n">
        <v>44797</v>
      </c>
      <c r="C1076" s="1" t="n">
        <v>45726</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35132-2022</t>
        </is>
      </c>
      <c r="B1077" s="1" t="n">
        <v>44797</v>
      </c>
      <c r="C1077" s="1" t="n">
        <v>45726</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35606-2022</t>
        </is>
      </c>
      <c r="B1078" s="1" t="n">
        <v>44799</v>
      </c>
      <c r="C1078" s="1" t="n">
        <v>45726</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35595-2022</t>
        </is>
      </c>
      <c r="B1079" s="1" t="n">
        <v>44799</v>
      </c>
      <c r="C1079" s="1" t="n">
        <v>45726</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35724-2022</t>
        </is>
      </c>
      <c r="B1080" s="1" t="n">
        <v>44799</v>
      </c>
      <c r="C1080" s="1" t="n">
        <v>45726</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35711-2022</t>
        </is>
      </c>
      <c r="B1081" s="1" t="n">
        <v>44799</v>
      </c>
      <c r="C1081" s="1" t="n">
        <v>45726</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35851-2022</t>
        </is>
      </c>
      <c r="B1082" s="1" t="n">
        <v>44802</v>
      </c>
      <c r="C1082" s="1" t="n">
        <v>45726</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36290-2022</t>
        </is>
      </c>
      <c r="B1083" s="1" t="n">
        <v>44803</v>
      </c>
      <c r="C1083" s="1" t="n">
        <v>45726</v>
      </c>
      <c r="D1083" t="inlineStr">
        <is>
          <t>VÄRMLANDS LÄN</t>
        </is>
      </c>
      <c r="E1083" t="inlineStr">
        <is>
          <t>TORSBY</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36318-2022</t>
        </is>
      </c>
      <c r="B1084" s="1" t="n">
        <v>44803</v>
      </c>
      <c r="C1084" s="1" t="n">
        <v>45726</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36514-2022</t>
        </is>
      </c>
      <c r="B1085" s="1" t="n">
        <v>44804</v>
      </c>
      <c r="C1085" s="1" t="n">
        <v>45726</v>
      </c>
      <c r="D1085" t="inlineStr">
        <is>
          <t>VÄRMLANDS LÄN</t>
        </is>
      </c>
      <c r="E1085" t="inlineStr">
        <is>
          <t>TORSBY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36547-2022</t>
        </is>
      </c>
      <c r="B1086" s="1" t="n">
        <v>44804</v>
      </c>
      <c r="C1086" s="1" t="n">
        <v>45726</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36545-2022</t>
        </is>
      </c>
      <c r="B1087" s="1" t="n">
        <v>44804</v>
      </c>
      <c r="C1087" s="1" t="n">
        <v>45726</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36527-2022</t>
        </is>
      </c>
      <c r="B1088" s="1" t="n">
        <v>44804</v>
      </c>
      <c r="C1088" s="1" t="n">
        <v>45726</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36537-2022</t>
        </is>
      </c>
      <c r="B1089" s="1" t="n">
        <v>44804</v>
      </c>
      <c r="C1089" s="1" t="n">
        <v>45726</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36582-2022</t>
        </is>
      </c>
      <c r="B1090" s="1" t="n">
        <v>44804</v>
      </c>
      <c r="C1090" s="1" t="n">
        <v>45726</v>
      </c>
      <c r="D1090" t="inlineStr">
        <is>
          <t>VÄRMLANDS LÄN</t>
        </is>
      </c>
      <c r="E1090" t="inlineStr">
        <is>
          <t>TORSBY</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36562-2022</t>
        </is>
      </c>
      <c r="B1091" s="1" t="n">
        <v>44804</v>
      </c>
      <c r="C1091" s="1" t="n">
        <v>45726</v>
      </c>
      <c r="D1091" t="inlineStr">
        <is>
          <t>VÄRMLANDS LÄN</t>
        </is>
      </c>
      <c r="E1091" t="inlineStr">
        <is>
          <t>TORSBY</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36572-2022</t>
        </is>
      </c>
      <c r="B1092" s="1" t="n">
        <v>44804</v>
      </c>
      <c r="C1092" s="1" t="n">
        <v>45726</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36587-2022</t>
        </is>
      </c>
      <c r="B1093" s="1" t="n">
        <v>44804</v>
      </c>
      <c r="C1093" s="1" t="n">
        <v>45726</v>
      </c>
      <c r="D1093" t="inlineStr">
        <is>
          <t>VÄRMLANDS LÄN</t>
        </is>
      </c>
      <c r="E1093" t="inlineStr">
        <is>
          <t>TORSBY</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37148-2022</t>
        </is>
      </c>
      <c r="B1094" s="1" t="n">
        <v>44806</v>
      </c>
      <c r="C1094" s="1" t="n">
        <v>45726</v>
      </c>
      <c r="D1094" t="inlineStr">
        <is>
          <t>VÄRMLANDS LÄN</t>
        </is>
      </c>
      <c r="E1094" t="inlineStr">
        <is>
          <t>TORSBY</t>
        </is>
      </c>
      <c r="F1094" t="inlineStr">
        <is>
          <t>Kommuner</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37279-2022</t>
        </is>
      </c>
      <c r="B1095" s="1" t="n">
        <v>44807</v>
      </c>
      <c r="C1095" s="1" t="n">
        <v>45726</v>
      </c>
      <c r="D1095" t="inlineStr">
        <is>
          <t>VÄRMLANDS LÄN</t>
        </is>
      </c>
      <c r="E1095" t="inlineStr">
        <is>
          <t>TORSBY</t>
        </is>
      </c>
      <c r="G1095" t="n">
        <v>18.2</v>
      </c>
      <c r="H1095" t="n">
        <v>0</v>
      </c>
      <c r="I1095" t="n">
        <v>0</v>
      </c>
      <c r="J1095" t="n">
        <v>0</v>
      </c>
      <c r="K1095" t="n">
        <v>0</v>
      </c>
      <c r="L1095" t="n">
        <v>0</v>
      </c>
      <c r="M1095" t="n">
        <v>0</v>
      </c>
      <c r="N1095" t="n">
        <v>0</v>
      </c>
      <c r="O1095" t="n">
        <v>0</v>
      </c>
      <c r="P1095" t="n">
        <v>0</v>
      </c>
      <c r="Q1095" t="n">
        <v>0</v>
      </c>
      <c r="R1095" s="2" t="inlineStr"/>
    </row>
    <row r="1096" ht="15" customHeight="1">
      <c r="A1096" t="inlineStr">
        <is>
          <t>A 37401-2022</t>
        </is>
      </c>
      <c r="B1096" s="1" t="n">
        <v>44809</v>
      </c>
      <c r="C1096" s="1" t="n">
        <v>45726</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37449-2022</t>
        </is>
      </c>
      <c r="B1097" s="1" t="n">
        <v>44809</v>
      </c>
      <c r="C1097" s="1" t="n">
        <v>45726</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37340-2022</t>
        </is>
      </c>
      <c r="B1098" s="1" t="n">
        <v>44809</v>
      </c>
      <c r="C1098" s="1" t="n">
        <v>45726</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37752-2022</t>
        </is>
      </c>
      <c r="B1099" s="1" t="n">
        <v>44810</v>
      </c>
      <c r="C1099" s="1" t="n">
        <v>45726</v>
      </c>
      <c r="D1099" t="inlineStr">
        <is>
          <t>VÄRMLANDS LÄN</t>
        </is>
      </c>
      <c r="E1099" t="inlineStr">
        <is>
          <t>TORSBY</t>
        </is>
      </c>
      <c r="F1099" t="inlineStr">
        <is>
          <t>Kyrkan</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37814-2022</t>
        </is>
      </c>
      <c r="B1100" s="1" t="n">
        <v>44810</v>
      </c>
      <c r="C1100" s="1" t="n">
        <v>45726</v>
      </c>
      <c r="D1100" t="inlineStr">
        <is>
          <t>VÄRMLANDS LÄN</t>
        </is>
      </c>
      <c r="E1100" t="inlineStr">
        <is>
          <t>TORSBY</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37754-2022</t>
        </is>
      </c>
      <c r="B1101" s="1" t="n">
        <v>44810</v>
      </c>
      <c r="C1101" s="1" t="n">
        <v>45726</v>
      </c>
      <c r="D1101" t="inlineStr">
        <is>
          <t>VÄRMLANDS LÄN</t>
        </is>
      </c>
      <c r="E1101" t="inlineStr">
        <is>
          <t>TORSBY</t>
        </is>
      </c>
      <c r="F1101" t="inlineStr">
        <is>
          <t>Kyrkan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37913-2022</t>
        </is>
      </c>
      <c r="B1102" s="1" t="n">
        <v>44811</v>
      </c>
      <c r="C1102" s="1" t="n">
        <v>45726</v>
      </c>
      <c r="D1102" t="inlineStr">
        <is>
          <t>VÄRMLANDS LÄN</t>
        </is>
      </c>
      <c r="E1102" t="inlineStr">
        <is>
          <t>TORSBY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37929-2022</t>
        </is>
      </c>
      <c r="B1103" s="1" t="n">
        <v>44811</v>
      </c>
      <c r="C1103" s="1" t="n">
        <v>45726</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37917-2022</t>
        </is>
      </c>
      <c r="B1104" s="1" t="n">
        <v>44811</v>
      </c>
      <c r="C1104" s="1" t="n">
        <v>45726</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37937-2022</t>
        </is>
      </c>
      <c r="B1105" s="1" t="n">
        <v>44811</v>
      </c>
      <c r="C1105" s="1" t="n">
        <v>45726</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37985-2022</t>
        </is>
      </c>
      <c r="B1106" s="1" t="n">
        <v>44811</v>
      </c>
      <c r="C1106" s="1" t="n">
        <v>45726</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38033-2022</t>
        </is>
      </c>
      <c r="B1107" s="1" t="n">
        <v>44811</v>
      </c>
      <c r="C1107" s="1" t="n">
        <v>45726</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38200-2022</t>
        </is>
      </c>
      <c r="B1108" s="1" t="n">
        <v>44812</v>
      </c>
      <c r="C1108" s="1" t="n">
        <v>45726</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38179-2022</t>
        </is>
      </c>
      <c r="B1109" s="1" t="n">
        <v>44812</v>
      </c>
      <c r="C1109" s="1" t="n">
        <v>45726</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38378-2022</t>
        </is>
      </c>
      <c r="B1110" s="1" t="n">
        <v>44812</v>
      </c>
      <c r="C1110" s="1" t="n">
        <v>45726</v>
      </c>
      <c r="D1110" t="inlineStr">
        <is>
          <t>VÄRMLANDS LÄN</t>
        </is>
      </c>
      <c r="E1110" t="inlineStr">
        <is>
          <t>TORSBY</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38486-2022</t>
        </is>
      </c>
      <c r="B1111" s="1" t="n">
        <v>44813</v>
      </c>
      <c r="C1111" s="1" t="n">
        <v>45726</v>
      </c>
      <c r="D1111" t="inlineStr">
        <is>
          <t>VÄRMLANDS LÄN</t>
        </is>
      </c>
      <c r="E1111" t="inlineStr">
        <is>
          <t>TORSBY</t>
        </is>
      </c>
      <c r="F1111" t="inlineStr">
        <is>
          <t>Bergvik skog väst AB</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38699-2022</t>
        </is>
      </c>
      <c r="B1112" s="1" t="n">
        <v>44814</v>
      </c>
      <c r="C1112" s="1" t="n">
        <v>45726</v>
      </c>
      <c r="D1112" t="inlineStr">
        <is>
          <t>VÄRMLANDS LÄN</t>
        </is>
      </c>
      <c r="E1112" t="inlineStr">
        <is>
          <t>TORSBY</t>
        </is>
      </c>
      <c r="F1112" t="inlineStr">
        <is>
          <t>Bergvik skog väst AB</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38882-2022</t>
        </is>
      </c>
      <c r="B1113" s="1" t="n">
        <v>44816</v>
      </c>
      <c r="C1113" s="1" t="n">
        <v>45726</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38914-2022</t>
        </is>
      </c>
      <c r="B1114" s="1" t="n">
        <v>44816</v>
      </c>
      <c r="C1114" s="1" t="n">
        <v>45726</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39069-2022</t>
        </is>
      </c>
      <c r="B1115" s="1" t="n">
        <v>44816</v>
      </c>
      <c r="C1115" s="1" t="n">
        <v>45726</v>
      </c>
      <c r="D1115" t="inlineStr">
        <is>
          <t>VÄRMLANDS LÄN</t>
        </is>
      </c>
      <c r="E1115" t="inlineStr">
        <is>
          <t>TORSBY</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39186-2022</t>
        </is>
      </c>
      <c r="B1116" s="1" t="n">
        <v>44817</v>
      </c>
      <c r="C1116" s="1" t="n">
        <v>45726</v>
      </c>
      <c r="D1116" t="inlineStr">
        <is>
          <t>VÄRMLANDS LÄN</t>
        </is>
      </c>
      <c r="E1116" t="inlineStr">
        <is>
          <t>TORSBY</t>
        </is>
      </c>
      <c r="F1116" t="inlineStr">
        <is>
          <t>Bergvik skog väst AB</t>
        </is>
      </c>
      <c r="G1116" t="n">
        <v>20.3</v>
      </c>
      <c r="H1116" t="n">
        <v>0</v>
      </c>
      <c r="I1116" t="n">
        <v>0</v>
      </c>
      <c r="J1116" t="n">
        <v>0</v>
      </c>
      <c r="K1116" t="n">
        <v>0</v>
      </c>
      <c r="L1116" t="n">
        <v>0</v>
      </c>
      <c r="M1116" t="n">
        <v>0</v>
      </c>
      <c r="N1116" t="n">
        <v>0</v>
      </c>
      <c r="O1116" t="n">
        <v>0</v>
      </c>
      <c r="P1116" t="n">
        <v>0</v>
      </c>
      <c r="Q1116" t="n">
        <v>0</v>
      </c>
      <c r="R1116" s="2" t="inlineStr"/>
    </row>
    <row r="1117" ht="15" customHeight="1">
      <c r="A1117" t="inlineStr">
        <is>
          <t>A 39216-2022</t>
        </is>
      </c>
      <c r="B1117" s="1" t="n">
        <v>44817</v>
      </c>
      <c r="C1117" s="1" t="n">
        <v>45726</v>
      </c>
      <c r="D1117" t="inlineStr">
        <is>
          <t>VÄRMLANDS LÄN</t>
        </is>
      </c>
      <c r="E1117" t="inlineStr">
        <is>
          <t>TORSBY</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39215-2022</t>
        </is>
      </c>
      <c r="B1118" s="1" t="n">
        <v>44817</v>
      </c>
      <c r="C1118" s="1" t="n">
        <v>45726</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39221-2022</t>
        </is>
      </c>
      <c r="B1119" s="1" t="n">
        <v>44817</v>
      </c>
      <c r="C1119" s="1" t="n">
        <v>45726</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39217-2022</t>
        </is>
      </c>
      <c r="B1120" s="1" t="n">
        <v>44817</v>
      </c>
      <c r="C1120" s="1" t="n">
        <v>45726</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39781-2022</t>
        </is>
      </c>
      <c r="B1121" s="1" t="n">
        <v>44819</v>
      </c>
      <c r="C1121" s="1" t="n">
        <v>45726</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39780-2022</t>
        </is>
      </c>
      <c r="B1122" s="1" t="n">
        <v>44819</v>
      </c>
      <c r="C1122" s="1" t="n">
        <v>45726</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40009-2022</t>
        </is>
      </c>
      <c r="B1123" s="1" t="n">
        <v>44820</v>
      </c>
      <c r="C1123" s="1" t="n">
        <v>45726</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40036-2022</t>
        </is>
      </c>
      <c r="B1124" s="1" t="n">
        <v>44820</v>
      </c>
      <c r="C1124" s="1" t="n">
        <v>45726</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40221-2022</t>
        </is>
      </c>
      <c r="B1125" s="1" t="n">
        <v>44820</v>
      </c>
      <c r="C1125" s="1" t="n">
        <v>45726</v>
      </c>
      <c r="D1125" t="inlineStr">
        <is>
          <t>VÄRMLANDS LÄN</t>
        </is>
      </c>
      <c r="E1125" t="inlineStr">
        <is>
          <t>TORSBY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40353-2022</t>
        </is>
      </c>
      <c r="B1126" s="1" t="n">
        <v>44823</v>
      </c>
      <c r="C1126" s="1" t="n">
        <v>45726</v>
      </c>
      <c r="D1126" t="inlineStr">
        <is>
          <t>VÄRMLANDS LÄN</t>
        </is>
      </c>
      <c r="E1126" t="inlineStr">
        <is>
          <t>TORSBY</t>
        </is>
      </c>
      <c r="F1126" t="inlineStr">
        <is>
          <t>Bergvik skog väst AB</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41264-2022</t>
        </is>
      </c>
      <c r="B1127" s="1" t="n">
        <v>44823</v>
      </c>
      <c r="C1127" s="1" t="n">
        <v>45726</v>
      </c>
      <c r="D1127" t="inlineStr">
        <is>
          <t>VÄRMLANDS LÄN</t>
        </is>
      </c>
      <c r="E1127" t="inlineStr">
        <is>
          <t>TORSBY</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41295-2022</t>
        </is>
      </c>
      <c r="B1128" s="1" t="n">
        <v>44823</v>
      </c>
      <c r="C1128" s="1" t="n">
        <v>45726</v>
      </c>
      <c r="D1128" t="inlineStr">
        <is>
          <t>VÄRMLANDS LÄN</t>
        </is>
      </c>
      <c r="E1128" t="inlineStr">
        <is>
          <t>TORSBY</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40718-2022</t>
        </is>
      </c>
      <c r="B1129" s="1" t="n">
        <v>44824</v>
      </c>
      <c r="C1129" s="1" t="n">
        <v>45726</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40788-2022</t>
        </is>
      </c>
      <c r="B1130" s="1" t="n">
        <v>44824</v>
      </c>
      <c r="C1130" s="1" t="n">
        <v>45726</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40997-2022</t>
        </is>
      </c>
      <c r="B1131" s="1" t="n">
        <v>44825</v>
      </c>
      <c r="C1131" s="1" t="n">
        <v>45726</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41065-2022</t>
        </is>
      </c>
      <c r="B1132" s="1" t="n">
        <v>44825</v>
      </c>
      <c r="C1132" s="1" t="n">
        <v>45726</v>
      </c>
      <c r="D1132" t="inlineStr">
        <is>
          <t>VÄRMLANDS LÄN</t>
        </is>
      </c>
      <c r="E1132" t="inlineStr">
        <is>
          <t>TORSBY</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41130-2022</t>
        </is>
      </c>
      <c r="B1133" s="1" t="n">
        <v>44825</v>
      </c>
      <c r="C1133" s="1" t="n">
        <v>45726</v>
      </c>
      <c r="D1133" t="inlineStr">
        <is>
          <t>VÄRMLANDS LÄN</t>
        </is>
      </c>
      <c r="E1133" t="inlineStr">
        <is>
          <t>TORSBY</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41315-2022</t>
        </is>
      </c>
      <c r="B1134" s="1" t="n">
        <v>44826</v>
      </c>
      <c r="C1134" s="1" t="n">
        <v>45726</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45726</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41781-2022</t>
        </is>
      </c>
      <c r="B1136" s="1" t="n">
        <v>44827</v>
      </c>
      <c r="C1136" s="1" t="n">
        <v>45726</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41675-2022</t>
        </is>
      </c>
      <c r="B1137" s="1" t="n">
        <v>44827</v>
      </c>
      <c r="C1137" s="1" t="n">
        <v>45726</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41590-2022</t>
        </is>
      </c>
      <c r="B1138" s="1" t="n">
        <v>44827</v>
      </c>
      <c r="C1138" s="1" t="n">
        <v>45726</v>
      </c>
      <c r="D1138" t="inlineStr">
        <is>
          <t>VÄRMLANDS LÄN</t>
        </is>
      </c>
      <c r="E1138" t="inlineStr">
        <is>
          <t>TORSBY</t>
        </is>
      </c>
      <c r="F1138" t="inlineStr">
        <is>
          <t>Bergvik skog väst AB</t>
        </is>
      </c>
      <c r="G1138" t="n">
        <v>42.5</v>
      </c>
      <c r="H1138" t="n">
        <v>0</v>
      </c>
      <c r="I1138" t="n">
        <v>0</v>
      </c>
      <c r="J1138" t="n">
        <v>0</v>
      </c>
      <c r="K1138" t="n">
        <v>0</v>
      </c>
      <c r="L1138" t="n">
        <v>0</v>
      </c>
      <c r="M1138" t="n">
        <v>0</v>
      </c>
      <c r="N1138" t="n">
        <v>0</v>
      </c>
      <c r="O1138" t="n">
        <v>0</v>
      </c>
      <c r="P1138" t="n">
        <v>0</v>
      </c>
      <c r="Q1138" t="n">
        <v>0</v>
      </c>
      <c r="R1138" s="2" t="inlineStr"/>
    </row>
    <row r="1139" ht="15" customHeight="1">
      <c r="A1139" t="inlineStr">
        <is>
          <t>A 41995-2022</t>
        </is>
      </c>
      <c r="B1139" s="1" t="n">
        <v>44830</v>
      </c>
      <c r="C1139" s="1" t="n">
        <v>45726</v>
      </c>
      <c r="D1139" t="inlineStr">
        <is>
          <t>VÄRMLANDS LÄN</t>
        </is>
      </c>
      <c r="E1139" t="inlineStr">
        <is>
          <t>TORSBY</t>
        </is>
      </c>
      <c r="F1139" t="inlineStr">
        <is>
          <t>Bergvik skog väst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42588-2022</t>
        </is>
      </c>
      <c r="B1140" s="1" t="n">
        <v>44831</v>
      </c>
      <c r="C1140" s="1" t="n">
        <v>45726</v>
      </c>
      <c r="D1140" t="inlineStr">
        <is>
          <t>VÄRMLANDS LÄN</t>
        </is>
      </c>
      <c r="E1140" t="inlineStr">
        <is>
          <t>TORSBY</t>
        </is>
      </c>
      <c r="F1140" t="inlineStr">
        <is>
          <t>Bergvik skog väst AB</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42784-2022</t>
        </is>
      </c>
      <c r="B1141" s="1" t="n">
        <v>44832</v>
      </c>
      <c r="C1141" s="1" t="n">
        <v>45726</v>
      </c>
      <c r="D1141" t="inlineStr">
        <is>
          <t>VÄRMLANDS LÄN</t>
        </is>
      </c>
      <c r="E1141" t="inlineStr">
        <is>
          <t>TORSBY</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42701-2022</t>
        </is>
      </c>
      <c r="B1142" s="1" t="n">
        <v>44832</v>
      </c>
      <c r="C1142" s="1" t="n">
        <v>45726</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43022-2022</t>
        </is>
      </c>
      <c r="B1143" s="1" t="n">
        <v>44833</v>
      </c>
      <c r="C1143" s="1" t="n">
        <v>45726</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43111-2022</t>
        </is>
      </c>
      <c r="B1144" s="1" t="n">
        <v>44833</v>
      </c>
      <c r="C1144" s="1" t="n">
        <v>45726</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43248-2022</t>
        </is>
      </c>
      <c r="B1145" s="1" t="n">
        <v>44834</v>
      </c>
      <c r="C1145" s="1" t="n">
        <v>45726</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43289-2022</t>
        </is>
      </c>
      <c r="B1146" s="1" t="n">
        <v>44834</v>
      </c>
      <c r="C1146" s="1" t="n">
        <v>45726</v>
      </c>
      <c r="D1146" t="inlineStr">
        <is>
          <t>VÄRMLANDS LÄN</t>
        </is>
      </c>
      <c r="E1146" t="inlineStr">
        <is>
          <t>TORSBY</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43465-2022</t>
        </is>
      </c>
      <c r="B1147" s="1" t="n">
        <v>44836</v>
      </c>
      <c r="C1147" s="1" t="n">
        <v>45726</v>
      </c>
      <c r="D1147" t="inlineStr">
        <is>
          <t>VÄRMLANDS LÄN</t>
        </is>
      </c>
      <c r="E1147" t="inlineStr">
        <is>
          <t>TORSBY</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43943-2022</t>
        </is>
      </c>
      <c r="B1148" s="1" t="n">
        <v>44838</v>
      </c>
      <c r="C1148" s="1" t="n">
        <v>45726</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43989-2022</t>
        </is>
      </c>
      <c r="B1149" s="1" t="n">
        <v>44838</v>
      </c>
      <c r="C1149" s="1" t="n">
        <v>45726</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44214-2022</t>
        </is>
      </c>
      <c r="B1150" s="1" t="n">
        <v>44838</v>
      </c>
      <c r="C1150" s="1" t="n">
        <v>45726</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44340-2022</t>
        </is>
      </c>
      <c r="B1151" s="1" t="n">
        <v>44838</v>
      </c>
      <c r="C1151" s="1" t="n">
        <v>45726</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44170-2022</t>
        </is>
      </c>
      <c r="B1152" s="1" t="n">
        <v>44838</v>
      </c>
      <c r="C1152" s="1" t="n">
        <v>45726</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44149-2022</t>
        </is>
      </c>
      <c r="B1153" s="1" t="n">
        <v>44839</v>
      </c>
      <c r="C1153" s="1" t="n">
        <v>45726</v>
      </c>
      <c r="D1153" t="inlineStr">
        <is>
          <t>VÄRMLANDS LÄN</t>
        </is>
      </c>
      <c r="E1153" t="inlineStr">
        <is>
          <t>TORSBY</t>
        </is>
      </c>
      <c r="F1153" t="inlineStr">
        <is>
          <t>Bergvik skog väst AB</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44196-2022</t>
        </is>
      </c>
      <c r="B1154" s="1" t="n">
        <v>44839</v>
      </c>
      <c r="C1154" s="1" t="n">
        <v>45726</v>
      </c>
      <c r="D1154" t="inlineStr">
        <is>
          <t>VÄRMLANDS LÄN</t>
        </is>
      </c>
      <c r="E1154" t="inlineStr">
        <is>
          <t>TORSBY</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44327-2022</t>
        </is>
      </c>
      <c r="B1155" s="1" t="n">
        <v>44839</v>
      </c>
      <c r="C1155" s="1" t="n">
        <v>45726</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44841-2022</t>
        </is>
      </c>
      <c r="B1156" s="1" t="n">
        <v>44839</v>
      </c>
      <c r="C1156" s="1" t="n">
        <v>45726</v>
      </c>
      <c r="D1156" t="inlineStr">
        <is>
          <t>VÄRMLANDS LÄN</t>
        </is>
      </c>
      <c r="E1156" t="inlineStr">
        <is>
          <t>TORSBY</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44879-2022</t>
        </is>
      </c>
      <c r="B1157" s="1" t="n">
        <v>44839</v>
      </c>
      <c r="C1157" s="1" t="n">
        <v>45726</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44498-2022</t>
        </is>
      </c>
      <c r="B1158" s="1" t="n">
        <v>44840</v>
      </c>
      <c r="C1158" s="1" t="n">
        <v>45726</v>
      </c>
      <c r="D1158" t="inlineStr">
        <is>
          <t>VÄRMLANDS LÄN</t>
        </is>
      </c>
      <c r="E1158" t="inlineStr">
        <is>
          <t>TORSBY</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44516-2022</t>
        </is>
      </c>
      <c r="B1159" s="1" t="n">
        <v>44840</v>
      </c>
      <c r="C1159" s="1" t="n">
        <v>45726</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44517-2022</t>
        </is>
      </c>
      <c r="B1160" s="1" t="n">
        <v>44840</v>
      </c>
      <c r="C1160" s="1" t="n">
        <v>45726</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44532-2022</t>
        </is>
      </c>
      <c r="B1161" s="1" t="n">
        <v>44840</v>
      </c>
      <c r="C1161" s="1" t="n">
        <v>45726</v>
      </c>
      <c r="D1161" t="inlineStr">
        <is>
          <t>VÄRMLANDS LÄN</t>
        </is>
      </c>
      <c r="E1161" t="inlineStr">
        <is>
          <t>TORSBY</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44708-2022</t>
        </is>
      </c>
      <c r="B1162" s="1" t="n">
        <v>44840</v>
      </c>
      <c r="C1162" s="1" t="n">
        <v>45726</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45056-2022</t>
        </is>
      </c>
      <c r="B1163" s="1" t="n">
        <v>44841</v>
      </c>
      <c r="C1163" s="1" t="n">
        <v>45726</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45303-2022</t>
        </is>
      </c>
      <c r="B1164" s="1" t="n">
        <v>44844</v>
      </c>
      <c r="C1164" s="1" t="n">
        <v>45726</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45368-2022</t>
        </is>
      </c>
      <c r="B1165" s="1" t="n">
        <v>44844</v>
      </c>
      <c r="C1165" s="1" t="n">
        <v>45726</v>
      </c>
      <c r="D1165" t="inlineStr">
        <is>
          <t>VÄRMLANDS LÄN</t>
        </is>
      </c>
      <c r="E1165" t="inlineStr">
        <is>
          <t>TORSBY</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45328-2022</t>
        </is>
      </c>
      <c r="B1166" s="1" t="n">
        <v>44844</v>
      </c>
      <c r="C1166" s="1" t="n">
        <v>45726</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45325-2022</t>
        </is>
      </c>
      <c r="B1167" s="1" t="n">
        <v>44844</v>
      </c>
      <c r="C1167" s="1" t="n">
        <v>45726</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45369-2022</t>
        </is>
      </c>
      <c r="B1168" s="1" t="n">
        <v>44844</v>
      </c>
      <c r="C1168" s="1" t="n">
        <v>45726</v>
      </c>
      <c r="D1168" t="inlineStr">
        <is>
          <t>VÄRMLANDS LÄN</t>
        </is>
      </c>
      <c r="E1168" t="inlineStr">
        <is>
          <t>TORSBY</t>
        </is>
      </c>
      <c r="F1168" t="inlineStr">
        <is>
          <t>Bergvik skog väst AB</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45809-2022</t>
        </is>
      </c>
      <c r="B1169" s="1" t="n">
        <v>44844</v>
      </c>
      <c r="C1169" s="1" t="n">
        <v>45726</v>
      </c>
      <c r="D1169" t="inlineStr">
        <is>
          <t>VÄRMLANDS LÄN</t>
        </is>
      </c>
      <c r="E1169" t="inlineStr">
        <is>
          <t>TORSBY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45666-2022</t>
        </is>
      </c>
      <c r="B1170" s="1" t="n">
        <v>44845</v>
      </c>
      <c r="C1170" s="1" t="n">
        <v>45726</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46551-2022</t>
        </is>
      </c>
      <c r="B1171" s="1" t="n">
        <v>44848</v>
      </c>
      <c r="C1171" s="1" t="n">
        <v>45726</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47167-2022</t>
        </is>
      </c>
      <c r="B1172" s="1" t="n">
        <v>44852</v>
      </c>
      <c r="C1172" s="1" t="n">
        <v>45726</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47141-2022</t>
        </is>
      </c>
      <c r="B1173" s="1" t="n">
        <v>44852</v>
      </c>
      <c r="C1173" s="1" t="n">
        <v>45726</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47206-2022</t>
        </is>
      </c>
      <c r="B1174" s="1" t="n">
        <v>44852</v>
      </c>
      <c r="C1174" s="1" t="n">
        <v>45726</v>
      </c>
      <c r="D1174" t="inlineStr">
        <is>
          <t>VÄRMLANDS LÄN</t>
        </is>
      </c>
      <c r="E1174" t="inlineStr">
        <is>
          <t>TORSBY</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47466-2022</t>
        </is>
      </c>
      <c r="B1175" s="1" t="n">
        <v>44852</v>
      </c>
      <c r="C1175" s="1" t="n">
        <v>45726</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48328-2022</t>
        </is>
      </c>
      <c r="B1176" s="1" t="n">
        <v>44853</v>
      </c>
      <c r="C1176" s="1" t="n">
        <v>45726</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48356-2022</t>
        </is>
      </c>
      <c r="B1177" s="1" t="n">
        <v>44853</v>
      </c>
      <c r="C1177" s="1" t="n">
        <v>45726</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48320-2022</t>
        </is>
      </c>
      <c r="B1178" s="1" t="n">
        <v>44853</v>
      </c>
      <c r="C1178" s="1" t="n">
        <v>45726</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47694-2022</t>
        </is>
      </c>
      <c r="B1179" s="1" t="n">
        <v>44854</v>
      </c>
      <c r="C1179" s="1" t="n">
        <v>45726</v>
      </c>
      <c r="D1179" t="inlineStr">
        <is>
          <t>VÄRMLANDS LÄN</t>
        </is>
      </c>
      <c r="E1179" t="inlineStr">
        <is>
          <t>TORSBY</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48239-2022</t>
        </is>
      </c>
      <c r="B1180" s="1" t="n">
        <v>44858</v>
      </c>
      <c r="C1180" s="1" t="n">
        <v>45726</v>
      </c>
      <c r="D1180" t="inlineStr">
        <is>
          <t>VÄRMLANDS LÄN</t>
        </is>
      </c>
      <c r="E1180" t="inlineStr">
        <is>
          <t>TORSBY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48712-2022</t>
        </is>
      </c>
      <c r="B1181" s="1" t="n">
        <v>44859</v>
      </c>
      <c r="C1181" s="1" t="n">
        <v>45726</v>
      </c>
      <c r="D1181" t="inlineStr">
        <is>
          <t>VÄRMLANDS LÄN</t>
        </is>
      </c>
      <c r="E1181" t="inlineStr">
        <is>
          <t>TORSBY</t>
        </is>
      </c>
      <c r="F1181" t="inlineStr">
        <is>
          <t>Bergvik skog väst AB</t>
        </is>
      </c>
      <c r="G1181" t="n">
        <v>22.7</v>
      </c>
      <c r="H1181" t="n">
        <v>0</v>
      </c>
      <c r="I1181" t="n">
        <v>0</v>
      </c>
      <c r="J1181" t="n">
        <v>0</v>
      </c>
      <c r="K1181" t="n">
        <v>0</v>
      </c>
      <c r="L1181" t="n">
        <v>0</v>
      </c>
      <c r="M1181" t="n">
        <v>0</v>
      </c>
      <c r="N1181" t="n">
        <v>0</v>
      </c>
      <c r="O1181" t="n">
        <v>0</v>
      </c>
      <c r="P1181" t="n">
        <v>0</v>
      </c>
      <c r="Q1181" t="n">
        <v>0</v>
      </c>
      <c r="R1181" s="2" t="inlineStr"/>
    </row>
    <row r="1182" ht="15" customHeight="1">
      <c r="A1182" t="inlineStr">
        <is>
          <t>A 49699-2022</t>
        </is>
      </c>
      <c r="B1182" s="1" t="n">
        <v>44859</v>
      </c>
      <c r="C1182" s="1" t="n">
        <v>45726</v>
      </c>
      <c r="D1182" t="inlineStr">
        <is>
          <t>VÄRMLANDS LÄN</t>
        </is>
      </c>
      <c r="E1182" t="inlineStr">
        <is>
          <t>TORSBY</t>
        </is>
      </c>
      <c r="F1182" t="inlineStr">
        <is>
          <t>Kyrkan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49814-2022</t>
        </is>
      </c>
      <c r="B1183" s="1" t="n">
        <v>44859</v>
      </c>
      <c r="C1183" s="1" t="n">
        <v>45726</v>
      </c>
      <c r="D1183" t="inlineStr">
        <is>
          <t>VÄRMLANDS LÄN</t>
        </is>
      </c>
      <c r="E1183" t="inlineStr">
        <is>
          <t>TORSBY</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49608-2022</t>
        </is>
      </c>
      <c r="B1184" s="1" t="n">
        <v>44859</v>
      </c>
      <c r="C1184" s="1" t="n">
        <v>45726</v>
      </c>
      <c r="D1184" t="inlineStr">
        <is>
          <t>VÄRMLANDS LÄN</t>
        </is>
      </c>
      <c r="E1184" t="inlineStr">
        <is>
          <t>TORSBY</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49073-2022</t>
        </is>
      </c>
      <c r="B1185" s="1" t="n">
        <v>44860</v>
      </c>
      <c r="C1185" s="1" t="n">
        <v>45726</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49206-2022</t>
        </is>
      </c>
      <c r="B1186" s="1" t="n">
        <v>44861</v>
      </c>
      <c r="C1186" s="1" t="n">
        <v>45726</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49346-2022</t>
        </is>
      </c>
      <c r="B1187" s="1" t="n">
        <v>44861</v>
      </c>
      <c r="C1187" s="1" t="n">
        <v>45726</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50390-2022</t>
        </is>
      </c>
      <c r="B1188" s="1" t="n">
        <v>44861</v>
      </c>
      <c r="C1188" s="1" t="n">
        <v>45726</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49795-2022</t>
        </is>
      </c>
      <c r="B1189" s="1" t="n">
        <v>44862</v>
      </c>
      <c r="C1189" s="1" t="n">
        <v>45726</v>
      </c>
      <c r="D1189" t="inlineStr">
        <is>
          <t>VÄRMLANDS LÄN</t>
        </is>
      </c>
      <c r="E1189" t="inlineStr">
        <is>
          <t>TORSBY</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49810-2022</t>
        </is>
      </c>
      <c r="B1190" s="1" t="n">
        <v>44862</v>
      </c>
      <c r="C1190" s="1" t="n">
        <v>45726</v>
      </c>
      <c r="D1190" t="inlineStr">
        <is>
          <t>VÄRMLANDS LÄN</t>
        </is>
      </c>
      <c r="E1190" t="inlineStr">
        <is>
          <t>TORSBY</t>
        </is>
      </c>
      <c r="F1190" t="inlineStr">
        <is>
          <t>Bergvik skog väst AB</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49957-2022</t>
        </is>
      </c>
      <c r="B1191" s="1" t="n">
        <v>44865</v>
      </c>
      <c r="C1191" s="1" t="n">
        <v>45726</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49983-2022</t>
        </is>
      </c>
      <c r="B1192" s="1" t="n">
        <v>44865</v>
      </c>
      <c r="C1192" s="1" t="n">
        <v>45726</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49970-2022</t>
        </is>
      </c>
      <c r="B1193" s="1" t="n">
        <v>44865</v>
      </c>
      <c r="C1193" s="1" t="n">
        <v>45726</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49959-2022</t>
        </is>
      </c>
      <c r="B1194" s="1" t="n">
        <v>44865</v>
      </c>
      <c r="C1194" s="1" t="n">
        <v>45726</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50280-2022</t>
        </is>
      </c>
      <c r="B1195" s="1" t="n">
        <v>44865</v>
      </c>
      <c r="C1195" s="1" t="n">
        <v>45726</v>
      </c>
      <c r="D1195" t="inlineStr">
        <is>
          <t>VÄRMLANDS LÄN</t>
        </is>
      </c>
      <c r="E1195" t="inlineStr">
        <is>
          <t>TORSBY</t>
        </is>
      </c>
      <c r="F1195" t="inlineStr">
        <is>
          <t>Bergvik skog väst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50417-2022</t>
        </is>
      </c>
      <c r="B1196" s="1" t="n">
        <v>44866</v>
      </c>
      <c r="C1196" s="1" t="n">
        <v>45726</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50436-2022</t>
        </is>
      </c>
      <c r="B1197" s="1" t="n">
        <v>44866</v>
      </c>
      <c r="C1197" s="1" t="n">
        <v>45726</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50434-2022</t>
        </is>
      </c>
      <c r="B1198" s="1" t="n">
        <v>44866</v>
      </c>
      <c r="C1198" s="1" t="n">
        <v>45726</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50953-2022</t>
        </is>
      </c>
      <c r="B1199" s="1" t="n">
        <v>44866</v>
      </c>
      <c r="C1199" s="1" t="n">
        <v>45726</v>
      </c>
      <c r="D1199" t="inlineStr">
        <is>
          <t>VÄRMLANDS LÄN</t>
        </is>
      </c>
      <c r="E1199" t="inlineStr">
        <is>
          <t>TORSBY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50789-2022</t>
        </is>
      </c>
      <c r="B1200" s="1" t="n">
        <v>44867</v>
      </c>
      <c r="C1200" s="1" t="n">
        <v>45726</v>
      </c>
      <c r="D1200" t="inlineStr">
        <is>
          <t>VÄRMLANDS LÄN</t>
        </is>
      </c>
      <c r="E1200" t="inlineStr">
        <is>
          <t>TORSBY</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51124-2022</t>
        </is>
      </c>
      <c r="B1201" s="1" t="n">
        <v>44868</v>
      </c>
      <c r="C1201" s="1" t="n">
        <v>45726</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51439-2022</t>
        </is>
      </c>
      <c r="B1202" s="1" t="n">
        <v>44869</v>
      </c>
      <c r="C1202" s="1" t="n">
        <v>45726</v>
      </c>
      <c r="D1202" t="inlineStr">
        <is>
          <t>VÄRMLANDS LÄN</t>
        </is>
      </c>
      <c r="E1202" t="inlineStr">
        <is>
          <t>TORSBY</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51490-2022</t>
        </is>
      </c>
      <c r="B1203" s="1" t="n">
        <v>44869</v>
      </c>
      <c r="C1203" s="1" t="n">
        <v>45726</v>
      </c>
      <c r="D1203" t="inlineStr">
        <is>
          <t>VÄRMLANDS LÄN</t>
        </is>
      </c>
      <c r="E1203" t="inlineStr">
        <is>
          <t>TORSBY</t>
        </is>
      </c>
      <c r="F1203" t="inlineStr">
        <is>
          <t>Bergvik skog väst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51489-2022</t>
        </is>
      </c>
      <c r="B1204" s="1" t="n">
        <v>44869</v>
      </c>
      <c r="C1204" s="1" t="n">
        <v>45726</v>
      </c>
      <c r="D1204" t="inlineStr">
        <is>
          <t>VÄRMLANDS LÄN</t>
        </is>
      </c>
      <c r="E1204" t="inlineStr">
        <is>
          <t>TORSBY</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51847-2022</t>
        </is>
      </c>
      <c r="B1205" s="1" t="n">
        <v>44872</v>
      </c>
      <c r="C1205" s="1" t="n">
        <v>45726</v>
      </c>
      <c r="D1205" t="inlineStr">
        <is>
          <t>VÄRMLANDS LÄN</t>
        </is>
      </c>
      <c r="E1205" t="inlineStr">
        <is>
          <t>TORSBY</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51843-2022</t>
        </is>
      </c>
      <c r="B1206" s="1" t="n">
        <v>44872</v>
      </c>
      <c r="C1206" s="1" t="n">
        <v>45726</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51911-2022</t>
        </is>
      </c>
      <c r="B1207" s="1" t="n">
        <v>44872</v>
      </c>
      <c r="C1207" s="1" t="n">
        <v>45726</v>
      </c>
      <c r="D1207" t="inlineStr">
        <is>
          <t>VÄRMLANDS LÄN</t>
        </is>
      </c>
      <c r="E1207" t="inlineStr">
        <is>
          <t>TORSBY</t>
        </is>
      </c>
      <c r="F1207" t="inlineStr">
        <is>
          <t>Bergvik skog väst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52921-2022</t>
        </is>
      </c>
      <c r="B1208" s="1" t="n">
        <v>44872</v>
      </c>
      <c r="C1208" s="1" t="n">
        <v>45726</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52901-2022</t>
        </is>
      </c>
      <c r="B1209" s="1" t="n">
        <v>44872</v>
      </c>
      <c r="C1209" s="1" t="n">
        <v>45726</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52286-2022</t>
        </is>
      </c>
      <c r="B1210" s="1" t="n">
        <v>44873</v>
      </c>
      <c r="C1210" s="1" t="n">
        <v>45726</v>
      </c>
      <c r="D1210" t="inlineStr">
        <is>
          <t>VÄRMLANDS LÄN</t>
        </is>
      </c>
      <c r="E1210" t="inlineStr">
        <is>
          <t>TORSBY</t>
        </is>
      </c>
      <c r="F1210" t="inlineStr">
        <is>
          <t>Bergvik skog väst AB</t>
        </is>
      </c>
      <c r="G1210" t="n">
        <v>51.4</v>
      </c>
      <c r="H1210" t="n">
        <v>0</v>
      </c>
      <c r="I1210" t="n">
        <v>0</v>
      </c>
      <c r="J1210" t="n">
        <v>0</v>
      </c>
      <c r="K1210" t="n">
        <v>0</v>
      </c>
      <c r="L1210" t="n">
        <v>0</v>
      </c>
      <c r="M1210" t="n">
        <v>0</v>
      </c>
      <c r="N1210" t="n">
        <v>0</v>
      </c>
      <c r="O1210" t="n">
        <v>0</v>
      </c>
      <c r="P1210" t="n">
        <v>0</v>
      </c>
      <c r="Q1210" t="n">
        <v>0</v>
      </c>
      <c r="R1210" s="2" t="inlineStr"/>
    </row>
    <row r="1211" ht="15" customHeight="1">
      <c r="A1211" t="inlineStr">
        <is>
          <t>A 52393-2022</t>
        </is>
      </c>
      <c r="B1211" s="1" t="n">
        <v>44874</v>
      </c>
      <c r="C1211" s="1" t="n">
        <v>45726</v>
      </c>
      <c r="D1211" t="inlineStr">
        <is>
          <t>VÄRMLANDS LÄN</t>
        </is>
      </c>
      <c r="E1211" t="inlineStr">
        <is>
          <t>TORSBY</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52546-2022</t>
        </is>
      </c>
      <c r="B1212" s="1" t="n">
        <v>44874</v>
      </c>
      <c r="C1212" s="1" t="n">
        <v>45726</v>
      </c>
      <c r="D1212" t="inlineStr">
        <is>
          <t>VÄRMLANDS LÄN</t>
        </is>
      </c>
      <c r="E1212" t="inlineStr">
        <is>
          <t>TORSBY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52386-2022</t>
        </is>
      </c>
      <c r="B1213" s="1" t="n">
        <v>44874</v>
      </c>
      <c r="C1213" s="1" t="n">
        <v>45726</v>
      </c>
      <c r="D1213" t="inlineStr">
        <is>
          <t>VÄRMLANDS LÄN</t>
        </is>
      </c>
      <c r="E1213" t="inlineStr">
        <is>
          <t>TORSBY</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52543-2022</t>
        </is>
      </c>
      <c r="B1214" s="1" t="n">
        <v>44874</v>
      </c>
      <c r="C1214" s="1" t="n">
        <v>45726</v>
      </c>
      <c r="D1214" t="inlineStr">
        <is>
          <t>VÄRMLANDS LÄN</t>
        </is>
      </c>
      <c r="E1214" t="inlineStr">
        <is>
          <t>TORSBY</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52447-2022</t>
        </is>
      </c>
      <c r="B1215" s="1" t="n">
        <v>44874</v>
      </c>
      <c r="C1215" s="1" t="n">
        <v>45726</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52483-2022</t>
        </is>
      </c>
      <c r="B1216" s="1" t="n">
        <v>44874</v>
      </c>
      <c r="C1216" s="1" t="n">
        <v>45726</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52913-2022</t>
        </is>
      </c>
      <c r="B1217" s="1" t="n">
        <v>44875</v>
      </c>
      <c r="C1217" s="1" t="n">
        <v>45726</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52919-2022</t>
        </is>
      </c>
      <c r="B1218" s="1" t="n">
        <v>44875</v>
      </c>
      <c r="C1218" s="1" t="n">
        <v>45726</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53044-2022</t>
        </is>
      </c>
      <c r="B1219" s="1" t="n">
        <v>44876</v>
      </c>
      <c r="C1219" s="1" t="n">
        <v>45726</v>
      </c>
      <c r="D1219" t="inlineStr">
        <is>
          <t>VÄRMLANDS LÄN</t>
        </is>
      </c>
      <c r="E1219" t="inlineStr">
        <is>
          <t>TORSBY</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53076-2022</t>
        </is>
      </c>
      <c r="B1220" s="1" t="n">
        <v>44876</v>
      </c>
      <c r="C1220" s="1" t="n">
        <v>45726</v>
      </c>
      <c r="D1220" t="inlineStr">
        <is>
          <t>VÄRMLANDS LÄN</t>
        </is>
      </c>
      <c r="E1220" t="inlineStr">
        <is>
          <t>TORSBY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53988-2022</t>
        </is>
      </c>
      <c r="B1221" s="1" t="n">
        <v>44876</v>
      </c>
      <c r="C1221" s="1" t="n">
        <v>45726</v>
      </c>
      <c r="D1221" t="inlineStr">
        <is>
          <t>VÄRMLANDS LÄN</t>
        </is>
      </c>
      <c r="E1221" t="inlineStr">
        <is>
          <t>TORSBY</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53381-2022</t>
        </is>
      </c>
      <c r="B1222" s="1" t="n">
        <v>44879</v>
      </c>
      <c r="C1222" s="1" t="n">
        <v>45726</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53492-2022</t>
        </is>
      </c>
      <c r="B1223" s="1" t="n">
        <v>44879</v>
      </c>
      <c r="C1223" s="1" t="n">
        <v>45726</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53781-2022</t>
        </is>
      </c>
      <c r="B1224" s="1" t="n">
        <v>44880</v>
      </c>
      <c r="C1224" s="1" t="n">
        <v>45726</v>
      </c>
      <c r="D1224" t="inlineStr">
        <is>
          <t>VÄRMLANDS LÄN</t>
        </is>
      </c>
      <c r="E1224" t="inlineStr">
        <is>
          <t>TORSBY</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53906-2022</t>
        </is>
      </c>
      <c r="B1225" s="1" t="n">
        <v>44880</v>
      </c>
      <c r="C1225" s="1" t="n">
        <v>45726</v>
      </c>
      <c r="D1225" t="inlineStr">
        <is>
          <t>VÄRMLANDS LÄN</t>
        </is>
      </c>
      <c r="E1225" t="inlineStr">
        <is>
          <t>TORSBY</t>
        </is>
      </c>
      <c r="F1225" t="inlineStr">
        <is>
          <t>Bergvik skog väst AB</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54452-2022</t>
        </is>
      </c>
      <c r="B1226" s="1" t="n">
        <v>44880</v>
      </c>
      <c r="C1226" s="1" t="n">
        <v>45726</v>
      </c>
      <c r="D1226" t="inlineStr">
        <is>
          <t>VÄRMLANDS LÄN</t>
        </is>
      </c>
      <c r="E1226" t="inlineStr">
        <is>
          <t>TORSBY</t>
        </is>
      </c>
      <c r="F1226" t="inlineStr">
        <is>
          <t>Kyrkan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54028-2022</t>
        </is>
      </c>
      <c r="B1227" s="1" t="n">
        <v>44881</v>
      </c>
      <c r="C1227" s="1" t="n">
        <v>45726</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54143-2022</t>
        </is>
      </c>
      <c r="B1228" s="1" t="n">
        <v>44881</v>
      </c>
      <c r="C1228" s="1" t="n">
        <v>45726</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54160-2022</t>
        </is>
      </c>
      <c r="B1229" s="1" t="n">
        <v>44881</v>
      </c>
      <c r="C1229" s="1" t="n">
        <v>45726</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54811-2022</t>
        </is>
      </c>
      <c r="B1230" s="1" t="n">
        <v>44883</v>
      </c>
      <c r="C1230" s="1" t="n">
        <v>45726</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54865-2022</t>
        </is>
      </c>
      <c r="B1231" s="1" t="n">
        <v>44884</v>
      </c>
      <c r="C1231" s="1" t="n">
        <v>45726</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54885-2022</t>
        </is>
      </c>
      <c r="B1232" s="1" t="n">
        <v>44886</v>
      </c>
      <c r="C1232" s="1" t="n">
        <v>45726</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55068-2022</t>
        </is>
      </c>
      <c r="B1233" s="1" t="n">
        <v>44886</v>
      </c>
      <c r="C1233" s="1" t="n">
        <v>45726</v>
      </c>
      <c r="D1233" t="inlineStr">
        <is>
          <t>VÄRMLANDS LÄN</t>
        </is>
      </c>
      <c r="E1233" t="inlineStr">
        <is>
          <t>TORSBY</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55092-2022</t>
        </is>
      </c>
      <c r="B1234" s="1" t="n">
        <v>44886</v>
      </c>
      <c r="C1234" s="1" t="n">
        <v>45726</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55104-2022</t>
        </is>
      </c>
      <c r="B1235" s="1" t="n">
        <v>44886</v>
      </c>
      <c r="C1235" s="1" t="n">
        <v>45726</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55428-2022</t>
        </is>
      </c>
      <c r="B1236" s="1" t="n">
        <v>44887</v>
      </c>
      <c r="C1236" s="1" t="n">
        <v>45726</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55475-2022</t>
        </is>
      </c>
      <c r="B1237" s="1" t="n">
        <v>44887</v>
      </c>
      <c r="C1237" s="1" t="n">
        <v>45726</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55436-2022</t>
        </is>
      </c>
      <c r="B1238" s="1" t="n">
        <v>44887</v>
      </c>
      <c r="C1238" s="1" t="n">
        <v>45726</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55575-2022</t>
        </is>
      </c>
      <c r="B1239" s="1" t="n">
        <v>44888</v>
      </c>
      <c r="C1239" s="1" t="n">
        <v>45726</v>
      </c>
      <c r="D1239" t="inlineStr">
        <is>
          <t>VÄRMLANDS LÄN</t>
        </is>
      </c>
      <c r="E1239" t="inlineStr">
        <is>
          <t>TORSBY</t>
        </is>
      </c>
      <c r="F1239" t="inlineStr">
        <is>
          <t>Bergvik skog väst AB</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55981-2022</t>
        </is>
      </c>
      <c r="B1240" s="1" t="n">
        <v>44889</v>
      </c>
      <c r="C1240" s="1" t="n">
        <v>45726</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55939-2022</t>
        </is>
      </c>
      <c r="B1241" s="1" t="n">
        <v>44889</v>
      </c>
      <c r="C1241" s="1" t="n">
        <v>45726</v>
      </c>
      <c r="D1241" t="inlineStr">
        <is>
          <t>VÄRMLANDS LÄN</t>
        </is>
      </c>
      <c r="E1241" t="inlineStr">
        <is>
          <t>TORSBY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55947-2022</t>
        </is>
      </c>
      <c r="B1242" s="1" t="n">
        <v>44889</v>
      </c>
      <c r="C1242" s="1" t="n">
        <v>45726</v>
      </c>
      <c r="D1242" t="inlineStr">
        <is>
          <t>VÄRMLANDS LÄN</t>
        </is>
      </c>
      <c r="E1242" t="inlineStr">
        <is>
          <t>TORSBY</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56281-2022</t>
        </is>
      </c>
      <c r="B1243" s="1" t="n">
        <v>44890</v>
      </c>
      <c r="C1243" s="1" t="n">
        <v>45726</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56361-2022</t>
        </is>
      </c>
      <c r="B1244" s="1" t="n">
        <v>44890</v>
      </c>
      <c r="C1244" s="1" t="n">
        <v>45726</v>
      </c>
      <c r="D1244" t="inlineStr">
        <is>
          <t>VÄRMLANDS LÄN</t>
        </is>
      </c>
      <c r="E1244" t="inlineStr">
        <is>
          <t>TORSBY</t>
        </is>
      </c>
      <c r="F1244" t="inlineStr">
        <is>
          <t>Bergvik skog väst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56432-2022</t>
        </is>
      </c>
      <c r="B1245" s="1" t="n">
        <v>44891</v>
      </c>
      <c r="C1245" s="1" t="n">
        <v>45726</v>
      </c>
      <c r="D1245" t="inlineStr">
        <is>
          <t>VÄRMLANDS LÄN</t>
        </is>
      </c>
      <c r="E1245" t="inlineStr">
        <is>
          <t>TORSBY</t>
        </is>
      </c>
      <c r="F1245" t="inlineStr">
        <is>
          <t>Bergvik skog väst AB</t>
        </is>
      </c>
      <c r="G1245" t="n">
        <v>37.4</v>
      </c>
      <c r="H1245" t="n">
        <v>0</v>
      </c>
      <c r="I1245" t="n">
        <v>0</v>
      </c>
      <c r="J1245" t="n">
        <v>0</v>
      </c>
      <c r="K1245" t="n">
        <v>0</v>
      </c>
      <c r="L1245" t="n">
        <v>0</v>
      </c>
      <c r="M1245" t="n">
        <v>0</v>
      </c>
      <c r="N1245" t="n">
        <v>0</v>
      </c>
      <c r="O1245" t="n">
        <v>0</v>
      </c>
      <c r="P1245" t="n">
        <v>0</v>
      </c>
      <c r="Q1245" t="n">
        <v>0</v>
      </c>
      <c r="R1245" s="2" t="inlineStr"/>
    </row>
    <row r="1246" ht="15" customHeight="1">
      <c r="A1246" t="inlineStr">
        <is>
          <t>A 56434-2022</t>
        </is>
      </c>
      <c r="B1246" s="1" t="n">
        <v>44891</v>
      </c>
      <c r="C1246" s="1" t="n">
        <v>45726</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56473-2022</t>
        </is>
      </c>
      <c r="B1247" s="1" t="n">
        <v>44893</v>
      </c>
      <c r="C1247" s="1" t="n">
        <v>45726</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57072-2022</t>
        </is>
      </c>
      <c r="B1248" s="1" t="n">
        <v>44895</v>
      </c>
      <c r="C1248" s="1" t="n">
        <v>45726</v>
      </c>
      <c r="D1248" t="inlineStr">
        <is>
          <t>VÄRMLANDS LÄN</t>
        </is>
      </c>
      <c r="E1248" t="inlineStr">
        <is>
          <t>TORSBY</t>
        </is>
      </c>
      <c r="F1248" t="inlineStr">
        <is>
          <t>Övriga statliga verk och myndigheter</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57176-2022</t>
        </is>
      </c>
      <c r="B1249" s="1" t="n">
        <v>44895</v>
      </c>
      <c r="C1249" s="1" t="n">
        <v>45726</v>
      </c>
      <c r="D1249" t="inlineStr">
        <is>
          <t>VÄRMLANDS LÄN</t>
        </is>
      </c>
      <c r="E1249" t="inlineStr">
        <is>
          <t>TORSBY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57071-2022</t>
        </is>
      </c>
      <c r="B1250" s="1" t="n">
        <v>44895</v>
      </c>
      <c r="C1250" s="1" t="n">
        <v>45726</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57172-2022</t>
        </is>
      </c>
      <c r="B1251" s="1" t="n">
        <v>44895</v>
      </c>
      <c r="C1251" s="1" t="n">
        <v>45726</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57408-2022</t>
        </is>
      </c>
      <c r="B1252" s="1" t="n">
        <v>44896</v>
      </c>
      <c r="C1252" s="1" t="n">
        <v>45726</v>
      </c>
      <c r="D1252" t="inlineStr">
        <is>
          <t>VÄRMLANDS LÄN</t>
        </is>
      </c>
      <c r="E1252" t="inlineStr">
        <is>
          <t>TORSBY</t>
        </is>
      </c>
      <c r="F1252" t="inlineStr">
        <is>
          <t>Bergvik skog väst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57418-2022</t>
        </is>
      </c>
      <c r="B1253" s="1" t="n">
        <v>44896</v>
      </c>
      <c r="C1253" s="1" t="n">
        <v>45726</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57393-2022</t>
        </is>
      </c>
      <c r="B1254" s="1" t="n">
        <v>44896</v>
      </c>
      <c r="C1254" s="1" t="n">
        <v>45726</v>
      </c>
      <c r="D1254" t="inlineStr">
        <is>
          <t>VÄRMLANDS LÄN</t>
        </is>
      </c>
      <c r="E1254" t="inlineStr">
        <is>
          <t>TORSBY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57452-2022</t>
        </is>
      </c>
      <c r="B1255" s="1" t="n">
        <v>44896</v>
      </c>
      <c r="C1255" s="1" t="n">
        <v>45726</v>
      </c>
      <c r="D1255" t="inlineStr">
        <is>
          <t>VÄRMLANDS LÄN</t>
        </is>
      </c>
      <c r="E1255" t="inlineStr">
        <is>
          <t>TORSBY</t>
        </is>
      </c>
      <c r="F1255" t="inlineStr">
        <is>
          <t>Bergvik skog väst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57708-2022</t>
        </is>
      </c>
      <c r="B1256" s="1" t="n">
        <v>44897</v>
      </c>
      <c r="C1256" s="1" t="n">
        <v>45726</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57726-2022</t>
        </is>
      </c>
      <c r="B1257" s="1" t="n">
        <v>44897</v>
      </c>
      <c r="C1257" s="1" t="n">
        <v>45726</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57721-2022</t>
        </is>
      </c>
      <c r="B1258" s="1" t="n">
        <v>44897</v>
      </c>
      <c r="C1258" s="1" t="n">
        <v>45726</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57867-2022</t>
        </is>
      </c>
      <c r="B1259" s="1" t="n">
        <v>44899</v>
      </c>
      <c r="C1259" s="1" t="n">
        <v>45726</v>
      </c>
      <c r="D1259" t="inlineStr">
        <is>
          <t>VÄRMLANDS LÄN</t>
        </is>
      </c>
      <c r="E1259" t="inlineStr">
        <is>
          <t>TORSBY</t>
        </is>
      </c>
      <c r="F1259" t="inlineStr">
        <is>
          <t>Bergvik skog väst AB</t>
        </is>
      </c>
      <c r="G1259" t="n">
        <v>21.8</v>
      </c>
      <c r="H1259" t="n">
        <v>0</v>
      </c>
      <c r="I1259" t="n">
        <v>0</v>
      </c>
      <c r="J1259" t="n">
        <v>0</v>
      </c>
      <c r="K1259" t="n">
        <v>0</v>
      </c>
      <c r="L1259" t="n">
        <v>0</v>
      </c>
      <c r="M1259" t="n">
        <v>0</v>
      </c>
      <c r="N1259" t="n">
        <v>0</v>
      </c>
      <c r="O1259" t="n">
        <v>0</v>
      </c>
      <c r="P1259" t="n">
        <v>0</v>
      </c>
      <c r="Q1259" t="n">
        <v>0</v>
      </c>
      <c r="R1259" s="2" t="inlineStr"/>
    </row>
    <row r="1260" ht="15" customHeight="1">
      <c r="A1260" t="inlineStr">
        <is>
          <t>A 57937-2022</t>
        </is>
      </c>
      <c r="B1260" s="1" t="n">
        <v>44900</v>
      </c>
      <c r="C1260" s="1" t="n">
        <v>45726</v>
      </c>
      <c r="D1260" t="inlineStr">
        <is>
          <t>VÄRMLANDS LÄN</t>
        </is>
      </c>
      <c r="E1260" t="inlineStr">
        <is>
          <t>TORSBY</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58225-2022</t>
        </is>
      </c>
      <c r="B1261" s="1" t="n">
        <v>44901</v>
      </c>
      <c r="C1261" s="1" t="n">
        <v>45726</v>
      </c>
      <c r="D1261" t="inlineStr">
        <is>
          <t>VÄRMLANDS LÄN</t>
        </is>
      </c>
      <c r="E1261" t="inlineStr">
        <is>
          <t>TORSBY</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58276-2022</t>
        </is>
      </c>
      <c r="B1262" s="1" t="n">
        <v>44901</v>
      </c>
      <c r="C1262" s="1" t="n">
        <v>45726</v>
      </c>
      <c r="D1262" t="inlineStr">
        <is>
          <t>VÄRMLANDS LÄN</t>
        </is>
      </c>
      <c r="E1262" t="inlineStr">
        <is>
          <t>TORSBY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58956-2022</t>
        </is>
      </c>
      <c r="B1263" s="1" t="n">
        <v>44903</v>
      </c>
      <c r="C1263" s="1" t="n">
        <v>45726</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58869-2022</t>
        </is>
      </c>
      <c r="B1264" s="1" t="n">
        <v>44903</v>
      </c>
      <c r="C1264" s="1" t="n">
        <v>45726</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58951-2022</t>
        </is>
      </c>
      <c r="B1265" s="1" t="n">
        <v>44903</v>
      </c>
      <c r="C1265" s="1" t="n">
        <v>45726</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59097-2022</t>
        </is>
      </c>
      <c r="B1266" s="1" t="n">
        <v>44904</v>
      </c>
      <c r="C1266" s="1" t="n">
        <v>45726</v>
      </c>
      <c r="D1266" t="inlineStr">
        <is>
          <t>VÄRMLANDS LÄN</t>
        </is>
      </c>
      <c r="E1266" t="inlineStr">
        <is>
          <t>TORSBY</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59096-2022</t>
        </is>
      </c>
      <c r="B1267" s="1" t="n">
        <v>44904</v>
      </c>
      <c r="C1267" s="1" t="n">
        <v>45726</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59778-2022</t>
        </is>
      </c>
      <c r="B1268" s="1" t="n">
        <v>44908</v>
      </c>
      <c r="C1268" s="1" t="n">
        <v>45726</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60240-2022</t>
        </is>
      </c>
      <c r="B1269" s="1" t="n">
        <v>44910</v>
      </c>
      <c r="C1269" s="1" t="n">
        <v>45726</v>
      </c>
      <c r="D1269" t="inlineStr">
        <is>
          <t>VÄRMLANDS LÄN</t>
        </is>
      </c>
      <c r="E1269" t="inlineStr">
        <is>
          <t>TORSBY</t>
        </is>
      </c>
      <c r="F1269" t="inlineStr">
        <is>
          <t>Bergvik skog väst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61432-2022</t>
        </is>
      </c>
      <c r="B1270" s="1" t="n">
        <v>44910</v>
      </c>
      <c r="C1270" s="1" t="n">
        <v>45726</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61428-2022</t>
        </is>
      </c>
      <c r="B1271" s="1" t="n">
        <v>44910</v>
      </c>
      <c r="C1271" s="1" t="n">
        <v>45726</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60737-2022</t>
        </is>
      </c>
      <c r="B1272" s="1" t="n">
        <v>44913</v>
      </c>
      <c r="C1272" s="1" t="n">
        <v>45726</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60823-2022</t>
        </is>
      </c>
      <c r="B1273" s="1" t="n">
        <v>44914</v>
      </c>
      <c r="C1273" s="1" t="n">
        <v>45726</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61128-2022</t>
        </is>
      </c>
      <c r="B1274" s="1" t="n">
        <v>44915</v>
      </c>
      <c r="C1274" s="1" t="n">
        <v>45726</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61151-2022</t>
        </is>
      </c>
      <c r="B1275" s="1" t="n">
        <v>44915</v>
      </c>
      <c r="C1275" s="1" t="n">
        <v>45726</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61286-2022</t>
        </is>
      </c>
      <c r="B1276" s="1" t="n">
        <v>44915</v>
      </c>
      <c r="C1276" s="1" t="n">
        <v>45726</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61321-2022</t>
        </is>
      </c>
      <c r="B1277" s="1" t="n">
        <v>44915</v>
      </c>
      <c r="C1277" s="1" t="n">
        <v>45726</v>
      </c>
      <c r="D1277" t="inlineStr">
        <is>
          <t>VÄRMLANDS LÄN</t>
        </is>
      </c>
      <c r="E1277" t="inlineStr">
        <is>
          <t>TORSBY</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61138-2022</t>
        </is>
      </c>
      <c r="B1278" s="1" t="n">
        <v>44915</v>
      </c>
      <c r="C1278" s="1" t="n">
        <v>45726</v>
      </c>
      <c r="D1278" t="inlineStr">
        <is>
          <t>VÄRMLANDS LÄN</t>
        </is>
      </c>
      <c r="E1278" t="inlineStr">
        <is>
          <t>TORSBY</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61143-2022</t>
        </is>
      </c>
      <c r="B1279" s="1" t="n">
        <v>44915</v>
      </c>
      <c r="C1279" s="1" t="n">
        <v>45726</v>
      </c>
      <c r="D1279" t="inlineStr">
        <is>
          <t>VÄRMLANDS LÄN</t>
        </is>
      </c>
      <c r="E1279" t="inlineStr">
        <is>
          <t>TORSBY</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61290-2022</t>
        </is>
      </c>
      <c r="B1280" s="1" t="n">
        <v>44915</v>
      </c>
      <c r="C1280" s="1" t="n">
        <v>45726</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61367-2022</t>
        </is>
      </c>
      <c r="B1281" s="1" t="n">
        <v>44915</v>
      </c>
      <c r="C1281" s="1" t="n">
        <v>45726</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61135-2022</t>
        </is>
      </c>
      <c r="B1282" s="1" t="n">
        <v>44915</v>
      </c>
      <c r="C1282" s="1" t="n">
        <v>45726</v>
      </c>
      <c r="D1282" t="inlineStr">
        <is>
          <t>VÄRMLANDS LÄN</t>
        </is>
      </c>
      <c r="E1282" t="inlineStr">
        <is>
          <t>TORSBY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61510-2022</t>
        </is>
      </c>
      <c r="B1283" s="1" t="n">
        <v>44916</v>
      </c>
      <c r="C1283" s="1" t="n">
        <v>45726</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62006-2022</t>
        </is>
      </c>
      <c r="B1284" s="1" t="n">
        <v>44918</v>
      </c>
      <c r="C1284" s="1" t="n">
        <v>45726</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80-2023</t>
        </is>
      </c>
      <c r="B1285" s="1" t="n">
        <v>44918</v>
      </c>
      <c r="C1285" s="1" t="n">
        <v>45726</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345-2023</t>
        </is>
      </c>
      <c r="B1286" s="1" t="n">
        <v>44923</v>
      </c>
      <c r="C1286" s="1" t="n">
        <v>45726</v>
      </c>
      <c r="D1286" t="inlineStr">
        <is>
          <t>VÄRMLANDS LÄN</t>
        </is>
      </c>
      <c r="E1286" t="inlineStr">
        <is>
          <t>TORSBY</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363-2023</t>
        </is>
      </c>
      <c r="B1287" s="1" t="n">
        <v>44923</v>
      </c>
      <c r="C1287" s="1" t="n">
        <v>45726</v>
      </c>
      <c r="D1287" t="inlineStr">
        <is>
          <t>VÄRMLANDS LÄN</t>
        </is>
      </c>
      <c r="E1287" t="inlineStr">
        <is>
          <t>TORSBY</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62574-2022</t>
        </is>
      </c>
      <c r="B1288" s="1" t="n">
        <v>44924</v>
      </c>
      <c r="C1288" s="1" t="n">
        <v>45726</v>
      </c>
      <c r="D1288" t="inlineStr">
        <is>
          <t>VÄRMLANDS LÄN</t>
        </is>
      </c>
      <c r="E1288" t="inlineStr">
        <is>
          <t>TORSBY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522-2023</t>
        </is>
      </c>
      <c r="B1289" s="1" t="n">
        <v>44930</v>
      </c>
      <c r="C1289" s="1" t="n">
        <v>45726</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1003-2023</t>
        </is>
      </c>
      <c r="B1290" s="1" t="n">
        <v>44935</v>
      </c>
      <c r="C1290" s="1" t="n">
        <v>45726</v>
      </c>
      <c r="D1290" t="inlineStr">
        <is>
          <t>VÄRMLANDS LÄN</t>
        </is>
      </c>
      <c r="E1290" t="inlineStr">
        <is>
          <t>TORSBY</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1120-2023</t>
        </is>
      </c>
      <c r="B1291" s="1" t="n">
        <v>44935</v>
      </c>
      <c r="C1291" s="1" t="n">
        <v>45726</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1166-2023</t>
        </is>
      </c>
      <c r="B1292" s="1" t="n">
        <v>44935</v>
      </c>
      <c r="C1292" s="1" t="n">
        <v>45726</v>
      </c>
      <c r="D1292" t="inlineStr">
        <is>
          <t>VÄRMLANDS LÄN</t>
        </is>
      </c>
      <c r="E1292" t="inlineStr">
        <is>
          <t>TORSBY</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1123-2023</t>
        </is>
      </c>
      <c r="B1293" s="1" t="n">
        <v>44935</v>
      </c>
      <c r="C1293" s="1" t="n">
        <v>45726</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1386-2023</t>
        </is>
      </c>
      <c r="B1294" s="1" t="n">
        <v>44936</v>
      </c>
      <c r="C1294" s="1" t="n">
        <v>45726</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1947-2023</t>
        </is>
      </c>
      <c r="B1295" s="1" t="n">
        <v>44939</v>
      </c>
      <c r="C1295" s="1" t="n">
        <v>45726</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1979-2023</t>
        </is>
      </c>
      <c r="B1296" s="1" t="n">
        <v>44939</v>
      </c>
      <c r="C1296" s="1" t="n">
        <v>45726</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2471-2023</t>
        </is>
      </c>
      <c r="B1297" s="1" t="n">
        <v>44943</v>
      </c>
      <c r="C1297" s="1" t="n">
        <v>45726</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2512-2023</t>
        </is>
      </c>
      <c r="B1298" s="1" t="n">
        <v>44943</v>
      </c>
      <c r="C1298" s="1" t="n">
        <v>45726</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3098-2023</t>
        </is>
      </c>
      <c r="B1299" s="1" t="n">
        <v>44946</v>
      </c>
      <c r="C1299" s="1" t="n">
        <v>45726</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3103-2023</t>
        </is>
      </c>
      <c r="B1300" s="1" t="n">
        <v>44946</v>
      </c>
      <c r="C1300" s="1" t="n">
        <v>45726</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3256-2023</t>
        </is>
      </c>
      <c r="B1301" s="1" t="n">
        <v>44948</v>
      </c>
      <c r="C1301" s="1" t="n">
        <v>45726</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3421-2023</t>
        </is>
      </c>
      <c r="B1302" s="1" t="n">
        <v>44949</v>
      </c>
      <c r="C1302" s="1" t="n">
        <v>45726</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3489-2023</t>
        </is>
      </c>
      <c r="B1303" s="1" t="n">
        <v>44949</v>
      </c>
      <c r="C1303" s="1" t="n">
        <v>45726</v>
      </c>
      <c r="D1303" t="inlineStr">
        <is>
          <t>VÄRMLANDS LÄN</t>
        </is>
      </c>
      <c r="E1303" t="inlineStr">
        <is>
          <t>TORSBY</t>
        </is>
      </c>
      <c r="F1303" t="inlineStr">
        <is>
          <t>Kommuner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3491-2023</t>
        </is>
      </c>
      <c r="B1304" s="1" t="n">
        <v>44949</v>
      </c>
      <c r="C1304" s="1" t="n">
        <v>45726</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3542-2023</t>
        </is>
      </c>
      <c r="B1305" s="1" t="n">
        <v>44950</v>
      </c>
      <c r="C1305" s="1" t="n">
        <v>45726</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3666-2023</t>
        </is>
      </c>
      <c r="B1306" s="1" t="n">
        <v>44950</v>
      </c>
      <c r="C1306" s="1" t="n">
        <v>45726</v>
      </c>
      <c r="D1306" t="inlineStr">
        <is>
          <t>VÄRMLANDS LÄN</t>
        </is>
      </c>
      <c r="E1306" t="inlineStr">
        <is>
          <t>TORSBY</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3670-2023</t>
        </is>
      </c>
      <c r="B1307" s="1" t="n">
        <v>44950</v>
      </c>
      <c r="C1307" s="1" t="n">
        <v>45726</v>
      </c>
      <c r="D1307" t="inlineStr">
        <is>
          <t>VÄRMLANDS LÄN</t>
        </is>
      </c>
      <c r="E1307" t="inlineStr">
        <is>
          <t>TORSBY</t>
        </is>
      </c>
      <c r="G1307" t="n">
        <v>15.4</v>
      </c>
      <c r="H1307" t="n">
        <v>0</v>
      </c>
      <c r="I1307" t="n">
        <v>0</v>
      </c>
      <c r="J1307" t="n">
        <v>0</v>
      </c>
      <c r="K1307" t="n">
        <v>0</v>
      </c>
      <c r="L1307" t="n">
        <v>0</v>
      </c>
      <c r="M1307" t="n">
        <v>0</v>
      </c>
      <c r="N1307" t="n">
        <v>0</v>
      </c>
      <c r="O1307" t="n">
        <v>0</v>
      </c>
      <c r="P1307" t="n">
        <v>0</v>
      </c>
      <c r="Q1307" t="n">
        <v>0</v>
      </c>
      <c r="R1307" s="2" t="inlineStr"/>
    </row>
    <row r="1308" ht="15" customHeight="1">
      <c r="A1308" t="inlineStr">
        <is>
          <t>A 3667-2023</t>
        </is>
      </c>
      <c r="B1308" s="1" t="n">
        <v>44950</v>
      </c>
      <c r="C1308" s="1" t="n">
        <v>45726</v>
      </c>
      <c r="D1308" t="inlineStr">
        <is>
          <t>VÄRMLANDS LÄN</t>
        </is>
      </c>
      <c r="E1308" t="inlineStr">
        <is>
          <t>TORSBY</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3672-2023</t>
        </is>
      </c>
      <c r="B1309" s="1" t="n">
        <v>44950</v>
      </c>
      <c r="C1309" s="1" t="n">
        <v>45726</v>
      </c>
      <c r="D1309" t="inlineStr">
        <is>
          <t>VÄRMLANDS LÄN</t>
        </is>
      </c>
      <c r="E1309" t="inlineStr">
        <is>
          <t>TORSBY</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3881-2023</t>
        </is>
      </c>
      <c r="B1310" s="1" t="n">
        <v>44951</v>
      </c>
      <c r="C1310" s="1" t="n">
        <v>45726</v>
      </c>
      <c r="D1310" t="inlineStr">
        <is>
          <t>VÄRMLANDS LÄN</t>
        </is>
      </c>
      <c r="E1310" t="inlineStr">
        <is>
          <t>TORSBY</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4250-2023</t>
        </is>
      </c>
      <c r="B1311" s="1" t="n">
        <v>44953</v>
      </c>
      <c r="C1311" s="1" t="n">
        <v>45726</v>
      </c>
      <c r="D1311" t="inlineStr">
        <is>
          <t>VÄRMLANDS LÄN</t>
        </is>
      </c>
      <c r="E1311" t="inlineStr">
        <is>
          <t>TORSBY</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4236-2023</t>
        </is>
      </c>
      <c r="B1312" s="1" t="n">
        <v>44953</v>
      </c>
      <c r="C1312" s="1" t="n">
        <v>45726</v>
      </c>
      <c r="D1312" t="inlineStr">
        <is>
          <t>VÄRMLANDS LÄN</t>
        </is>
      </c>
      <c r="E1312" t="inlineStr">
        <is>
          <t>TORSBY</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4433-2023</t>
        </is>
      </c>
      <c r="B1313" s="1" t="n">
        <v>44956</v>
      </c>
      <c r="C1313" s="1" t="n">
        <v>45726</v>
      </c>
      <c r="D1313" t="inlineStr">
        <is>
          <t>VÄRMLANDS LÄN</t>
        </is>
      </c>
      <c r="E1313" t="inlineStr">
        <is>
          <t>TORSBY</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4510-2023</t>
        </is>
      </c>
      <c r="B1314" s="1" t="n">
        <v>44956</v>
      </c>
      <c r="C1314" s="1" t="n">
        <v>45726</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4568-2023</t>
        </is>
      </c>
      <c r="B1315" s="1" t="n">
        <v>44956</v>
      </c>
      <c r="C1315" s="1" t="n">
        <v>45726</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4585-2023</t>
        </is>
      </c>
      <c r="B1316" s="1" t="n">
        <v>44956</v>
      </c>
      <c r="C1316" s="1" t="n">
        <v>45726</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4707-2023</t>
        </is>
      </c>
      <c r="B1317" s="1" t="n">
        <v>44957</v>
      </c>
      <c r="C1317" s="1" t="n">
        <v>45726</v>
      </c>
      <c r="D1317" t="inlineStr">
        <is>
          <t>VÄRMLANDS LÄN</t>
        </is>
      </c>
      <c r="E1317" t="inlineStr">
        <is>
          <t>TORSBY</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5216-2023</t>
        </is>
      </c>
      <c r="B1318" s="1" t="n">
        <v>44959</v>
      </c>
      <c r="C1318" s="1" t="n">
        <v>45726</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5492-2023</t>
        </is>
      </c>
      <c r="B1319" s="1" t="n">
        <v>44959</v>
      </c>
      <c r="C1319" s="1" t="n">
        <v>45726</v>
      </c>
      <c r="D1319" t="inlineStr">
        <is>
          <t>VÄRMLANDS LÄN</t>
        </is>
      </c>
      <c r="E1319" t="inlineStr">
        <is>
          <t>TORSBY</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6708-2023</t>
        </is>
      </c>
      <c r="B1320" s="1" t="n">
        <v>44960</v>
      </c>
      <c r="C1320" s="1" t="n">
        <v>45726</v>
      </c>
      <c r="D1320" t="inlineStr">
        <is>
          <t>VÄRMLANDS LÄN</t>
        </is>
      </c>
      <c r="E1320" t="inlineStr">
        <is>
          <t>TORSBY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6702-2023</t>
        </is>
      </c>
      <c r="B1321" s="1" t="n">
        <v>44960</v>
      </c>
      <c r="C1321" s="1" t="n">
        <v>45726</v>
      </c>
      <c r="D1321" t="inlineStr">
        <is>
          <t>VÄRMLANDS LÄN</t>
        </is>
      </c>
      <c r="E1321" t="inlineStr">
        <is>
          <t>TORSBY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6715-2023</t>
        </is>
      </c>
      <c r="B1322" s="1" t="n">
        <v>44960</v>
      </c>
      <c r="C1322" s="1" t="n">
        <v>45726</v>
      </c>
      <c r="D1322" t="inlineStr">
        <is>
          <t>VÄRMLANDS LÄN</t>
        </is>
      </c>
      <c r="E1322" t="inlineStr">
        <is>
          <t>TORSBY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6711-2023</t>
        </is>
      </c>
      <c r="B1323" s="1" t="n">
        <v>44960</v>
      </c>
      <c r="C1323" s="1" t="n">
        <v>45726</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6713-2023</t>
        </is>
      </c>
      <c r="B1324" s="1" t="n">
        <v>44960</v>
      </c>
      <c r="C1324" s="1" t="n">
        <v>45726</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5830-2023</t>
        </is>
      </c>
      <c r="B1325" s="1" t="n">
        <v>44963</v>
      </c>
      <c r="C1325" s="1" t="n">
        <v>45726</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5763-2023</t>
        </is>
      </c>
      <c r="B1326" s="1" t="n">
        <v>44963</v>
      </c>
      <c r="C1326" s="1" t="n">
        <v>45726</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6863-2023</t>
        </is>
      </c>
      <c r="B1327" s="1" t="n">
        <v>44964</v>
      </c>
      <c r="C1327" s="1" t="n">
        <v>45726</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7283-2023</t>
        </is>
      </c>
      <c r="B1328" s="1" t="n">
        <v>44970</v>
      </c>
      <c r="C1328" s="1" t="n">
        <v>45726</v>
      </c>
      <c r="D1328" t="inlineStr">
        <is>
          <t>VÄRMLANDS LÄN</t>
        </is>
      </c>
      <c r="E1328" t="inlineStr">
        <is>
          <t>TORSBY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7127-2023</t>
        </is>
      </c>
      <c r="B1329" s="1" t="n">
        <v>44970</v>
      </c>
      <c r="C1329" s="1" t="n">
        <v>45726</v>
      </c>
      <c r="D1329" t="inlineStr">
        <is>
          <t>VÄRMLANDS LÄN</t>
        </is>
      </c>
      <c r="E1329" t="inlineStr">
        <is>
          <t>TORSBY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7133-2023</t>
        </is>
      </c>
      <c r="B1330" s="1" t="n">
        <v>44970</v>
      </c>
      <c r="C1330" s="1" t="n">
        <v>45726</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7405-2023</t>
        </is>
      </c>
      <c r="B1331" s="1" t="n">
        <v>44971</v>
      </c>
      <c r="C1331" s="1" t="n">
        <v>45726</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8194-2023</t>
        </is>
      </c>
      <c r="B1332" s="1" t="n">
        <v>44971</v>
      </c>
      <c r="C1332" s="1" t="n">
        <v>45726</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8192-2023</t>
        </is>
      </c>
      <c r="B1333" s="1" t="n">
        <v>44971</v>
      </c>
      <c r="C1333" s="1" t="n">
        <v>45726</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7745-2023</t>
        </is>
      </c>
      <c r="B1334" s="1" t="n">
        <v>44973</v>
      </c>
      <c r="C1334" s="1" t="n">
        <v>45726</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7753-2023</t>
        </is>
      </c>
      <c r="B1335" s="1" t="n">
        <v>44973</v>
      </c>
      <c r="C1335" s="1" t="n">
        <v>45726</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8016-2023</t>
        </is>
      </c>
      <c r="B1336" s="1" t="n">
        <v>44973</v>
      </c>
      <c r="C1336" s="1" t="n">
        <v>45726</v>
      </c>
      <c r="D1336" t="inlineStr">
        <is>
          <t>VÄRMLANDS LÄN</t>
        </is>
      </c>
      <c r="E1336" t="inlineStr">
        <is>
          <t>TORSBY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8910-2023</t>
        </is>
      </c>
      <c r="B1337" s="1" t="n">
        <v>44973</v>
      </c>
      <c r="C1337" s="1" t="n">
        <v>45726</v>
      </c>
      <c r="D1337" t="inlineStr">
        <is>
          <t>VÄRMLANDS LÄN</t>
        </is>
      </c>
      <c r="E1337" t="inlineStr">
        <is>
          <t>TORSBY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8012-2023</t>
        </is>
      </c>
      <c r="B1338" s="1" t="n">
        <v>44973</v>
      </c>
      <c r="C1338" s="1" t="n">
        <v>45726</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8284-2023</t>
        </is>
      </c>
      <c r="B1339" s="1" t="n">
        <v>44974</v>
      </c>
      <c r="C1339" s="1" t="n">
        <v>45726</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8281-2023</t>
        </is>
      </c>
      <c r="B1340" s="1" t="n">
        <v>44974</v>
      </c>
      <c r="C1340" s="1" t="n">
        <v>45726</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8287-2023</t>
        </is>
      </c>
      <c r="B1341" s="1" t="n">
        <v>44974</v>
      </c>
      <c r="C1341" s="1" t="n">
        <v>45726</v>
      </c>
      <c r="D1341" t="inlineStr">
        <is>
          <t>VÄRMLANDS LÄN</t>
        </is>
      </c>
      <c r="E1341" t="inlineStr">
        <is>
          <t>TORSBY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8931-2023</t>
        </is>
      </c>
      <c r="B1342" s="1" t="n">
        <v>44974</v>
      </c>
      <c r="C1342" s="1" t="n">
        <v>45726</v>
      </c>
      <c r="D1342" t="inlineStr">
        <is>
          <t>VÄRMLANDS LÄN</t>
        </is>
      </c>
      <c r="E1342" t="inlineStr">
        <is>
          <t>TORSBY</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8928-2023</t>
        </is>
      </c>
      <c r="B1343" s="1" t="n">
        <v>44974</v>
      </c>
      <c r="C1343" s="1" t="n">
        <v>45726</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8447-2023</t>
        </is>
      </c>
      <c r="B1344" s="1" t="n">
        <v>44977</v>
      </c>
      <c r="C1344" s="1" t="n">
        <v>45726</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9453-2023</t>
        </is>
      </c>
      <c r="B1345" s="1" t="n">
        <v>44977</v>
      </c>
      <c r="C1345" s="1" t="n">
        <v>45726</v>
      </c>
      <c r="D1345" t="inlineStr">
        <is>
          <t>VÄRMLANDS LÄN</t>
        </is>
      </c>
      <c r="E1345" t="inlineStr">
        <is>
          <t>TORSBY</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8819-2023</t>
        </is>
      </c>
      <c r="B1346" s="1" t="n">
        <v>44978</v>
      </c>
      <c r="C1346" s="1" t="n">
        <v>45726</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9067-2023</t>
        </is>
      </c>
      <c r="B1347" s="1" t="n">
        <v>44979</v>
      </c>
      <c r="C1347" s="1" t="n">
        <v>45726</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9056-2023</t>
        </is>
      </c>
      <c r="B1348" s="1" t="n">
        <v>44979</v>
      </c>
      <c r="C1348" s="1" t="n">
        <v>45726</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10027-2023</t>
        </is>
      </c>
      <c r="B1349" s="1" t="n">
        <v>44979</v>
      </c>
      <c r="C1349" s="1" t="n">
        <v>45726</v>
      </c>
      <c r="D1349" t="inlineStr">
        <is>
          <t>VÄRMLANDS LÄN</t>
        </is>
      </c>
      <c r="E1349" t="inlineStr">
        <is>
          <t>TORSBY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10033-2023</t>
        </is>
      </c>
      <c r="B1350" s="1" t="n">
        <v>44979</v>
      </c>
      <c r="C1350" s="1" t="n">
        <v>45726</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10024-2023</t>
        </is>
      </c>
      <c r="B1351" s="1" t="n">
        <v>44979</v>
      </c>
      <c r="C1351" s="1" t="n">
        <v>45726</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9327-2023</t>
        </is>
      </c>
      <c r="B1352" s="1" t="n">
        <v>44980</v>
      </c>
      <c r="C1352" s="1" t="n">
        <v>45726</v>
      </c>
      <c r="D1352" t="inlineStr">
        <is>
          <t>VÄRMLANDS LÄN</t>
        </is>
      </c>
      <c r="E1352" t="inlineStr">
        <is>
          <t>TORSBY</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10479-2023</t>
        </is>
      </c>
      <c r="B1353" s="1" t="n">
        <v>44981</v>
      </c>
      <c r="C1353" s="1" t="n">
        <v>45726</v>
      </c>
      <c r="D1353" t="inlineStr">
        <is>
          <t>VÄRMLANDS LÄN</t>
        </is>
      </c>
      <c r="E1353" t="inlineStr">
        <is>
          <t>TORSBY</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10473-2023</t>
        </is>
      </c>
      <c r="B1354" s="1" t="n">
        <v>44981</v>
      </c>
      <c r="C1354" s="1" t="n">
        <v>45726</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10471-2023</t>
        </is>
      </c>
      <c r="B1355" s="1" t="n">
        <v>44981</v>
      </c>
      <c r="C1355" s="1" t="n">
        <v>45726</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9575-2023</t>
        </is>
      </c>
      <c r="B1356" s="1" t="n">
        <v>44982</v>
      </c>
      <c r="C1356" s="1" t="n">
        <v>45726</v>
      </c>
      <c r="D1356" t="inlineStr">
        <is>
          <t>VÄRMLANDS LÄN</t>
        </is>
      </c>
      <c r="E1356" t="inlineStr">
        <is>
          <t>TORSBY</t>
        </is>
      </c>
      <c r="F1356" t="inlineStr">
        <is>
          <t>Övriga statliga verk och myndigheter</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9574-2023</t>
        </is>
      </c>
      <c r="B1357" s="1" t="n">
        <v>44982</v>
      </c>
      <c r="C1357" s="1" t="n">
        <v>45726</v>
      </c>
      <c r="D1357" t="inlineStr">
        <is>
          <t>VÄRMLANDS LÄN</t>
        </is>
      </c>
      <c r="E1357" t="inlineStr">
        <is>
          <t>TORSBY</t>
        </is>
      </c>
      <c r="F1357" t="inlineStr">
        <is>
          <t>Övriga statliga verk och myndigheter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9578-2023</t>
        </is>
      </c>
      <c r="B1358" s="1" t="n">
        <v>44982</v>
      </c>
      <c r="C1358" s="1" t="n">
        <v>45726</v>
      </c>
      <c r="D1358" t="inlineStr">
        <is>
          <t>VÄRMLANDS LÄN</t>
        </is>
      </c>
      <c r="E1358" t="inlineStr">
        <is>
          <t>TORSBY</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10888-2023</t>
        </is>
      </c>
      <c r="B1359" s="1" t="n">
        <v>44985</v>
      </c>
      <c r="C1359" s="1" t="n">
        <v>45726</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10155-2023</t>
        </is>
      </c>
      <c r="B1360" s="1" t="n">
        <v>44986</v>
      </c>
      <c r="C1360" s="1" t="n">
        <v>45726</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10218-2023</t>
        </is>
      </c>
      <c r="B1361" s="1" t="n">
        <v>44986</v>
      </c>
      <c r="C1361" s="1" t="n">
        <v>45726</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10228-2023</t>
        </is>
      </c>
      <c r="B1362" s="1" t="n">
        <v>44986</v>
      </c>
      <c r="C1362" s="1" t="n">
        <v>45726</v>
      </c>
      <c r="D1362" t="inlineStr">
        <is>
          <t>VÄRMLANDS LÄN</t>
        </is>
      </c>
      <c r="E1362" t="inlineStr">
        <is>
          <t>TORSBY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10662-2023</t>
        </is>
      </c>
      <c r="B1363" s="1" t="n">
        <v>44988</v>
      </c>
      <c r="C1363" s="1" t="n">
        <v>45726</v>
      </c>
      <c r="D1363" t="inlineStr">
        <is>
          <t>VÄRMLANDS LÄN</t>
        </is>
      </c>
      <c r="E1363" t="inlineStr">
        <is>
          <t>TORSBY</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10583-2023</t>
        </is>
      </c>
      <c r="B1364" s="1" t="n">
        <v>44988</v>
      </c>
      <c r="C1364" s="1" t="n">
        <v>45726</v>
      </c>
      <c r="D1364" t="inlineStr">
        <is>
          <t>VÄRMLANDS LÄN</t>
        </is>
      </c>
      <c r="E1364" t="inlineStr">
        <is>
          <t>TORSBY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10666-2023</t>
        </is>
      </c>
      <c r="B1365" s="1" t="n">
        <v>44988</v>
      </c>
      <c r="C1365" s="1" t="n">
        <v>45726</v>
      </c>
      <c r="D1365" t="inlineStr">
        <is>
          <t>VÄRMLANDS LÄN</t>
        </is>
      </c>
      <c r="E1365" t="inlineStr">
        <is>
          <t>TORSBY</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10698-2023</t>
        </is>
      </c>
      <c r="B1366" s="1" t="n">
        <v>44988</v>
      </c>
      <c r="C1366" s="1" t="n">
        <v>45726</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11364-2023</t>
        </is>
      </c>
      <c r="B1367" s="1" t="n">
        <v>44993</v>
      </c>
      <c r="C1367" s="1" t="n">
        <v>45726</v>
      </c>
      <c r="D1367" t="inlineStr">
        <is>
          <t>VÄRMLANDS LÄN</t>
        </is>
      </c>
      <c r="E1367" t="inlineStr">
        <is>
          <t>TORSBY</t>
        </is>
      </c>
      <c r="G1367" t="n">
        <v>31.9</v>
      </c>
      <c r="H1367" t="n">
        <v>0</v>
      </c>
      <c r="I1367" t="n">
        <v>0</v>
      </c>
      <c r="J1367" t="n">
        <v>0</v>
      </c>
      <c r="K1367" t="n">
        <v>0</v>
      </c>
      <c r="L1367" t="n">
        <v>0</v>
      </c>
      <c r="M1367" t="n">
        <v>0</v>
      </c>
      <c r="N1367" t="n">
        <v>0</v>
      </c>
      <c r="O1367" t="n">
        <v>0</v>
      </c>
      <c r="P1367" t="n">
        <v>0</v>
      </c>
      <c r="Q1367" t="n">
        <v>0</v>
      </c>
      <c r="R1367" s="2" t="inlineStr"/>
    </row>
    <row r="1368" ht="15" customHeight="1">
      <c r="A1368" t="inlineStr">
        <is>
          <t>A 11366-2023</t>
        </is>
      </c>
      <c r="B1368" s="1" t="n">
        <v>44993</v>
      </c>
      <c r="C1368" s="1" t="n">
        <v>45726</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12441-2023</t>
        </is>
      </c>
      <c r="B1369" s="1" t="n">
        <v>44999</v>
      </c>
      <c r="C1369" s="1" t="n">
        <v>45726</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12453-2023</t>
        </is>
      </c>
      <c r="B1370" s="1" t="n">
        <v>44999</v>
      </c>
      <c r="C1370" s="1" t="n">
        <v>45726</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12458-2023</t>
        </is>
      </c>
      <c r="B1371" s="1" t="n">
        <v>44999</v>
      </c>
      <c r="C1371" s="1" t="n">
        <v>45726</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12467-2023</t>
        </is>
      </c>
      <c r="B1372" s="1" t="n">
        <v>44999</v>
      </c>
      <c r="C1372" s="1" t="n">
        <v>45726</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12689-2023</t>
        </is>
      </c>
      <c r="B1373" s="1" t="n">
        <v>45000</v>
      </c>
      <c r="C1373" s="1" t="n">
        <v>45726</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12637-2023</t>
        </is>
      </c>
      <c r="B1374" s="1" t="n">
        <v>45000</v>
      </c>
      <c r="C1374" s="1" t="n">
        <v>45726</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12670-2023</t>
        </is>
      </c>
      <c r="B1375" s="1" t="n">
        <v>45000</v>
      </c>
      <c r="C1375" s="1" t="n">
        <v>45726</v>
      </c>
      <c r="D1375" t="inlineStr">
        <is>
          <t>VÄRMLANDS LÄN</t>
        </is>
      </c>
      <c r="E1375" t="inlineStr">
        <is>
          <t>TORSBY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12933-2023</t>
        </is>
      </c>
      <c r="B1376" s="1" t="n">
        <v>45001</v>
      </c>
      <c r="C1376" s="1" t="n">
        <v>45726</v>
      </c>
      <c r="D1376" t="inlineStr">
        <is>
          <t>VÄRMLANDS LÄN</t>
        </is>
      </c>
      <c r="E1376" t="inlineStr">
        <is>
          <t>TORSBY</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13054-2023</t>
        </is>
      </c>
      <c r="B1377" s="1" t="n">
        <v>45001</v>
      </c>
      <c r="C1377" s="1" t="n">
        <v>45726</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13048-2023</t>
        </is>
      </c>
      <c r="B1378" s="1" t="n">
        <v>45001</v>
      </c>
      <c r="C1378" s="1" t="n">
        <v>45726</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12968-2023</t>
        </is>
      </c>
      <c r="B1379" s="1" t="n">
        <v>45001</v>
      </c>
      <c r="C1379" s="1" t="n">
        <v>45726</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13791-2023</t>
        </is>
      </c>
      <c r="B1380" s="1" t="n">
        <v>45005</v>
      </c>
      <c r="C1380" s="1" t="n">
        <v>45726</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13561-2023</t>
        </is>
      </c>
      <c r="B1381" s="1" t="n">
        <v>45006</v>
      </c>
      <c r="C1381" s="1" t="n">
        <v>45726</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45726</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13785-2023</t>
        </is>
      </c>
      <c r="B1383" s="1" t="n">
        <v>45007</v>
      </c>
      <c r="C1383" s="1" t="n">
        <v>45726</v>
      </c>
      <c r="D1383" t="inlineStr">
        <is>
          <t>VÄRMLANDS LÄN</t>
        </is>
      </c>
      <c r="E1383" t="inlineStr">
        <is>
          <t>TORSBY</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13723-2023</t>
        </is>
      </c>
      <c r="B1384" s="1" t="n">
        <v>45007</v>
      </c>
      <c r="C1384" s="1" t="n">
        <v>45726</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14293-2023</t>
        </is>
      </c>
      <c r="B1385" s="1" t="n">
        <v>45011</v>
      </c>
      <c r="C1385" s="1" t="n">
        <v>45726</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14304-2023</t>
        </is>
      </c>
      <c r="B1386" s="1" t="n">
        <v>45011</v>
      </c>
      <c r="C1386" s="1" t="n">
        <v>45726</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14303-2023</t>
        </is>
      </c>
      <c r="B1387" s="1" t="n">
        <v>45011</v>
      </c>
      <c r="C1387" s="1" t="n">
        <v>45726</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14292-2023</t>
        </is>
      </c>
      <c r="B1388" s="1" t="n">
        <v>45011</v>
      </c>
      <c r="C1388" s="1" t="n">
        <v>45726</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14592-2023</t>
        </is>
      </c>
      <c r="B1389" s="1" t="n">
        <v>45013</v>
      </c>
      <c r="C1389" s="1" t="n">
        <v>45726</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14581-2023</t>
        </is>
      </c>
      <c r="B1390" s="1" t="n">
        <v>45013</v>
      </c>
      <c r="C1390" s="1" t="n">
        <v>45726</v>
      </c>
      <c r="D1390" t="inlineStr">
        <is>
          <t>VÄRMLANDS LÄN</t>
        </is>
      </c>
      <c r="E1390" t="inlineStr">
        <is>
          <t>TORSBY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14624-2023</t>
        </is>
      </c>
      <c r="B1391" s="1" t="n">
        <v>45013</v>
      </c>
      <c r="C1391" s="1" t="n">
        <v>45726</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14709-2023</t>
        </is>
      </c>
      <c r="B1392" s="1" t="n">
        <v>45014</v>
      </c>
      <c r="C1392" s="1" t="n">
        <v>45726</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14945-2023</t>
        </is>
      </c>
      <c r="B1393" s="1" t="n">
        <v>45014</v>
      </c>
      <c r="C1393" s="1" t="n">
        <v>45726</v>
      </c>
      <c r="D1393" t="inlineStr">
        <is>
          <t>VÄRMLANDS LÄN</t>
        </is>
      </c>
      <c r="E1393" t="inlineStr">
        <is>
          <t>TORSBY</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14917-2023</t>
        </is>
      </c>
      <c r="B1394" s="1" t="n">
        <v>45015</v>
      </c>
      <c r="C1394" s="1" t="n">
        <v>45726</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15085-2023</t>
        </is>
      </c>
      <c r="B1395" s="1" t="n">
        <v>45016</v>
      </c>
      <c r="C1395" s="1" t="n">
        <v>45726</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15087-2023</t>
        </is>
      </c>
      <c r="B1396" s="1" t="n">
        <v>45016</v>
      </c>
      <c r="C1396" s="1" t="n">
        <v>45726</v>
      </c>
      <c r="D1396" t="inlineStr">
        <is>
          <t>VÄRMLANDS LÄN</t>
        </is>
      </c>
      <c r="E1396" t="inlineStr">
        <is>
          <t>TORSBY</t>
        </is>
      </c>
      <c r="F1396" t="inlineStr">
        <is>
          <t>Bergvik skog väst AB</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15413-2023</t>
        </is>
      </c>
      <c r="B1397" s="1" t="n">
        <v>45019</v>
      </c>
      <c r="C1397" s="1" t="n">
        <v>45726</v>
      </c>
      <c r="D1397" t="inlineStr">
        <is>
          <t>VÄRMLANDS LÄN</t>
        </is>
      </c>
      <c r="E1397" t="inlineStr">
        <is>
          <t>TORSBY</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15450-2023</t>
        </is>
      </c>
      <c r="B1398" s="1" t="n">
        <v>45020</v>
      </c>
      <c r="C1398" s="1" t="n">
        <v>45726</v>
      </c>
      <c r="D1398" t="inlineStr">
        <is>
          <t>VÄRMLANDS LÄN</t>
        </is>
      </c>
      <c r="E1398" t="inlineStr">
        <is>
          <t>TORSBY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45726</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15773-2023</t>
        </is>
      </c>
      <c r="B1400" s="1" t="n">
        <v>45021</v>
      </c>
      <c r="C1400" s="1" t="n">
        <v>45726</v>
      </c>
      <c r="D1400" t="inlineStr">
        <is>
          <t>VÄRMLANDS LÄN</t>
        </is>
      </c>
      <c r="E1400" t="inlineStr">
        <is>
          <t>TORSBY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16093-2023</t>
        </is>
      </c>
      <c r="B1401" s="1" t="n">
        <v>45021</v>
      </c>
      <c r="C1401" s="1" t="n">
        <v>45726</v>
      </c>
      <c r="D1401" t="inlineStr">
        <is>
          <t>VÄRMLANDS LÄN</t>
        </is>
      </c>
      <c r="E1401" t="inlineStr">
        <is>
          <t>TORSBY</t>
        </is>
      </c>
      <c r="F1401" t="inlineStr">
        <is>
          <t>Övriga statliga verk och myndigheter</t>
        </is>
      </c>
      <c r="G1401" t="n">
        <v>11.5</v>
      </c>
      <c r="H1401" t="n">
        <v>0</v>
      </c>
      <c r="I1401" t="n">
        <v>0</v>
      </c>
      <c r="J1401" t="n">
        <v>0</v>
      </c>
      <c r="K1401" t="n">
        <v>0</v>
      </c>
      <c r="L1401" t="n">
        <v>0</v>
      </c>
      <c r="M1401" t="n">
        <v>0</v>
      </c>
      <c r="N1401" t="n">
        <v>0</v>
      </c>
      <c r="O1401" t="n">
        <v>0</v>
      </c>
      <c r="P1401" t="n">
        <v>0</v>
      </c>
      <c r="Q1401" t="n">
        <v>0</v>
      </c>
      <c r="R1401" s="2" t="inlineStr"/>
    </row>
    <row r="1402" ht="15" customHeight="1">
      <c r="A1402" t="inlineStr">
        <is>
          <t>A 16121-2023</t>
        </is>
      </c>
      <c r="B1402" s="1" t="n">
        <v>45022</v>
      </c>
      <c r="C1402" s="1" t="n">
        <v>45726</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16416-2023</t>
        </is>
      </c>
      <c r="B1403" s="1" t="n">
        <v>45022</v>
      </c>
      <c r="C1403" s="1" t="n">
        <v>45726</v>
      </c>
      <c r="D1403" t="inlineStr">
        <is>
          <t>VÄRMLANDS LÄN</t>
        </is>
      </c>
      <c r="E1403" t="inlineStr">
        <is>
          <t>TORSBY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16433-2023</t>
        </is>
      </c>
      <c r="B1404" s="1" t="n">
        <v>45022</v>
      </c>
      <c r="C1404" s="1" t="n">
        <v>45726</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16427-2023</t>
        </is>
      </c>
      <c r="B1405" s="1" t="n">
        <v>45022</v>
      </c>
      <c r="C1405" s="1" t="n">
        <v>45726</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15992-2023</t>
        </is>
      </c>
      <c r="B1406" s="1" t="n">
        <v>45023</v>
      </c>
      <c r="C1406" s="1" t="n">
        <v>45726</v>
      </c>
      <c r="D1406" t="inlineStr">
        <is>
          <t>VÄRMLANDS LÄN</t>
        </is>
      </c>
      <c r="E1406" t="inlineStr">
        <is>
          <t>TORSBY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16044-2023</t>
        </is>
      </c>
      <c r="B1407" s="1" t="n">
        <v>45027</v>
      </c>
      <c r="C1407" s="1" t="n">
        <v>45726</v>
      </c>
      <c r="D1407" t="inlineStr">
        <is>
          <t>VÄRMLANDS LÄN</t>
        </is>
      </c>
      <c r="E1407" t="inlineStr">
        <is>
          <t>TORSBY</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16309-2023</t>
        </is>
      </c>
      <c r="B1408" s="1" t="n">
        <v>45028</v>
      </c>
      <c r="C1408" s="1" t="n">
        <v>45726</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16313-2023</t>
        </is>
      </c>
      <c r="B1409" s="1" t="n">
        <v>45028</v>
      </c>
      <c r="C1409" s="1" t="n">
        <v>45726</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16317-2023</t>
        </is>
      </c>
      <c r="B1410" s="1" t="n">
        <v>45028</v>
      </c>
      <c r="C1410" s="1" t="n">
        <v>45726</v>
      </c>
      <c r="D1410" t="inlineStr">
        <is>
          <t>VÄRMLANDS LÄN</t>
        </is>
      </c>
      <c r="E1410" t="inlineStr">
        <is>
          <t>TORSBY</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16919-2023</t>
        </is>
      </c>
      <c r="B1411" s="1" t="n">
        <v>45033</v>
      </c>
      <c r="C1411" s="1" t="n">
        <v>45726</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16945-2023</t>
        </is>
      </c>
      <c r="B1412" s="1" t="n">
        <v>45033</v>
      </c>
      <c r="C1412" s="1" t="n">
        <v>45726</v>
      </c>
      <c r="D1412" t="inlineStr">
        <is>
          <t>VÄRMLANDS LÄN</t>
        </is>
      </c>
      <c r="E1412" t="inlineStr">
        <is>
          <t>TORSBY</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16943-2023</t>
        </is>
      </c>
      <c r="B1413" s="1" t="n">
        <v>45033</v>
      </c>
      <c r="C1413" s="1" t="n">
        <v>45726</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17184-2023</t>
        </is>
      </c>
      <c r="B1414" s="1" t="n">
        <v>45034</v>
      </c>
      <c r="C1414" s="1" t="n">
        <v>45726</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17188-2023</t>
        </is>
      </c>
      <c r="B1415" s="1" t="n">
        <v>45034</v>
      </c>
      <c r="C1415" s="1" t="n">
        <v>45726</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17554-2023</t>
        </is>
      </c>
      <c r="B1416" s="1" t="n">
        <v>45034</v>
      </c>
      <c r="C1416" s="1" t="n">
        <v>45726</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17300-2023</t>
        </is>
      </c>
      <c r="B1417" s="1" t="n">
        <v>45035</v>
      </c>
      <c r="C1417" s="1" t="n">
        <v>45726</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17322-2023</t>
        </is>
      </c>
      <c r="B1418" s="1" t="n">
        <v>45035</v>
      </c>
      <c r="C1418" s="1" t="n">
        <v>45726</v>
      </c>
      <c r="D1418" t="inlineStr">
        <is>
          <t>VÄRMLANDS LÄN</t>
        </is>
      </c>
      <c r="E1418" t="inlineStr">
        <is>
          <t>TORSBY</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17328-2023</t>
        </is>
      </c>
      <c r="B1419" s="1" t="n">
        <v>45035</v>
      </c>
      <c r="C1419" s="1" t="n">
        <v>45726</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17548-2023</t>
        </is>
      </c>
      <c r="B1420" s="1" t="n">
        <v>45036</v>
      </c>
      <c r="C1420" s="1" t="n">
        <v>45726</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17488-2023</t>
        </is>
      </c>
      <c r="B1421" s="1" t="n">
        <v>45036</v>
      </c>
      <c r="C1421" s="1" t="n">
        <v>45726</v>
      </c>
      <c r="D1421" t="inlineStr">
        <is>
          <t>VÄRMLANDS LÄN</t>
        </is>
      </c>
      <c r="E1421" t="inlineStr">
        <is>
          <t>TORSBY</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17546-2023</t>
        </is>
      </c>
      <c r="B1422" s="1" t="n">
        <v>45036</v>
      </c>
      <c r="C1422" s="1" t="n">
        <v>45726</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17898-2023</t>
        </is>
      </c>
      <c r="B1423" s="1" t="n">
        <v>45039</v>
      </c>
      <c r="C1423" s="1" t="n">
        <v>45726</v>
      </c>
      <c r="D1423" t="inlineStr">
        <is>
          <t>VÄRMLANDS LÄN</t>
        </is>
      </c>
      <c r="E1423" t="inlineStr">
        <is>
          <t>TORSBY</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17897-2023</t>
        </is>
      </c>
      <c r="B1424" s="1" t="n">
        <v>45039</v>
      </c>
      <c r="C1424" s="1" t="n">
        <v>45726</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18244-2023</t>
        </is>
      </c>
      <c r="B1425" s="1" t="n">
        <v>45041</v>
      </c>
      <c r="C1425" s="1" t="n">
        <v>45726</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18338-2023</t>
        </is>
      </c>
      <c r="B1426" s="1" t="n">
        <v>45041</v>
      </c>
      <c r="C1426" s="1" t="n">
        <v>45726</v>
      </c>
      <c r="D1426" t="inlineStr">
        <is>
          <t>VÄRMLANDS LÄN</t>
        </is>
      </c>
      <c r="E1426" t="inlineStr">
        <is>
          <t>TORSBY</t>
        </is>
      </c>
      <c r="F1426" t="inlineStr">
        <is>
          <t>Bergvik skog väst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18544-2023</t>
        </is>
      </c>
      <c r="B1427" s="1" t="n">
        <v>45041</v>
      </c>
      <c r="C1427" s="1" t="n">
        <v>45726</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18411-2023</t>
        </is>
      </c>
      <c r="B1428" s="1" t="n">
        <v>45042</v>
      </c>
      <c r="C1428" s="1" t="n">
        <v>45726</v>
      </c>
      <c r="D1428" t="inlineStr">
        <is>
          <t>VÄRMLANDS LÄN</t>
        </is>
      </c>
      <c r="E1428" t="inlineStr">
        <is>
          <t>TORSBY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18621-2023</t>
        </is>
      </c>
      <c r="B1429" s="1" t="n">
        <v>45043</v>
      </c>
      <c r="C1429" s="1" t="n">
        <v>45726</v>
      </c>
      <c r="D1429" t="inlineStr">
        <is>
          <t>VÄRMLANDS LÄN</t>
        </is>
      </c>
      <c r="E1429" t="inlineStr">
        <is>
          <t>TORSBY</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18675-2023</t>
        </is>
      </c>
      <c r="B1430" s="1" t="n">
        <v>45043</v>
      </c>
      <c r="C1430" s="1" t="n">
        <v>45726</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18876-2023</t>
        </is>
      </c>
      <c r="B1431" s="1" t="n">
        <v>45044</v>
      </c>
      <c r="C1431" s="1" t="n">
        <v>45726</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19042-2023</t>
        </is>
      </c>
      <c r="B1432" s="1" t="n">
        <v>45047</v>
      </c>
      <c r="C1432" s="1" t="n">
        <v>45726</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19527-2023</t>
        </is>
      </c>
      <c r="B1433" s="1" t="n">
        <v>45050</v>
      </c>
      <c r="C1433" s="1" t="n">
        <v>45726</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19675-2023</t>
        </is>
      </c>
      <c r="B1434" s="1" t="n">
        <v>45051</v>
      </c>
      <c r="C1434" s="1" t="n">
        <v>45726</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19714-2023</t>
        </is>
      </c>
      <c r="B1435" s="1" t="n">
        <v>45051</v>
      </c>
      <c r="C1435" s="1" t="n">
        <v>45726</v>
      </c>
      <c r="D1435" t="inlineStr">
        <is>
          <t>VÄRMLANDS LÄN</t>
        </is>
      </c>
      <c r="E1435" t="inlineStr">
        <is>
          <t>TORSBY</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19998-2023</t>
        </is>
      </c>
      <c r="B1436" s="1" t="n">
        <v>45054</v>
      </c>
      <c r="C1436" s="1" t="n">
        <v>45726</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20130-2023</t>
        </is>
      </c>
      <c r="B1437" s="1" t="n">
        <v>45055</v>
      </c>
      <c r="C1437" s="1" t="n">
        <v>45726</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20107-2023</t>
        </is>
      </c>
      <c r="B1438" s="1" t="n">
        <v>45055</v>
      </c>
      <c r="C1438" s="1" t="n">
        <v>45726</v>
      </c>
      <c r="D1438" t="inlineStr">
        <is>
          <t>VÄRMLANDS LÄN</t>
        </is>
      </c>
      <c r="E1438" t="inlineStr">
        <is>
          <t>TORSBY</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20120-2023</t>
        </is>
      </c>
      <c r="B1439" s="1" t="n">
        <v>45055</v>
      </c>
      <c r="C1439" s="1" t="n">
        <v>45726</v>
      </c>
      <c r="D1439" t="inlineStr">
        <is>
          <t>VÄRMLANDS LÄN</t>
        </is>
      </c>
      <c r="E1439" t="inlineStr">
        <is>
          <t>TORSBY</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20127-2023</t>
        </is>
      </c>
      <c r="B1440" s="1" t="n">
        <v>45055</v>
      </c>
      <c r="C1440" s="1" t="n">
        <v>45726</v>
      </c>
      <c r="D1440" t="inlineStr">
        <is>
          <t>VÄRMLANDS LÄN</t>
        </is>
      </c>
      <c r="E1440" t="inlineStr">
        <is>
          <t>TORSBY</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20805-2023</t>
        </is>
      </c>
      <c r="B1441" s="1" t="n">
        <v>45055</v>
      </c>
      <c r="C1441" s="1" t="n">
        <v>45726</v>
      </c>
      <c r="D1441" t="inlineStr">
        <is>
          <t>VÄRMLANDS LÄN</t>
        </is>
      </c>
      <c r="E1441" t="inlineStr">
        <is>
          <t>TORSBY</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20293-2023</t>
        </is>
      </c>
      <c r="B1442" s="1" t="n">
        <v>45056</v>
      </c>
      <c r="C1442" s="1" t="n">
        <v>45726</v>
      </c>
      <c r="D1442" t="inlineStr">
        <is>
          <t>VÄRMLANDS LÄN</t>
        </is>
      </c>
      <c r="E1442" t="inlineStr">
        <is>
          <t>TORSBY</t>
        </is>
      </c>
      <c r="F1442" t="inlineStr">
        <is>
          <t>Kyrkan</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20321-2023</t>
        </is>
      </c>
      <c r="B1443" s="1" t="n">
        <v>45056</v>
      </c>
      <c r="C1443" s="1" t="n">
        <v>45726</v>
      </c>
      <c r="D1443" t="inlineStr">
        <is>
          <t>VÄRMLANDS LÄN</t>
        </is>
      </c>
      <c r="E1443" t="inlineStr">
        <is>
          <t>TORSBY</t>
        </is>
      </c>
      <c r="F1443" t="inlineStr">
        <is>
          <t>Kyrkan</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20393-2023</t>
        </is>
      </c>
      <c r="B1444" s="1" t="n">
        <v>45056</v>
      </c>
      <c r="C1444" s="1" t="n">
        <v>45726</v>
      </c>
      <c r="D1444" t="inlineStr">
        <is>
          <t>VÄRMLANDS LÄN</t>
        </is>
      </c>
      <c r="E1444" t="inlineStr">
        <is>
          <t>TORSBY</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20298-2023</t>
        </is>
      </c>
      <c r="B1445" s="1" t="n">
        <v>45056</v>
      </c>
      <c r="C1445" s="1" t="n">
        <v>45726</v>
      </c>
      <c r="D1445" t="inlineStr">
        <is>
          <t>VÄRMLANDS LÄN</t>
        </is>
      </c>
      <c r="E1445" t="inlineStr">
        <is>
          <t>TORSBY</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20847-2023</t>
        </is>
      </c>
      <c r="B1446" s="1" t="n">
        <v>45056</v>
      </c>
      <c r="C1446" s="1" t="n">
        <v>45726</v>
      </c>
      <c r="D1446" t="inlineStr">
        <is>
          <t>VÄRMLANDS LÄN</t>
        </is>
      </c>
      <c r="E1446" t="inlineStr">
        <is>
          <t>TORSBY</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20528-2023</t>
        </is>
      </c>
      <c r="B1447" s="1" t="n">
        <v>45057</v>
      </c>
      <c r="C1447" s="1" t="n">
        <v>45726</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20757-2023</t>
        </is>
      </c>
      <c r="B1448" s="1" t="n">
        <v>45058</v>
      </c>
      <c r="C1448" s="1" t="n">
        <v>45726</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20831-2023</t>
        </is>
      </c>
      <c r="B1449" s="1" t="n">
        <v>45058</v>
      </c>
      <c r="C1449" s="1" t="n">
        <v>45726</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20648-2023</t>
        </is>
      </c>
      <c r="B1450" s="1" t="n">
        <v>45058</v>
      </c>
      <c r="C1450" s="1" t="n">
        <v>45726</v>
      </c>
      <c r="D1450" t="inlineStr">
        <is>
          <t>VÄRMLANDS LÄN</t>
        </is>
      </c>
      <c r="E1450" t="inlineStr">
        <is>
          <t>TORSBY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20740-2023</t>
        </is>
      </c>
      <c r="B1451" s="1" t="n">
        <v>45058</v>
      </c>
      <c r="C1451" s="1" t="n">
        <v>45726</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20737-2023</t>
        </is>
      </c>
      <c r="B1452" s="1" t="n">
        <v>45058</v>
      </c>
      <c r="C1452" s="1" t="n">
        <v>45726</v>
      </c>
      <c r="D1452" t="inlineStr">
        <is>
          <t>VÄRMLANDS LÄN</t>
        </is>
      </c>
      <c r="E1452" t="inlineStr">
        <is>
          <t>TORSBY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20829-2023</t>
        </is>
      </c>
      <c r="B1453" s="1" t="n">
        <v>45058</v>
      </c>
      <c r="C1453" s="1" t="n">
        <v>45726</v>
      </c>
      <c r="D1453" t="inlineStr">
        <is>
          <t>VÄRMLANDS LÄN</t>
        </is>
      </c>
      <c r="E1453" t="inlineStr">
        <is>
          <t>TORSBY</t>
        </is>
      </c>
      <c r="F1453" t="inlineStr">
        <is>
          <t>Bergvik skog väst AB</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20830-2023</t>
        </is>
      </c>
      <c r="B1454" s="1" t="n">
        <v>45058</v>
      </c>
      <c r="C1454" s="1" t="n">
        <v>45726</v>
      </c>
      <c r="D1454" t="inlineStr">
        <is>
          <t>VÄRMLANDS LÄN</t>
        </is>
      </c>
      <c r="E1454" t="inlineStr">
        <is>
          <t>TORSBY</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20679-2023</t>
        </is>
      </c>
      <c r="B1455" s="1" t="n">
        <v>45058</v>
      </c>
      <c r="C1455" s="1" t="n">
        <v>45726</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20721-2023</t>
        </is>
      </c>
      <c r="B1456" s="1" t="n">
        <v>45058</v>
      </c>
      <c r="C1456" s="1" t="n">
        <v>45726</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20733-2023</t>
        </is>
      </c>
      <c r="B1457" s="1" t="n">
        <v>45058</v>
      </c>
      <c r="C1457" s="1" t="n">
        <v>45726</v>
      </c>
      <c r="D1457" t="inlineStr">
        <is>
          <t>VÄRMLANDS LÄN</t>
        </is>
      </c>
      <c r="E1457" t="inlineStr">
        <is>
          <t>TORSBY</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20745-2023</t>
        </is>
      </c>
      <c r="B1458" s="1" t="n">
        <v>45058</v>
      </c>
      <c r="C1458" s="1" t="n">
        <v>45726</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21258-2023</t>
        </is>
      </c>
      <c r="B1459" s="1" t="n">
        <v>45058</v>
      </c>
      <c r="C1459" s="1" t="n">
        <v>45726</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21255-2023</t>
        </is>
      </c>
      <c r="B1460" s="1" t="n">
        <v>45058</v>
      </c>
      <c r="C1460" s="1" t="n">
        <v>45726</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20898-2023</t>
        </is>
      </c>
      <c r="B1461" s="1" t="n">
        <v>45059</v>
      </c>
      <c r="C1461" s="1" t="n">
        <v>45726</v>
      </c>
      <c r="D1461" t="inlineStr">
        <is>
          <t>VÄRMLANDS LÄN</t>
        </is>
      </c>
      <c r="E1461" t="inlineStr">
        <is>
          <t>TORSBY</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21076-2023</t>
        </is>
      </c>
      <c r="B1462" s="1" t="n">
        <v>45061</v>
      </c>
      <c r="C1462" s="1" t="n">
        <v>45726</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21033-2023</t>
        </is>
      </c>
      <c r="B1463" s="1" t="n">
        <v>45061</v>
      </c>
      <c r="C1463" s="1" t="n">
        <v>45726</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21078-2023</t>
        </is>
      </c>
      <c r="B1464" s="1" t="n">
        <v>45061</v>
      </c>
      <c r="C1464" s="1" t="n">
        <v>45726</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21158-2023</t>
        </is>
      </c>
      <c r="B1465" s="1" t="n">
        <v>45062</v>
      </c>
      <c r="C1465" s="1" t="n">
        <v>45726</v>
      </c>
      <c r="D1465" t="inlineStr">
        <is>
          <t>VÄRMLANDS LÄN</t>
        </is>
      </c>
      <c r="E1465" t="inlineStr">
        <is>
          <t>TORSBY</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21189-2023</t>
        </is>
      </c>
      <c r="B1466" s="1" t="n">
        <v>45062</v>
      </c>
      <c r="C1466" s="1" t="n">
        <v>45726</v>
      </c>
      <c r="D1466" t="inlineStr">
        <is>
          <t>VÄRMLANDS LÄN</t>
        </is>
      </c>
      <c r="E1466" t="inlineStr">
        <is>
          <t>TORSBY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21154-2023</t>
        </is>
      </c>
      <c r="B1467" s="1" t="n">
        <v>45062</v>
      </c>
      <c r="C1467" s="1" t="n">
        <v>45726</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21409-2023</t>
        </is>
      </c>
      <c r="B1468" s="1" t="n">
        <v>45063</v>
      </c>
      <c r="C1468" s="1" t="n">
        <v>45726</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21365-2023</t>
        </is>
      </c>
      <c r="B1469" s="1" t="n">
        <v>45063</v>
      </c>
      <c r="C1469" s="1" t="n">
        <v>45726</v>
      </c>
      <c r="D1469" t="inlineStr">
        <is>
          <t>VÄRMLANDS LÄN</t>
        </is>
      </c>
      <c r="E1469" t="inlineStr">
        <is>
          <t>TORSBY</t>
        </is>
      </c>
      <c r="F1469" t="inlineStr">
        <is>
          <t>Kyrkan</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21390-2023</t>
        </is>
      </c>
      <c r="B1470" s="1" t="n">
        <v>45063</v>
      </c>
      <c r="C1470" s="1" t="n">
        <v>45726</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21411-2023</t>
        </is>
      </c>
      <c r="B1471" s="1" t="n">
        <v>45063</v>
      </c>
      <c r="C1471" s="1" t="n">
        <v>45726</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21786-2023</t>
        </is>
      </c>
      <c r="B1472" s="1" t="n">
        <v>45066</v>
      </c>
      <c r="C1472" s="1" t="n">
        <v>45726</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21790-2023</t>
        </is>
      </c>
      <c r="B1473" s="1" t="n">
        <v>45067</v>
      </c>
      <c r="C1473" s="1" t="n">
        <v>45726</v>
      </c>
      <c r="D1473" t="inlineStr">
        <is>
          <t>VÄRMLANDS LÄN</t>
        </is>
      </c>
      <c r="E1473" t="inlineStr">
        <is>
          <t>TORSBY</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21839-2023</t>
        </is>
      </c>
      <c r="B1474" s="1" t="n">
        <v>45068</v>
      </c>
      <c r="C1474" s="1" t="n">
        <v>45726</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21847-2023</t>
        </is>
      </c>
      <c r="B1475" s="1" t="n">
        <v>45068</v>
      </c>
      <c r="C1475" s="1" t="n">
        <v>45726</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21988-2023</t>
        </is>
      </c>
      <c r="B1476" s="1" t="n">
        <v>45068</v>
      </c>
      <c r="C1476" s="1" t="n">
        <v>45726</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21912-2023</t>
        </is>
      </c>
      <c r="B1477" s="1" t="n">
        <v>45068</v>
      </c>
      <c r="C1477" s="1" t="n">
        <v>45726</v>
      </c>
      <c r="D1477" t="inlineStr">
        <is>
          <t>VÄRMLANDS LÄN</t>
        </is>
      </c>
      <c r="E1477" t="inlineStr">
        <is>
          <t>TORSBY</t>
        </is>
      </c>
      <c r="F1477" t="inlineStr">
        <is>
          <t>Bergvik skog väst AB</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22089-2023</t>
        </is>
      </c>
      <c r="B1478" s="1" t="n">
        <v>45069</v>
      </c>
      <c r="C1478" s="1" t="n">
        <v>45726</v>
      </c>
      <c r="D1478" t="inlineStr">
        <is>
          <t>VÄRMLANDS LÄN</t>
        </is>
      </c>
      <c r="E1478" t="inlineStr">
        <is>
          <t>TORSBY</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22030-2023</t>
        </is>
      </c>
      <c r="B1479" s="1" t="n">
        <v>45069</v>
      </c>
      <c r="C1479" s="1" t="n">
        <v>45726</v>
      </c>
      <c r="D1479" t="inlineStr">
        <is>
          <t>VÄRMLANDS LÄN</t>
        </is>
      </c>
      <c r="E1479" t="inlineStr">
        <is>
          <t>TORSBY</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22038-2023</t>
        </is>
      </c>
      <c r="B1480" s="1" t="n">
        <v>45069</v>
      </c>
      <c r="C1480" s="1" t="n">
        <v>45726</v>
      </c>
      <c r="D1480" t="inlineStr">
        <is>
          <t>VÄRMLANDS LÄN</t>
        </is>
      </c>
      <c r="E1480" t="inlineStr">
        <is>
          <t>TORSBY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22033-2023</t>
        </is>
      </c>
      <c r="B1481" s="1" t="n">
        <v>45069</v>
      </c>
      <c r="C1481" s="1" t="n">
        <v>45726</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22386-2023</t>
        </is>
      </c>
      <c r="B1482" s="1" t="n">
        <v>45070</v>
      </c>
      <c r="C1482" s="1" t="n">
        <v>45726</v>
      </c>
      <c r="D1482" t="inlineStr">
        <is>
          <t>VÄRMLANDS LÄN</t>
        </is>
      </c>
      <c r="E1482" t="inlineStr">
        <is>
          <t>TORSBY</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22301-2023</t>
        </is>
      </c>
      <c r="B1483" s="1" t="n">
        <v>45070</v>
      </c>
      <c r="C1483" s="1" t="n">
        <v>45726</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23073-2023</t>
        </is>
      </c>
      <c r="B1484" s="1" t="n">
        <v>45070</v>
      </c>
      <c r="C1484" s="1" t="n">
        <v>45726</v>
      </c>
      <c r="D1484" t="inlineStr">
        <is>
          <t>VÄRMLANDS LÄN</t>
        </is>
      </c>
      <c r="E1484" t="inlineStr">
        <is>
          <t>TORSBY</t>
        </is>
      </c>
      <c r="G1484" t="n">
        <v>15.1</v>
      </c>
      <c r="H1484" t="n">
        <v>0</v>
      </c>
      <c r="I1484" t="n">
        <v>0</v>
      </c>
      <c r="J1484" t="n">
        <v>0</v>
      </c>
      <c r="K1484" t="n">
        <v>0</v>
      </c>
      <c r="L1484" t="n">
        <v>0</v>
      </c>
      <c r="M1484" t="n">
        <v>0</v>
      </c>
      <c r="N1484" t="n">
        <v>0</v>
      </c>
      <c r="O1484" t="n">
        <v>0</v>
      </c>
      <c r="P1484" t="n">
        <v>0</v>
      </c>
      <c r="Q1484" t="n">
        <v>0</v>
      </c>
      <c r="R1484" s="2" t="inlineStr"/>
    </row>
    <row r="1485" ht="15" customHeight="1">
      <c r="A1485" t="inlineStr">
        <is>
          <t>A 22920-2023</t>
        </is>
      </c>
      <c r="B1485" s="1" t="n">
        <v>45070</v>
      </c>
      <c r="C1485" s="1" t="n">
        <v>45726</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22494-2023</t>
        </is>
      </c>
      <c r="B1486" s="1" t="n">
        <v>45071</v>
      </c>
      <c r="C1486" s="1" t="n">
        <v>45726</v>
      </c>
      <c r="D1486" t="inlineStr">
        <is>
          <t>VÄRMLANDS LÄN</t>
        </is>
      </c>
      <c r="E1486" t="inlineStr">
        <is>
          <t>TORSBY</t>
        </is>
      </c>
      <c r="F1486" t="inlineStr">
        <is>
          <t>Bergvik skog väst AB</t>
        </is>
      </c>
      <c r="G1486" t="n">
        <v>25.7</v>
      </c>
      <c r="H1486" t="n">
        <v>0</v>
      </c>
      <c r="I1486" t="n">
        <v>0</v>
      </c>
      <c r="J1486" t="n">
        <v>0</v>
      </c>
      <c r="K1486" t="n">
        <v>0</v>
      </c>
      <c r="L1486" t="n">
        <v>0</v>
      </c>
      <c r="M1486" t="n">
        <v>0</v>
      </c>
      <c r="N1486" t="n">
        <v>0</v>
      </c>
      <c r="O1486" t="n">
        <v>0</v>
      </c>
      <c r="P1486" t="n">
        <v>0</v>
      </c>
      <c r="Q1486" t="n">
        <v>0</v>
      </c>
      <c r="R1486" s="2" t="inlineStr"/>
    </row>
    <row r="1487" ht="15" customHeight="1">
      <c r="A1487" t="inlineStr">
        <is>
          <t>A 22524-2023</t>
        </is>
      </c>
      <c r="B1487" s="1" t="n">
        <v>45071</v>
      </c>
      <c r="C1487" s="1" t="n">
        <v>45726</v>
      </c>
      <c r="D1487" t="inlineStr">
        <is>
          <t>VÄRMLANDS LÄN</t>
        </is>
      </c>
      <c r="E1487" t="inlineStr">
        <is>
          <t>TORSBY</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22587-2023</t>
        </is>
      </c>
      <c r="B1488" s="1" t="n">
        <v>45071</v>
      </c>
      <c r="C1488" s="1" t="n">
        <v>45726</v>
      </c>
      <c r="D1488" t="inlineStr">
        <is>
          <t>VÄRMLANDS LÄN</t>
        </is>
      </c>
      <c r="E1488" t="inlineStr">
        <is>
          <t>TORSBY</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22618-2023</t>
        </is>
      </c>
      <c r="B1489" s="1" t="n">
        <v>45071</v>
      </c>
      <c r="C1489" s="1" t="n">
        <v>45726</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22655-2023</t>
        </is>
      </c>
      <c r="B1490" s="1" t="n">
        <v>45071</v>
      </c>
      <c r="C1490" s="1" t="n">
        <v>45726</v>
      </c>
      <c r="D1490" t="inlineStr">
        <is>
          <t>VÄRMLANDS LÄN</t>
        </is>
      </c>
      <c r="E1490" t="inlineStr">
        <is>
          <t>TORSBY</t>
        </is>
      </c>
      <c r="F1490" t="inlineStr">
        <is>
          <t>Bergvik skog väst AB</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22705-2023</t>
        </is>
      </c>
      <c r="B1491" s="1" t="n">
        <v>45071</v>
      </c>
      <c r="C1491" s="1" t="n">
        <v>45726</v>
      </c>
      <c r="D1491" t="inlineStr">
        <is>
          <t>VÄRMLANDS LÄN</t>
        </is>
      </c>
      <c r="E1491" t="inlineStr">
        <is>
          <t>TORSBY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22687-2023</t>
        </is>
      </c>
      <c r="B1492" s="1" t="n">
        <v>45071</v>
      </c>
      <c r="C1492" s="1" t="n">
        <v>45726</v>
      </c>
      <c r="D1492" t="inlineStr">
        <is>
          <t>VÄRMLANDS LÄN</t>
        </is>
      </c>
      <c r="E1492" t="inlineStr">
        <is>
          <t>TORSBY</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22634-2023</t>
        </is>
      </c>
      <c r="B1493" s="1" t="n">
        <v>45071</v>
      </c>
      <c r="C1493" s="1" t="n">
        <v>45726</v>
      </c>
      <c r="D1493" t="inlineStr">
        <is>
          <t>VÄRMLANDS LÄN</t>
        </is>
      </c>
      <c r="E1493" t="inlineStr">
        <is>
          <t>TORSBY</t>
        </is>
      </c>
      <c r="F1493" t="inlineStr">
        <is>
          <t>Bergvik skog väst AB</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22675-2023</t>
        </is>
      </c>
      <c r="B1494" s="1" t="n">
        <v>45071</v>
      </c>
      <c r="C1494" s="1" t="n">
        <v>45726</v>
      </c>
      <c r="D1494" t="inlineStr">
        <is>
          <t>VÄRMLANDS LÄN</t>
        </is>
      </c>
      <c r="E1494" t="inlineStr">
        <is>
          <t>TORSBY</t>
        </is>
      </c>
      <c r="F1494" t="inlineStr">
        <is>
          <t>Bergvik skog väst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22702-2023</t>
        </is>
      </c>
      <c r="B1495" s="1" t="n">
        <v>45071</v>
      </c>
      <c r="C1495" s="1" t="n">
        <v>45726</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22939-2023</t>
        </is>
      </c>
      <c r="B1496" s="1" t="n">
        <v>45072</v>
      </c>
      <c r="C1496" s="1" t="n">
        <v>45726</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22943-2023</t>
        </is>
      </c>
      <c r="B1497" s="1" t="n">
        <v>45072</v>
      </c>
      <c r="C1497" s="1" t="n">
        <v>45726</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23572-2023</t>
        </is>
      </c>
      <c r="B1498" s="1" t="n">
        <v>45077</v>
      </c>
      <c r="C1498" s="1" t="n">
        <v>45726</v>
      </c>
      <c r="D1498" t="inlineStr">
        <is>
          <t>VÄRMLANDS LÄN</t>
        </is>
      </c>
      <c r="E1498" t="inlineStr">
        <is>
          <t>TORSBY</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23624-2023</t>
        </is>
      </c>
      <c r="B1499" s="1" t="n">
        <v>45077</v>
      </c>
      <c r="C1499" s="1" t="n">
        <v>45726</v>
      </c>
      <c r="D1499" t="inlineStr">
        <is>
          <t>VÄRMLANDS LÄN</t>
        </is>
      </c>
      <c r="E1499" t="inlineStr">
        <is>
          <t>TORSBY</t>
        </is>
      </c>
      <c r="F1499" t="inlineStr">
        <is>
          <t>Bergvik skog väst AB</t>
        </is>
      </c>
      <c r="G1499" t="n">
        <v>27.9</v>
      </c>
      <c r="H1499" t="n">
        <v>0</v>
      </c>
      <c r="I1499" t="n">
        <v>0</v>
      </c>
      <c r="J1499" t="n">
        <v>0</v>
      </c>
      <c r="K1499" t="n">
        <v>0</v>
      </c>
      <c r="L1499" t="n">
        <v>0</v>
      </c>
      <c r="M1499" t="n">
        <v>0</v>
      </c>
      <c r="N1499" t="n">
        <v>0</v>
      </c>
      <c r="O1499" t="n">
        <v>0</v>
      </c>
      <c r="P1499" t="n">
        <v>0</v>
      </c>
      <c r="Q1499" t="n">
        <v>0</v>
      </c>
      <c r="R1499" s="2" t="inlineStr"/>
    </row>
    <row r="1500" ht="15" customHeight="1">
      <c r="A1500" t="inlineStr">
        <is>
          <t>A 23894-2023</t>
        </is>
      </c>
      <c r="B1500" s="1" t="n">
        <v>45078</v>
      </c>
      <c r="C1500" s="1" t="n">
        <v>45726</v>
      </c>
      <c r="D1500" t="inlineStr">
        <is>
          <t>VÄRMLANDS LÄN</t>
        </is>
      </c>
      <c r="E1500" t="inlineStr">
        <is>
          <t>TORSBY</t>
        </is>
      </c>
      <c r="F1500" t="inlineStr">
        <is>
          <t>Bergvik skog väst AB</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23912-2023</t>
        </is>
      </c>
      <c r="B1501" s="1" t="n">
        <v>45078</v>
      </c>
      <c r="C1501" s="1" t="n">
        <v>45726</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24244-2023</t>
        </is>
      </c>
      <c r="B1502" s="1" t="n">
        <v>45079</v>
      </c>
      <c r="C1502" s="1" t="n">
        <v>45726</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24170-2023</t>
        </is>
      </c>
      <c r="B1503" s="1" t="n">
        <v>45079</v>
      </c>
      <c r="C1503" s="1" t="n">
        <v>45726</v>
      </c>
      <c r="D1503" t="inlineStr">
        <is>
          <t>VÄRMLANDS LÄN</t>
        </is>
      </c>
      <c r="E1503" t="inlineStr">
        <is>
          <t>TORSBY</t>
        </is>
      </c>
      <c r="F1503" t="inlineStr">
        <is>
          <t>Bergvik skog väst AB</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24101-2023</t>
        </is>
      </c>
      <c r="B1504" s="1" t="n">
        <v>45079</v>
      </c>
      <c r="C1504" s="1" t="n">
        <v>45726</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24196-2023</t>
        </is>
      </c>
      <c r="B1505" s="1" t="n">
        <v>45079</v>
      </c>
      <c r="C1505" s="1" t="n">
        <v>45726</v>
      </c>
      <c r="D1505" t="inlineStr">
        <is>
          <t>VÄRMLANDS LÄN</t>
        </is>
      </c>
      <c r="E1505" t="inlineStr">
        <is>
          <t>TORSBY</t>
        </is>
      </c>
      <c r="F1505" t="inlineStr">
        <is>
          <t>Bergvik skog väst AB</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24518-2023</t>
        </is>
      </c>
      <c r="B1506" s="1" t="n">
        <v>45082</v>
      </c>
      <c r="C1506" s="1" t="n">
        <v>45726</v>
      </c>
      <c r="D1506" t="inlineStr">
        <is>
          <t>VÄRMLANDS LÄN</t>
        </is>
      </c>
      <c r="E1506" t="inlineStr">
        <is>
          <t>TORSBY</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24696-2023</t>
        </is>
      </c>
      <c r="B1507" s="1" t="n">
        <v>45084</v>
      </c>
      <c r="C1507" s="1" t="n">
        <v>45726</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24639-2023</t>
        </is>
      </c>
      <c r="B1508" s="1" t="n">
        <v>45084</v>
      </c>
      <c r="C1508" s="1" t="n">
        <v>45726</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24643-2023</t>
        </is>
      </c>
      <c r="B1509" s="1" t="n">
        <v>45084</v>
      </c>
      <c r="C1509" s="1" t="n">
        <v>45726</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24703-2023</t>
        </is>
      </c>
      <c r="B1510" s="1" t="n">
        <v>45084</v>
      </c>
      <c r="C1510" s="1" t="n">
        <v>45726</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24849-2023</t>
        </is>
      </c>
      <c r="B1511" s="1" t="n">
        <v>45085</v>
      </c>
      <c r="C1511" s="1" t="n">
        <v>45726</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24896-2023</t>
        </is>
      </c>
      <c r="B1512" s="1" t="n">
        <v>45085</v>
      </c>
      <c r="C1512" s="1" t="n">
        <v>45726</v>
      </c>
      <c r="D1512" t="inlineStr">
        <is>
          <t>VÄRMLANDS LÄN</t>
        </is>
      </c>
      <c r="E1512" t="inlineStr">
        <is>
          <t>TORSBY</t>
        </is>
      </c>
      <c r="F1512" t="inlineStr">
        <is>
          <t>Bergvik skog väst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24876-2023</t>
        </is>
      </c>
      <c r="B1513" s="1" t="n">
        <v>45085</v>
      </c>
      <c r="C1513" s="1" t="n">
        <v>45726</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24909-2023</t>
        </is>
      </c>
      <c r="B1514" s="1" t="n">
        <v>45085</v>
      </c>
      <c r="C1514" s="1" t="n">
        <v>45726</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24897-2023</t>
        </is>
      </c>
      <c r="B1515" s="1" t="n">
        <v>45085</v>
      </c>
      <c r="C1515" s="1" t="n">
        <v>45726</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24847-2023</t>
        </is>
      </c>
      <c r="B1516" s="1" t="n">
        <v>45085</v>
      </c>
      <c r="C1516" s="1" t="n">
        <v>45726</v>
      </c>
      <c r="D1516" t="inlineStr">
        <is>
          <t>VÄRMLANDS LÄN</t>
        </is>
      </c>
      <c r="E1516" t="inlineStr">
        <is>
          <t>TORSBY</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24965-2023</t>
        </is>
      </c>
      <c r="B1517" s="1" t="n">
        <v>45085</v>
      </c>
      <c r="C1517" s="1" t="n">
        <v>45726</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24969-2023</t>
        </is>
      </c>
      <c r="B1518" s="1" t="n">
        <v>45085</v>
      </c>
      <c r="C1518" s="1" t="n">
        <v>45726</v>
      </c>
      <c r="D1518" t="inlineStr">
        <is>
          <t>VÄRMLANDS LÄN</t>
        </is>
      </c>
      <c r="E1518" t="inlineStr">
        <is>
          <t>TORSBY</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25001-2023</t>
        </is>
      </c>
      <c r="B1519" s="1" t="n">
        <v>45085</v>
      </c>
      <c r="C1519" s="1" t="n">
        <v>45726</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25068-2023</t>
        </is>
      </c>
      <c r="B1520" s="1" t="n">
        <v>45085</v>
      </c>
      <c r="C1520" s="1" t="n">
        <v>45726</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25163-2023</t>
        </is>
      </c>
      <c r="B1521" s="1" t="n">
        <v>45086</v>
      </c>
      <c r="C1521" s="1" t="n">
        <v>45726</v>
      </c>
      <c r="D1521" t="inlineStr">
        <is>
          <t>VÄRMLANDS LÄN</t>
        </is>
      </c>
      <c r="E1521" t="inlineStr">
        <is>
          <t>TORSBY</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25088-2023</t>
        </is>
      </c>
      <c r="B1522" s="1" t="n">
        <v>45086</v>
      </c>
      <c r="C1522" s="1" t="n">
        <v>45726</v>
      </c>
      <c r="D1522" t="inlineStr">
        <is>
          <t>VÄRMLANDS LÄN</t>
        </is>
      </c>
      <c r="E1522" t="inlineStr">
        <is>
          <t>TORSBY</t>
        </is>
      </c>
      <c r="F1522" t="inlineStr">
        <is>
          <t>Bergvik skog väst AB</t>
        </is>
      </c>
      <c r="G1522" t="n">
        <v>13.9</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45726</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25261-2023</t>
        </is>
      </c>
      <c r="B1524" s="1" t="n">
        <v>45086</v>
      </c>
      <c r="C1524" s="1" t="n">
        <v>45726</v>
      </c>
      <c r="D1524" t="inlineStr">
        <is>
          <t>VÄRMLANDS LÄN</t>
        </is>
      </c>
      <c r="E1524" t="inlineStr">
        <is>
          <t>TORSBY</t>
        </is>
      </c>
      <c r="F1524" t="inlineStr">
        <is>
          <t>Bergvik skog väst AB</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25344-2023</t>
        </is>
      </c>
      <c r="B1525" s="1" t="n">
        <v>45087</v>
      </c>
      <c r="C1525" s="1" t="n">
        <v>45726</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v>
      </c>
      <c r="C1526" s="1" t="n">
        <v>45726</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26466-2023</t>
        </is>
      </c>
      <c r="B1527" s="1" t="n">
        <v>45089</v>
      </c>
      <c r="C1527" s="1" t="n">
        <v>45726</v>
      </c>
      <c r="D1527" t="inlineStr">
        <is>
          <t>VÄRMLANDS LÄN</t>
        </is>
      </c>
      <c r="E1527" t="inlineStr">
        <is>
          <t>TORSBY</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26340-2023</t>
        </is>
      </c>
      <c r="B1528" s="1" t="n">
        <v>45091</v>
      </c>
      <c r="C1528" s="1" t="n">
        <v>45726</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26343-2023</t>
        </is>
      </c>
      <c r="B1529" s="1" t="n">
        <v>45091</v>
      </c>
      <c r="C1529" s="1" t="n">
        <v>45726</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26327-2023</t>
        </is>
      </c>
      <c r="B1530" s="1" t="n">
        <v>45091</v>
      </c>
      <c r="C1530" s="1" t="n">
        <v>45726</v>
      </c>
      <c r="D1530" t="inlineStr">
        <is>
          <t>VÄRMLANDS LÄN</t>
        </is>
      </c>
      <c r="E1530" t="inlineStr">
        <is>
          <t>TORSBY</t>
        </is>
      </c>
      <c r="F1530" t="inlineStr">
        <is>
          <t>Bergvik skog väst AB</t>
        </is>
      </c>
      <c r="G1530" t="n">
        <v>33.4</v>
      </c>
      <c r="H1530" t="n">
        <v>0</v>
      </c>
      <c r="I1530" t="n">
        <v>0</v>
      </c>
      <c r="J1530" t="n">
        <v>0</v>
      </c>
      <c r="K1530" t="n">
        <v>0</v>
      </c>
      <c r="L1530" t="n">
        <v>0</v>
      </c>
      <c r="M1530" t="n">
        <v>0</v>
      </c>
      <c r="N1530" t="n">
        <v>0</v>
      </c>
      <c r="O1530" t="n">
        <v>0</v>
      </c>
      <c r="P1530" t="n">
        <v>0</v>
      </c>
      <c r="Q1530" t="n">
        <v>0</v>
      </c>
      <c r="R1530" s="2" t="inlineStr"/>
    </row>
    <row r="1531" ht="15" customHeight="1">
      <c r="A1531" t="inlineStr">
        <is>
          <t>A 26080-2023</t>
        </is>
      </c>
      <c r="B1531" s="1" t="n">
        <v>45091</v>
      </c>
      <c r="C1531" s="1" t="n">
        <v>45726</v>
      </c>
      <c r="D1531" t="inlineStr">
        <is>
          <t>VÄRMLANDS LÄN</t>
        </is>
      </c>
      <c r="E1531" t="inlineStr">
        <is>
          <t>TORSBY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26092-2023</t>
        </is>
      </c>
      <c r="B1532" s="1" t="n">
        <v>45091</v>
      </c>
      <c r="C1532" s="1" t="n">
        <v>45726</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26979-2023</t>
        </is>
      </c>
      <c r="B1533" s="1" t="n">
        <v>45091</v>
      </c>
      <c r="C1533" s="1" t="n">
        <v>45726</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26376-2023</t>
        </is>
      </c>
      <c r="B1534" s="1" t="n">
        <v>45092</v>
      </c>
      <c r="C1534" s="1" t="n">
        <v>45726</v>
      </c>
      <c r="D1534" t="inlineStr">
        <is>
          <t>VÄRMLANDS LÄN</t>
        </is>
      </c>
      <c r="E1534" t="inlineStr">
        <is>
          <t>TORSBY</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26616-2023</t>
        </is>
      </c>
      <c r="B1535" s="1" t="n">
        <v>45092</v>
      </c>
      <c r="C1535" s="1" t="n">
        <v>45726</v>
      </c>
      <c r="D1535" t="inlineStr">
        <is>
          <t>VÄRMLANDS LÄN</t>
        </is>
      </c>
      <c r="E1535" t="inlineStr">
        <is>
          <t>TORSBY</t>
        </is>
      </c>
      <c r="F1535" t="inlineStr">
        <is>
          <t>Bergvik skog väst AB</t>
        </is>
      </c>
      <c r="G1535" t="n">
        <v>30.3</v>
      </c>
      <c r="H1535" t="n">
        <v>0</v>
      </c>
      <c r="I1535" t="n">
        <v>0</v>
      </c>
      <c r="J1535" t="n">
        <v>0</v>
      </c>
      <c r="K1535" t="n">
        <v>0</v>
      </c>
      <c r="L1535" t="n">
        <v>0</v>
      </c>
      <c r="M1535" t="n">
        <v>0</v>
      </c>
      <c r="N1535" t="n">
        <v>0</v>
      </c>
      <c r="O1535" t="n">
        <v>0</v>
      </c>
      <c r="P1535" t="n">
        <v>0</v>
      </c>
      <c r="Q1535" t="n">
        <v>0</v>
      </c>
      <c r="R1535" s="2" t="inlineStr"/>
    </row>
    <row r="1536" ht="15" customHeight="1">
      <c r="A1536" t="inlineStr">
        <is>
          <t>A 26814-2023</t>
        </is>
      </c>
      <c r="B1536" s="1" t="n">
        <v>45093</v>
      </c>
      <c r="C1536" s="1" t="n">
        <v>45726</v>
      </c>
      <c r="D1536" t="inlineStr">
        <is>
          <t>VÄRMLANDS LÄN</t>
        </is>
      </c>
      <c r="E1536" t="inlineStr">
        <is>
          <t>TORSBY</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26753-2023</t>
        </is>
      </c>
      <c r="B1537" s="1" t="n">
        <v>45093</v>
      </c>
      <c r="C1537" s="1" t="n">
        <v>45726</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26855-2023</t>
        </is>
      </c>
      <c r="B1538" s="1" t="n">
        <v>45093</v>
      </c>
      <c r="C1538" s="1" t="n">
        <v>45726</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27195-2023</t>
        </is>
      </c>
      <c r="B1539" s="1" t="n">
        <v>45096</v>
      </c>
      <c r="C1539" s="1" t="n">
        <v>45726</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27332-2023</t>
        </is>
      </c>
      <c r="B1540" s="1" t="n">
        <v>45096</v>
      </c>
      <c r="C1540" s="1" t="n">
        <v>45726</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27472-2023</t>
        </is>
      </c>
      <c r="B1541" s="1" t="n">
        <v>45097</v>
      </c>
      <c r="C1541" s="1" t="n">
        <v>45726</v>
      </c>
      <c r="D1541" t="inlineStr">
        <is>
          <t>VÄRMLANDS LÄN</t>
        </is>
      </c>
      <c r="E1541" t="inlineStr">
        <is>
          <t>TORSBY</t>
        </is>
      </c>
      <c r="F1541" t="inlineStr">
        <is>
          <t>Övriga Aktiebolag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27594-2023</t>
        </is>
      </c>
      <c r="B1542" s="1" t="n">
        <v>45097</v>
      </c>
      <c r="C1542" s="1" t="n">
        <v>45726</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27458-2023</t>
        </is>
      </c>
      <c r="B1543" s="1" t="n">
        <v>45097</v>
      </c>
      <c r="C1543" s="1" t="n">
        <v>45726</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27787-2023</t>
        </is>
      </c>
      <c r="B1544" s="1" t="n">
        <v>45098</v>
      </c>
      <c r="C1544" s="1" t="n">
        <v>45726</v>
      </c>
      <c r="D1544" t="inlineStr">
        <is>
          <t>VÄRMLANDS LÄN</t>
        </is>
      </c>
      <c r="E1544" t="inlineStr">
        <is>
          <t>TORSBY</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27837-2023</t>
        </is>
      </c>
      <c r="B1545" s="1" t="n">
        <v>45098</v>
      </c>
      <c r="C1545" s="1" t="n">
        <v>45726</v>
      </c>
      <c r="D1545" t="inlineStr">
        <is>
          <t>VÄRMLANDS LÄN</t>
        </is>
      </c>
      <c r="E1545" t="inlineStr">
        <is>
          <t>TORSBY</t>
        </is>
      </c>
      <c r="F1545" t="inlineStr">
        <is>
          <t>Bergvik skog väst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27851-2023</t>
        </is>
      </c>
      <c r="B1546" s="1" t="n">
        <v>45098</v>
      </c>
      <c r="C1546" s="1" t="n">
        <v>45726</v>
      </c>
      <c r="D1546" t="inlineStr">
        <is>
          <t>VÄRMLANDS LÄN</t>
        </is>
      </c>
      <c r="E1546" t="inlineStr">
        <is>
          <t>TORSBY</t>
        </is>
      </c>
      <c r="F1546" t="inlineStr">
        <is>
          <t>Bergvik skog väst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27920-2023</t>
        </is>
      </c>
      <c r="B1547" s="1" t="n">
        <v>45098</v>
      </c>
      <c r="C1547" s="1" t="n">
        <v>45726</v>
      </c>
      <c r="D1547" t="inlineStr">
        <is>
          <t>VÄRMLANDS LÄN</t>
        </is>
      </c>
      <c r="E1547" t="inlineStr">
        <is>
          <t>TORSBY</t>
        </is>
      </c>
      <c r="F1547" t="inlineStr">
        <is>
          <t>Kyrkan</t>
        </is>
      </c>
      <c r="G1547" t="n">
        <v>14.7</v>
      </c>
      <c r="H1547" t="n">
        <v>0</v>
      </c>
      <c r="I1547" t="n">
        <v>0</v>
      </c>
      <c r="J1547" t="n">
        <v>0</v>
      </c>
      <c r="K1547" t="n">
        <v>0</v>
      </c>
      <c r="L1547" t="n">
        <v>0</v>
      </c>
      <c r="M1547" t="n">
        <v>0</v>
      </c>
      <c r="N1547" t="n">
        <v>0</v>
      </c>
      <c r="O1547" t="n">
        <v>0</v>
      </c>
      <c r="P1547" t="n">
        <v>0</v>
      </c>
      <c r="Q1547" t="n">
        <v>0</v>
      </c>
      <c r="R1547" s="2" t="inlineStr"/>
    </row>
    <row r="1548" ht="15" customHeight="1">
      <c r="A1548" t="inlineStr">
        <is>
          <t>A 28045-2023</t>
        </is>
      </c>
      <c r="B1548" s="1" t="n">
        <v>45099</v>
      </c>
      <c r="C1548" s="1" t="n">
        <v>45726</v>
      </c>
      <c r="D1548" t="inlineStr">
        <is>
          <t>VÄRMLANDS LÄN</t>
        </is>
      </c>
      <c r="E1548" t="inlineStr">
        <is>
          <t>TORSBY</t>
        </is>
      </c>
      <c r="F1548" t="inlineStr">
        <is>
          <t>Bergvik skog väst AB</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28074-2023</t>
        </is>
      </c>
      <c r="B1549" s="1" t="n">
        <v>45099</v>
      </c>
      <c r="C1549" s="1" t="n">
        <v>45726</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28092-2023</t>
        </is>
      </c>
      <c r="B1550" s="1" t="n">
        <v>45099</v>
      </c>
      <c r="C1550" s="1" t="n">
        <v>45726</v>
      </c>
      <c r="D1550" t="inlineStr">
        <is>
          <t>VÄRMLANDS LÄN</t>
        </is>
      </c>
      <c r="E1550" t="inlineStr">
        <is>
          <t>TORSBY</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28251-2023</t>
        </is>
      </c>
      <c r="B1551" s="1" t="n">
        <v>45099</v>
      </c>
      <c r="C1551" s="1" t="n">
        <v>45726</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30142-2023</t>
        </is>
      </c>
      <c r="B1552" s="1" t="n">
        <v>45099</v>
      </c>
      <c r="C1552" s="1" t="n">
        <v>45726</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30148-2023</t>
        </is>
      </c>
      <c r="B1553" s="1" t="n">
        <v>45099</v>
      </c>
      <c r="C1553" s="1" t="n">
        <v>45726</v>
      </c>
      <c r="D1553" t="inlineStr">
        <is>
          <t>VÄRMLANDS LÄN</t>
        </is>
      </c>
      <c r="E1553" t="inlineStr">
        <is>
          <t>TORSBY</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30151-2023</t>
        </is>
      </c>
      <c r="B1554" s="1" t="n">
        <v>45099</v>
      </c>
      <c r="C1554" s="1" t="n">
        <v>45726</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v>
      </c>
      <c r="C1555" s="1" t="n">
        <v>45726</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28652-2023</t>
        </is>
      </c>
      <c r="B1556" s="1" t="n">
        <v>45103</v>
      </c>
      <c r="C1556" s="1" t="n">
        <v>45726</v>
      </c>
      <c r="D1556" t="inlineStr">
        <is>
          <t>VÄRMLANDS LÄN</t>
        </is>
      </c>
      <c r="E1556" t="inlineStr">
        <is>
          <t>TORSBY</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28818-2023</t>
        </is>
      </c>
      <c r="B1557" s="1" t="n">
        <v>45104</v>
      </c>
      <c r="C1557" s="1" t="n">
        <v>45726</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28869-2023</t>
        </is>
      </c>
      <c r="B1558" s="1" t="n">
        <v>45104</v>
      </c>
      <c r="C1558" s="1" t="n">
        <v>45726</v>
      </c>
      <c r="D1558" t="inlineStr">
        <is>
          <t>VÄRMLANDS LÄN</t>
        </is>
      </c>
      <c r="E1558" t="inlineStr">
        <is>
          <t>TORSBY</t>
        </is>
      </c>
      <c r="F1558" t="inlineStr">
        <is>
          <t>Bergvik skog väst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28948-2023</t>
        </is>
      </c>
      <c r="B1559" s="1" t="n">
        <v>45104</v>
      </c>
      <c r="C1559" s="1" t="n">
        <v>45726</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28814-2023</t>
        </is>
      </c>
      <c r="B1560" s="1" t="n">
        <v>45104</v>
      </c>
      <c r="C1560" s="1" t="n">
        <v>45726</v>
      </c>
      <c r="D1560" t="inlineStr">
        <is>
          <t>VÄRMLANDS LÄN</t>
        </is>
      </c>
      <c r="E1560" t="inlineStr">
        <is>
          <t>TORSBY</t>
        </is>
      </c>
      <c r="G1560" t="n">
        <v>14.3</v>
      </c>
      <c r="H1560" t="n">
        <v>0</v>
      </c>
      <c r="I1560" t="n">
        <v>0</v>
      </c>
      <c r="J1560" t="n">
        <v>0</v>
      </c>
      <c r="K1560" t="n">
        <v>0</v>
      </c>
      <c r="L1560" t="n">
        <v>0</v>
      </c>
      <c r="M1560" t="n">
        <v>0</v>
      </c>
      <c r="N1560" t="n">
        <v>0</v>
      </c>
      <c r="O1560" t="n">
        <v>0</v>
      </c>
      <c r="P1560" t="n">
        <v>0</v>
      </c>
      <c r="Q1560" t="n">
        <v>0</v>
      </c>
      <c r="R1560" s="2" t="inlineStr"/>
    </row>
    <row r="1561" ht="15" customHeight="1">
      <c r="A1561" t="inlineStr">
        <is>
          <t>A 29043-2023</t>
        </is>
      </c>
      <c r="B1561" s="1" t="n">
        <v>45104</v>
      </c>
      <c r="C1561" s="1" t="n">
        <v>45726</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29042-2023</t>
        </is>
      </c>
      <c r="B1562" s="1" t="n">
        <v>45104</v>
      </c>
      <c r="C1562" s="1" t="n">
        <v>45726</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29137-2023</t>
        </is>
      </c>
      <c r="B1563" s="1" t="n">
        <v>45105</v>
      </c>
      <c r="C1563" s="1" t="n">
        <v>45726</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29256-2023</t>
        </is>
      </c>
      <c r="B1564" s="1" t="n">
        <v>45105</v>
      </c>
      <c r="C1564" s="1" t="n">
        <v>45726</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29506-2023</t>
        </is>
      </c>
      <c r="B1565" s="1" t="n">
        <v>45106</v>
      </c>
      <c r="C1565" s="1" t="n">
        <v>45726</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29581-2023</t>
        </is>
      </c>
      <c r="B1566" s="1" t="n">
        <v>45106</v>
      </c>
      <c r="C1566" s="1" t="n">
        <v>45726</v>
      </c>
      <c r="D1566" t="inlineStr">
        <is>
          <t>VÄRMLANDS LÄN</t>
        </is>
      </c>
      <c r="E1566" t="inlineStr">
        <is>
          <t>TORSBY</t>
        </is>
      </c>
      <c r="F1566" t="inlineStr">
        <is>
          <t>Bergvik skog väst AB</t>
        </is>
      </c>
      <c r="G1566" t="n">
        <v>11.8</v>
      </c>
      <c r="H1566" t="n">
        <v>0</v>
      </c>
      <c r="I1566" t="n">
        <v>0</v>
      </c>
      <c r="J1566" t="n">
        <v>0</v>
      </c>
      <c r="K1566" t="n">
        <v>0</v>
      </c>
      <c r="L1566" t="n">
        <v>0</v>
      </c>
      <c r="M1566" t="n">
        <v>0</v>
      </c>
      <c r="N1566" t="n">
        <v>0</v>
      </c>
      <c r="O1566" t="n">
        <v>0</v>
      </c>
      <c r="P1566" t="n">
        <v>0</v>
      </c>
      <c r="Q1566" t="n">
        <v>0</v>
      </c>
      <c r="R1566" s="2" t="inlineStr"/>
    </row>
    <row r="1567" ht="15" customHeight="1">
      <c r="A1567" t="inlineStr">
        <is>
          <t>A 29594-2023</t>
        </is>
      </c>
      <c r="B1567" s="1" t="n">
        <v>45107</v>
      </c>
      <c r="C1567" s="1" t="n">
        <v>45726</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29545-2023</t>
        </is>
      </c>
      <c r="B1568" s="1" t="n">
        <v>45106</v>
      </c>
      <c r="C1568" s="1" t="n">
        <v>45726</v>
      </c>
      <c r="D1568" t="inlineStr">
        <is>
          <t>VÄRMLANDS LÄN</t>
        </is>
      </c>
      <c r="E1568" t="inlineStr">
        <is>
          <t>TORSBY</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31858-2023</t>
        </is>
      </c>
      <c r="B1569" s="1" t="n">
        <v>45106</v>
      </c>
      <c r="C1569" s="1" t="n">
        <v>45726</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29792-2023</t>
        </is>
      </c>
      <c r="B1570" s="1" t="n">
        <v>45107</v>
      </c>
      <c r="C1570" s="1" t="n">
        <v>45726</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29796-2023</t>
        </is>
      </c>
      <c r="B1571" s="1" t="n">
        <v>45107</v>
      </c>
      <c r="C1571" s="1" t="n">
        <v>45726</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29795-2023</t>
        </is>
      </c>
      <c r="B1572" s="1" t="n">
        <v>45107</v>
      </c>
      <c r="C1572" s="1" t="n">
        <v>45726</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31936-2023</t>
        </is>
      </c>
      <c r="B1573" s="1" t="n">
        <v>45107</v>
      </c>
      <c r="C1573" s="1" t="n">
        <v>45726</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30208-2023</t>
        </is>
      </c>
      <c r="B1574" s="1" t="n">
        <v>45110</v>
      </c>
      <c r="C1574" s="1" t="n">
        <v>45726</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30213-2023</t>
        </is>
      </c>
      <c r="B1575" s="1" t="n">
        <v>45110</v>
      </c>
      <c r="C1575" s="1" t="n">
        <v>45726</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30267-2023</t>
        </is>
      </c>
      <c r="B1576" s="1" t="n">
        <v>45110</v>
      </c>
      <c r="C1576" s="1" t="n">
        <v>45726</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30104-2023</t>
        </is>
      </c>
      <c r="B1577" s="1" t="n">
        <v>45110</v>
      </c>
      <c r="C1577" s="1" t="n">
        <v>45726</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32332-2023</t>
        </is>
      </c>
      <c r="B1578" s="1" t="n">
        <v>45110</v>
      </c>
      <c r="C1578" s="1" t="n">
        <v>45726</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30160-2023</t>
        </is>
      </c>
      <c r="B1579" s="1" t="n">
        <v>45110</v>
      </c>
      <c r="C1579" s="1" t="n">
        <v>45726</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30269-2023</t>
        </is>
      </c>
      <c r="B1580" s="1" t="n">
        <v>45110</v>
      </c>
      <c r="C1580" s="1" t="n">
        <v>45726</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30110-2023</t>
        </is>
      </c>
      <c r="B1581" s="1" t="n">
        <v>45110</v>
      </c>
      <c r="C1581" s="1" t="n">
        <v>45726</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30530-2023</t>
        </is>
      </c>
      <c r="B1582" s="1" t="n">
        <v>45111</v>
      </c>
      <c r="C1582" s="1" t="n">
        <v>45726</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30455-2023</t>
        </is>
      </c>
      <c r="B1583" s="1" t="n">
        <v>45111</v>
      </c>
      <c r="C1583" s="1" t="n">
        <v>45726</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30370-2023</t>
        </is>
      </c>
      <c r="B1584" s="1" t="n">
        <v>45111</v>
      </c>
      <c r="C1584" s="1" t="n">
        <v>45726</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30531-2023</t>
        </is>
      </c>
      <c r="B1585" s="1" t="n">
        <v>45111</v>
      </c>
      <c r="C1585" s="1" t="n">
        <v>45726</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30344-2023</t>
        </is>
      </c>
      <c r="B1586" s="1" t="n">
        <v>45111</v>
      </c>
      <c r="C1586" s="1" t="n">
        <v>45726</v>
      </c>
      <c r="D1586" t="inlineStr">
        <is>
          <t>VÄRMLANDS LÄN</t>
        </is>
      </c>
      <c r="E1586" t="inlineStr">
        <is>
          <t>TORSBY</t>
        </is>
      </c>
      <c r="F1586" t="inlineStr">
        <is>
          <t>Bergvik skog väst AB</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30670-2023</t>
        </is>
      </c>
      <c r="B1587" s="1" t="n">
        <v>45112</v>
      </c>
      <c r="C1587" s="1" t="n">
        <v>45726</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30624-2023</t>
        </is>
      </c>
      <c r="B1588" s="1" t="n">
        <v>45112</v>
      </c>
      <c r="C1588" s="1" t="n">
        <v>45726</v>
      </c>
      <c r="D1588" t="inlineStr">
        <is>
          <t>VÄRMLANDS LÄN</t>
        </is>
      </c>
      <c r="E1588" t="inlineStr">
        <is>
          <t>TORSBY</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30741-2023</t>
        </is>
      </c>
      <c r="B1589" s="1" t="n">
        <v>45112</v>
      </c>
      <c r="C1589" s="1" t="n">
        <v>45726</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31052-2023</t>
        </is>
      </c>
      <c r="B1590" s="1" t="n">
        <v>45113</v>
      </c>
      <c r="C1590" s="1" t="n">
        <v>45726</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31112-2023</t>
        </is>
      </c>
      <c r="B1591" s="1" t="n">
        <v>45113</v>
      </c>
      <c r="C1591" s="1" t="n">
        <v>45726</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31465-2023</t>
        </is>
      </c>
      <c r="B1592" s="1" t="n">
        <v>45114</v>
      </c>
      <c r="C1592" s="1" t="n">
        <v>45726</v>
      </c>
      <c r="D1592" t="inlineStr">
        <is>
          <t>VÄRMLANDS LÄN</t>
        </is>
      </c>
      <c r="E1592" t="inlineStr">
        <is>
          <t>TORSBY</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31547-2023</t>
        </is>
      </c>
      <c r="B1593" s="1" t="n">
        <v>45117</v>
      </c>
      <c r="C1593" s="1" t="n">
        <v>45726</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31548-2023</t>
        </is>
      </c>
      <c r="B1594" s="1" t="n">
        <v>45117</v>
      </c>
      <c r="C1594" s="1" t="n">
        <v>45726</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33741-2023</t>
        </is>
      </c>
      <c r="B1595" s="1" t="n">
        <v>45119</v>
      </c>
      <c r="C1595" s="1" t="n">
        <v>45726</v>
      </c>
      <c r="D1595" t="inlineStr">
        <is>
          <t>VÄRMLANDS LÄN</t>
        </is>
      </c>
      <c r="E1595" t="inlineStr">
        <is>
          <t>TORSBY</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33738-2023</t>
        </is>
      </c>
      <c r="B1596" s="1" t="n">
        <v>45119</v>
      </c>
      <c r="C1596" s="1" t="n">
        <v>45726</v>
      </c>
      <c r="D1596" t="inlineStr">
        <is>
          <t>VÄRMLANDS LÄN</t>
        </is>
      </c>
      <c r="E1596" t="inlineStr">
        <is>
          <t>TORSBY</t>
        </is>
      </c>
      <c r="F1596" t="inlineStr">
        <is>
          <t>Övriga Aktiebolag</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33740-2023</t>
        </is>
      </c>
      <c r="B1597" s="1" t="n">
        <v>45119</v>
      </c>
      <c r="C1597" s="1" t="n">
        <v>45726</v>
      </c>
      <c r="D1597" t="inlineStr">
        <is>
          <t>VÄRMLANDS LÄN</t>
        </is>
      </c>
      <c r="E1597" t="inlineStr">
        <is>
          <t>TORSBY</t>
        </is>
      </c>
      <c r="F1597" t="inlineStr">
        <is>
          <t>Övriga Aktiebolag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33782-2023</t>
        </is>
      </c>
      <c r="B1598" s="1" t="n">
        <v>45120</v>
      </c>
      <c r="C1598" s="1" t="n">
        <v>45726</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32576-2023</t>
        </is>
      </c>
      <c r="B1599" s="1" t="n">
        <v>45121</v>
      </c>
      <c r="C1599" s="1" t="n">
        <v>45726</v>
      </c>
      <c r="D1599" t="inlineStr">
        <is>
          <t>VÄRMLANDS LÄN</t>
        </is>
      </c>
      <c r="E1599" t="inlineStr">
        <is>
          <t>TORSBY</t>
        </is>
      </c>
      <c r="F1599" t="inlineStr">
        <is>
          <t>Bergvik skog väst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32584-2023</t>
        </is>
      </c>
      <c r="B1600" s="1" t="n">
        <v>45121</v>
      </c>
      <c r="C1600" s="1" t="n">
        <v>45726</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32805-2023</t>
        </is>
      </c>
      <c r="B1601" s="1" t="n">
        <v>45124</v>
      </c>
      <c r="C1601" s="1" t="n">
        <v>45726</v>
      </c>
      <c r="D1601" t="inlineStr">
        <is>
          <t>VÄRMLANDS LÄN</t>
        </is>
      </c>
      <c r="E1601" t="inlineStr">
        <is>
          <t>TORSBY</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32819-2023</t>
        </is>
      </c>
      <c r="B1602" s="1" t="n">
        <v>45124</v>
      </c>
      <c r="C1602" s="1" t="n">
        <v>45726</v>
      </c>
      <c r="D1602" t="inlineStr">
        <is>
          <t>VÄRMLANDS LÄN</t>
        </is>
      </c>
      <c r="E1602" t="inlineStr">
        <is>
          <t>TORSBY</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32787-2023</t>
        </is>
      </c>
      <c r="B1603" s="1" t="n">
        <v>45124</v>
      </c>
      <c r="C1603" s="1" t="n">
        <v>45726</v>
      </c>
      <c r="D1603" t="inlineStr">
        <is>
          <t>VÄRMLANDS LÄN</t>
        </is>
      </c>
      <c r="E1603" t="inlineStr">
        <is>
          <t>TORSBY</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32815-2023</t>
        </is>
      </c>
      <c r="B1604" s="1" t="n">
        <v>45124</v>
      </c>
      <c r="C1604" s="1" t="n">
        <v>45726</v>
      </c>
      <c r="D1604" t="inlineStr">
        <is>
          <t>VÄRMLANDS LÄN</t>
        </is>
      </c>
      <c r="E1604" t="inlineStr">
        <is>
          <t>TORSBY</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33758-2023</t>
        </is>
      </c>
      <c r="B1605" s="1" t="n">
        <v>45125</v>
      </c>
      <c r="C1605" s="1" t="n">
        <v>45726</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33072-2023</t>
        </is>
      </c>
      <c r="B1606" s="1" t="n">
        <v>45126</v>
      </c>
      <c r="C1606" s="1" t="n">
        <v>45726</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34097-2023</t>
        </is>
      </c>
      <c r="B1607" s="1" t="n">
        <v>45126</v>
      </c>
      <c r="C1607" s="1" t="n">
        <v>45726</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34104-2023</t>
        </is>
      </c>
      <c r="B1608" s="1" t="n">
        <v>45126</v>
      </c>
      <c r="C1608" s="1" t="n">
        <v>45726</v>
      </c>
      <c r="D1608" t="inlineStr">
        <is>
          <t>VÄRMLANDS LÄN</t>
        </is>
      </c>
      <c r="E1608" t="inlineStr">
        <is>
          <t>TORSBY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34105-2023</t>
        </is>
      </c>
      <c r="B1609" s="1" t="n">
        <v>45126</v>
      </c>
      <c r="C1609" s="1" t="n">
        <v>45726</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33263-2023</t>
        </is>
      </c>
      <c r="B1610" s="1" t="n">
        <v>45127</v>
      </c>
      <c r="C1610" s="1" t="n">
        <v>45726</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33249-2023</t>
        </is>
      </c>
      <c r="B1611" s="1" t="n">
        <v>45127</v>
      </c>
      <c r="C1611" s="1" t="n">
        <v>45726</v>
      </c>
      <c r="D1611" t="inlineStr">
        <is>
          <t>VÄRMLANDS LÄN</t>
        </is>
      </c>
      <c r="E1611" t="inlineStr">
        <is>
          <t>TORSBY</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33253-2023</t>
        </is>
      </c>
      <c r="B1612" s="1" t="n">
        <v>45127</v>
      </c>
      <c r="C1612" s="1" t="n">
        <v>45726</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33264-2023</t>
        </is>
      </c>
      <c r="B1613" s="1" t="n">
        <v>45127</v>
      </c>
      <c r="C1613" s="1" t="n">
        <v>45726</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33268-2023</t>
        </is>
      </c>
      <c r="B1614" s="1" t="n">
        <v>45127</v>
      </c>
      <c r="C1614" s="1" t="n">
        <v>45726</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33574-2023</t>
        </is>
      </c>
      <c r="B1615" s="1" t="n">
        <v>45131</v>
      </c>
      <c r="C1615" s="1" t="n">
        <v>45726</v>
      </c>
      <c r="D1615" t="inlineStr">
        <is>
          <t>VÄRMLANDS LÄN</t>
        </is>
      </c>
      <c r="E1615" t="inlineStr">
        <is>
          <t>TORSBY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33645-2023</t>
        </is>
      </c>
      <c r="B1616" s="1" t="n">
        <v>45132</v>
      </c>
      <c r="C1616" s="1" t="n">
        <v>45726</v>
      </c>
      <c r="D1616" t="inlineStr">
        <is>
          <t>VÄRMLANDS LÄN</t>
        </is>
      </c>
      <c r="E1616" t="inlineStr">
        <is>
          <t>TORSBY</t>
        </is>
      </c>
      <c r="F1616" t="inlineStr">
        <is>
          <t>Bergvik skog väst AB</t>
        </is>
      </c>
      <c r="G1616" t="n">
        <v>12.4</v>
      </c>
      <c r="H1616" t="n">
        <v>0</v>
      </c>
      <c r="I1616" t="n">
        <v>0</v>
      </c>
      <c r="J1616" t="n">
        <v>0</v>
      </c>
      <c r="K1616" t="n">
        <v>0</v>
      </c>
      <c r="L1616" t="n">
        <v>0</v>
      </c>
      <c r="M1616" t="n">
        <v>0</v>
      </c>
      <c r="N1616" t="n">
        <v>0</v>
      </c>
      <c r="O1616" t="n">
        <v>0</v>
      </c>
      <c r="P1616" t="n">
        <v>0</v>
      </c>
      <c r="Q1616" t="n">
        <v>0</v>
      </c>
      <c r="R1616" s="2" t="inlineStr"/>
    </row>
    <row r="1617" ht="15" customHeight="1">
      <c r="A1617" t="inlineStr">
        <is>
          <t>A 33656-2023</t>
        </is>
      </c>
      <c r="B1617" s="1" t="n">
        <v>45132</v>
      </c>
      <c r="C1617" s="1" t="n">
        <v>45726</v>
      </c>
      <c r="D1617" t="inlineStr">
        <is>
          <t>VÄRMLANDS LÄN</t>
        </is>
      </c>
      <c r="E1617" t="inlineStr">
        <is>
          <t>TORSBY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33813-2023</t>
        </is>
      </c>
      <c r="B1618" s="1" t="n">
        <v>45133</v>
      </c>
      <c r="C1618" s="1" t="n">
        <v>45726</v>
      </c>
      <c r="D1618" t="inlineStr">
        <is>
          <t>VÄRMLANDS LÄN</t>
        </is>
      </c>
      <c r="E1618" t="inlineStr">
        <is>
          <t>TORSBY</t>
        </is>
      </c>
      <c r="F1618" t="inlineStr">
        <is>
          <t>Bergvik skog väst AB</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33839-2023</t>
        </is>
      </c>
      <c r="B1619" s="1" t="n">
        <v>45133</v>
      </c>
      <c r="C1619" s="1" t="n">
        <v>45726</v>
      </c>
      <c r="D1619" t="inlineStr">
        <is>
          <t>VÄRMLANDS LÄN</t>
        </is>
      </c>
      <c r="E1619" t="inlineStr">
        <is>
          <t>TORSBY</t>
        </is>
      </c>
      <c r="F1619" t="inlineStr">
        <is>
          <t>Bergvik skog väst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33848-2023</t>
        </is>
      </c>
      <c r="B1620" s="1" t="n">
        <v>45133</v>
      </c>
      <c r="C1620" s="1" t="n">
        <v>45726</v>
      </c>
      <c r="D1620" t="inlineStr">
        <is>
          <t>VÄRMLANDS LÄN</t>
        </is>
      </c>
      <c r="E1620" t="inlineStr">
        <is>
          <t>TORSBY</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34405-2023</t>
        </is>
      </c>
      <c r="B1621" s="1" t="n">
        <v>45139</v>
      </c>
      <c r="C1621" s="1" t="n">
        <v>45726</v>
      </c>
      <c r="D1621" t="inlineStr">
        <is>
          <t>VÄRMLANDS LÄN</t>
        </is>
      </c>
      <c r="E1621" t="inlineStr">
        <is>
          <t>TORSBY</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34427-2023</t>
        </is>
      </c>
      <c r="B1622" s="1" t="n">
        <v>45139</v>
      </c>
      <c r="C1622" s="1" t="n">
        <v>45726</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34469-2023</t>
        </is>
      </c>
      <c r="B1623" s="1" t="n">
        <v>45139</v>
      </c>
      <c r="C1623" s="1" t="n">
        <v>45726</v>
      </c>
      <c r="D1623" t="inlineStr">
        <is>
          <t>VÄRMLANDS LÄN</t>
        </is>
      </c>
      <c r="E1623" t="inlineStr">
        <is>
          <t>TORSBY</t>
        </is>
      </c>
      <c r="F1623" t="inlineStr">
        <is>
          <t>Bergvik skog väst AB</t>
        </is>
      </c>
      <c r="G1623" t="n">
        <v>13.2</v>
      </c>
      <c r="H1623" t="n">
        <v>0</v>
      </c>
      <c r="I1623" t="n">
        <v>0</v>
      </c>
      <c r="J1623" t="n">
        <v>0</v>
      </c>
      <c r="K1623" t="n">
        <v>0</v>
      </c>
      <c r="L1623" t="n">
        <v>0</v>
      </c>
      <c r="M1623" t="n">
        <v>0</v>
      </c>
      <c r="N1623" t="n">
        <v>0</v>
      </c>
      <c r="O1623" t="n">
        <v>0</v>
      </c>
      <c r="P1623" t="n">
        <v>0</v>
      </c>
      <c r="Q1623" t="n">
        <v>0</v>
      </c>
      <c r="R1623" s="2" t="inlineStr"/>
    </row>
    <row r="1624" ht="15" customHeight="1">
      <c r="A1624" t="inlineStr">
        <is>
          <t>A 34430-2023</t>
        </is>
      </c>
      <c r="B1624" s="1" t="n">
        <v>45139</v>
      </c>
      <c r="C1624" s="1" t="n">
        <v>45726</v>
      </c>
      <c r="D1624" t="inlineStr">
        <is>
          <t>VÄRMLANDS LÄN</t>
        </is>
      </c>
      <c r="E1624" t="inlineStr">
        <is>
          <t>TORSBY</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34658-2023</t>
        </is>
      </c>
      <c r="B1625" s="1" t="n">
        <v>45140</v>
      </c>
      <c r="C1625" s="1" t="n">
        <v>45726</v>
      </c>
      <c r="D1625" t="inlineStr">
        <is>
          <t>VÄRMLANDS LÄN</t>
        </is>
      </c>
      <c r="E1625" t="inlineStr">
        <is>
          <t>TORSBY</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34955-2023</t>
        </is>
      </c>
      <c r="B1626" s="1" t="n">
        <v>45142</v>
      </c>
      <c r="C1626" s="1" t="n">
        <v>45726</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35055-2023</t>
        </is>
      </c>
      <c r="B1627" s="1" t="n">
        <v>45145</v>
      </c>
      <c r="C1627" s="1" t="n">
        <v>45726</v>
      </c>
      <c r="D1627" t="inlineStr">
        <is>
          <t>VÄRMLANDS LÄN</t>
        </is>
      </c>
      <c r="E1627" t="inlineStr">
        <is>
          <t>TORSBY</t>
        </is>
      </c>
      <c r="F1627" t="inlineStr">
        <is>
          <t>Bergvik skog väst AB</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35057-2023</t>
        </is>
      </c>
      <c r="B1628" s="1" t="n">
        <v>45145</v>
      </c>
      <c r="C1628" s="1" t="n">
        <v>45726</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35186-2023</t>
        </is>
      </c>
      <c r="B1629" s="1" t="n">
        <v>45145</v>
      </c>
      <c r="C1629" s="1" t="n">
        <v>45726</v>
      </c>
      <c r="D1629" t="inlineStr">
        <is>
          <t>VÄRMLANDS LÄN</t>
        </is>
      </c>
      <c r="E1629" t="inlineStr">
        <is>
          <t>TORSBY</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35115-2023</t>
        </is>
      </c>
      <c r="B1630" s="1" t="n">
        <v>45145</v>
      </c>
      <c r="C1630" s="1" t="n">
        <v>45726</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35120-2023</t>
        </is>
      </c>
      <c r="B1631" s="1" t="n">
        <v>45145</v>
      </c>
      <c r="C1631" s="1" t="n">
        <v>45726</v>
      </c>
      <c r="D1631" t="inlineStr">
        <is>
          <t>VÄRMLANDS LÄN</t>
        </is>
      </c>
      <c r="E1631" t="inlineStr">
        <is>
          <t>TORSBY</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35415-2023</t>
        </is>
      </c>
      <c r="B1632" s="1" t="n">
        <v>45146</v>
      </c>
      <c r="C1632" s="1" t="n">
        <v>45726</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35629-2023</t>
        </is>
      </c>
      <c r="B1633" s="1" t="n">
        <v>45147</v>
      </c>
      <c r="C1633" s="1" t="n">
        <v>45726</v>
      </c>
      <c r="D1633" t="inlineStr">
        <is>
          <t>VÄRMLANDS LÄN</t>
        </is>
      </c>
      <c r="E1633" t="inlineStr">
        <is>
          <t>TORSBY</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35674-2023</t>
        </is>
      </c>
      <c r="B1634" s="1" t="n">
        <v>45147</v>
      </c>
      <c r="C1634" s="1" t="n">
        <v>45726</v>
      </c>
      <c r="D1634" t="inlineStr">
        <is>
          <t>VÄRMLANDS LÄN</t>
        </is>
      </c>
      <c r="E1634" t="inlineStr">
        <is>
          <t>TORSBY</t>
        </is>
      </c>
      <c r="G1634" t="n">
        <v>25.4</v>
      </c>
      <c r="H1634" t="n">
        <v>0</v>
      </c>
      <c r="I1634" t="n">
        <v>0</v>
      </c>
      <c r="J1634" t="n">
        <v>0</v>
      </c>
      <c r="K1634" t="n">
        <v>0</v>
      </c>
      <c r="L1634" t="n">
        <v>0</v>
      </c>
      <c r="M1634" t="n">
        <v>0</v>
      </c>
      <c r="N1634" t="n">
        <v>0</v>
      </c>
      <c r="O1634" t="n">
        <v>0</v>
      </c>
      <c r="P1634" t="n">
        <v>0</v>
      </c>
      <c r="Q1634" t="n">
        <v>0</v>
      </c>
      <c r="R1634" s="2" t="inlineStr"/>
    </row>
    <row r="1635" ht="15" customHeight="1">
      <c r="A1635" t="inlineStr">
        <is>
          <t>A 35553-2023</t>
        </is>
      </c>
      <c r="B1635" s="1" t="n">
        <v>45147</v>
      </c>
      <c r="C1635" s="1" t="n">
        <v>45726</v>
      </c>
      <c r="D1635" t="inlineStr">
        <is>
          <t>VÄRMLANDS LÄN</t>
        </is>
      </c>
      <c r="E1635" t="inlineStr">
        <is>
          <t>TORSBY</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35934-2023</t>
        </is>
      </c>
      <c r="B1636" s="1" t="n">
        <v>45148</v>
      </c>
      <c r="C1636" s="1" t="n">
        <v>45726</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35938-2023</t>
        </is>
      </c>
      <c r="B1637" s="1" t="n">
        <v>45148</v>
      </c>
      <c r="C1637" s="1" t="n">
        <v>45726</v>
      </c>
      <c r="D1637" t="inlineStr">
        <is>
          <t>VÄRMLANDS LÄN</t>
        </is>
      </c>
      <c r="E1637" t="inlineStr">
        <is>
          <t>TORSBY</t>
        </is>
      </c>
      <c r="F1637" t="inlineStr">
        <is>
          <t>Bergvik skog väst AB</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36043-2023</t>
        </is>
      </c>
      <c r="B1638" s="1" t="n">
        <v>45148</v>
      </c>
      <c r="C1638" s="1" t="n">
        <v>45726</v>
      </c>
      <c r="D1638" t="inlineStr">
        <is>
          <t>VÄRMLANDS LÄN</t>
        </is>
      </c>
      <c r="E1638" t="inlineStr">
        <is>
          <t>TORSBY</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36050-2023</t>
        </is>
      </c>
      <c r="B1639" s="1" t="n">
        <v>45149</v>
      </c>
      <c r="C1639" s="1" t="n">
        <v>45726</v>
      </c>
      <c r="D1639" t="inlineStr">
        <is>
          <t>VÄRMLANDS LÄN</t>
        </is>
      </c>
      <c r="E1639" t="inlineStr">
        <is>
          <t>TORSBY</t>
        </is>
      </c>
      <c r="F1639" t="inlineStr">
        <is>
          <t>Kommuner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36062-2023</t>
        </is>
      </c>
      <c r="B1640" s="1" t="n">
        <v>45149</v>
      </c>
      <c r="C1640" s="1" t="n">
        <v>45726</v>
      </c>
      <c r="D1640" t="inlineStr">
        <is>
          <t>VÄRMLANDS LÄN</t>
        </is>
      </c>
      <c r="E1640" t="inlineStr">
        <is>
          <t>TORSBY</t>
        </is>
      </c>
      <c r="F1640" t="inlineStr">
        <is>
          <t>Bergvik skog väst AB</t>
        </is>
      </c>
      <c r="G1640" t="n">
        <v>21.3</v>
      </c>
      <c r="H1640" t="n">
        <v>0</v>
      </c>
      <c r="I1640" t="n">
        <v>0</v>
      </c>
      <c r="J1640" t="n">
        <v>0</v>
      </c>
      <c r="K1640" t="n">
        <v>0</v>
      </c>
      <c r="L1640" t="n">
        <v>0</v>
      </c>
      <c r="M1640" t="n">
        <v>0</v>
      </c>
      <c r="N1640" t="n">
        <v>0</v>
      </c>
      <c r="O1640" t="n">
        <v>0</v>
      </c>
      <c r="P1640" t="n">
        <v>0</v>
      </c>
      <c r="Q1640" t="n">
        <v>0</v>
      </c>
      <c r="R1640" s="2" t="inlineStr"/>
    </row>
    <row r="1641" ht="15" customHeight="1">
      <c r="A1641" t="inlineStr">
        <is>
          <t>A 36239-2023</t>
        </is>
      </c>
      <c r="B1641" s="1" t="n">
        <v>45150</v>
      </c>
      <c r="C1641" s="1" t="n">
        <v>45726</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36462-2023</t>
        </is>
      </c>
      <c r="B1642" s="1" t="n">
        <v>45152</v>
      </c>
      <c r="C1642" s="1" t="n">
        <v>45726</v>
      </c>
      <c r="D1642" t="inlineStr">
        <is>
          <t>VÄRMLANDS LÄN</t>
        </is>
      </c>
      <c r="E1642" t="inlineStr">
        <is>
          <t>TORSBY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36582-2023</t>
        </is>
      </c>
      <c r="B1643" s="1" t="n">
        <v>45153</v>
      </c>
      <c r="C1643" s="1" t="n">
        <v>45726</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36598-2023</t>
        </is>
      </c>
      <c r="B1644" s="1" t="n">
        <v>45153</v>
      </c>
      <c r="C1644" s="1" t="n">
        <v>45726</v>
      </c>
      <c r="D1644" t="inlineStr">
        <is>
          <t>VÄRMLANDS LÄN</t>
        </is>
      </c>
      <c r="E1644" t="inlineStr">
        <is>
          <t>TORSBY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36552-2023</t>
        </is>
      </c>
      <c r="B1645" s="1" t="n">
        <v>45153</v>
      </c>
      <c r="C1645" s="1" t="n">
        <v>45726</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36674-2023</t>
        </is>
      </c>
      <c r="B1646" s="1" t="n">
        <v>45153</v>
      </c>
      <c r="C1646" s="1" t="n">
        <v>45726</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36736-2023</t>
        </is>
      </c>
      <c r="B1647" s="1" t="n">
        <v>45153</v>
      </c>
      <c r="C1647" s="1" t="n">
        <v>45726</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36729-2023</t>
        </is>
      </c>
      <c r="B1648" s="1" t="n">
        <v>45153</v>
      </c>
      <c r="C1648" s="1" t="n">
        <v>45726</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36827-2023</t>
        </is>
      </c>
      <c r="B1649" s="1" t="n">
        <v>45154</v>
      </c>
      <c r="C1649" s="1" t="n">
        <v>45726</v>
      </c>
      <c r="D1649" t="inlineStr">
        <is>
          <t>VÄRMLANDS LÄN</t>
        </is>
      </c>
      <c r="E1649" t="inlineStr">
        <is>
          <t>TORSBY</t>
        </is>
      </c>
      <c r="F1649" t="inlineStr">
        <is>
          <t>Bergvik skog väst AB</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36897-2023</t>
        </is>
      </c>
      <c r="B1650" s="1" t="n">
        <v>45154</v>
      </c>
      <c r="C1650" s="1" t="n">
        <v>45726</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36947-2023</t>
        </is>
      </c>
      <c r="B1651" s="1" t="n">
        <v>45154</v>
      </c>
      <c r="C1651" s="1" t="n">
        <v>45726</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37081-2023</t>
        </is>
      </c>
      <c r="B1652" s="1" t="n">
        <v>45155</v>
      </c>
      <c r="C1652" s="1" t="n">
        <v>45726</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37188-2023</t>
        </is>
      </c>
      <c r="B1653" s="1" t="n">
        <v>45155</v>
      </c>
      <c r="C1653" s="1" t="n">
        <v>45726</v>
      </c>
      <c r="D1653" t="inlineStr">
        <is>
          <t>VÄRMLANDS LÄN</t>
        </is>
      </c>
      <c r="E1653" t="inlineStr">
        <is>
          <t>TORSBY</t>
        </is>
      </c>
      <c r="F1653" t="inlineStr">
        <is>
          <t>Bergvik skog väst AB</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37346-2023</t>
        </is>
      </c>
      <c r="B1654" s="1" t="n">
        <v>45156</v>
      </c>
      <c r="C1654" s="1" t="n">
        <v>45726</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37357-2023</t>
        </is>
      </c>
      <c r="B1655" s="1" t="n">
        <v>45156</v>
      </c>
      <c r="C1655" s="1" t="n">
        <v>45726</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37305-2023</t>
        </is>
      </c>
      <c r="B1656" s="1" t="n">
        <v>45156</v>
      </c>
      <c r="C1656" s="1" t="n">
        <v>45726</v>
      </c>
      <c r="D1656" t="inlineStr">
        <is>
          <t>VÄRMLANDS LÄN</t>
        </is>
      </c>
      <c r="E1656" t="inlineStr">
        <is>
          <t>TORSBY</t>
        </is>
      </c>
      <c r="F1656" t="inlineStr">
        <is>
          <t>Bergvik skog väst AB</t>
        </is>
      </c>
      <c r="G1656" t="n">
        <v>28.8</v>
      </c>
      <c r="H1656" t="n">
        <v>0</v>
      </c>
      <c r="I1656" t="n">
        <v>0</v>
      </c>
      <c r="J1656" t="n">
        <v>0</v>
      </c>
      <c r="K1656" t="n">
        <v>0</v>
      </c>
      <c r="L1656" t="n">
        <v>0</v>
      </c>
      <c r="M1656" t="n">
        <v>0</v>
      </c>
      <c r="N1656" t="n">
        <v>0</v>
      </c>
      <c r="O1656" t="n">
        <v>0</v>
      </c>
      <c r="P1656" t="n">
        <v>0</v>
      </c>
      <c r="Q1656" t="n">
        <v>0</v>
      </c>
      <c r="R1656" s="2" t="inlineStr"/>
    </row>
    <row r="1657" ht="15" customHeight="1">
      <c r="A1657" t="inlineStr">
        <is>
          <t>A 37314-2023</t>
        </is>
      </c>
      <c r="B1657" s="1" t="n">
        <v>45156</v>
      </c>
      <c r="C1657" s="1" t="n">
        <v>45726</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37359-2023</t>
        </is>
      </c>
      <c r="B1658" s="1" t="n">
        <v>45156</v>
      </c>
      <c r="C1658" s="1" t="n">
        <v>45726</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37705-2023</t>
        </is>
      </c>
      <c r="B1659" s="1" t="n">
        <v>45159</v>
      </c>
      <c r="C1659" s="1" t="n">
        <v>45726</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37604-2023</t>
        </is>
      </c>
      <c r="B1660" s="1" t="n">
        <v>45159</v>
      </c>
      <c r="C1660" s="1" t="n">
        <v>45726</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37623-2023</t>
        </is>
      </c>
      <c r="B1661" s="1" t="n">
        <v>45159</v>
      </c>
      <c r="C1661" s="1" t="n">
        <v>45726</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37822-2023</t>
        </is>
      </c>
      <c r="B1662" s="1" t="n">
        <v>45160</v>
      </c>
      <c r="C1662" s="1" t="n">
        <v>45726</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38085-2023</t>
        </is>
      </c>
      <c r="B1663" s="1" t="n">
        <v>45160</v>
      </c>
      <c r="C1663" s="1" t="n">
        <v>45726</v>
      </c>
      <c r="D1663" t="inlineStr">
        <is>
          <t>VÄRMLANDS LÄN</t>
        </is>
      </c>
      <c r="E1663" t="inlineStr">
        <is>
          <t>TORSBY</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37936-2023</t>
        </is>
      </c>
      <c r="B1664" s="1" t="n">
        <v>45160</v>
      </c>
      <c r="C1664" s="1" t="n">
        <v>45726</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38084-2023</t>
        </is>
      </c>
      <c r="B1665" s="1" t="n">
        <v>45160</v>
      </c>
      <c r="C1665" s="1" t="n">
        <v>45726</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38044-2023</t>
        </is>
      </c>
      <c r="B1666" s="1" t="n">
        <v>45160</v>
      </c>
      <c r="C1666" s="1" t="n">
        <v>45726</v>
      </c>
      <c r="D1666" t="inlineStr">
        <is>
          <t>VÄRMLANDS LÄN</t>
        </is>
      </c>
      <c r="E1666" t="inlineStr">
        <is>
          <t>TORSBY</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38086-2023</t>
        </is>
      </c>
      <c r="B1667" s="1" t="n">
        <v>45160</v>
      </c>
      <c r="C1667" s="1" t="n">
        <v>45726</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38252-2023</t>
        </is>
      </c>
      <c r="B1668" s="1" t="n">
        <v>45161</v>
      </c>
      <c r="C1668" s="1" t="n">
        <v>45726</v>
      </c>
      <c r="D1668" t="inlineStr">
        <is>
          <t>VÄRMLANDS LÄN</t>
        </is>
      </c>
      <c r="E1668" t="inlineStr">
        <is>
          <t>TORSBY</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38232-2023</t>
        </is>
      </c>
      <c r="B1669" s="1" t="n">
        <v>45161</v>
      </c>
      <c r="C1669" s="1" t="n">
        <v>45726</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38257-2023</t>
        </is>
      </c>
      <c r="B1670" s="1" t="n">
        <v>45161</v>
      </c>
      <c r="C1670" s="1" t="n">
        <v>45726</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38263-2023</t>
        </is>
      </c>
      <c r="B1671" s="1" t="n">
        <v>45161</v>
      </c>
      <c r="C1671" s="1" t="n">
        <v>45726</v>
      </c>
      <c r="D1671" t="inlineStr">
        <is>
          <t>VÄRMLANDS LÄN</t>
        </is>
      </c>
      <c r="E1671" t="inlineStr">
        <is>
          <t>TORSBY</t>
        </is>
      </c>
      <c r="F1671" t="inlineStr">
        <is>
          <t>Kyrkan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38286-2023</t>
        </is>
      </c>
      <c r="B1672" s="1" t="n">
        <v>45161</v>
      </c>
      <c r="C1672" s="1" t="n">
        <v>45726</v>
      </c>
      <c r="D1672" t="inlineStr">
        <is>
          <t>VÄRMLANDS LÄN</t>
        </is>
      </c>
      <c r="E1672" t="inlineStr">
        <is>
          <t>TORSBY</t>
        </is>
      </c>
      <c r="F1672" t="inlineStr">
        <is>
          <t>Kyrkan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38541-2023</t>
        </is>
      </c>
      <c r="B1673" s="1" t="n">
        <v>45162</v>
      </c>
      <c r="C1673" s="1" t="n">
        <v>45726</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38641-2023</t>
        </is>
      </c>
      <c r="B1674" s="1" t="n">
        <v>45162</v>
      </c>
      <c r="C1674" s="1" t="n">
        <v>45726</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38637-2023</t>
        </is>
      </c>
      <c r="B1675" s="1" t="n">
        <v>45162</v>
      </c>
      <c r="C1675" s="1" t="n">
        <v>45726</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38668-2023</t>
        </is>
      </c>
      <c r="B1676" s="1" t="n">
        <v>45162</v>
      </c>
      <c r="C1676" s="1" t="n">
        <v>45726</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39408-2023</t>
        </is>
      </c>
      <c r="B1677" s="1" t="n">
        <v>45163</v>
      </c>
      <c r="C1677" s="1" t="n">
        <v>45726</v>
      </c>
      <c r="D1677" t="inlineStr">
        <is>
          <t>VÄRMLANDS LÄN</t>
        </is>
      </c>
      <c r="E1677" t="inlineStr">
        <is>
          <t>TORSBY</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38991-2023</t>
        </is>
      </c>
      <c r="B1678" s="1" t="n">
        <v>45163</v>
      </c>
      <c r="C1678" s="1" t="n">
        <v>45726</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38722-2023</t>
        </is>
      </c>
      <c r="B1679" s="1" t="n">
        <v>45163</v>
      </c>
      <c r="C1679" s="1" t="n">
        <v>45726</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38979-2023</t>
        </is>
      </c>
      <c r="B1680" s="1" t="n">
        <v>45163</v>
      </c>
      <c r="C1680" s="1" t="n">
        <v>45726</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39131-2023</t>
        </is>
      </c>
      <c r="B1681" s="1" t="n">
        <v>45165</v>
      </c>
      <c r="C1681" s="1" t="n">
        <v>45726</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39134-2023</t>
        </is>
      </c>
      <c r="B1682" s="1" t="n">
        <v>45165</v>
      </c>
      <c r="C1682" s="1" t="n">
        <v>45726</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39390-2023</t>
        </is>
      </c>
      <c r="B1683" s="1" t="n">
        <v>45166</v>
      </c>
      <c r="C1683" s="1" t="n">
        <v>45726</v>
      </c>
      <c r="D1683" t="inlineStr">
        <is>
          <t>VÄRMLANDS LÄN</t>
        </is>
      </c>
      <c r="E1683" t="inlineStr">
        <is>
          <t>TORSBY</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39339-2023</t>
        </is>
      </c>
      <c r="B1684" s="1" t="n">
        <v>45166</v>
      </c>
      <c r="C1684" s="1" t="n">
        <v>45726</v>
      </c>
      <c r="D1684" t="inlineStr">
        <is>
          <t>VÄRMLANDS LÄN</t>
        </is>
      </c>
      <c r="E1684" t="inlineStr">
        <is>
          <t>TORSBY</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39374-2023</t>
        </is>
      </c>
      <c r="B1685" s="1" t="n">
        <v>45166</v>
      </c>
      <c r="C1685" s="1" t="n">
        <v>45726</v>
      </c>
      <c r="D1685" t="inlineStr">
        <is>
          <t>VÄRMLANDS LÄN</t>
        </is>
      </c>
      <c r="E1685" t="inlineStr">
        <is>
          <t>TORSBY</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39677-2023</t>
        </is>
      </c>
      <c r="B1686" s="1" t="n">
        <v>45166</v>
      </c>
      <c r="C1686" s="1" t="n">
        <v>45726</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39648-2023</t>
        </is>
      </c>
      <c r="B1687" s="1" t="n">
        <v>45167</v>
      </c>
      <c r="C1687" s="1" t="n">
        <v>45726</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39732-2023</t>
        </is>
      </c>
      <c r="B1688" s="1" t="n">
        <v>45167</v>
      </c>
      <c r="C1688" s="1" t="n">
        <v>45726</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39921-2023</t>
        </is>
      </c>
      <c r="B1689" s="1" t="n">
        <v>45168</v>
      </c>
      <c r="C1689" s="1" t="n">
        <v>45726</v>
      </c>
      <c r="D1689" t="inlineStr">
        <is>
          <t>VÄRMLANDS LÄN</t>
        </is>
      </c>
      <c r="E1689" t="inlineStr">
        <is>
          <t>TORSBY</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39910-2023</t>
        </is>
      </c>
      <c r="B1690" s="1" t="n">
        <v>45168</v>
      </c>
      <c r="C1690" s="1" t="n">
        <v>45726</v>
      </c>
      <c r="D1690" t="inlineStr">
        <is>
          <t>VÄRMLANDS LÄN</t>
        </is>
      </c>
      <c r="E1690" t="inlineStr">
        <is>
          <t>TORSBY</t>
        </is>
      </c>
      <c r="F1690" t="inlineStr">
        <is>
          <t>Kyrkan</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45726</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39969-2023</t>
        </is>
      </c>
      <c r="B1692" s="1" t="n">
        <v>45168</v>
      </c>
      <c r="C1692" s="1" t="n">
        <v>45726</v>
      </c>
      <c r="D1692" t="inlineStr">
        <is>
          <t>VÄRMLANDS LÄN</t>
        </is>
      </c>
      <c r="E1692" t="inlineStr">
        <is>
          <t>TORSBY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40207-2023</t>
        </is>
      </c>
      <c r="B1693" s="1" t="n">
        <v>45169</v>
      </c>
      <c r="C1693" s="1" t="n">
        <v>45726</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40228-2023</t>
        </is>
      </c>
      <c r="B1694" s="1" t="n">
        <v>45169</v>
      </c>
      <c r="C1694" s="1" t="n">
        <v>45726</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40222-2023</t>
        </is>
      </c>
      <c r="B1695" s="1" t="n">
        <v>45169</v>
      </c>
      <c r="C1695" s="1" t="n">
        <v>45726</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40468-2023</t>
        </is>
      </c>
      <c r="B1696" s="1" t="n">
        <v>45170</v>
      </c>
      <c r="C1696" s="1" t="n">
        <v>45726</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40512-2023</t>
        </is>
      </c>
      <c r="B1697" s="1" t="n">
        <v>45170</v>
      </c>
      <c r="C1697" s="1" t="n">
        <v>45726</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40470-2023</t>
        </is>
      </c>
      <c r="B1698" s="1" t="n">
        <v>45170</v>
      </c>
      <c r="C1698" s="1" t="n">
        <v>45726</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40538-2023</t>
        </is>
      </c>
      <c r="B1699" s="1" t="n">
        <v>45170</v>
      </c>
      <c r="C1699" s="1" t="n">
        <v>45726</v>
      </c>
      <c r="D1699" t="inlineStr">
        <is>
          <t>VÄRMLANDS LÄN</t>
        </is>
      </c>
      <c r="E1699" t="inlineStr">
        <is>
          <t>TORSBY</t>
        </is>
      </c>
      <c r="F1699" t="inlineStr">
        <is>
          <t>Bergvik skog väst AB</t>
        </is>
      </c>
      <c r="G1699" t="n">
        <v>31.4</v>
      </c>
      <c r="H1699" t="n">
        <v>0</v>
      </c>
      <c r="I1699" t="n">
        <v>0</v>
      </c>
      <c r="J1699" t="n">
        <v>0</v>
      </c>
      <c r="K1699" t="n">
        <v>0</v>
      </c>
      <c r="L1699" t="n">
        <v>0</v>
      </c>
      <c r="M1699" t="n">
        <v>0</v>
      </c>
      <c r="N1699" t="n">
        <v>0</v>
      </c>
      <c r="O1699" t="n">
        <v>0</v>
      </c>
      <c r="P1699" t="n">
        <v>0</v>
      </c>
      <c r="Q1699" t="n">
        <v>0</v>
      </c>
      <c r="R1699" s="2" t="inlineStr"/>
    </row>
    <row r="1700" ht="15" customHeight="1">
      <c r="A1700" t="inlineStr">
        <is>
          <t>A 41469-2023</t>
        </is>
      </c>
      <c r="B1700" s="1" t="n">
        <v>45170</v>
      </c>
      <c r="C1700" s="1" t="n">
        <v>45726</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40858-2023</t>
        </is>
      </c>
      <c r="B1701" s="1" t="n">
        <v>45173</v>
      </c>
      <c r="C1701" s="1" t="n">
        <v>45726</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40971-2023</t>
        </is>
      </c>
      <c r="B1702" s="1" t="n">
        <v>45173</v>
      </c>
      <c r="C1702" s="1" t="n">
        <v>45726</v>
      </c>
      <c r="D1702" t="inlineStr">
        <is>
          <t>VÄRMLANDS LÄN</t>
        </is>
      </c>
      <c r="E1702" t="inlineStr">
        <is>
          <t>TORSBY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41096-2023</t>
        </is>
      </c>
      <c r="B1703" s="1" t="n">
        <v>45173</v>
      </c>
      <c r="C1703" s="1" t="n">
        <v>45726</v>
      </c>
      <c r="D1703" t="inlineStr">
        <is>
          <t>VÄRMLANDS LÄN</t>
        </is>
      </c>
      <c r="E1703" t="inlineStr">
        <is>
          <t>TORSBY</t>
        </is>
      </c>
      <c r="F1703" t="inlineStr">
        <is>
          <t>Bergvik skog väst AB</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41056-2023</t>
        </is>
      </c>
      <c r="B1704" s="1" t="n">
        <v>45173</v>
      </c>
      <c r="C1704" s="1" t="n">
        <v>45726</v>
      </c>
      <c r="D1704" t="inlineStr">
        <is>
          <t>VÄRMLANDS LÄN</t>
        </is>
      </c>
      <c r="E1704" t="inlineStr">
        <is>
          <t>TORSBY</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41022-2023</t>
        </is>
      </c>
      <c r="B1705" s="1" t="n">
        <v>45173</v>
      </c>
      <c r="C1705" s="1" t="n">
        <v>45726</v>
      </c>
      <c r="D1705" t="inlineStr">
        <is>
          <t>VÄRMLANDS LÄN</t>
        </is>
      </c>
      <c r="E1705" t="inlineStr">
        <is>
          <t>TORSBY</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41050-2023</t>
        </is>
      </c>
      <c r="B1706" s="1" t="n">
        <v>45173</v>
      </c>
      <c r="C1706" s="1" t="n">
        <v>45726</v>
      </c>
      <c r="D1706" t="inlineStr">
        <is>
          <t>VÄRMLANDS LÄN</t>
        </is>
      </c>
      <c r="E1706" t="inlineStr">
        <is>
          <t>TORSBY</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41059-2023</t>
        </is>
      </c>
      <c r="B1707" s="1" t="n">
        <v>45173</v>
      </c>
      <c r="C1707" s="1" t="n">
        <v>45726</v>
      </c>
      <c r="D1707" t="inlineStr">
        <is>
          <t>VÄRMLANDS LÄN</t>
        </is>
      </c>
      <c r="E1707" t="inlineStr">
        <is>
          <t>TORSBY</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41156-2023</t>
        </is>
      </c>
      <c r="B1708" s="1" t="n">
        <v>45174</v>
      </c>
      <c r="C1708" s="1" t="n">
        <v>45726</v>
      </c>
      <c r="D1708" t="inlineStr">
        <is>
          <t>VÄRMLANDS LÄN</t>
        </is>
      </c>
      <c r="E1708" t="inlineStr">
        <is>
          <t>TORSBY</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41160-2023</t>
        </is>
      </c>
      <c r="B1709" s="1" t="n">
        <v>45174</v>
      </c>
      <c r="C1709" s="1" t="n">
        <v>45726</v>
      </c>
      <c r="D1709" t="inlineStr">
        <is>
          <t>VÄRMLANDS LÄN</t>
        </is>
      </c>
      <c r="E1709" t="inlineStr">
        <is>
          <t>TORSBY</t>
        </is>
      </c>
      <c r="F1709" t="inlineStr">
        <is>
          <t>Kyrkan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41246-2023</t>
        </is>
      </c>
      <c r="B1710" s="1" t="n">
        <v>45174</v>
      </c>
      <c r="C1710" s="1" t="n">
        <v>45726</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41270-2023</t>
        </is>
      </c>
      <c r="B1711" s="1" t="n">
        <v>45174</v>
      </c>
      <c r="C1711" s="1" t="n">
        <v>45726</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42069-2023</t>
        </is>
      </c>
      <c r="B1712" s="1" t="n">
        <v>45174</v>
      </c>
      <c r="C1712" s="1" t="n">
        <v>45726</v>
      </c>
      <c r="D1712" t="inlineStr">
        <is>
          <t>VÄRMLANDS LÄN</t>
        </is>
      </c>
      <c r="E1712" t="inlineStr">
        <is>
          <t>TORSBY</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42060-2023</t>
        </is>
      </c>
      <c r="B1713" s="1" t="n">
        <v>45174</v>
      </c>
      <c r="C1713" s="1" t="n">
        <v>45726</v>
      </c>
      <c r="D1713" t="inlineStr">
        <is>
          <t>VÄRMLANDS LÄN</t>
        </is>
      </c>
      <c r="E1713" t="inlineStr">
        <is>
          <t>TORSBY</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41488-2023</t>
        </is>
      </c>
      <c r="B1714" s="1" t="n">
        <v>45175</v>
      </c>
      <c r="C1714" s="1" t="n">
        <v>45726</v>
      </c>
      <c r="D1714" t="inlineStr">
        <is>
          <t>VÄRMLANDS LÄN</t>
        </is>
      </c>
      <c r="E1714" t="inlineStr">
        <is>
          <t>TORSBY</t>
        </is>
      </c>
      <c r="F1714" t="inlineStr">
        <is>
          <t>Kyrkan</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41438-2023</t>
        </is>
      </c>
      <c r="B1715" s="1" t="n">
        <v>45175</v>
      </c>
      <c r="C1715" s="1" t="n">
        <v>45726</v>
      </c>
      <c r="D1715" t="inlineStr">
        <is>
          <t>VÄRMLANDS LÄN</t>
        </is>
      </c>
      <c r="E1715" t="inlineStr">
        <is>
          <t>TORSBY</t>
        </is>
      </c>
      <c r="F1715" t="inlineStr">
        <is>
          <t>Kyrkan</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41431-2023</t>
        </is>
      </c>
      <c r="B1716" s="1" t="n">
        <v>45175</v>
      </c>
      <c r="C1716" s="1" t="n">
        <v>45726</v>
      </c>
      <c r="D1716" t="inlineStr">
        <is>
          <t>VÄRMLANDS LÄN</t>
        </is>
      </c>
      <c r="E1716" t="inlineStr">
        <is>
          <t>TORSBY</t>
        </is>
      </c>
      <c r="F1716" t="inlineStr">
        <is>
          <t>Bergvik skog väst AB</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41867-2023</t>
        </is>
      </c>
      <c r="B1717" s="1" t="n">
        <v>45176</v>
      </c>
      <c r="C1717" s="1" t="n">
        <v>45726</v>
      </c>
      <c r="D1717" t="inlineStr">
        <is>
          <t>VÄRMLANDS LÄN</t>
        </is>
      </c>
      <c r="E1717" t="inlineStr">
        <is>
          <t>TORSBY</t>
        </is>
      </c>
      <c r="F1717" t="inlineStr">
        <is>
          <t>Bergvik skog väst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41833-2023</t>
        </is>
      </c>
      <c r="B1718" s="1" t="n">
        <v>45176</v>
      </c>
      <c r="C1718" s="1" t="n">
        <v>45726</v>
      </c>
      <c r="D1718" t="inlineStr">
        <is>
          <t>VÄRMLANDS LÄN</t>
        </is>
      </c>
      <c r="E1718" t="inlineStr">
        <is>
          <t>TORSBY</t>
        </is>
      </c>
      <c r="F1718" t="inlineStr">
        <is>
          <t>Bergvik skog väst AB</t>
        </is>
      </c>
      <c r="G1718" t="n">
        <v>21.7</v>
      </c>
      <c r="H1718" t="n">
        <v>0</v>
      </c>
      <c r="I1718" t="n">
        <v>0</v>
      </c>
      <c r="J1718" t="n">
        <v>0</v>
      </c>
      <c r="K1718" t="n">
        <v>0</v>
      </c>
      <c r="L1718" t="n">
        <v>0</v>
      </c>
      <c r="M1718" t="n">
        <v>0</v>
      </c>
      <c r="N1718" t="n">
        <v>0</v>
      </c>
      <c r="O1718" t="n">
        <v>0</v>
      </c>
      <c r="P1718" t="n">
        <v>0</v>
      </c>
      <c r="Q1718" t="n">
        <v>0</v>
      </c>
      <c r="R1718" s="2" t="inlineStr"/>
    </row>
    <row r="1719" ht="15" customHeight="1">
      <c r="A1719" t="inlineStr">
        <is>
          <t>A 41841-2023</t>
        </is>
      </c>
      <c r="B1719" s="1" t="n">
        <v>45176</v>
      </c>
      <c r="C1719" s="1" t="n">
        <v>45726</v>
      </c>
      <c r="D1719" t="inlineStr">
        <is>
          <t>VÄRMLANDS LÄN</t>
        </is>
      </c>
      <c r="E1719" t="inlineStr">
        <is>
          <t>TORSBY</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41885-2023</t>
        </is>
      </c>
      <c r="B1720" s="1" t="n">
        <v>45176</v>
      </c>
      <c r="C1720" s="1" t="n">
        <v>45726</v>
      </c>
      <c r="D1720" t="inlineStr">
        <is>
          <t>VÄRMLANDS LÄN</t>
        </is>
      </c>
      <c r="E1720" t="inlineStr">
        <is>
          <t>TORSBY</t>
        </is>
      </c>
      <c r="F1720" t="inlineStr">
        <is>
          <t>Bergvik skog väst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41843-2023</t>
        </is>
      </c>
      <c r="B1721" s="1" t="n">
        <v>45176</v>
      </c>
      <c r="C1721" s="1" t="n">
        <v>45726</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41868-2023</t>
        </is>
      </c>
      <c r="B1722" s="1" t="n">
        <v>45176</v>
      </c>
      <c r="C1722" s="1" t="n">
        <v>45726</v>
      </c>
      <c r="D1722" t="inlineStr">
        <is>
          <t>VÄRMLANDS LÄN</t>
        </is>
      </c>
      <c r="E1722" t="inlineStr">
        <is>
          <t>TORSBY</t>
        </is>
      </c>
      <c r="F1722" t="inlineStr">
        <is>
          <t>Bergvik skog väst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42062-2023</t>
        </is>
      </c>
      <c r="B1723" s="1" t="n">
        <v>45177</v>
      </c>
      <c r="C1723" s="1" t="n">
        <v>45726</v>
      </c>
      <c r="D1723" t="inlineStr">
        <is>
          <t>VÄRMLANDS LÄN</t>
        </is>
      </c>
      <c r="E1723" t="inlineStr">
        <is>
          <t>TORSBY</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42245-2023</t>
        </is>
      </c>
      <c r="B1724" s="1" t="n">
        <v>45180</v>
      </c>
      <c r="C1724" s="1" t="n">
        <v>45726</v>
      </c>
      <c r="D1724" t="inlineStr">
        <is>
          <t>VÄRMLANDS LÄN</t>
        </is>
      </c>
      <c r="E1724" t="inlineStr">
        <is>
          <t>TORSBY</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42473-2023</t>
        </is>
      </c>
      <c r="B1725" s="1" t="n">
        <v>45180</v>
      </c>
      <c r="C1725" s="1" t="n">
        <v>45726</v>
      </c>
      <c r="D1725" t="inlineStr">
        <is>
          <t>VÄRMLANDS LÄN</t>
        </is>
      </c>
      <c r="E1725" t="inlineStr">
        <is>
          <t>TORSBY</t>
        </is>
      </c>
      <c r="F1725" t="inlineStr">
        <is>
          <t>Bergvik skog väst AB</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42403-2023</t>
        </is>
      </c>
      <c r="B1726" s="1" t="n">
        <v>45180</v>
      </c>
      <c r="C1726" s="1" t="n">
        <v>45726</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42420-2023</t>
        </is>
      </c>
      <c r="B1727" s="1" t="n">
        <v>45180</v>
      </c>
      <c r="C1727" s="1" t="n">
        <v>45726</v>
      </c>
      <c r="D1727" t="inlineStr">
        <is>
          <t>VÄRMLANDS LÄN</t>
        </is>
      </c>
      <c r="E1727" t="inlineStr">
        <is>
          <t>TORSBY</t>
        </is>
      </c>
      <c r="F1727" t="inlineStr">
        <is>
          <t>Bergvik skog väst AB</t>
        </is>
      </c>
      <c r="G1727" t="n">
        <v>19.9</v>
      </c>
      <c r="H1727" t="n">
        <v>0</v>
      </c>
      <c r="I1727" t="n">
        <v>0</v>
      </c>
      <c r="J1727" t="n">
        <v>0</v>
      </c>
      <c r="K1727" t="n">
        <v>0</v>
      </c>
      <c r="L1727" t="n">
        <v>0</v>
      </c>
      <c r="M1727" t="n">
        <v>0</v>
      </c>
      <c r="N1727" t="n">
        <v>0</v>
      </c>
      <c r="O1727" t="n">
        <v>0</v>
      </c>
      <c r="P1727" t="n">
        <v>0</v>
      </c>
      <c r="Q1727" t="n">
        <v>0</v>
      </c>
      <c r="R1727" s="2" t="inlineStr"/>
    </row>
    <row r="1728" ht="15" customHeight="1">
      <c r="A1728" t="inlineStr">
        <is>
          <t>A 43532-2023</t>
        </is>
      </c>
      <c r="B1728" s="1" t="n">
        <v>45181</v>
      </c>
      <c r="C1728" s="1" t="n">
        <v>45726</v>
      </c>
      <c r="D1728" t="inlineStr">
        <is>
          <t>VÄRMLANDS LÄN</t>
        </is>
      </c>
      <c r="E1728" t="inlineStr">
        <is>
          <t>TORSBY</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43529-2023</t>
        </is>
      </c>
      <c r="B1729" s="1" t="n">
        <v>45181</v>
      </c>
      <c r="C1729" s="1" t="n">
        <v>45726</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43527-2023</t>
        </is>
      </c>
      <c r="B1730" s="1" t="n">
        <v>45181</v>
      </c>
      <c r="C1730" s="1" t="n">
        <v>45726</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43536-2023</t>
        </is>
      </c>
      <c r="B1731" s="1" t="n">
        <v>45181</v>
      </c>
      <c r="C1731" s="1" t="n">
        <v>45726</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43528-2023</t>
        </is>
      </c>
      <c r="B1732" s="1" t="n">
        <v>45181</v>
      </c>
      <c r="C1732" s="1" t="n">
        <v>45726</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42645-2023</t>
        </is>
      </c>
      <c r="B1733" s="1" t="n">
        <v>45181</v>
      </c>
      <c r="C1733" s="1" t="n">
        <v>45726</v>
      </c>
      <c r="D1733" t="inlineStr">
        <is>
          <t>VÄRMLANDS LÄN</t>
        </is>
      </c>
      <c r="E1733" t="inlineStr">
        <is>
          <t>TORSBY</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42652-2023</t>
        </is>
      </c>
      <c r="B1734" s="1" t="n">
        <v>45181</v>
      </c>
      <c r="C1734" s="1" t="n">
        <v>45726</v>
      </c>
      <c r="D1734" t="inlineStr">
        <is>
          <t>VÄRMLANDS LÄN</t>
        </is>
      </c>
      <c r="E1734" t="inlineStr">
        <is>
          <t>TORSBY</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42656-2023</t>
        </is>
      </c>
      <c r="B1735" s="1" t="n">
        <v>45181</v>
      </c>
      <c r="C1735" s="1" t="n">
        <v>45726</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42581-2023</t>
        </is>
      </c>
      <c r="B1736" s="1" t="n">
        <v>45181</v>
      </c>
      <c r="C1736" s="1" t="n">
        <v>45726</v>
      </c>
      <c r="D1736" t="inlineStr">
        <is>
          <t>VÄRMLANDS LÄN</t>
        </is>
      </c>
      <c r="E1736" t="inlineStr">
        <is>
          <t>TORSBY</t>
        </is>
      </c>
      <c r="G1736" t="n">
        <v>17.6</v>
      </c>
      <c r="H1736" t="n">
        <v>0</v>
      </c>
      <c r="I1736" t="n">
        <v>0</v>
      </c>
      <c r="J1736" t="n">
        <v>0</v>
      </c>
      <c r="K1736" t="n">
        <v>0</v>
      </c>
      <c r="L1736" t="n">
        <v>0</v>
      </c>
      <c r="M1736" t="n">
        <v>0</v>
      </c>
      <c r="N1736" t="n">
        <v>0</v>
      </c>
      <c r="O1736" t="n">
        <v>0</v>
      </c>
      <c r="P1736" t="n">
        <v>0</v>
      </c>
      <c r="Q1736" t="n">
        <v>0</v>
      </c>
      <c r="R1736" s="2" t="inlineStr"/>
    </row>
    <row r="1737" ht="15" customHeight="1">
      <c r="A1737" t="inlineStr">
        <is>
          <t>A 42613-2023</t>
        </is>
      </c>
      <c r="B1737" s="1" t="n">
        <v>45181</v>
      </c>
      <c r="C1737" s="1" t="n">
        <v>45726</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42635-2023</t>
        </is>
      </c>
      <c r="B1738" s="1" t="n">
        <v>45181</v>
      </c>
      <c r="C1738" s="1" t="n">
        <v>45726</v>
      </c>
      <c r="D1738" t="inlineStr">
        <is>
          <t>VÄRMLANDS LÄN</t>
        </is>
      </c>
      <c r="E1738" t="inlineStr">
        <is>
          <t>TORSBY</t>
        </is>
      </c>
      <c r="G1738" t="n">
        <v>16.1</v>
      </c>
      <c r="H1738" t="n">
        <v>0</v>
      </c>
      <c r="I1738" t="n">
        <v>0</v>
      </c>
      <c r="J1738" t="n">
        <v>0</v>
      </c>
      <c r="K1738" t="n">
        <v>0</v>
      </c>
      <c r="L1738" t="n">
        <v>0</v>
      </c>
      <c r="M1738" t="n">
        <v>0</v>
      </c>
      <c r="N1738" t="n">
        <v>0</v>
      </c>
      <c r="O1738" t="n">
        <v>0</v>
      </c>
      <c r="P1738" t="n">
        <v>0</v>
      </c>
      <c r="Q1738" t="n">
        <v>0</v>
      </c>
      <c r="R1738" s="2" t="inlineStr"/>
    </row>
    <row r="1739" ht="15" customHeight="1">
      <c r="A1739" t="inlineStr">
        <is>
          <t>A 42658-2023</t>
        </is>
      </c>
      <c r="B1739" s="1" t="n">
        <v>45181</v>
      </c>
      <c r="C1739" s="1" t="n">
        <v>45726</v>
      </c>
      <c r="D1739" t="inlineStr">
        <is>
          <t>VÄRMLANDS LÄN</t>
        </is>
      </c>
      <c r="E1739" t="inlineStr">
        <is>
          <t>TORSBY</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42710-2023</t>
        </is>
      </c>
      <c r="B1740" s="1" t="n">
        <v>45181</v>
      </c>
      <c r="C1740" s="1" t="n">
        <v>45726</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42632-2023</t>
        </is>
      </c>
      <c r="B1741" s="1" t="n">
        <v>45181</v>
      </c>
      <c r="C1741" s="1" t="n">
        <v>45726</v>
      </c>
      <c r="D1741" t="inlineStr">
        <is>
          <t>VÄRMLANDS LÄN</t>
        </is>
      </c>
      <c r="E1741" t="inlineStr">
        <is>
          <t>TORSBY</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42944-2023</t>
        </is>
      </c>
      <c r="B1742" s="1" t="n">
        <v>45182</v>
      </c>
      <c r="C1742" s="1" t="n">
        <v>45726</v>
      </c>
      <c r="D1742" t="inlineStr">
        <is>
          <t>VÄRMLANDS LÄN</t>
        </is>
      </c>
      <c r="E1742" t="inlineStr">
        <is>
          <t>TORSBY</t>
        </is>
      </c>
      <c r="F1742" t="inlineStr">
        <is>
          <t>Bergvik skog väst AB</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43084-2023</t>
        </is>
      </c>
      <c r="B1743" s="1" t="n">
        <v>45182</v>
      </c>
      <c r="C1743" s="1" t="n">
        <v>45726</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44083-2023</t>
        </is>
      </c>
      <c r="B1744" s="1" t="n">
        <v>45182</v>
      </c>
      <c r="C1744" s="1" t="n">
        <v>45726</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44094-2023</t>
        </is>
      </c>
      <c r="B1745" s="1" t="n">
        <v>45182</v>
      </c>
      <c r="C1745" s="1" t="n">
        <v>45726</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43179-2023</t>
        </is>
      </c>
      <c r="B1746" s="1" t="n">
        <v>45183</v>
      </c>
      <c r="C1746" s="1" t="n">
        <v>45726</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43361-2023</t>
        </is>
      </c>
      <c r="B1747" s="1" t="n">
        <v>45183</v>
      </c>
      <c r="C1747" s="1" t="n">
        <v>45726</v>
      </c>
      <c r="D1747" t="inlineStr">
        <is>
          <t>VÄRMLANDS LÄN</t>
        </is>
      </c>
      <c r="E1747" t="inlineStr">
        <is>
          <t>TORSBY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43540-2023</t>
        </is>
      </c>
      <c r="B1748" s="1" t="n">
        <v>45184</v>
      </c>
      <c r="C1748" s="1" t="n">
        <v>45726</v>
      </c>
      <c r="D1748" t="inlineStr">
        <is>
          <t>VÄRMLANDS LÄN</t>
        </is>
      </c>
      <c r="E1748" t="inlineStr">
        <is>
          <t>TORSBY</t>
        </is>
      </c>
      <c r="F1748" t="inlineStr">
        <is>
          <t>Bergvik skog väst AB</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43562-2023</t>
        </is>
      </c>
      <c r="B1749" s="1" t="n">
        <v>45184</v>
      </c>
      <c r="C1749" s="1" t="n">
        <v>45726</v>
      </c>
      <c r="D1749" t="inlineStr">
        <is>
          <t>VÄRMLANDS LÄN</t>
        </is>
      </c>
      <c r="E1749" t="inlineStr">
        <is>
          <t>TORSBY</t>
        </is>
      </c>
      <c r="F1749" t="inlineStr">
        <is>
          <t>Kommuner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43599-2023</t>
        </is>
      </c>
      <c r="B1750" s="1" t="n">
        <v>45184</v>
      </c>
      <c r="C1750" s="1" t="n">
        <v>45726</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43663-2023</t>
        </is>
      </c>
      <c r="B1751" s="1" t="n">
        <v>45187</v>
      </c>
      <c r="C1751" s="1" t="n">
        <v>45726</v>
      </c>
      <c r="D1751" t="inlineStr">
        <is>
          <t>VÄRMLANDS LÄN</t>
        </is>
      </c>
      <c r="E1751" t="inlineStr">
        <is>
          <t>TORSBY</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43670-2023</t>
        </is>
      </c>
      <c r="B1752" s="1" t="n">
        <v>45187</v>
      </c>
      <c r="C1752" s="1" t="n">
        <v>45726</v>
      </c>
      <c r="D1752" t="inlineStr">
        <is>
          <t>VÄRMLANDS LÄN</t>
        </is>
      </c>
      <c r="E1752" t="inlineStr">
        <is>
          <t>TORSBY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44047-2023</t>
        </is>
      </c>
      <c r="B1753" s="1" t="n">
        <v>45188</v>
      </c>
      <c r="C1753" s="1" t="n">
        <v>45726</v>
      </c>
      <c r="D1753" t="inlineStr">
        <is>
          <t>VÄRMLANDS LÄN</t>
        </is>
      </c>
      <c r="E1753" t="inlineStr">
        <is>
          <t>TORSBY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44150-2023</t>
        </is>
      </c>
      <c r="B1754" s="1" t="n">
        <v>45188</v>
      </c>
      <c r="C1754" s="1" t="n">
        <v>45726</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44044-2023</t>
        </is>
      </c>
      <c r="B1755" s="1" t="n">
        <v>45188</v>
      </c>
      <c r="C1755" s="1" t="n">
        <v>45726</v>
      </c>
      <c r="D1755" t="inlineStr">
        <is>
          <t>VÄRMLANDS LÄN</t>
        </is>
      </c>
      <c r="E1755" t="inlineStr">
        <is>
          <t>TORSBY</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44127-2023</t>
        </is>
      </c>
      <c r="B1756" s="1" t="n">
        <v>45188</v>
      </c>
      <c r="C1756" s="1" t="n">
        <v>45726</v>
      </c>
      <c r="D1756" t="inlineStr">
        <is>
          <t>VÄRMLANDS LÄN</t>
        </is>
      </c>
      <c r="E1756" t="inlineStr">
        <is>
          <t>TORSBY</t>
        </is>
      </c>
      <c r="F1756" t="inlineStr">
        <is>
          <t>Bergvik skog väst AB</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44262-2023</t>
        </is>
      </c>
      <c r="B1757" s="1" t="n">
        <v>45188</v>
      </c>
      <c r="C1757" s="1" t="n">
        <v>45726</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44113-2023</t>
        </is>
      </c>
      <c r="B1758" s="1" t="n">
        <v>45188</v>
      </c>
      <c r="C1758" s="1" t="n">
        <v>45726</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44424-2023</t>
        </is>
      </c>
      <c r="B1759" s="1" t="n">
        <v>45189</v>
      </c>
      <c r="C1759" s="1" t="n">
        <v>45726</v>
      </c>
      <c r="D1759" t="inlineStr">
        <is>
          <t>VÄRMLANDS LÄN</t>
        </is>
      </c>
      <c r="E1759" t="inlineStr">
        <is>
          <t>TORSBY</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44497-2023</t>
        </is>
      </c>
      <c r="B1760" s="1" t="n">
        <v>45189</v>
      </c>
      <c r="C1760" s="1" t="n">
        <v>45726</v>
      </c>
      <c r="D1760" t="inlineStr">
        <is>
          <t>VÄRMLANDS LÄN</t>
        </is>
      </c>
      <c r="E1760" t="inlineStr">
        <is>
          <t>TORSBY</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44562-2023</t>
        </is>
      </c>
      <c r="B1761" s="1" t="n">
        <v>45189</v>
      </c>
      <c r="C1761" s="1" t="n">
        <v>45726</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44641-2023</t>
        </is>
      </c>
      <c r="B1762" s="1" t="n">
        <v>45189</v>
      </c>
      <c r="C1762" s="1" t="n">
        <v>45726</v>
      </c>
      <c r="D1762" t="inlineStr">
        <is>
          <t>VÄRMLANDS LÄN</t>
        </is>
      </c>
      <c r="E1762" t="inlineStr">
        <is>
          <t>TORSBY</t>
        </is>
      </c>
      <c r="F1762" t="inlineStr">
        <is>
          <t>Bergvik skog väst AB</t>
        </is>
      </c>
      <c r="G1762" t="n">
        <v>20.3</v>
      </c>
      <c r="H1762" t="n">
        <v>0</v>
      </c>
      <c r="I1762" t="n">
        <v>0</v>
      </c>
      <c r="J1762" t="n">
        <v>0</v>
      </c>
      <c r="K1762" t="n">
        <v>0</v>
      </c>
      <c r="L1762" t="n">
        <v>0</v>
      </c>
      <c r="M1762" t="n">
        <v>0</v>
      </c>
      <c r="N1762" t="n">
        <v>0</v>
      </c>
      <c r="O1762" t="n">
        <v>0</v>
      </c>
      <c r="P1762" t="n">
        <v>0</v>
      </c>
      <c r="Q1762" t="n">
        <v>0</v>
      </c>
      <c r="R1762" s="2" t="inlineStr"/>
    </row>
    <row r="1763" ht="15" customHeight="1">
      <c r="A1763" t="inlineStr">
        <is>
          <t>A 44645-2023</t>
        </is>
      </c>
      <c r="B1763" s="1" t="n">
        <v>45189</v>
      </c>
      <c r="C1763" s="1" t="n">
        <v>45726</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44670-2023</t>
        </is>
      </c>
      <c r="B1764" s="1" t="n">
        <v>45189</v>
      </c>
      <c r="C1764" s="1" t="n">
        <v>45726</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44710-2023</t>
        </is>
      </c>
      <c r="B1765" s="1" t="n">
        <v>45190</v>
      </c>
      <c r="C1765" s="1" t="n">
        <v>45726</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44730-2023</t>
        </is>
      </c>
      <c r="B1766" s="1" t="n">
        <v>45190</v>
      </c>
      <c r="C1766" s="1" t="n">
        <v>45726</v>
      </c>
      <c r="D1766" t="inlineStr">
        <is>
          <t>VÄRMLANDS LÄN</t>
        </is>
      </c>
      <c r="E1766" t="inlineStr">
        <is>
          <t>TORSBY</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45224-2023</t>
        </is>
      </c>
      <c r="B1767" s="1" t="n">
        <v>45191</v>
      </c>
      <c r="C1767" s="1" t="n">
        <v>45726</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45041-2023</t>
        </is>
      </c>
      <c r="B1768" s="1" t="n">
        <v>45191</v>
      </c>
      <c r="C1768" s="1" t="n">
        <v>45726</v>
      </c>
      <c r="D1768" t="inlineStr">
        <is>
          <t>VÄRMLANDS LÄN</t>
        </is>
      </c>
      <c r="E1768" t="inlineStr">
        <is>
          <t>TORSBY</t>
        </is>
      </c>
      <c r="F1768" t="inlineStr">
        <is>
          <t>Kyrkan</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45152-2023</t>
        </is>
      </c>
      <c r="B1769" s="1" t="n">
        <v>45191</v>
      </c>
      <c r="C1769" s="1" t="n">
        <v>45726</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45169-2023</t>
        </is>
      </c>
      <c r="B1770" s="1" t="n">
        <v>45191</v>
      </c>
      <c r="C1770" s="1" t="n">
        <v>45726</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45231-2023</t>
        </is>
      </c>
      <c r="B1771" s="1" t="n">
        <v>45191</v>
      </c>
      <c r="C1771" s="1" t="n">
        <v>45726</v>
      </c>
      <c r="D1771" t="inlineStr">
        <is>
          <t>VÄRMLANDS LÄN</t>
        </is>
      </c>
      <c r="E1771" t="inlineStr">
        <is>
          <t>TORSBY</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45228-2023</t>
        </is>
      </c>
      <c r="B1772" s="1" t="n">
        <v>45191</v>
      </c>
      <c r="C1772" s="1" t="n">
        <v>45726</v>
      </c>
      <c r="D1772" t="inlineStr">
        <is>
          <t>VÄRMLANDS LÄN</t>
        </is>
      </c>
      <c r="E1772" t="inlineStr">
        <is>
          <t>TORSBY</t>
        </is>
      </c>
      <c r="F1772" t="inlineStr">
        <is>
          <t>Bergvik skog väst AB</t>
        </is>
      </c>
      <c r="G1772" t="n">
        <v>26.8</v>
      </c>
      <c r="H1772" t="n">
        <v>0</v>
      </c>
      <c r="I1772" t="n">
        <v>0</v>
      </c>
      <c r="J1772" t="n">
        <v>0</v>
      </c>
      <c r="K1772" t="n">
        <v>0</v>
      </c>
      <c r="L1772" t="n">
        <v>0</v>
      </c>
      <c r="M1772" t="n">
        <v>0</v>
      </c>
      <c r="N1772" t="n">
        <v>0</v>
      </c>
      <c r="O1772" t="n">
        <v>0</v>
      </c>
      <c r="P1772" t="n">
        <v>0</v>
      </c>
      <c r="Q1772" t="n">
        <v>0</v>
      </c>
      <c r="R1772" s="2" t="inlineStr"/>
    </row>
    <row r="1773" ht="15" customHeight="1">
      <c r="A1773" t="inlineStr">
        <is>
          <t>A 45587-2023</t>
        </is>
      </c>
      <c r="B1773" s="1" t="n">
        <v>45194</v>
      </c>
      <c r="C1773" s="1" t="n">
        <v>45726</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45399-2023</t>
        </is>
      </c>
      <c r="B1774" s="1" t="n">
        <v>45194</v>
      </c>
      <c r="C1774" s="1" t="n">
        <v>45726</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45563-2023</t>
        </is>
      </c>
      <c r="B1775" s="1" t="n">
        <v>45194</v>
      </c>
      <c r="C1775" s="1" t="n">
        <v>45726</v>
      </c>
      <c r="D1775" t="inlineStr">
        <is>
          <t>VÄRMLANDS LÄN</t>
        </is>
      </c>
      <c r="E1775" t="inlineStr">
        <is>
          <t>TORSBY</t>
        </is>
      </c>
      <c r="F1775" t="inlineStr">
        <is>
          <t>Bergvik skog väst AB</t>
        </is>
      </c>
      <c r="G1775" t="n">
        <v>22.6</v>
      </c>
      <c r="H1775" t="n">
        <v>0</v>
      </c>
      <c r="I1775" t="n">
        <v>0</v>
      </c>
      <c r="J1775" t="n">
        <v>0</v>
      </c>
      <c r="K1775" t="n">
        <v>0</v>
      </c>
      <c r="L1775" t="n">
        <v>0</v>
      </c>
      <c r="M1775" t="n">
        <v>0</v>
      </c>
      <c r="N1775" t="n">
        <v>0</v>
      </c>
      <c r="O1775" t="n">
        <v>0</v>
      </c>
      <c r="P1775" t="n">
        <v>0</v>
      </c>
      <c r="Q1775" t="n">
        <v>0</v>
      </c>
      <c r="R1775" s="2" t="inlineStr"/>
    </row>
    <row r="1776" ht="15" customHeight="1">
      <c r="A1776" t="inlineStr">
        <is>
          <t>A 45765-2023</t>
        </is>
      </c>
      <c r="B1776" s="1" t="n">
        <v>45195</v>
      </c>
      <c r="C1776" s="1" t="n">
        <v>45726</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45872-2023</t>
        </is>
      </c>
      <c r="B1777" s="1" t="n">
        <v>45195</v>
      </c>
      <c r="C1777" s="1" t="n">
        <v>45726</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45775-2023</t>
        </is>
      </c>
      <c r="B1778" s="1" t="n">
        <v>45195</v>
      </c>
      <c r="C1778" s="1" t="n">
        <v>45726</v>
      </c>
      <c r="D1778" t="inlineStr">
        <is>
          <t>VÄRMLANDS LÄN</t>
        </is>
      </c>
      <c r="E1778" t="inlineStr">
        <is>
          <t>TORSBY</t>
        </is>
      </c>
      <c r="F1778" t="inlineStr">
        <is>
          <t>Bergvik skog väst AB</t>
        </is>
      </c>
      <c r="G1778" t="n">
        <v>34.2</v>
      </c>
      <c r="H1778" t="n">
        <v>0</v>
      </c>
      <c r="I1778" t="n">
        <v>0</v>
      </c>
      <c r="J1778" t="n">
        <v>0</v>
      </c>
      <c r="K1778" t="n">
        <v>0</v>
      </c>
      <c r="L1778" t="n">
        <v>0</v>
      </c>
      <c r="M1778" t="n">
        <v>0</v>
      </c>
      <c r="N1778" t="n">
        <v>0</v>
      </c>
      <c r="O1778" t="n">
        <v>0</v>
      </c>
      <c r="P1778" t="n">
        <v>0</v>
      </c>
      <c r="Q1778" t="n">
        <v>0</v>
      </c>
      <c r="R1778" s="2" t="inlineStr"/>
    </row>
    <row r="1779" ht="15" customHeight="1">
      <c r="A1779" t="inlineStr">
        <is>
          <t>A 46003-2023</t>
        </is>
      </c>
      <c r="B1779" s="1" t="n">
        <v>45196</v>
      </c>
      <c r="C1779" s="1" t="n">
        <v>45726</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46048-2023</t>
        </is>
      </c>
      <c r="B1780" s="1" t="n">
        <v>45196</v>
      </c>
      <c r="C1780" s="1" t="n">
        <v>45726</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46001-2023</t>
        </is>
      </c>
      <c r="B1781" s="1" t="n">
        <v>45196</v>
      </c>
      <c r="C1781" s="1" t="n">
        <v>45726</v>
      </c>
      <c r="D1781" t="inlineStr">
        <is>
          <t>VÄRMLANDS LÄN</t>
        </is>
      </c>
      <c r="E1781" t="inlineStr">
        <is>
          <t>TORSBY</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46202-2023</t>
        </is>
      </c>
      <c r="B1782" s="1" t="n">
        <v>45196</v>
      </c>
      <c r="C1782" s="1" t="n">
        <v>45726</v>
      </c>
      <c r="D1782" t="inlineStr">
        <is>
          <t>VÄRMLANDS LÄN</t>
        </is>
      </c>
      <c r="E1782" t="inlineStr">
        <is>
          <t>TORSBY</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46233-2023</t>
        </is>
      </c>
      <c r="B1783" s="1" t="n">
        <v>45196</v>
      </c>
      <c r="C1783" s="1" t="n">
        <v>45726</v>
      </c>
      <c r="D1783" t="inlineStr">
        <is>
          <t>VÄRMLANDS LÄN</t>
        </is>
      </c>
      <c r="E1783" t="inlineStr">
        <is>
          <t>TORSBY</t>
        </is>
      </c>
      <c r="F1783" t="inlineStr">
        <is>
          <t>Kyrkan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46127-2023</t>
        </is>
      </c>
      <c r="B1784" s="1" t="n">
        <v>45196</v>
      </c>
      <c r="C1784" s="1" t="n">
        <v>45726</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46199-2023</t>
        </is>
      </c>
      <c r="B1785" s="1" t="n">
        <v>45196</v>
      </c>
      <c r="C1785" s="1" t="n">
        <v>45726</v>
      </c>
      <c r="D1785" t="inlineStr">
        <is>
          <t>VÄRMLANDS LÄN</t>
        </is>
      </c>
      <c r="E1785" t="inlineStr">
        <is>
          <t>TORSBY</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46220-2023</t>
        </is>
      </c>
      <c r="B1786" s="1" t="n">
        <v>45196</v>
      </c>
      <c r="C1786" s="1" t="n">
        <v>45726</v>
      </c>
      <c r="D1786" t="inlineStr">
        <is>
          <t>VÄRMLANDS LÄN</t>
        </is>
      </c>
      <c r="E1786" t="inlineStr">
        <is>
          <t>TORSBY</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46156-2023</t>
        </is>
      </c>
      <c r="B1787" s="1" t="n">
        <v>45196</v>
      </c>
      <c r="C1787" s="1" t="n">
        <v>45726</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46180-2023</t>
        </is>
      </c>
      <c r="B1788" s="1" t="n">
        <v>45196</v>
      </c>
      <c r="C1788" s="1" t="n">
        <v>45726</v>
      </c>
      <c r="D1788" t="inlineStr">
        <is>
          <t>VÄRMLANDS LÄN</t>
        </is>
      </c>
      <c r="E1788" t="inlineStr">
        <is>
          <t>TORSBY</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46195-2023</t>
        </is>
      </c>
      <c r="B1789" s="1" t="n">
        <v>45196</v>
      </c>
      <c r="C1789" s="1" t="n">
        <v>45726</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46221-2023</t>
        </is>
      </c>
      <c r="B1790" s="1" t="n">
        <v>45196</v>
      </c>
      <c r="C1790" s="1" t="n">
        <v>45726</v>
      </c>
      <c r="D1790" t="inlineStr">
        <is>
          <t>VÄRMLANDS LÄN</t>
        </is>
      </c>
      <c r="E1790" t="inlineStr">
        <is>
          <t>TORSBY</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47227-2023</t>
        </is>
      </c>
      <c r="B1791" s="1" t="n">
        <v>45196</v>
      </c>
      <c r="C1791" s="1" t="n">
        <v>45726</v>
      </c>
      <c r="D1791" t="inlineStr">
        <is>
          <t>VÄRMLANDS LÄN</t>
        </is>
      </c>
      <c r="E1791" t="inlineStr">
        <is>
          <t>TORSBY</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46424-2023</t>
        </is>
      </c>
      <c r="B1792" s="1" t="n">
        <v>45197</v>
      </c>
      <c r="C1792" s="1" t="n">
        <v>45726</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46449-2023</t>
        </is>
      </c>
      <c r="B1793" s="1" t="n">
        <v>45197</v>
      </c>
      <c r="C1793" s="1" t="n">
        <v>45726</v>
      </c>
      <c r="D1793" t="inlineStr">
        <is>
          <t>VÄRMLANDS LÄN</t>
        </is>
      </c>
      <c r="E1793" t="inlineStr">
        <is>
          <t>TORSBY</t>
        </is>
      </c>
      <c r="F1793" t="inlineStr">
        <is>
          <t>Bergvik skog väst AB</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46509-2023</t>
        </is>
      </c>
      <c r="B1794" s="1" t="n">
        <v>45197</v>
      </c>
      <c r="C1794" s="1" t="n">
        <v>45726</v>
      </c>
      <c r="D1794" t="inlineStr">
        <is>
          <t>VÄRMLANDS LÄN</t>
        </is>
      </c>
      <c r="E1794" t="inlineStr">
        <is>
          <t>TORSBY</t>
        </is>
      </c>
      <c r="F1794" t="inlineStr">
        <is>
          <t>Bergvik skog väst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46489-2023</t>
        </is>
      </c>
      <c r="B1795" s="1" t="n">
        <v>45197</v>
      </c>
      <c r="C1795" s="1" t="n">
        <v>45726</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47119-2023</t>
        </is>
      </c>
      <c r="B1796" s="1" t="n">
        <v>45201</v>
      </c>
      <c r="C1796" s="1" t="n">
        <v>45726</v>
      </c>
      <c r="D1796" t="inlineStr">
        <is>
          <t>VÄRMLANDS LÄN</t>
        </is>
      </c>
      <c r="E1796" t="inlineStr">
        <is>
          <t>TORSBY</t>
        </is>
      </c>
      <c r="F1796" t="inlineStr">
        <is>
          <t>Bergvik skog väst AB</t>
        </is>
      </c>
      <c r="G1796" t="n">
        <v>18.7</v>
      </c>
      <c r="H1796" t="n">
        <v>0</v>
      </c>
      <c r="I1796" t="n">
        <v>0</v>
      </c>
      <c r="J1796" t="n">
        <v>0</v>
      </c>
      <c r="K1796" t="n">
        <v>0</v>
      </c>
      <c r="L1796" t="n">
        <v>0</v>
      </c>
      <c r="M1796" t="n">
        <v>0</v>
      </c>
      <c r="N1796" t="n">
        <v>0</v>
      </c>
      <c r="O1796" t="n">
        <v>0</v>
      </c>
      <c r="P1796" t="n">
        <v>0</v>
      </c>
      <c r="Q1796" t="n">
        <v>0</v>
      </c>
      <c r="R1796" s="2" t="inlineStr"/>
    </row>
    <row r="1797" ht="15" customHeight="1">
      <c r="A1797" t="inlineStr">
        <is>
          <t>A 46880-2023</t>
        </is>
      </c>
      <c r="B1797" s="1" t="n">
        <v>45201</v>
      </c>
      <c r="C1797" s="1" t="n">
        <v>45726</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46938-2023</t>
        </is>
      </c>
      <c r="B1798" s="1" t="n">
        <v>45201</v>
      </c>
      <c r="C1798" s="1" t="n">
        <v>45726</v>
      </c>
      <c r="D1798" t="inlineStr">
        <is>
          <t>VÄRMLANDS LÄN</t>
        </is>
      </c>
      <c r="E1798" t="inlineStr">
        <is>
          <t>TORSBY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47077-2023</t>
        </is>
      </c>
      <c r="B1799" s="1" t="n">
        <v>45201</v>
      </c>
      <c r="C1799" s="1" t="n">
        <v>45726</v>
      </c>
      <c r="D1799" t="inlineStr">
        <is>
          <t>VÄRMLANDS LÄN</t>
        </is>
      </c>
      <c r="E1799" t="inlineStr">
        <is>
          <t>TORSBY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47275-2023</t>
        </is>
      </c>
      <c r="B1800" s="1" t="n">
        <v>45202</v>
      </c>
      <c r="C1800" s="1" t="n">
        <v>45726</v>
      </c>
      <c r="D1800" t="inlineStr">
        <is>
          <t>VÄRMLANDS LÄN</t>
        </is>
      </c>
      <c r="E1800" t="inlineStr">
        <is>
          <t>TORSBY</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47241-2023</t>
        </is>
      </c>
      <c r="B1801" s="1" t="n">
        <v>45202</v>
      </c>
      <c r="C1801" s="1" t="n">
        <v>45726</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47355-2023</t>
        </is>
      </c>
      <c r="B1802" s="1" t="n">
        <v>45202</v>
      </c>
      <c r="C1802" s="1" t="n">
        <v>45726</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47401-2023</t>
        </is>
      </c>
      <c r="B1803" s="1" t="n">
        <v>45202</v>
      </c>
      <c r="C1803" s="1" t="n">
        <v>45726</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47737-2023</t>
        </is>
      </c>
      <c r="B1804" s="1" t="n">
        <v>45203</v>
      </c>
      <c r="C1804" s="1" t="n">
        <v>45726</v>
      </c>
      <c r="D1804" t="inlineStr">
        <is>
          <t>VÄRMLANDS LÄN</t>
        </is>
      </c>
      <c r="E1804" t="inlineStr">
        <is>
          <t>TORSBY</t>
        </is>
      </c>
      <c r="F1804" t="inlineStr">
        <is>
          <t>Bergvik skog väst AB</t>
        </is>
      </c>
      <c r="G1804" t="n">
        <v>24.4</v>
      </c>
      <c r="H1804" t="n">
        <v>0</v>
      </c>
      <c r="I1804" t="n">
        <v>0</v>
      </c>
      <c r="J1804" t="n">
        <v>0</v>
      </c>
      <c r="K1804" t="n">
        <v>0</v>
      </c>
      <c r="L1804" t="n">
        <v>0</v>
      </c>
      <c r="M1804" t="n">
        <v>0</v>
      </c>
      <c r="N1804" t="n">
        <v>0</v>
      </c>
      <c r="O1804" t="n">
        <v>0</v>
      </c>
      <c r="P1804" t="n">
        <v>0</v>
      </c>
      <c r="Q1804" t="n">
        <v>0</v>
      </c>
      <c r="R1804" s="2" t="inlineStr"/>
    </row>
    <row r="1805" ht="15" customHeight="1">
      <c r="A1805" t="inlineStr">
        <is>
          <t>A 47615-2023</t>
        </is>
      </c>
      <c r="B1805" s="1" t="n">
        <v>45203</v>
      </c>
      <c r="C1805" s="1" t="n">
        <v>45726</v>
      </c>
      <c r="D1805" t="inlineStr">
        <is>
          <t>VÄRMLANDS LÄN</t>
        </is>
      </c>
      <c r="E1805" t="inlineStr">
        <is>
          <t>TORSBY</t>
        </is>
      </c>
      <c r="F1805" t="inlineStr">
        <is>
          <t>Bergvik skog väst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47730-2023</t>
        </is>
      </c>
      <c r="B1806" s="1" t="n">
        <v>45203</v>
      </c>
      <c r="C1806" s="1" t="n">
        <v>45726</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47734-2023</t>
        </is>
      </c>
      <c r="B1807" s="1" t="n">
        <v>45203</v>
      </c>
      <c r="C1807" s="1" t="n">
        <v>45726</v>
      </c>
      <c r="D1807" t="inlineStr">
        <is>
          <t>VÄRMLANDS LÄN</t>
        </is>
      </c>
      <c r="E1807" t="inlineStr">
        <is>
          <t>TORSBY</t>
        </is>
      </c>
      <c r="F1807" t="inlineStr">
        <is>
          <t>Bergvik skog väst AB</t>
        </is>
      </c>
      <c r="G1807" t="n">
        <v>23.3</v>
      </c>
      <c r="H1807" t="n">
        <v>0</v>
      </c>
      <c r="I1807" t="n">
        <v>0</v>
      </c>
      <c r="J1807" t="n">
        <v>0</v>
      </c>
      <c r="K1807" t="n">
        <v>0</v>
      </c>
      <c r="L1807" t="n">
        <v>0</v>
      </c>
      <c r="M1807" t="n">
        <v>0</v>
      </c>
      <c r="N1807" t="n">
        <v>0</v>
      </c>
      <c r="O1807" t="n">
        <v>0</v>
      </c>
      <c r="P1807" t="n">
        <v>0</v>
      </c>
      <c r="Q1807" t="n">
        <v>0</v>
      </c>
      <c r="R1807" s="2" t="inlineStr"/>
    </row>
    <row r="1808" ht="15" customHeight="1">
      <c r="A1808" t="inlineStr">
        <is>
          <t>A 48724-2023</t>
        </is>
      </c>
      <c r="B1808" s="1" t="n">
        <v>45203</v>
      </c>
      <c r="C1808" s="1" t="n">
        <v>45726</v>
      </c>
      <c r="D1808" t="inlineStr">
        <is>
          <t>VÄRMLANDS LÄN</t>
        </is>
      </c>
      <c r="E1808" t="inlineStr">
        <is>
          <t>TORSBY</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47842-2023</t>
        </is>
      </c>
      <c r="B1809" s="1" t="n">
        <v>45204</v>
      </c>
      <c r="C1809" s="1" t="n">
        <v>45726</v>
      </c>
      <c r="D1809" t="inlineStr">
        <is>
          <t>VÄRMLANDS LÄN</t>
        </is>
      </c>
      <c r="E1809" t="inlineStr">
        <is>
          <t>TORSBY</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48106-2023</t>
        </is>
      </c>
      <c r="B1810" s="1" t="n">
        <v>45205</v>
      </c>
      <c r="C1810" s="1" t="n">
        <v>45726</v>
      </c>
      <c r="D1810" t="inlineStr">
        <is>
          <t>VÄRMLANDS LÄN</t>
        </is>
      </c>
      <c r="E1810" t="inlineStr">
        <is>
          <t>TORSBY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48145-2023</t>
        </is>
      </c>
      <c r="B1811" s="1" t="n">
        <v>45205</v>
      </c>
      <c r="C1811" s="1" t="n">
        <v>45726</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48236-2023</t>
        </is>
      </c>
      <c r="B1812" s="1" t="n">
        <v>45205</v>
      </c>
      <c r="C1812" s="1" t="n">
        <v>45726</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48155-2023</t>
        </is>
      </c>
      <c r="B1813" s="1" t="n">
        <v>45205</v>
      </c>
      <c r="C1813" s="1" t="n">
        <v>45726</v>
      </c>
      <c r="D1813" t="inlineStr">
        <is>
          <t>VÄRMLANDS LÄN</t>
        </is>
      </c>
      <c r="E1813" t="inlineStr">
        <is>
          <t>TORSBY</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48170-2023</t>
        </is>
      </c>
      <c r="B1814" s="1" t="n">
        <v>45205</v>
      </c>
      <c r="C1814" s="1" t="n">
        <v>45726</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48324-2023</t>
        </is>
      </c>
      <c r="B1815" s="1" t="n">
        <v>45205</v>
      </c>
      <c r="C1815" s="1" t="n">
        <v>45726</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48381-2023</t>
        </is>
      </c>
      <c r="B1816" s="1" t="n">
        <v>45205</v>
      </c>
      <c r="C1816" s="1" t="n">
        <v>45726</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48384-2023</t>
        </is>
      </c>
      <c r="B1817" s="1" t="n">
        <v>45205</v>
      </c>
      <c r="C1817" s="1" t="n">
        <v>45726</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48383-2023</t>
        </is>
      </c>
      <c r="B1818" s="1" t="n">
        <v>45205</v>
      </c>
      <c r="C1818" s="1" t="n">
        <v>45726</v>
      </c>
      <c r="D1818" t="inlineStr">
        <is>
          <t>VÄRMLANDS LÄN</t>
        </is>
      </c>
      <c r="E1818" t="inlineStr">
        <is>
          <t>TORSBY</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48456-2023</t>
        </is>
      </c>
      <c r="B1819" s="1" t="n">
        <v>45206</v>
      </c>
      <c r="C1819" s="1" t="n">
        <v>45726</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48625-2023</t>
        </is>
      </c>
      <c r="B1820" s="1" t="n">
        <v>45208</v>
      </c>
      <c r="C1820" s="1" t="n">
        <v>45726</v>
      </c>
      <c r="D1820" t="inlineStr">
        <is>
          <t>VÄRMLANDS LÄN</t>
        </is>
      </c>
      <c r="E1820" t="inlineStr">
        <is>
          <t>TORSBY</t>
        </is>
      </c>
      <c r="F1820" t="inlineStr">
        <is>
          <t>Bergvik skog väst AB</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48727-2023</t>
        </is>
      </c>
      <c r="B1821" s="1" t="n">
        <v>45208</v>
      </c>
      <c r="C1821" s="1" t="n">
        <v>45726</v>
      </c>
      <c r="D1821" t="inlineStr">
        <is>
          <t>VÄRMLANDS LÄN</t>
        </is>
      </c>
      <c r="E1821" t="inlineStr">
        <is>
          <t>TORSBY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48753-2023</t>
        </is>
      </c>
      <c r="B1822" s="1" t="n">
        <v>45208</v>
      </c>
      <c r="C1822" s="1" t="n">
        <v>45726</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48762-2023</t>
        </is>
      </c>
      <c r="B1823" s="1" t="n">
        <v>45208</v>
      </c>
      <c r="C1823" s="1" t="n">
        <v>45726</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49717-2023</t>
        </is>
      </c>
      <c r="B1824" s="1" t="n">
        <v>45208</v>
      </c>
      <c r="C1824" s="1" t="n">
        <v>45726</v>
      </c>
      <c r="D1824" t="inlineStr">
        <is>
          <t>VÄRMLANDS LÄN</t>
        </is>
      </c>
      <c r="E1824" t="inlineStr">
        <is>
          <t>TORSBY</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50166-2023</t>
        </is>
      </c>
      <c r="B1825" s="1" t="n">
        <v>45208</v>
      </c>
      <c r="C1825" s="1" t="n">
        <v>45726</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50149-2023</t>
        </is>
      </c>
      <c r="B1826" s="1" t="n">
        <v>45208</v>
      </c>
      <c r="C1826" s="1" t="n">
        <v>45726</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48805-2023</t>
        </is>
      </c>
      <c r="B1827" s="1" t="n">
        <v>45209</v>
      </c>
      <c r="C1827" s="1" t="n">
        <v>45726</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48842-2023</t>
        </is>
      </c>
      <c r="B1828" s="1" t="n">
        <v>45209</v>
      </c>
      <c r="C1828" s="1" t="n">
        <v>45726</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49170-2023</t>
        </is>
      </c>
      <c r="B1829" s="1" t="n">
        <v>45210</v>
      </c>
      <c r="C1829" s="1" t="n">
        <v>45726</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49179-2023</t>
        </is>
      </c>
      <c r="B1830" s="1" t="n">
        <v>45210</v>
      </c>
      <c r="C1830" s="1" t="n">
        <v>45726</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49296-2023</t>
        </is>
      </c>
      <c r="B1831" s="1" t="n">
        <v>45210</v>
      </c>
      <c r="C1831" s="1" t="n">
        <v>45726</v>
      </c>
      <c r="D1831" t="inlineStr">
        <is>
          <t>VÄRMLANDS LÄN</t>
        </is>
      </c>
      <c r="E1831" t="inlineStr">
        <is>
          <t>TORSBY</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51079-2023</t>
        </is>
      </c>
      <c r="B1832" s="1" t="n">
        <v>45211</v>
      </c>
      <c r="C1832" s="1" t="n">
        <v>45726</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49755-2023</t>
        </is>
      </c>
      <c r="B1833" s="1" t="n">
        <v>45212</v>
      </c>
      <c r="C1833" s="1" t="n">
        <v>45726</v>
      </c>
      <c r="D1833" t="inlineStr">
        <is>
          <t>VÄRMLANDS LÄN</t>
        </is>
      </c>
      <c r="E1833" t="inlineStr">
        <is>
          <t>TORSBY</t>
        </is>
      </c>
      <c r="F1833" t="inlineStr">
        <is>
          <t>Bergvik skog väst AB</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49777-2023</t>
        </is>
      </c>
      <c r="B1834" s="1" t="n">
        <v>45212</v>
      </c>
      <c r="C1834" s="1" t="n">
        <v>45726</v>
      </c>
      <c r="D1834" t="inlineStr">
        <is>
          <t>VÄRMLANDS LÄN</t>
        </is>
      </c>
      <c r="E1834" t="inlineStr">
        <is>
          <t>TORSBY</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49815-2023</t>
        </is>
      </c>
      <c r="B1835" s="1" t="n">
        <v>45212</v>
      </c>
      <c r="C1835" s="1" t="n">
        <v>45726</v>
      </c>
      <c r="D1835" t="inlineStr">
        <is>
          <t>VÄRMLANDS LÄN</t>
        </is>
      </c>
      <c r="E1835" t="inlineStr">
        <is>
          <t>TORSBY</t>
        </is>
      </c>
      <c r="F1835" t="inlineStr">
        <is>
          <t>Bergvik skog väst AB</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49745-2023</t>
        </is>
      </c>
      <c r="B1836" s="1" t="n">
        <v>45212</v>
      </c>
      <c r="C1836" s="1" t="n">
        <v>45726</v>
      </c>
      <c r="D1836" t="inlineStr">
        <is>
          <t>VÄRMLANDS LÄN</t>
        </is>
      </c>
      <c r="E1836" t="inlineStr">
        <is>
          <t>TORSBY</t>
        </is>
      </c>
      <c r="F1836" t="inlineStr">
        <is>
          <t>Bergvik skog väst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51144-2023</t>
        </is>
      </c>
      <c r="B1837" s="1" t="n">
        <v>45212</v>
      </c>
      <c r="C1837" s="1" t="n">
        <v>45726</v>
      </c>
      <c r="D1837" t="inlineStr">
        <is>
          <t>VÄRMLANDS LÄN</t>
        </is>
      </c>
      <c r="E1837" t="inlineStr">
        <is>
          <t>TORSBY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49982-2023</t>
        </is>
      </c>
      <c r="B1838" s="1" t="n">
        <v>45215</v>
      </c>
      <c r="C1838" s="1" t="n">
        <v>45726</v>
      </c>
      <c r="D1838" t="inlineStr">
        <is>
          <t>VÄRMLANDS LÄN</t>
        </is>
      </c>
      <c r="E1838" t="inlineStr">
        <is>
          <t>TORSBY</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50147-2023</t>
        </is>
      </c>
      <c r="B1839" s="1" t="n">
        <v>45215</v>
      </c>
      <c r="C1839" s="1" t="n">
        <v>45726</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50138-2023</t>
        </is>
      </c>
      <c r="B1840" s="1" t="n">
        <v>45215</v>
      </c>
      <c r="C1840" s="1" t="n">
        <v>45726</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50144-2023</t>
        </is>
      </c>
      <c r="B1841" s="1" t="n">
        <v>45215</v>
      </c>
      <c r="C1841" s="1" t="n">
        <v>45726</v>
      </c>
      <c r="D1841" t="inlineStr">
        <is>
          <t>VÄRMLANDS LÄN</t>
        </is>
      </c>
      <c r="E1841" t="inlineStr">
        <is>
          <t>TORSBY</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50171-2023</t>
        </is>
      </c>
      <c r="B1842" s="1" t="n">
        <v>45215</v>
      </c>
      <c r="C1842" s="1" t="n">
        <v>45726</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50445-2023</t>
        </is>
      </c>
      <c r="B1843" s="1" t="n">
        <v>45216</v>
      </c>
      <c r="C1843" s="1" t="n">
        <v>45726</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50429-2023</t>
        </is>
      </c>
      <c r="B1844" s="1" t="n">
        <v>45216</v>
      </c>
      <c r="C1844" s="1" t="n">
        <v>45726</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50439-2023</t>
        </is>
      </c>
      <c r="B1845" s="1" t="n">
        <v>45216</v>
      </c>
      <c r="C1845" s="1" t="n">
        <v>45726</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50660-2023</t>
        </is>
      </c>
      <c r="B1846" s="1" t="n">
        <v>45217</v>
      </c>
      <c r="C1846" s="1" t="n">
        <v>45726</v>
      </c>
      <c r="D1846" t="inlineStr">
        <is>
          <t>VÄRMLANDS LÄN</t>
        </is>
      </c>
      <c r="E1846" t="inlineStr">
        <is>
          <t>TORSBY</t>
        </is>
      </c>
      <c r="F1846" t="inlineStr">
        <is>
          <t>Bergvik skog väst AB</t>
        </is>
      </c>
      <c r="G1846" t="n">
        <v>26.5</v>
      </c>
      <c r="H1846" t="n">
        <v>0</v>
      </c>
      <c r="I1846" t="n">
        <v>0</v>
      </c>
      <c r="J1846" t="n">
        <v>0</v>
      </c>
      <c r="K1846" t="n">
        <v>0</v>
      </c>
      <c r="L1846" t="n">
        <v>0</v>
      </c>
      <c r="M1846" t="n">
        <v>0</v>
      </c>
      <c r="N1846" t="n">
        <v>0</v>
      </c>
      <c r="O1846" t="n">
        <v>0</v>
      </c>
      <c r="P1846" t="n">
        <v>0</v>
      </c>
      <c r="Q1846" t="n">
        <v>0</v>
      </c>
      <c r="R1846" s="2" t="inlineStr"/>
    </row>
    <row r="1847" ht="15" customHeight="1">
      <c r="A1847" t="inlineStr">
        <is>
          <t>A 50523-2023</t>
        </is>
      </c>
      <c r="B1847" s="1" t="n">
        <v>45217</v>
      </c>
      <c r="C1847" s="1" t="n">
        <v>45726</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50608-2023</t>
        </is>
      </c>
      <c r="B1848" s="1" t="n">
        <v>45217</v>
      </c>
      <c r="C1848" s="1" t="n">
        <v>45726</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50680-2023</t>
        </is>
      </c>
      <c r="B1849" s="1" t="n">
        <v>45217</v>
      </c>
      <c r="C1849" s="1" t="n">
        <v>45726</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50852-2023</t>
        </is>
      </c>
      <c r="B1850" s="1" t="n">
        <v>45218</v>
      </c>
      <c r="C1850" s="1" t="n">
        <v>45726</v>
      </c>
      <c r="D1850" t="inlineStr">
        <is>
          <t>VÄRMLANDS LÄN</t>
        </is>
      </c>
      <c r="E1850" t="inlineStr">
        <is>
          <t>TORSBY</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50973-2023</t>
        </is>
      </c>
      <c r="B1851" s="1" t="n">
        <v>45218</v>
      </c>
      <c r="C1851" s="1" t="n">
        <v>45726</v>
      </c>
      <c r="D1851" t="inlineStr">
        <is>
          <t>VÄRMLANDS LÄN</t>
        </is>
      </c>
      <c r="E1851" t="inlineStr">
        <is>
          <t>TORSBY</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51199-2023</t>
        </is>
      </c>
      <c r="B1852" s="1" t="n">
        <v>45219</v>
      </c>
      <c r="C1852" s="1" t="n">
        <v>45726</v>
      </c>
      <c r="D1852" t="inlineStr">
        <is>
          <t>VÄRMLANDS LÄN</t>
        </is>
      </c>
      <c r="E1852" t="inlineStr">
        <is>
          <t>TORSBY</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51215-2023</t>
        </is>
      </c>
      <c r="B1853" s="1" t="n">
        <v>45219</v>
      </c>
      <c r="C1853" s="1" t="n">
        <v>45726</v>
      </c>
      <c r="D1853" t="inlineStr">
        <is>
          <t>VÄRMLANDS LÄN</t>
        </is>
      </c>
      <c r="E1853" t="inlineStr">
        <is>
          <t>TORSBY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51343-2023</t>
        </is>
      </c>
      <c r="B1854" s="1" t="n">
        <v>45219</v>
      </c>
      <c r="C1854" s="1" t="n">
        <v>45726</v>
      </c>
      <c r="D1854" t="inlineStr">
        <is>
          <t>VÄRMLANDS LÄN</t>
        </is>
      </c>
      <c r="E1854" t="inlineStr">
        <is>
          <t>TORSBY</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51386-2023</t>
        </is>
      </c>
      <c r="B1855" s="1" t="n">
        <v>45219</v>
      </c>
      <c r="C1855" s="1" t="n">
        <v>45726</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51309-2023</t>
        </is>
      </c>
      <c r="B1856" s="1" t="n">
        <v>45219</v>
      </c>
      <c r="C1856" s="1" t="n">
        <v>45726</v>
      </c>
      <c r="D1856" t="inlineStr">
        <is>
          <t>VÄRMLANDS LÄN</t>
        </is>
      </c>
      <c r="E1856" t="inlineStr">
        <is>
          <t>TORSBY</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51751-2023</t>
        </is>
      </c>
      <c r="B1857" s="1" t="n">
        <v>45222</v>
      </c>
      <c r="C1857" s="1" t="n">
        <v>45726</v>
      </c>
      <c r="D1857" t="inlineStr">
        <is>
          <t>VÄRMLANDS LÄN</t>
        </is>
      </c>
      <c r="E1857" t="inlineStr">
        <is>
          <t>TORSBY</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51788-2023</t>
        </is>
      </c>
      <c r="B1858" s="1" t="n">
        <v>45222</v>
      </c>
      <c r="C1858" s="1" t="n">
        <v>45726</v>
      </c>
      <c r="D1858" t="inlineStr">
        <is>
          <t>VÄRMLANDS LÄN</t>
        </is>
      </c>
      <c r="E1858" t="inlineStr">
        <is>
          <t>TORSBY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51753-2023</t>
        </is>
      </c>
      <c r="B1859" s="1" t="n">
        <v>45222</v>
      </c>
      <c r="C1859" s="1" t="n">
        <v>45726</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52078-2023</t>
        </is>
      </c>
      <c r="B1860" s="1" t="n">
        <v>45223</v>
      </c>
      <c r="C1860" s="1" t="n">
        <v>45726</v>
      </c>
      <c r="D1860" t="inlineStr">
        <is>
          <t>VÄRMLANDS LÄN</t>
        </is>
      </c>
      <c r="E1860" t="inlineStr">
        <is>
          <t>TORSBY</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52050-2023</t>
        </is>
      </c>
      <c r="B1861" s="1" t="n">
        <v>45223</v>
      </c>
      <c r="C1861" s="1" t="n">
        <v>45726</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52067-2023</t>
        </is>
      </c>
      <c r="B1862" s="1" t="n">
        <v>45223</v>
      </c>
      <c r="C1862" s="1" t="n">
        <v>45726</v>
      </c>
      <c r="D1862" t="inlineStr">
        <is>
          <t>VÄRMLANDS LÄN</t>
        </is>
      </c>
      <c r="E1862" t="inlineStr">
        <is>
          <t>TORSBY</t>
        </is>
      </c>
      <c r="F1862" t="inlineStr">
        <is>
          <t>Bergvik skog väst AB</t>
        </is>
      </c>
      <c r="G1862" t="n">
        <v>40.4</v>
      </c>
      <c r="H1862" t="n">
        <v>0</v>
      </c>
      <c r="I1862" t="n">
        <v>0</v>
      </c>
      <c r="J1862" t="n">
        <v>0</v>
      </c>
      <c r="K1862" t="n">
        <v>0</v>
      </c>
      <c r="L1862" t="n">
        <v>0</v>
      </c>
      <c r="M1862" t="n">
        <v>0</v>
      </c>
      <c r="N1862" t="n">
        <v>0</v>
      </c>
      <c r="O1862" t="n">
        <v>0</v>
      </c>
      <c r="P1862" t="n">
        <v>0</v>
      </c>
      <c r="Q1862" t="n">
        <v>0</v>
      </c>
      <c r="R1862" s="2" t="inlineStr"/>
    </row>
    <row r="1863" ht="15" customHeight="1">
      <c r="A1863" t="inlineStr">
        <is>
          <t>A 53499-2023</t>
        </is>
      </c>
      <c r="B1863" s="1" t="n">
        <v>45223</v>
      </c>
      <c r="C1863" s="1" t="n">
        <v>45726</v>
      </c>
      <c r="D1863" t="inlineStr">
        <is>
          <t>VÄRMLANDS LÄN</t>
        </is>
      </c>
      <c r="E1863" t="inlineStr">
        <is>
          <t>TORSBY</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52275-2023</t>
        </is>
      </c>
      <c r="B1864" s="1" t="n">
        <v>45224</v>
      </c>
      <c r="C1864" s="1" t="n">
        <v>45726</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52385-2023</t>
        </is>
      </c>
      <c r="B1865" s="1" t="n">
        <v>45224</v>
      </c>
      <c r="C1865" s="1" t="n">
        <v>45726</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53652-2023</t>
        </is>
      </c>
      <c r="B1866" s="1" t="n">
        <v>45224</v>
      </c>
      <c r="C1866" s="1" t="n">
        <v>45726</v>
      </c>
      <c r="D1866" t="inlineStr">
        <is>
          <t>VÄRMLANDS LÄN</t>
        </is>
      </c>
      <c r="E1866" t="inlineStr">
        <is>
          <t>TORSBY</t>
        </is>
      </c>
      <c r="F1866" t="inlineStr">
        <is>
          <t>Övriga statliga verk och myndigheter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52541-2023</t>
        </is>
      </c>
      <c r="B1867" s="1" t="n">
        <v>45225</v>
      </c>
      <c r="C1867" s="1" t="n">
        <v>45726</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52580-2023</t>
        </is>
      </c>
      <c r="B1868" s="1" t="n">
        <v>45225</v>
      </c>
      <c r="C1868" s="1" t="n">
        <v>45726</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52555-2023</t>
        </is>
      </c>
      <c r="B1869" s="1" t="n">
        <v>45225</v>
      </c>
      <c r="C1869" s="1" t="n">
        <v>45726</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52532-2023</t>
        </is>
      </c>
      <c r="B1870" s="1" t="n">
        <v>45225</v>
      </c>
      <c r="C1870" s="1" t="n">
        <v>45726</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52591-2023</t>
        </is>
      </c>
      <c r="B1871" s="1" t="n">
        <v>45225</v>
      </c>
      <c r="C1871" s="1" t="n">
        <v>45726</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52984-2023</t>
        </is>
      </c>
      <c r="B1872" s="1" t="n">
        <v>45226</v>
      </c>
      <c r="C1872" s="1" t="n">
        <v>45726</v>
      </c>
      <c r="D1872" t="inlineStr">
        <is>
          <t>VÄRMLANDS LÄN</t>
        </is>
      </c>
      <c r="E1872" t="inlineStr">
        <is>
          <t>TORSBY</t>
        </is>
      </c>
      <c r="F1872" t="inlineStr">
        <is>
          <t>Bergvik skog väst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52982-2023</t>
        </is>
      </c>
      <c r="B1873" s="1" t="n">
        <v>45226</v>
      </c>
      <c r="C1873" s="1" t="n">
        <v>45726</v>
      </c>
      <c r="D1873" t="inlineStr">
        <is>
          <t>VÄRMLANDS LÄN</t>
        </is>
      </c>
      <c r="E1873" t="inlineStr">
        <is>
          <t>TORSBY</t>
        </is>
      </c>
      <c r="G1873" t="n">
        <v>35.5</v>
      </c>
      <c r="H1873" t="n">
        <v>0</v>
      </c>
      <c r="I1873" t="n">
        <v>0</v>
      </c>
      <c r="J1873" t="n">
        <v>0</v>
      </c>
      <c r="K1873" t="n">
        <v>0</v>
      </c>
      <c r="L1873" t="n">
        <v>0</v>
      </c>
      <c r="M1873" t="n">
        <v>0</v>
      </c>
      <c r="N1873" t="n">
        <v>0</v>
      </c>
      <c r="O1873" t="n">
        <v>0</v>
      </c>
      <c r="P1873" t="n">
        <v>0</v>
      </c>
      <c r="Q1873" t="n">
        <v>0</v>
      </c>
      <c r="R1873" s="2" t="inlineStr"/>
    </row>
    <row r="1874" ht="15" customHeight="1">
      <c r="A1874" t="inlineStr">
        <is>
          <t>A 52810-2023</t>
        </is>
      </c>
      <c r="B1874" s="1" t="n">
        <v>45226</v>
      </c>
      <c r="C1874" s="1" t="n">
        <v>45726</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53103-2023</t>
        </is>
      </c>
      <c r="B1875" s="1" t="n">
        <v>45228</v>
      </c>
      <c r="C1875" s="1" t="n">
        <v>45726</v>
      </c>
      <c r="D1875" t="inlineStr">
        <is>
          <t>VÄRMLANDS LÄN</t>
        </is>
      </c>
      <c r="E1875" t="inlineStr">
        <is>
          <t>TORSBY</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53116-2023</t>
        </is>
      </c>
      <c r="B1876" s="1" t="n">
        <v>45228</v>
      </c>
      <c r="C1876" s="1" t="n">
        <v>45726</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53346-2023</t>
        </is>
      </c>
      <c r="B1877" s="1" t="n">
        <v>45229</v>
      </c>
      <c r="C1877" s="1" t="n">
        <v>45726</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54879-2023</t>
        </is>
      </c>
      <c r="B1878" s="1" t="n">
        <v>45229</v>
      </c>
      <c r="C1878" s="1" t="n">
        <v>45726</v>
      </c>
      <c r="D1878" t="inlineStr">
        <is>
          <t>VÄRMLANDS LÄN</t>
        </is>
      </c>
      <c r="E1878" t="inlineStr">
        <is>
          <t>TORSBY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54822-2023</t>
        </is>
      </c>
      <c r="B1879" s="1" t="n">
        <v>45229</v>
      </c>
      <c r="C1879" s="1" t="n">
        <v>45726</v>
      </c>
      <c r="D1879" t="inlineStr">
        <is>
          <t>VÄRMLANDS LÄN</t>
        </is>
      </c>
      <c r="E1879" t="inlineStr">
        <is>
          <t>TORSBY</t>
        </is>
      </c>
      <c r="F1879" t="inlineStr">
        <is>
          <t>Övriga Aktiebolag</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53557-2023</t>
        </is>
      </c>
      <c r="B1880" s="1" t="n">
        <v>45230</v>
      </c>
      <c r="C1880" s="1" t="n">
        <v>45726</v>
      </c>
      <c r="D1880" t="inlineStr">
        <is>
          <t>VÄRMLANDS LÄN</t>
        </is>
      </c>
      <c r="E1880" t="inlineStr">
        <is>
          <t>TORSBY</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53495-2023</t>
        </is>
      </c>
      <c r="B1881" s="1" t="n">
        <v>45230</v>
      </c>
      <c r="C1881" s="1" t="n">
        <v>45726</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53794-2023</t>
        </is>
      </c>
      <c r="B1882" s="1" t="n">
        <v>45231</v>
      </c>
      <c r="C1882" s="1" t="n">
        <v>45726</v>
      </c>
      <c r="D1882" t="inlineStr">
        <is>
          <t>VÄRMLANDS LÄN</t>
        </is>
      </c>
      <c r="E1882" t="inlineStr">
        <is>
          <t>TORSBY</t>
        </is>
      </c>
      <c r="G1882" t="n">
        <v>17.3</v>
      </c>
      <c r="H1882" t="n">
        <v>0</v>
      </c>
      <c r="I1882" t="n">
        <v>0</v>
      </c>
      <c r="J1882" t="n">
        <v>0</v>
      </c>
      <c r="K1882" t="n">
        <v>0</v>
      </c>
      <c r="L1882" t="n">
        <v>0</v>
      </c>
      <c r="M1882" t="n">
        <v>0</v>
      </c>
      <c r="N1882" t="n">
        <v>0</v>
      </c>
      <c r="O1882" t="n">
        <v>0</v>
      </c>
      <c r="P1882" t="n">
        <v>0</v>
      </c>
      <c r="Q1882" t="n">
        <v>0</v>
      </c>
      <c r="R1882" s="2" t="inlineStr"/>
    </row>
    <row r="1883" ht="15" customHeight="1">
      <c r="A1883" t="inlineStr">
        <is>
          <t>A 53921-2023</t>
        </is>
      </c>
      <c r="B1883" s="1" t="n">
        <v>45231</v>
      </c>
      <c r="C1883" s="1" t="n">
        <v>45726</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53945-2023</t>
        </is>
      </c>
      <c r="B1884" s="1" t="n">
        <v>45231</v>
      </c>
      <c r="C1884" s="1" t="n">
        <v>45726</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53922-2023</t>
        </is>
      </c>
      <c r="B1885" s="1" t="n">
        <v>45231</v>
      </c>
      <c r="C1885" s="1" t="n">
        <v>45726</v>
      </c>
      <c r="D1885" t="inlineStr">
        <is>
          <t>VÄRMLANDS LÄN</t>
        </is>
      </c>
      <c r="E1885" t="inlineStr">
        <is>
          <t>TORSBY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54162-2023</t>
        </is>
      </c>
      <c r="B1886" s="1" t="n">
        <v>45232</v>
      </c>
      <c r="C1886" s="1" t="n">
        <v>45726</v>
      </c>
      <c r="D1886" t="inlineStr">
        <is>
          <t>VÄRMLANDS LÄN</t>
        </is>
      </c>
      <c r="E1886" t="inlineStr">
        <is>
          <t>TORSBY</t>
        </is>
      </c>
      <c r="F1886" t="inlineStr">
        <is>
          <t>Bergvik skog väst AB</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54262-2023</t>
        </is>
      </c>
      <c r="B1887" s="1" t="n">
        <v>45232</v>
      </c>
      <c r="C1887" s="1" t="n">
        <v>45726</v>
      </c>
      <c r="D1887" t="inlineStr">
        <is>
          <t>VÄRMLANDS LÄN</t>
        </is>
      </c>
      <c r="E1887" t="inlineStr">
        <is>
          <t>TORSBY</t>
        </is>
      </c>
      <c r="F1887" t="inlineStr">
        <is>
          <t>Bergvik skog väst AB</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54223-2023</t>
        </is>
      </c>
      <c r="B1888" s="1" t="n">
        <v>45232</v>
      </c>
      <c r="C1888" s="1" t="n">
        <v>45726</v>
      </c>
      <c r="D1888" t="inlineStr">
        <is>
          <t>VÄRMLANDS LÄN</t>
        </is>
      </c>
      <c r="E1888" t="inlineStr">
        <is>
          <t>TORSBY</t>
        </is>
      </c>
      <c r="F1888" t="inlineStr">
        <is>
          <t>Bergvik skog väst AB</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54191-2023</t>
        </is>
      </c>
      <c r="B1889" s="1" t="n">
        <v>45232</v>
      </c>
      <c r="C1889" s="1" t="n">
        <v>45726</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54204-2023</t>
        </is>
      </c>
      <c r="B1890" s="1" t="n">
        <v>45232</v>
      </c>
      <c r="C1890" s="1" t="n">
        <v>45726</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54556-2023</t>
        </is>
      </c>
      <c r="B1891" s="1" t="n">
        <v>45233</v>
      </c>
      <c r="C1891" s="1" t="n">
        <v>45726</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54551-2023</t>
        </is>
      </c>
      <c r="B1892" s="1" t="n">
        <v>45233</v>
      </c>
      <c r="C1892" s="1" t="n">
        <v>45726</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54442-2023</t>
        </is>
      </c>
      <c r="B1893" s="1" t="n">
        <v>45233</v>
      </c>
      <c r="C1893" s="1" t="n">
        <v>45726</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54386-2023</t>
        </is>
      </c>
      <c r="B1894" s="1" t="n">
        <v>45233</v>
      </c>
      <c r="C1894" s="1" t="n">
        <v>45726</v>
      </c>
      <c r="D1894" t="inlineStr">
        <is>
          <t>VÄRMLANDS LÄN</t>
        </is>
      </c>
      <c r="E1894" t="inlineStr">
        <is>
          <t>TORSBY</t>
        </is>
      </c>
      <c r="F1894" t="inlineStr">
        <is>
          <t>Bergvik skog väst AB</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54528-2023</t>
        </is>
      </c>
      <c r="B1895" s="1" t="n">
        <v>45233</v>
      </c>
      <c r="C1895" s="1" t="n">
        <v>45726</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54562-2023</t>
        </is>
      </c>
      <c r="B1896" s="1" t="n">
        <v>45233</v>
      </c>
      <c r="C1896" s="1" t="n">
        <v>45726</v>
      </c>
      <c r="D1896" t="inlineStr">
        <is>
          <t>VÄRMLANDS LÄN</t>
        </is>
      </c>
      <c r="E1896" t="inlineStr">
        <is>
          <t>TORSBY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54532-2023</t>
        </is>
      </c>
      <c r="B1897" s="1" t="n">
        <v>45233</v>
      </c>
      <c r="C1897" s="1" t="n">
        <v>45726</v>
      </c>
      <c r="D1897" t="inlineStr">
        <is>
          <t>VÄRMLANDS LÄN</t>
        </is>
      </c>
      <c r="E1897" t="inlineStr">
        <is>
          <t>TORSBY</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54525-2023</t>
        </is>
      </c>
      <c r="B1898" s="1" t="n">
        <v>45233</v>
      </c>
      <c r="C1898" s="1" t="n">
        <v>45726</v>
      </c>
      <c r="D1898" t="inlineStr">
        <is>
          <t>VÄRMLANDS LÄN</t>
        </is>
      </c>
      <c r="E1898" t="inlineStr">
        <is>
          <t>TORSBY</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54487-2023</t>
        </is>
      </c>
      <c r="B1899" s="1" t="n">
        <v>45233</v>
      </c>
      <c r="C1899" s="1" t="n">
        <v>45726</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54409-2023</t>
        </is>
      </c>
      <c r="B1900" s="1" t="n">
        <v>45233</v>
      </c>
      <c r="C1900" s="1" t="n">
        <v>45726</v>
      </c>
      <c r="D1900" t="inlineStr">
        <is>
          <t>VÄRMLANDS LÄN</t>
        </is>
      </c>
      <c r="E1900" t="inlineStr">
        <is>
          <t>TORSBY</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54714-2023</t>
        </is>
      </c>
      <c r="B1901" s="1" t="n">
        <v>45236</v>
      </c>
      <c r="C1901" s="1" t="n">
        <v>45726</v>
      </c>
      <c r="D1901" t="inlineStr">
        <is>
          <t>VÄRMLANDS LÄN</t>
        </is>
      </c>
      <c r="E1901" t="inlineStr">
        <is>
          <t>TORSBY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54766-2023</t>
        </is>
      </c>
      <c r="B1902" s="1" t="n">
        <v>45236</v>
      </c>
      <c r="C1902" s="1" t="n">
        <v>45726</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54777-2023</t>
        </is>
      </c>
      <c r="B1903" s="1" t="n">
        <v>45236</v>
      </c>
      <c r="C1903" s="1" t="n">
        <v>45726</v>
      </c>
      <c r="D1903" t="inlineStr">
        <is>
          <t>VÄRMLANDS LÄN</t>
        </is>
      </c>
      <c r="E1903" t="inlineStr">
        <is>
          <t>TORSBY</t>
        </is>
      </c>
      <c r="F1903" t="inlineStr">
        <is>
          <t>Bergvik skog väst AB</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54876-2023</t>
        </is>
      </c>
      <c r="B1904" s="1" t="n">
        <v>45236</v>
      </c>
      <c r="C1904" s="1" t="n">
        <v>45726</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54708-2023</t>
        </is>
      </c>
      <c r="B1905" s="1" t="n">
        <v>45236</v>
      </c>
      <c r="C1905" s="1" t="n">
        <v>45726</v>
      </c>
      <c r="D1905" t="inlineStr">
        <is>
          <t>VÄRMLANDS LÄN</t>
        </is>
      </c>
      <c r="E1905" t="inlineStr">
        <is>
          <t>TORSBY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55031-2023</t>
        </is>
      </c>
      <c r="B1906" s="1" t="n">
        <v>45237</v>
      </c>
      <c r="C1906" s="1" t="n">
        <v>45726</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55100-2023</t>
        </is>
      </c>
      <c r="B1907" s="1" t="n">
        <v>45237</v>
      </c>
      <c r="C1907" s="1" t="n">
        <v>45726</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55401-2023</t>
        </is>
      </c>
      <c r="B1908" s="1" t="n">
        <v>45238</v>
      </c>
      <c r="C1908" s="1" t="n">
        <v>45726</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55461-2023</t>
        </is>
      </c>
      <c r="B1909" s="1" t="n">
        <v>45238</v>
      </c>
      <c r="C1909" s="1" t="n">
        <v>45726</v>
      </c>
      <c r="D1909" t="inlineStr">
        <is>
          <t>VÄRMLANDS LÄN</t>
        </is>
      </c>
      <c r="E1909" t="inlineStr">
        <is>
          <t>TORSBY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55480-2023</t>
        </is>
      </c>
      <c r="B1910" s="1" t="n">
        <v>45238</v>
      </c>
      <c r="C1910" s="1" t="n">
        <v>45726</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55485-2023</t>
        </is>
      </c>
      <c r="B1911" s="1" t="n">
        <v>45238</v>
      </c>
      <c r="C1911" s="1" t="n">
        <v>45726</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55478-2023</t>
        </is>
      </c>
      <c r="B1912" s="1" t="n">
        <v>45238</v>
      </c>
      <c r="C1912" s="1" t="n">
        <v>45726</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55522-2023</t>
        </is>
      </c>
      <c r="B1913" s="1" t="n">
        <v>45238</v>
      </c>
      <c r="C1913" s="1" t="n">
        <v>45726</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55527-2023</t>
        </is>
      </c>
      <c r="B1914" s="1" t="n">
        <v>45238</v>
      </c>
      <c r="C1914" s="1" t="n">
        <v>45726</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56716-2023</t>
        </is>
      </c>
      <c r="B1915" s="1" t="n">
        <v>45238</v>
      </c>
      <c r="C1915" s="1" t="n">
        <v>45726</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56712-2023</t>
        </is>
      </c>
      <c r="B1916" s="1" t="n">
        <v>45238</v>
      </c>
      <c r="C1916" s="1" t="n">
        <v>45726</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55447-2023</t>
        </is>
      </c>
      <c r="B1917" s="1" t="n">
        <v>45238</v>
      </c>
      <c r="C1917" s="1" t="n">
        <v>45726</v>
      </c>
      <c r="D1917" t="inlineStr">
        <is>
          <t>VÄRMLANDS LÄN</t>
        </is>
      </c>
      <c r="E1917" t="inlineStr">
        <is>
          <t>TORSBY</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56714-2023</t>
        </is>
      </c>
      <c r="B1918" s="1" t="n">
        <v>45238</v>
      </c>
      <c r="C1918" s="1" t="n">
        <v>45726</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55759-2023</t>
        </is>
      </c>
      <c r="B1919" s="1" t="n">
        <v>45239</v>
      </c>
      <c r="C1919" s="1" t="n">
        <v>45726</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57092-2023</t>
        </is>
      </c>
      <c r="B1920" s="1" t="n">
        <v>45239</v>
      </c>
      <c r="C1920" s="1" t="n">
        <v>45726</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57091-2023</t>
        </is>
      </c>
      <c r="B1921" s="1" t="n">
        <v>45239</v>
      </c>
      <c r="C1921" s="1" t="n">
        <v>45726</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56889-2023</t>
        </is>
      </c>
      <c r="B1922" s="1" t="n">
        <v>45239</v>
      </c>
      <c r="C1922" s="1" t="n">
        <v>45726</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55727-2023</t>
        </is>
      </c>
      <c r="B1923" s="1" t="n">
        <v>45239</v>
      </c>
      <c r="C1923" s="1" t="n">
        <v>45726</v>
      </c>
      <c r="D1923" t="inlineStr">
        <is>
          <t>VÄRMLANDS LÄN</t>
        </is>
      </c>
      <c r="E1923" t="inlineStr">
        <is>
          <t>TORSBY</t>
        </is>
      </c>
      <c r="F1923" t="inlineStr">
        <is>
          <t>Bergvik skog väst AB</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56164-2023</t>
        </is>
      </c>
      <c r="B1924" s="1" t="n">
        <v>45240</v>
      </c>
      <c r="C1924" s="1" t="n">
        <v>45726</v>
      </c>
      <c r="D1924" t="inlineStr">
        <is>
          <t>VÄRMLANDS LÄN</t>
        </is>
      </c>
      <c r="E1924" t="inlineStr">
        <is>
          <t>TORSBY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56170-2023</t>
        </is>
      </c>
      <c r="B1925" s="1" t="n">
        <v>45240</v>
      </c>
      <c r="C1925" s="1" t="n">
        <v>45726</v>
      </c>
      <c r="D1925" t="inlineStr">
        <is>
          <t>VÄRMLANDS LÄN</t>
        </is>
      </c>
      <c r="E1925" t="inlineStr">
        <is>
          <t>TORSBY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56116-2023</t>
        </is>
      </c>
      <c r="B1926" s="1" t="n">
        <v>45240</v>
      </c>
      <c r="C1926" s="1" t="n">
        <v>45726</v>
      </c>
      <c r="D1926" t="inlineStr">
        <is>
          <t>VÄRMLANDS LÄN</t>
        </is>
      </c>
      <c r="E1926" t="inlineStr">
        <is>
          <t>TORSBY</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56021-2023</t>
        </is>
      </c>
      <c r="B1927" s="1" t="n">
        <v>45240</v>
      </c>
      <c r="C1927" s="1" t="n">
        <v>45726</v>
      </c>
      <c r="D1927" t="inlineStr">
        <is>
          <t>VÄRMLANDS LÄN</t>
        </is>
      </c>
      <c r="E1927" t="inlineStr">
        <is>
          <t>TORSBY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56426-2023</t>
        </is>
      </c>
      <c r="B1928" s="1" t="n">
        <v>45243</v>
      </c>
      <c r="C1928" s="1" t="n">
        <v>45726</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56724-2023</t>
        </is>
      </c>
      <c r="B1929" s="1" t="n">
        <v>45244</v>
      </c>
      <c r="C1929" s="1" t="n">
        <v>45726</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56880-2023</t>
        </is>
      </c>
      <c r="B1930" s="1" t="n">
        <v>45244</v>
      </c>
      <c r="C1930" s="1" t="n">
        <v>45726</v>
      </c>
      <c r="D1930" t="inlineStr">
        <is>
          <t>VÄRMLANDS LÄN</t>
        </is>
      </c>
      <c r="E1930" t="inlineStr">
        <is>
          <t>TORSBY</t>
        </is>
      </c>
      <c r="F1930" t="inlineStr">
        <is>
          <t>Övriga Aktiebolag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56881-2023</t>
        </is>
      </c>
      <c r="B1931" s="1" t="n">
        <v>45244</v>
      </c>
      <c r="C1931" s="1" t="n">
        <v>45726</v>
      </c>
      <c r="D1931" t="inlineStr">
        <is>
          <t>VÄRMLANDS LÄN</t>
        </is>
      </c>
      <c r="E1931" t="inlineStr">
        <is>
          <t>TORSBY</t>
        </is>
      </c>
      <c r="F1931" t="inlineStr">
        <is>
          <t>Övriga Aktiebolag</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56875-2023</t>
        </is>
      </c>
      <c r="B1932" s="1" t="n">
        <v>45244</v>
      </c>
      <c r="C1932" s="1" t="n">
        <v>45726</v>
      </c>
      <c r="D1932" t="inlineStr">
        <is>
          <t>VÄRMLANDS LÄN</t>
        </is>
      </c>
      <c r="E1932" t="inlineStr">
        <is>
          <t>TORSBY</t>
        </is>
      </c>
      <c r="F1932" t="inlineStr">
        <is>
          <t>Övriga Aktiebolag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56811-2023</t>
        </is>
      </c>
      <c r="B1933" s="1" t="n">
        <v>45244</v>
      </c>
      <c r="C1933" s="1" t="n">
        <v>45726</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56815-2023</t>
        </is>
      </c>
      <c r="B1934" s="1" t="n">
        <v>45244</v>
      </c>
      <c r="C1934" s="1" t="n">
        <v>45726</v>
      </c>
      <c r="D1934" t="inlineStr">
        <is>
          <t>VÄRMLANDS LÄN</t>
        </is>
      </c>
      <c r="E1934" t="inlineStr">
        <is>
          <t>TORSBY</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56902-2023</t>
        </is>
      </c>
      <c r="B1935" s="1" t="n">
        <v>45244</v>
      </c>
      <c r="C1935" s="1" t="n">
        <v>45726</v>
      </c>
      <c r="D1935" t="inlineStr">
        <is>
          <t>VÄRMLANDS LÄN</t>
        </is>
      </c>
      <c r="E1935" t="inlineStr">
        <is>
          <t>TORSBY</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56970-2023</t>
        </is>
      </c>
      <c r="B1936" s="1" t="n">
        <v>45244</v>
      </c>
      <c r="C1936" s="1" t="n">
        <v>45726</v>
      </c>
      <c r="D1936" t="inlineStr">
        <is>
          <t>VÄRMLANDS LÄN</t>
        </is>
      </c>
      <c r="E1936" t="inlineStr">
        <is>
          <t>TORSBY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57017-2023</t>
        </is>
      </c>
      <c r="B1937" s="1" t="n">
        <v>45244</v>
      </c>
      <c r="C1937" s="1" t="n">
        <v>45726</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57117-2023</t>
        </is>
      </c>
      <c r="B1938" s="1" t="n">
        <v>45245</v>
      </c>
      <c r="C1938" s="1" t="n">
        <v>45726</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57143-2023</t>
        </is>
      </c>
      <c r="B1939" s="1" t="n">
        <v>45245</v>
      </c>
      <c r="C1939" s="1" t="n">
        <v>45726</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57345-2023</t>
        </is>
      </c>
      <c r="B1940" s="1" t="n">
        <v>45245</v>
      </c>
      <c r="C1940" s="1" t="n">
        <v>45726</v>
      </c>
      <c r="D1940" t="inlineStr">
        <is>
          <t>VÄRMLANDS LÄN</t>
        </is>
      </c>
      <c r="E1940" t="inlineStr">
        <is>
          <t>TORSBY</t>
        </is>
      </c>
      <c r="F1940" t="inlineStr">
        <is>
          <t>Bergvik skog väst AB</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57135-2023</t>
        </is>
      </c>
      <c r="B1941" s="1" t="n">
        <v>45245</v>
      </c>
      <c r="C1941" s="1" t="n">
        <v>45726</v>
      </c>
      <c r="D1941" t="inlineStr">
        <is>
          <t>VÄRMLANDS LÄN</t>
        </is>
      </c>
      <c r="E1941" t="inlineStr">
        <is>
          <t>TORSBY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57216-2023</t>
        </is>
      </c>
      <c r="B1942" s="1" t="n">
        <v>45245</v>
      </c>
      <c r="C1942" s="1" t="n">
        <v>45726</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57538-2023</t>
        </is>
      </c>
      <c r="B1943" s="1" t="n">
        <v>45246</v>
      </c>
      <c r="C1943" s="1" t="n">
        <v>45726</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57547-2023</t>
        </is>
      </c>
      <c r="B1944" s="1" t="n">
        <v>45246</v>
      </c>
      <c r="C1944" s="1" t="n">
        <v>45726</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57569-2023</t>
        </is>
      </c>
      <c r="B1945" s="1" t="n">
        <v>45246</v>
      </c>
      <c r="C1945" s="1" t="n">
        <v>45726</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57647-2023</t>
        </is>
      </c>
      <c r="B1946" s="1" t="n">
        <v>45246</v>
      </c>
      <c r="C1946" s="1" t="n">
        <v>45726</v>
      </c>
      <c r="D1946" t="inlineStr">
        <is>
          <t>VÄRMLANDS LÄN</t>
        </is>
      </c>
      <c r="E1946" t="inlineStr">
        <is>
          <t>TORSBY</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57642-2023</t>
        </is>
      </c>
      <c r="B1947" s="1" t="n">
        <v>45246</v>
      </c>
      <c r="C1947" s="1" t="n">
        <v>45726</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57921-2023</t>
        </is>
      </c>
      <c r="B1948" s="1" t="n">
        <v>45247</v>
      </c>
      <c r="C1948" s="1" t="n">
        <v>45726</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58013-2023</t>
        </is>
      </c>
      <c r="B1949" s="1" t="n">
        <v>45247</v>
      </c>
      <c r="C1949" s="1" t="n">
        <v>45726</v>
      </c>
      <c r="D1949" t="inlineStr">
        <is>
          <t>VÄRMLANDS LÄN</t>
        </is>
      </c>
      <c r="E1949" t="inlineStr">
        <is>
          <t>TORSBY</t>
        </is>
      </c>
      <c r="F1949" t="inlineStr">
        <is>
          <t>Bergvik skog väst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57980-2023</t>
        </is>
      </c>
      <c r="B1950" s="1" t="n">
        <v>45247</v>
      </c>
      <c r="C1950" s="1" t="n">
        <v>45726</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57990-2023</t>
        </is>
      </c>
      <c r="B1951" s="1" t="n">
        <v>45247</v>
      </c>
      <c r="C1951" s="1" t="n">
        <v>45726</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58037-2023</t>
        </is>
      </c>
      <c r="B1952" s="1" t="n">
        <v>45247</v>
      </c>
      <c r="C1952" s="1" t="n">
        <v>45726</v>
      </c>
      <c r="D1952" t="inlineStr">
        <is>
          <t>VÄRMLANDS LÄN</t>
        </is>
      </c>
      <c r="E1952" t="inlineStr">
        <is>
          <t>TORSBY</t>
        </is>
      </c>
      <c r="F1952" t="inlineStr">
        <is>
          <t>Bergvik skog väst AB</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58600-2023</t>
        </is>
      </c>
      <c r="B1953" s="1" t="n">
        <v>45247</v>
      </c>
      <c r="C1953" s="1" t="n">
        <v>45726</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58185-2023</t>
        </is>
      </c>
      <c r="B1954" s="1" t="n">
        <v>45250</v>
      </c>
      <c r="C1954" s="1" t="n">
        <v>45726</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58386-2023</t>
        </is>
      </c>
      <c r="B1955" s="1" t="n">
        <v>45250</v>
      </c>
      <c r="C1955" s="1" t="n">
        <v>45726</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58430-2023</t>
        </is>
      </c>
      <c r="B1956" s="1" t="n">
        <v>45250</v>
      </c>
      <c r="C1956" s="1" t="n">
        <v>45726</v>
      </c>
      <c r="D1956" t="inlineStr">
        <is>
          <t>VÄRMLANDS LÄN</t>
        </is>
      </c>
      <c r="E1956" t="inlineStr">
        <is>
          <t>TORSBY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58438-2023</t>
        </is>
      </c>
      <c r="B1957" s="1" t="n">
        <v>45250</v>
      </c>
      <c r="C1957" s="1" t="n">
        <v>45726</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58394-2023</t>
        </is>
      </c>
      <c r="B1958" s="1" t="n">
        <v>45250</v>
      </c>
      <c r="C1958" s="1" t="n">
        <v>45726</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58235-2023</t>
        </is>
      </c>
      <c r="B1959" s="1" t="n">
        <v>45250</v>
      </c>
      <c r="C1959" s="1" t="n">
        <v>45726</v>
      </c>
      <c r="D1959" t="inlineStr">
        <is>
          <t>VÄRMLANDS LÄN</t>
        </is>
      </c>
      <c r="E1959" t="inlineStr">
        <is>
          <t>TORSBY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58429-2023</t>
        </is>
      </c>
      <c r="B1960" s="1" t="n">
        <v>45250</v>
      </c>
      <c r="C1960" s="1" t="n">
        <v>45726</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58378-2023</t>
        </is>
      </c>
      <c r="B1961" s="1" t="n">
        <v>45250</v>
      </c>
      <c r="C1961" s="1" t="n">
        <v>45726</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58383-2023</t>
        </is>
      </c>
      <c r="B1962" s="1" t="n">
        <v>45250</v>
      </c>
      <c r="C1962" s="1" t="n">
        <v>45726</v>
      </c>
      <c r="D1962" t="inlineStr">
        <is>
          <t>VÄRMLANDS LÄN</t>
        </is>
      </c>
      <c r="E1962" t="inlineStr">
        <is>
          <t>TORSBY</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59256-2023</t>
        </is>
      </c>
      <c r="B1963" s="1" t="n">
        <v>45251</v>
      </c>
      <c r="C1963" s="1" t="n">
        <v>45726</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59239-2023</t>
        </is>
      </c>
      <c r="B1964" s="1" t="n">
        <v>45253</v>
      </c>
      <c r="C1964" s="1" t="n">
        <v>45726</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59236-2023</t>
        </is>
      </c>
      <c r="B1965" s="1" t="n">
        <v>45253</v>
      </c>
      <c r="C1965" s="1" t="n">
        <v>45726</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59488-2023</t>
        </is>
      </c>
      <c r="B1966" s="1" t="n">
        <v>45254</v>
      </c>
      <c r="C1966" s="1" t="n">
        <v>45726</v>
      </c>
      <c r="D1966" t="inlineStr">
        <is>
          <t>VÄRMLANDS LÄN</t>
        </is>
      </c>
      <c r="E1966" t="inlineStr">
        <is>
          <t>TORSBY</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59781-2023</t>
        </is>
      </c>
      <c r="B1967" s="1" t="n">
        <v>45257</v>
      </c>
      <c r="C1967" s="1" t="n">
        <v>45726</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59941-2023</t>
        </is>
      </c>
      <c r="B1968" s="1" t="n">
        <v>45257</v>
      </c>
      <c r="C1968" s="1" t="n">
        <v>45726</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59872-2023</t>
        </is>
      </c>
      <c r="B1969" s="1" t="n">
        <v>45257</v>
      </c>
      <c r="C1969" s="1" t="n">
        <v>45726</v>
      </c>
      <c r="D1969" t="inlineStr">
        <is>
          <t>VÄRMLANDS LÄN</t>
        </is>
      </c>
      <c r="E1969" t="inlineStr">
        <is>
          <t>TORSBY</t>
        </is>
      </c>
      <c r="F1969" t="inlineStr">
        <is>
          <t>Bergvik skog väst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60058-2023</t>
        </is>
      </c>
      <c r="B1970" s="1" t="n">
        <v>45258</v>
      </c>
      <c r="C1970" s="1" t="n">
        <v>45726</v>
      </c>
      <c r="D1970" t="inlineStr">
        <is>
          <t>VÄRMLANDS LÄN</t>
        </is>
      </c>
      <c r="E1970" t="inlineStr">
        <is>
          <t>TORSBY</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60046-2023</t>
        </is>
      </c>
      <c r="B1971" s="1" t="n">
        <v>45258</v>
      </c>
      <c r="C1971" s="1" t="n">
        <v>45726</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60100-2023</t>
        </is>
      </c>
      <c r="B1972" s="1" t="n">
        <v>45258</v>
      </c>
      <c r="C1972" s="1" t="n">
        <v>45726</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60088-2023</t>
        </is>
      </c>
      <c r="B1973" s="1" t="n">
        <v>45258</v>
      </c>
      <c r="C1973" s="1" t="n">
        <v>45726</v>
      </c>
      <c r="D1973" t="inlineStr">
        <is>
          <t>VÄRMLANDS LÄN</t>
        </is>
      </c>
      <c r="E1973" t="inlineStr">
        <is>
          <t>TORSBY</t>
        </is>
      </c>
      <c r="F1973" t="inlineStr">
        <is>
          <t>Bergvik skog väst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60133-2023</t>
        </is>
      </c>
      <c r="B1974" s="1" t="n">
        <v>45258</v>
      </c>
      <c r="C1974" s="1" t="n">
        <v>45726</v>
      </c>
      <c r="D1974" t="inlineStr">
        <is>
          <t>VÄRMLANDS LÄN</t>
        </is>
      </c>
      <c r="E1974" t="inlineStr">
        <is>
          <t>TORSBY</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60314-2023</t>
        </is>
      </c>
      <c r="B1975" s="1" t="n">
        <v>45258</v>
      </c>
      <c r="C1975" s="1" t="n">
        <v>45726</v>
      </c>
      <c r="D1975" t="inlineStr">
        <is>
          <t>VÄRMLANDS LÄN</t>
        </is>
      </c>
      <c r="E1975" t="inlineStr">
        <is>
          <t>TORSBY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60523-2023</t>
        </is>
      </c>
      <c r="B1976" s="1" t="n">
        <v>45259</v>
      </c>
      <c r="C1976" s="1" t="n">
        <v>45726</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60486-2023</t>
        </is>
      </c>
      <c r="B1977" s="1" t="n">
        <v>45259</v>
      </c>
      <c r="C1977" s="1" t="n">
        <v>45726</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60525-2023</t>
        </is>
      </c>
      <c r="B1978" s="1" t="n">
        <v>45259</v>
      </c>
      <c r="C1978" s="1" t="n">
        <v>45726</v>
      </c>
      <c r="D1978" t="inlineStr">
        <is>
          <t>VÄRMLANDS LÄN</t>
        </is>
      </c>
      <c r="E1978" t="inlineStr">
        <is>
          <t>TORSBY</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61157-2023</t>
        </is>
      </c>
      <c r="B1979" s="1" t="n">
        <v>45262</v>
      </c>
      <c r="C1979" s="1" t="n">
        <v>45726</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61164-2023</t>
        </is>
      </c>
      <c r="B1980" s="1" t="n">
        <v>45262</v>
      </c>
      <c r="C1980" s="1" t="n">
        <v>45726</v>
      </c>
      <c r="D1980" t="inlineStr">
        <is>
          <t>VÄRMLANDS LÄN</t>
        </is>
      </c>
      <c r="E1980" t="inlineStr">
        <is>
          <t>TORSBY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61229-2023</t>
        </is>
      </c>
      <c r="B1981" s="1" t="n">
        <v>45264</v>
      </c>
      <c r="C1981" s="1" t="n">
        <v>45726</v>
      </c>
      <c r="D1981" t="inlineStr">
        <is>
          <t>VÄRMLANDS LÄN</t>
        </is>
      </c>
      <c r="E1981" t="inlineStr">
        <is>
          <t>TORSBY</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61256-2023</t>
        </is>
      </c>
      <c r="B1982" s="1" t="n">
        <v>45264</v>
      </c>
      <c r="C1982" s="1" t="n">
        <v>45726</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61370-2023</t>
        </is>
      </c>
      <c r="B1983" s="1" t="n">
        <v>45264</v>
      </c>
      <c r="C1983" s="1" t="n">
        <v>45726</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61923-2023</t>
        </is>
      </c>
      <c r="B1984" s="1" t="n">
        <v>45266</v>
      </c>
      <c r="C1984" s="1" t="n">
        <v>45726</v>
      </c>
      <c r="D1984" t="inlineStr">
        <is>
          <t>VÄRMLANDS LÄN</t>
        </is>
      </c>
      <c r="E1984" t="inlineStr">
        <is>
          <t>TORSBY</t>
        </is>
      </c>
      <c r="F1984" t="inlineStr">
        <is>
          <t>Kommuner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61921-2023</t>
        </is>
      </c>
      <c r="B1985" s="1" t="n">
        <v>45266</v>
      </c>
      <c r="C1985" s="1" t="n">
        <v>45726</v>
      </c>
      <c r="D1985" t="inlineStr">
        <is>
          <t>VÄRMLANDS LÄN</t>
        </is>
      </c>
      <c r="E1985" t="inlineStr">
        <is>
          <t>TORSBY</t>
        </is>
      </c>
      <c r="F1985" t="inlineStr">
        <is>
          <t>Kommuner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62037-2023</t>
        </is>
      </c>
      <c r="B1986" s="1" t="n">
        <v>45266</v>
      </c>
      <c r="C1986" s="1" t="n">
        <v>45726</v>
      </c>
      <c r="D1986" t="inlineStr">
        <is>
          <t>VÄRMLANDS LÄN</t>
        </is>
      </c>
      <c r="E1986" t="inlineStr">
        <is>
          <t>TORSBY</t>
        </is>
      </c>
      <c r="F1986" t="inlineStr">
        <is>
          <t>Bergvik skog väst AB</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62258-2023</t>
        </is>
      </c>
      <c r="B1987" s="1" t="n">
        <v>45266</v>
      </c>
      <c r="C1987" s="1" t="n">
        <v>45726</v>
      </c>
      <c r="D1987" t="inlineStr">
        <is>
          <t>VÄRMLANDS LÄN</t>
        </is>
      </c>
      <c r="E1987" t="inlineStr">
        <is>
          <t>TORSBY</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62250-2023</t>
        </is>
      </c>
      <c r="B1988" s="1" t="n">
        <v>45266</v>
      </c>
      <c r="C1988" s="1" t="n">
        <v>45726</v>
      </c>
      <c r="D1988" t="inlineStr">
        <is>
          <t>VÄRMLANDS LÄN</t>
        </is>
      </c>
      <c r="E1988" t="inlineStr">
        <is>
          <t>TORSBY</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62274-2023</t>
        </is>
      </c>
      <c r="B1989" s="1" t="n">
        <v>45267</v>
      </c>
      <c r="C1989" s="1" t="n">
        <v>45726</v>
      </c>
      <c r="D1989" t="inlineStr">
        <is>
          <t>VÄRMLANDS LÄN</t>
        </is>
      </c>
      <c r="E1989" t="inlineStr">
        <is>
          <t>TORSBY</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62168-2023</t>
        </is>
      </c>
      <c r="B1990" s="1" t="n">
        <v>45267</v>
      </c>
      <c r="C1990" s="1" t="n">
        <v>45726</v>
      </c>
      <c r="D1990" t="inlineStr">
        <is>
          <t>VÄRMLANDS LÄN</t>
        </is>
      </c>
      <c r="E1990" t="inlineStr">
        <is>
          <t>TORSBY</t>
        </is>
      </c>
      <c r="F1990" t="inlineStr">
        <is>
          <t>Kommuner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62210-2023</t>
        </is>
      </c>
      <c r="B1991" s="1" t="n">
        <v>45267</v>
      </c>
      <c r="C1991" s="1" t="n">
        <v>45726</v>
      </c>
      <c r="D1991" t="inlineStr">
        <is>
          <t>VÄRMLANDS LÄN</t>
        </is>
      </c>
      <c r="E1991" t="inlineStr">
        <is>
          <t>TORSBY</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62236-2023</t>
        </is>
      </c>
      <c r="B1992" s="1" t="n">
        <v>45267</v>
      </c>
      <c r="C1992" s="1" t="n">
        <v>45726</v>
      </c>
      <c r="D1992" t="inlineStr">
        <is>
          <t>VÄRMLANDS LÄN</t>
        </is>
      </c>
      <c r="E1992" t="inlineStr">
        <is>
          <t>TORSBY</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62240-2023</t>
        </is>
      </c>
      <c r="B1993" s="1" t="n">
        <v>45267</v>
      </c>
      <c r="C1993" s="1" t="n">
        <v>45726</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62317-2023</t>
        </is>
      </c>
      <c r="B1994" s="1" t="n">
        <v>45267</v>
      </c>
      <c r="C1994" s="1" t="n">
        <v>45726</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62507-2023</t>
        </is>
      </c>
      <c r="B1995" s="1" t="n">
        <v>45267</v>
      </c>
      <c r="C1995" s="1" t="n">
        <v>45726</v>
      </c>
      <c r="D1995" t="inlineStr">
        <is>
          <t>VÄRMLANDS LÄN</t>
        </is>
      </c>
      <c r="E1995" t="inlineStr">
        <is>
          <t>TORSBY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62387-2023</t>
        </is>
      </c>
      <c r="B1996" s="1" t="n">
        <v>45268</v>
      </c>
      <c r="C1996" s="1" t="n">
        <v>45726</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62445-2023</t>
        </is>
      </c>
      <c r="B1997" s="1" t="n">
        <v>45268</v>
      </c>
      <c r="C1997" s="1" t="n">
        <v>45726</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62510-2023</t>
        </is>
      </c>
      <c r="B1998" s="1" t="n">
        <v>45268</v>
      </c>
      <c r="C1998" s="1" t="n">
        <v>45726</v>
      </c>
      <c r="D1998" t="inlineStr">
        <is>
          <t>VÄRMLANDS LÄN</t>
        </is>
      </c>
      <c r="E1998" t="inlineStr">
        <is>
          <t>TORSBY</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62618-2023</t>
        </is>
      </c>
      <c r="B1999" s="1" t="n">
        <v>45271</v>
      </c>
      <c r="C1999" s="1" t="n">
        <v>45726</v>
      </c>
      <c r="D1999" t="inlineStr">
        <is>
          <t>VÄRMLANDS LÄN</t>
        </is>
      </c>
      <c r="E1999" t="inlineStr">
        <is>
          <t>TORSBY</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62957-2023</t>
        </is>
      </c>
      <c r="B2000" s="1" t="n">
        <v>45271</v>
      </c>
      <c r="C2000" s="1" t="n">
        <v>45726</v>
      </c>
      <c r="D2000" t="inlineStr">
        <is>
          <t>VÄRMLANDS LÄN</t>
        </is>
      </c>
      <c r="E2000" t="inlineStr">
        <is>
          <t>TORSBY</t>
        </is>
      </c>
      <c r="F2000" t="inlineStr">
        <is>
          <t>Övriga statliga verk och myndigheter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62950-2023</t>
        </is>
      </c>
      <c r="B2001" s="1" t="n">
        <v>45271</v>
      </c>
      <c r="C2001" s="1" t="n">
        <v>45726</v>
      </c>
      <c r="D2001" t="inlineStr">
        <is>
          <t>VÄRMLANDS LÄN</t>
        </is>
      </c>
      <c r="E2001" t="inlineStr">
        <is>
          <t>TORSBY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63030-2023</t>
        </is>
      </c>
      <c r="B2002" s="1" t="n">
        <v>45272</v>
      </c>
      <c r="C2002" s="1" t="n">
        <v>45726</v>
      </c>
      <c r="D2002" t="inlineStr">
        <is>
          <t>VÄRMLANDS LÄN</t>
        </is>
      </c>
      <c r="E2002" t="inlineStr">
        <is>
          <t>TORSBY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63031-2023</t>
        </is>
      </c>
      <c r="B2003" s="1" t="n">
        <v>45272</v>
      </c>
      <c r="C2003" s="1" t="n">
        <v>45726</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63028-2023</t>
        </is>
      </c>
      <c r="B2004" s="1" t="n">
        <v>45272</v>
      </c>
      <c r="C2004" s="1" t="n">
        <v>45726</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63032-2023</t>
        </is>
      </c>
      <c r="B2005" s="1" t="n">
        <v>45272</v>
      </c>
      <c r="C2005" s="1" t="n">
        <v>45726</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63177-2023</t>
        </is>
      </c>
      <c r="B2006" s="1" t="n">
        <v>45272</v>
      </c>
      <c r="C2006" s="1" t="n">
        <v>45726</v>
      </c>
      <c r="D2006" t="inlineStr">
        <is>
          <t>VÄRMLANDS LÄN</t>
        </is>
      </c>
      <c r="E2006" t="inlineStr">
        <is>
          <t>TORSBY</t>
        </is>
      </c>
      <c r="G2006" t="n">
        <v>14.9</v>
      </c>
      <c r="H2006" t="n">
        <v>0</v>
      </c>
      <c r="I2006" t="n">
        <v>0</v>
      </c>
      <c r="J2006" t="n">
        <v>0</v>
      </c>
      <c r="K2006" t="n">
        <v>0</v>
      </c>
      <c r="L2006" t="n">
        <v>0</v>
      </c>
      <c r="M2006" t="n">
        <v>0</v>
      </c>
      <c r="N2006" t="n">
        <v>0</v>
      </c>
      <c r="O2006" t="n">
        <v>0</v>
      </c>
      <c r="P2006" t="n">
        <v>0</v>
      </c>
      <c r="Q2006" t="n">
        <v>0</v>
      </c>
      <c r="R2006" s="2" t="inlineStr"/>
    </row>
    <row r="2007" ht="15" customHeight="1">
      <c r="A2007" t="inlineStr">
        <is>
          <t>A 63160-2023</t>
        </is>
      </c>
      <c r="B2007" s="1" t="n">
        <v>45273</v>
      </c>
      <c r="C2007" s="1" t="n">
        <v>45726</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63146-2023</t>
        </is>
      </c>
      <c r="B2008" s="1" t="n">
        <v>45273</v>
      </c>
      <c r="C2008" s="1" t="n">
        <v>45726</v>
      </c>
      <c r="D2008" t="inlineStr">
        <is>
          <t>VÄRMLANDS LÄN</t>
        </is>
      </c>
      <c r="E2008" t="inlineStr">
        <is>
          <t>TORSBY</t>
        </is>
      </c>
      <c r="F2008" t="inlineStr">
        <is>
          <t>Bergvik skog väst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63266-2023</t>
        </is>
      </c>
      <c r="B2009" s="1" t="n">
        <v>45273</v>
      </c>
      <c r="C2009" s="1" t="n">
        <v>45726</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63083-2023</t>
        </is>
      </c>
      <c r="B2010" s="1" t="n">
        <v>45273</v>
      </c>
      <c r="C2010" s="1" t="n">
        <v>45726</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63244-2023</t>
        </is>
      </c>
      <c r="B2011" s="1" t="n">
        <v>45273</v>
      </c>
      <c r="C2011" s="1" t="n">
        <v>45726</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63158-2023</t>
        </is>
      </c>
      <c r="B2012" s="1" t="n">
        <v>45273</v>
      </c>
      <c r="C2012" s="1" t="n">
        <v>45726</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63363-2023</t>
        </is>
      </c>
      <c r="B2013" s="1" t="n">
        <v>45273</v>
      </c>
      <c r="C2013" s="1" t="n">
        <v>45726</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63399-2023</t>
        </is>
      </c>
      <c r="B2014" s="1" t="n">
        <v>45274</v>
      </c>
      <c r="C2014" s="1" t="n">
        <v>45726</v>
      </c>
      <c r="D2014" t="inlineStr">
        <is>
          <t>VÄRMLANDS LÄN</t>
        </is>
      </c>
      <c r="E2014" t="inlineStr">
        <is>
          <t>TORSBY</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63409-2023</t>
        </is>
      </c>
      <c r="B2015" s="1" t="n">
        <v>45274</v>
      </c>
      <c r="C2015" s="1" t="n">
        <v>45726</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63821-2023</t>
        </is>
      </c>
      <c r="B2016" s="1" t="n">
        <v>45275</v>
      </c>
      <c r="C2016" s="1" t="n">
        <v>45726</v>
      </c>
      <c r="D2016" t="inlineStr">
        <is>
          <t>VÄRMLANDS LÄN</t>
        </is>
      </c>
      <c r="E2016" t="inlineStr">
        <is>
          <t>TORSBY</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63820-2023</t>
        </is>
      </c>
      <c r="B2017" s="1" t="n">
        <v>45278</v>
      </c>
      <c r="C2017" s="1" t="n">
        <v>45726</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63866-2023</t>
        </is>
      </c>
      <c r="B2018" s="1" t="n">
        <v>45278</v>
      </c>
      <c r="C2018" s="1" t="n">
        <v>45726</v>
      </c>
      <c r="D2018" t="inlineStr">
        <is>
          <t>VÄRMLANDS LÄN</t>
        </is>
      </c>
      <c r="E2018" t="inlineStr">
        <is>
          <t>TORSBY</t>
        </is>
      </c>
      <c r="F2018" t="inlineStr">
        <is>
          <t>Bergvik skog väst AB</t>
        </is>
      </c>
      <c r="G2018" t="n">
        <v>58.2</v>
      </c>
      <c r="H2018" t="n">
        <v>0</v>
      </c>
      <c r="I2018" t="n">
        <v>0</v>
      </c>
      <c r="J2018" t="n">
        <v>0</v>
      </c>
      <c r="K2018" t="n">
        <v>0</v>
      </c>
      <c r="L2018" t="n">
        <v>0</v>
      </c>
      <c r="M2018" t="n">
        <v>0</v>
      </c>
      <c r="N2018" t="n">
        <v>0</v>
      </c>
      <c r="O2018" t="n">
        <v>0</v>
      </c>
      <c r="P2018" t="n">
        <v>0</v>
      </c>
      <c r="Q2018" t="n">
        <v>0</v>
      </c>
      <c r="R2018" s="2" t="inlineStr"/>
    </row>
    <row r="2019" ht="15" customHeight="1">
      <c r="A2019" t="inlineStr">
        <is>
          <t>A 63955-2023</t>
        </is>
      </c>
      <c r="B2019" s="1" t="n">
        <v>45278</v>
      </c>
      <c r="C2019" s="1" t="n">
        <v>45726</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63967-2023</t>
        </is>
      </c>
      <c r="B2020" s="1" t="n">
        <v>45278</v>
      </c>
      <c r="C2020" s="1" t="n">
        <v>45726</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64162-2023</t>
        </is>
      </c>
      <c r="B2021" s="1" t="n">
        <v>45279</v>
      </c>
      <c r="C2021" s="1" t="n">
        <v>45726</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64432-2023</t>
        </is>
      </c>
      <c r="B2022" s="1" t="n">
        <v>45280</v>
      </c>
      <c r="C2022" s="1" t="n">
        <v>45726</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64389-2023</t>
        </is>
      </c>
      <c r="B2023" s="1" t="n">
        <v>45280</v>
      </c>
      <c r="C2023" s="1" t="n">
        <v>45726</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64454-2023</t>
        </is>
      </c>
      <c r="B2024" s="1" t="n">
        <v>45280</v>
      </c>
      <c r="C2024" s="1" t="n">
        <v>45726</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64395-2023</t>
        </is>
      </c>
      <c r="B2025" s="1" t="n">
        <v>45280</v>
      </c>
      <c r="C2025" s="1" t="n">
        <v>45726</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64400-2023</t>
        </is>
      </c>
      <c r="B2026" s="1" t="n">
        <v>45280</v>
      </c>
      <c r="C2026" s="1" t="n">
        <v>45726</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64429-2023</t>
        </is>
      </c>
      <c r="B2027" s="1" t="n">
        <v>45280</v>
      </c>
      <c r="C2027" s="1" t="n">
        <v>45726</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64590-2023</t>
        </is>
      </c>
      <c r="B2028" s="1" t="n">
        <v>45281</v>
      </c>
      <c r="C2028" s="1" t="n">
        <v>45726</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64602-2023</t>
        </is>
      </c>
      <c r="B2029" s="1" t="n">
        <v>45281</v>
      </c>
      <c r="C2029" s="1" t="n">
        <v>45726</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64641-2023</t>
        </is>
      </c>
      <c r="B2030" s="1" t="n">
        <v>45281</v>
      </c>
      <c r="C2030" s="1" t="n">
        <v>45726</v>
      </c>
      <c r="D2030" t="inlineStr">
        <is>
          <t>VÄRMLANDS LÄN</t>
        </is>
      </c>
      <c r="E2030" t="inlineStr">
        <is>
          <t>TORSBY</t>
        </is>
      </c>
      <c r="F2030" t="inlineStr">
        <is>
          <t>Bergvik skog väst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64671-2023</t>
        </is>
      </c>
      <c r="B2031" s="1" t="n">
        <v>45281</v>
      </c>
      <c r="C2031" s="1" t="n">
        <v>45726</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64664-2023</t>
        </is>
      </c>
      <c r="B2032" s="1" t="n">
        <v>45281</v>
      </c>
      <c r="C2032" s="1" t="n">
        <v>45726</v>
      </c>
      <c r="D2032" t="inlineStr">
        <is>
          <t>VÄRMLANDS LÄN</t>
        </is>
      </c>
      <c r="E2032" t="inlineStr">
        <is>
          <t>TORSBY</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64672-2023</t>
        </is>
      </c>
      <c r="B2033" s="1" t="n">
        <v>45281</v>
      </c>
      <c r="C2033" s="1" t="n">
        <v>45726</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64640-2023</t>
        </is>
      </c>
      <c r="B2034" s="1" t="n">
        <v>45281</v>
      </c>
      <c r="C2034" s="1" t="n">
        <v>45726</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65081-2023</t>
        </is>
      </c>
      <c r="B2035" s="1" t="n">
        <v>45288</v>
      </c>
      <c r="C2035" s="1" t="n">
        <v>45726</v>
      </c>
      <c r="D2035" t="inlineStr">
        <is>
          <t>VÄRMLANDS LÄN</t>
        </is>
      </c>
      <c r="E2035" t="inlineStr">
        <is>
          <t>TORSBY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65134-2023</t>
        </is>
      </c>
      <c r="B2036" s="1" t="n">
        <v>45288</v>
      </c>
      <c r="C2036" s="1" t="n">
        <v>45726</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65204-2023</t>
        </is>
      </c>
      <c r="B2037" s="1" t="n">
        <v>45289</v>
      </c>
      <c r="C2037" s="1" t="n">
        <v>45726</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173-2024</t>
        </is>
      </c>
      <c r="B2038" s="1" t="n">
        <v>45294</v>
      </c>
      <c r="C2038" s="1" t="n">
        <v>45726</v>
      </c>
      <c r="D2038" t="inlineStr">
        <is>
          <t>VÄRMLANDS LÄN</t>
        </is>
      </c>
      <c r="E2038" t="inlineStr">
        <is>
          <t>TORSBY</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119-2024</t>
        </is>
      </c>
      <c r="B2039" s="1" t="n">
        <v>45294</v>
      </c>
      <c r="C2039" s="1" t="n">
        <v>45726</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144-2024</t>
        </is>
      </c>
      <c r="B2040" s="1" t="n">
        <v>45294</v>
      </c>
      <c r="C2040" s="1" t="n">
        <v>45726</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234-2024</t>
        </is>
      </c>
      <c r="B2041" s="1" t="n">
        <v>45294</v>
      </c>
      <c r="C2041" s="1" t="n">
        <v>45726</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176-2024</t>
        </is>
      </c>
      <c r="B2042" s="1" t="n">
        <v>45294</v>
      </c>
      <c r="C2042" s="1" t="n">
        <v>45726</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235-2024</t>
        </is>
      </c>
      <c r="B2043" s="1" t="n">
        <v>45294</v>
      </c>
      <c r="C2043" s="1" t="n">
        <v>45726</v>
      </c>
      <c r="D2043" t="inlineStr">
        <is>
          <t>VÄRMLANDS LÄN</t>
        </is>
      </c>
      <c r="E2043" t="inlineStr">
        <is>
          <t>TORSBY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236-2024</t>
        </is>
      </c>
      <c r="B2044" s="1" t="n">
        <v>45294</v>
      </c>
      <c r="C2044" s="1" t="n">
        <v>45726</v>
      </c>
      <c r="D2044" t="inlineStr">
        <is>
          <t>VÄRMLANDS LÄN</t>
        </is>
      </c>
      <c r="E2044" t="inlineStr">
        <is>
          <t>TORSBY</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266-2024</t>
        </is>
      </c>
      <c r="B2045" s="1" t="n">
        <v>45295</v>
      </c>
      <c r="C2045" s="1" t="n">
        <v>45726</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276-2024</t>
        </is>
      </c>
      <c r="B2046" s="1" t="n">
        <v>45295</v>
      </c>
      <c r="C2046" s="1" t="n">
        <v>45726</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324-2024</t>
        </is>
      </c>
      <c r="B2047" s="1" t="n">
        <v>45295</v>
      </c>
      <c r="C2047" s="1" t="n">
        <v>45726</v>
      </c>
      <c r="D2047" t="inlineStr">
        <is>
          <t>VÄRMLANDS LÄN</t>
        </is>
      </c>
      <c r="E2047" t="inlineStr">
        <is>
          <t>TORSBY</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423-2024</t>
        </is>
      </c>
      <c r="B2048" s="1" t="n">
        <v>45296</v>
      </c>
      <c r="C2048" s="1" t="n">
        <v>45726</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502-2024</t>
        </is>
      </c>
      <c r="B2049" s="1" t="n">
        <v>45299</v>
      </c>
      <c r="C2049" s="1" t="n">
        <v>45726</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737-2024</t>
        </is>
      </c>
      <c r="B2050" s="1" t="n">
        <v>45300</v>
      </c>
      <c r="C2050" s="1" t="n">
        <v>45726</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714-2024</t>
        </is>
      </c>
      <c r="B2051" s="1" t="n">
        <v>45300</v>
      </c>
      <c r="C2051" s="1" t="n">
        <v>45726</v>
      </c>
      <c r="D2051" t="inlineStr">
        <is>
          <t>VÄRMLANDS LÄN</t>
        </is>
      </c>
      <c r="E2051" t="inlineStr">
        <is>
          <t>TORSBY</t>
        </is>
      </c>
      <c r="G2051" t="n">
        <v>18.1</v>
      </c>
      <c r="H2051" t="n">
        <v>0</v>
      </c>
      <c r="I2051" t="n">
        <v>0</v>
      </c>
      <c r="J2051" t="n">
        <v>0</v>
      </c>
      <c r="K2051" t="n">
        <v>0</v>
      </c>
      <c r="L2051" t="n">
        <v>0</v>
      </c>
      <c r="M2051" t="n">
        <v>0</v>
      </c>
      <c r="N2051" t="n">
        <v>0</v>
      </c>
      <c r="O2051" t="n">
        <v>0</v>
      </c>
      <c r="P2051" t="n">
        <v>0</v>
      </c>
      <c r="Q2051" t="n">
        <v>0</v>
      </c>
      <c r="R2051" s="2" t="inlineStr"/>
    </row>
    <row r="2052" ht="15" customHeight="1">
      <c r="A2052" t="inlineStr">
        <is>
          <t>A 731-2024</t>
        </is>
      </c>
      <c r="B2052" s="1" t="n">
        <v>45300</v>
      </c>
      <c r="C2052" s="1" t="n">
        <v>45726</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924-2024</t>
        </is>
      </c>
      <c r="B2053" s="1" t="n">
        <v>45301</v>
      </c>
      <c r="C2053" s="1" t="n">
        <v>45726</v>
      </c>
      <c r="D2053" t="inlineStr">
        <is>
          <t>VÄRMLANDS LÄN</t>
        </is>
      </c>
      <c r="E2053" t="inlineStr">
        <is>
          <t>TORSBY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869-2024</t>
        </is>
      </c>
      <c r="B2054" s="1" t="n">
        <v>45301</v>
      </c>
      <c r="C2054" s="1" t="n">
        <v>45726</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877-2024</t>
        </is>
      </c>
      <c r="B2055" s="1" t="n">
        <v>45301</v>
      </c>
      <c r="C2055" s="1" t="n">
        <v>45726</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1001-2024</t>
        </is>
      </c>
      <c r="B2056" s="1" t="n">
        <v>45301</v>
      </c>
      <c r="C2056" s="1" t="n">
        <v>45726</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894-2024</t>
        </is>
      </c>
      <c r="B2057" s="1" t="n">
        <v>45301</v>
      </c>
      <c r="C2057" s="1" t="n">
        <v>45726</v>
      </c>
      <c r="D2057" t="inlineStr">
        <is>
          <t>VÄRMLANDS LÄN</t>
        </is>
      </c>
      <c r="E2057" t="inlineStr">
        <is>
          <t>TORSBY</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1042-2024</t>
        </is>
      </c>
      <c r="B2058" s="1" t="n">
        <v>45301</v>
      </c>
      <c r="C2058" s="1" t="n">
        <v>45726</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1046-2024</t>
        </is>
      </c>
      <c r="B2059" s="1" t="n">
        <v>45301</v>
      </c>
      <c r="C2059" s="1" t="n">
        <v>45726</v>
      </c>
      <c r="D2059" t="inlineStr">
        <is>
          <t>VÄRMLANDS LÄN</t>
        </is>
      </c>
      <c r="E2059" t="inlineStr">
        <is>
          <t>TORSBY</t>
        </is>
      </c>
      <c r="G2059" t="n">
        <v>17.5</v>
      </c>
      <c r="H2059" t="n">
        <v>0</v>
      </c>
      <c r="I2059" t="n">
        <v>0</v>
      </c>
      <c r="J2059" t="n">
        <v>0</v>
      </c>
      <c r="K2059" t="n">
        <v>0</v>
      </c>
      <c r="L2059" t="n">
        <v>0</v>
      </c>
      <c r="M2059" t="n">
        <v>0</v>
      </c>
      <c r="N2059" t="n">
        <v>0</v>
      </c>
      <c r="O2059" t="n">
        <v>0</v>
      </c>
      <c r="P2059" t="n">
        <v>0</v>
      </c>
      <c r="Q2059" t="n">
        <v>0</v>
      </c>
      <c r="R2059" s="2" t="inlineStr"/>
    </row>
    <row r="2060" ht="15" customHeight="1">
      <c r="A2060" t="inlineStr">
        <is>
          <t>A 1041-2024</t>
        </is>
      </c>
      <c r="B2060" s="1" t="n">
        <v>45301</v>
      </c>
      <c r="C2060" s="1" t="n">
        <v>45726</v>
      </c>
      <c r="D2060" t="inlineStr">
        <is>
          <t>VÄRMLANDS LÄN</t>
        </is>
      </c>
      <c r="E2060" t="inlineStr">
        <is>
          <t>TORSBY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1040-2024</t>
        </is>
      </c>
      <c r="B2061" s="1" t="n">
        <v>45301</v>
      </c>
      <c r="C2061" s="1" t="n">
        <v>45726</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1080-2024</t>
        </is>
      </c>
      <c r="B2062" s="1" t="n">
        <v>45302</v>
      </c>
      <c r="C2062" s="1" t="n">
        <v>45726</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1086-2024</t>
        </is>
      </c>
      <c r="B2063" s="1" t="n">
        <v>45302</v>
      </c>
      <c r="C2063" s="1" t="n">
        <v>45726</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1091-2024</t>
        </is>
      </c>
      <c r="B2064" s="1" t="n">
        <v>45302</v>
      </c>
      <c r="C2064" s="1" t="n">
        <v>45726</v>
      </c>
      <c r="D2064" t="inlineStr">
        <is>
          <t>VÄRMLANDS LÄN</t>
        </is>
      </c>
      <c r="E2064" t="inlineStr">
        <is>
          <t>TORSBY</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1243-2024</t>
        </is>
      </c>
      <c r="B2065" s="1" t="n">
        <v>45302</v>
      </c>
      <c r="C2065" s="1" t="n">
        <v>45726</v>
      </c>
      <c r="D2065" t="inlineStr">
        <is>
          <t>VÄRMLANDS LÄN</t>
        </is>
      </c>
      <c r="E2065" t="inlineStr">
        <is>
          <t>TORSBY</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1154-2024</t>
        </is>
      </c>
      <c r="B2066" s="1" t="n">
        <v>45302</v>
      </c>
      <c r="C2066" s="1" t="n">
        <v>45726</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1090-2024</t>
        </is>
      </c>
      <c r="B2067" s="1" t="n">
        <v>45302</v>
      </c>
      <c r="C2067" s="1" t="n">
        <v>45726</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1094-2024</t>
        </is>
      </c>
      <c r="B2068" s="1" t="n">
        <v>45302</v>
      </c>
      <c r="C2068" s="1" t="n">
        <v>45726</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1232-2024</t>
        </is>
      </c>
      <c r="B2069" s="1" t="n">
        <v>45302</v>
      </c>
      <c r="C2069" s="1" t="n">
        <v>45726</v>
      </c>
      <c r="D2069" t="inlineStr">
        <is>
          <t>VÄRMLANDS LÄN</t>
        </is>
      </c>
      <c r="E2069" t="inlineStr">
        <is>
          <t>TORSBY</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1236-2024</t>
        </is>
      </c>
      <c r="B2070" s="1" t="n">
        <v>45302</v>
      </c>
      <c r="C2070" s="1" t="n">
        <v>45726</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1275-2024</t>
        </is>
      </c>
      <c r="B2071" s="1" t="n">
        <v>45302</v>
      </c>
      <c r="C2071" s="1" t="n">
        <v>45726</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1363-2024</t>
        </is>
      </c>
      <c r="B2072" s="1" t="n">
        <v>45303</v>
      </c>
      <c r="C2072" s="1" t="n">
        <v>45726</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1527-2024</t>
        </is>
      </c>
      <c r="B2073" s="1" t="n">
        <v>45306</v>
      </c>
      <c r="C2073" s="1" t="n">
        <v>45726</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1522-2024</t>
        </is>
      </c>
      <c r="B2074" s="1" t="n">
        <v>45306</v>
      </c>
      <c r="C2074" s="1" t="n">
        <v>45726</v>
      </c>
      <c r="D2074" t="inlineStr">
        <is>
          <t>VÄRMLANDS LÄN</t>
        </is>
      </c>
      <c r="E2074" t="inlineStr">
        <is>
          <t>TORSBY</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v>
      </c>
      <c r="C2075" s="1" t="n">
        <v>45726</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1528-2024</t>
        </is>
      </c>
      <c r="B2076" s="1" t="n">
        <v>45306</v>
      </c>
      <c r="C2076" s="1" t="n">
        <v>45726</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1637-2024</t>
        </is>
      </c>
      <c r="B2077" s="1" t="n">
        <v>45306</v>
      </c>
      <c r="C2077" s="1" t="n">
        <v>45726</v>
      </c>
      <c r="D2077" t="inlineStr">
        <is>
          <t>VÄRMLANDS LÄN</t>
        </is>
      </c>
      <c r="E2077" t="inlineStr">
        <is>
          <t>TORSBY</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1608-2024</t>
        </is>
      </c>
      <c r="B2078" s="1" t="n">
        <v>45306</v>
      </c>
      <c r="C2078" s="1" t="n">
        <v>45726</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1700-2024</t>
        </is>
      </c>
      <c r="B2079" s="1" t="n">
        <v>45307</v>
      </c>
      <c r="C2079" s="1" t="n">
        <v>45726</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1803-2024</t>
        </is>
      </c>
      <c r="B2080" s="1" t="n">
        <v>45307</v>
      </c>
      <c r="C2080" s="1" t="n">
        <v>45726</v>
      </c>
      <c r="D2080" t="inlineStr">
        <is>
          <t>VÄRMLANDS LÄN</t>
        </is>
      </c>
      <c r="E2080" t="inlineStr">
        <is>
          <t>TORSBY</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1757-2024</t>
        </is>
      </c>
      <c r="B2081" s="1" t="n">
        <v>45307</v>
      </c>
      <c r="C2081" s="1" t="n">
        <v>45726</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1970-2024</t>
        </is>
      </c>
      <c r="B2082" s="1" t="n">
        <v>45308</v>
      </c>
      <c r="C2082" s="1" t="n">
        <v>45726</v>
      </c>
      <c r="D2082" t="inlineStr">
        <is>
          <t>VÄRMLANDS LÄN</t>
        </is>
      </c>
      <c r="E2082" t="inlineStr">
        <is>
          <t>TORSBY</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2155-2024</t>
        </is>
      </c>
      <c r="B2083" s="1" t="n">
        <v>45309</v>
      </c>
      <c r="C2083" s="1" t="n">
        <v>45726</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2130-2024</t>
        </is>
      </c>
      <c r="B2084" s="1" t="n">
        <v>45309</v>
      </c>
      <c r="C2084" s="1" t="n">
        <v>45726</v>
      </c>
      <c r="D2084" t="inlineStr">
        <is>
          <t>VÄRMLANDS LÄN</t>
        </is>
      </c>
      <c r="E2084" t="inlineStr">
        <is>
          <t>TORSBY</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2308-2024</t>
        </is>
      </c>
      <c r="B2085" s="1" t="n">
        <v>45310</v>
      </c>
      <c r="C2085" s="1" t="n">
        <v>45726</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2328-2024</t>
        </is>
      </c>
      <c r="B2086" s="1" t="n">
        <v>45310</v>
      </c>
      <c r="C2086" s="1" t="n">
        <v>45726</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2466-2024</t>
        </is>
      </c>
      <c r="B2087" s="1" t="n">
        <v>45313</v>
      </c>
      <c r="C2087" s="1" t="n">
        <v>45726</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2689-2024</t>
        </is>
      </c>
      <c r="B2088" s="1" t="n">
        <v>45314</v>
      </c>
      <c r="C2088" s="1" t="n">
        <v>45726</v>
      </c>
      <c r="D2088" t="inlineStr">
        <is>
          <t>VÄRMLANDS LÄN</t>
        </is>
      </c>
      <c r="E2088" t="inlineStr">
        <is>
          <t>TORSBY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2784-2024</t>
        </is>
      </c>
      <c r="B2089" s="1" t="n">
        <v>45314</v>
      </c>
      <c r="C2089" s="1" t="n">
        <v>45726</v>
      </c>
      <c r="D2089" t="inlineStr">
        <is>
          <t>VÄRMLANDS LÄN</t>
        </is>
      </c>
      <c r="E2089" t="inlineStr">
        <is>
          <t>TORSBY</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2662-2024</t>
        </is>
      </c>
      <c r="B2090" s="1" t="n">
        <v>45314</v>
      </c>
      <c r="C2090" s="1" t="n">
        <v>45726</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2870-2024</t>
        </is>
      </c>
      <c r="B2091" s="1" t="n">
        <v>45315</v>
      </c>
      <c r="C2091" s="1" t="n">
        <v>45726</v>
      </c>
      <c r="D2091" t="inlineStr">
        <is>
          <t>VÄRMLANDS LÄN</t>
        </is>
      </c>
      <c r="E2091" t="inlineStr">
        <is>
          <t>TORSBY</t>
        </is>
      </c>
      <c r="F2091" t="inlineStr">
        <is>
          <t>Bergvik skog väst AB</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3106-2024</t>
        </is>
      </c>
      <c r="B2092" s="1" t="n">
        <v>45316</v>
      </c>
      <c r="C2092" s="1" t="n">
        <v>45726</v>
      </c>
      <c r="D2092" t="inlineStr">
        <is>
          <t>VÄRMLANDS LÄN</t>
        </is>
      </c>
      <c r="E2092" t="inlineStr">
        <is>
          <t>TORSBY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3069-2024</t>
        </is>
      </c>
      <c r="B2093" s="1" t="n">
        <v>45316</v>
      </c>
      <c r="C2093" s="1" t="n">
        <v>45726</v>
      </c>
      <c r="D2093" t="inlineStr">
        <is>
          <t>VÄRMLANDS LÄN</t>
        </is>
      </c>
      <c r="E2093" t="inlineStr">
        <is>
          <t>TORSBY</t>
        </is>
      </c>
      <c r="G2093" t="n">
        <v>14.8</v>
      </c>
      <c r="H2093" t="n">
        <v>0</v>
      </c>
      <c r="I2093" t="n">
        <v>0</v>
      </c>
      <c r="J2093" t="n">
        <v>0</v>
      </c>
      <c r="K2093" t="n">
        <v>0</v>
      </c>
      <c r="L2093" t="n">
        <v>0</v>
      </c>
      <c r="M2093" t="n">
        <v>0</v>
      </c>
      <c r="N2093" t="n">
        <v>0</v>
      </c>
      <c r="O2093" t="n">
        <v>0</v>
      </c>
      <c r="P2093" t="n">
        <v>0</v>
      </c>
      <c r="Q2093" t="n">
        <v>0</v>
      </c>
      <c r="R2093" s="2" t="inlineStr"/>
    </row>
    <row r="2094" ht="15" customHeight="1">
      <c r="A2094" t="inlineStr">
        <is>
          <t>A 3326-2024</t>
        </is>
      </c>
      <c r="B2094" s="1" t="n">
        <v>45317</v>
      </c>
      <c r="C2094" s="1" t="n">
        <v>45726</v>
      </c>
      <c r="D2094" t="inlineStr">
        <is>
          <t>VÄRMLANDS LÄN</t>
        </is>
      </c>
      <c r="E2094" t="inlineStr">
        <is>
          <t>TORSBY</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3298-2024</t>
        </is>
      </c>
      <c r="B2095" s="1" t="n">
        <v>45317</v>
      </c>
      <c r="C2095" s="1" t="n">
        <v>45726</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3331-2024</t>
        </is>
      </c>
      <c r="B2096" s="1" t="n">
        <v>45317</v>
      </c>
      <c r="C2096" s="1" t="n">
        <v>45726</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3591-2024</t>
        </is>
      </c>
      <c r="B2097" s="1" t="n">
        <v>45320</v>
      </c>
      <c r="C2097" s="1" t="n">
        <v>45726</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3479-2024</t>
        </is>
      </c>
      <c r="B2098" s="1" t="n">
        <v>45320</v>
      </c>
      <c r="C2098" s="1" t="n">
        <v>45726</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3536-2024</t>
        </is>
      </c>
      <c r="B2099" s="1" t="n">
        <v>45320</v>
      </c>
      <c r="C2099" s="1" t="n">
        <v>45726</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3590-2024</t>
        </is>
      </c>
      <c r="B2100" s="1" t="n">
        <v>45320</v>
      </c>
      <c r="C2100" s="1" t="n">
        <v>45726</v>
      </c>
      <c r="D2100" t="inlineStr">
        <is>
          <t>VÄRMLANDS LÄN</t>
        </is>
      </c>
      <c r="E2100" t="inlineStr">
        <is>
          <t>TORSBY</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3608-2024</t>
        </is>
      </c>
      <c r="B2101" s="1" t="n">
        <v>45320</v>
      </c>
      <c r="C2101" s="1" t="n">
        <v>45726</v>
      </c>
      <c r="D2101" t="inlineStr">
        <is>
          <t>VÄRMLANDS LÄN</t>
        </is>
      </c>
      <c r="E2101" t="inlineStr">
        <is>
          <t>TORSBY</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3678-2024</t>
        </is>
      </c>
      <c r="B2102" s="1" t="n">
        <v>45321</v>
      </c>
      <c r="C2102" s="1" t="n">
        <v>45726</v>
      </c>
      <c r="D2102" t="inlineStr">
        <is>
          <t>VÄRMLANDS LÄN</t>
        </is>
      </c>
      <c r="E2102" t="inlineStr">
        <is>
          <t>TORSBY</t>
        </is>
      </c>
      <c r="G2102" t="n">
        <v>24.6</v>
      </c>
      <c r="H2102" t="n">
        <v>0</v>
      </c>
      <c r="I2102" t="n">
        <v>0</v>
      </c>
      <c r="J2102" t="n">
        <v>0</v>
      </c>
      <c r="K2102" t="n">
        <v>0</v>
      </c>
      <c r="L2102" t="n">
        <v>0</v>
      </c>
      <c r="M2102" t="n">
        <v>0</v>
      </c>
      <c r="N2102" t="n">
        <v>0</v>
      </c>
      <c r="O2102" t="n">
        <v>0</v>
      </c>
      <c r="P2102" t="n">
        <v>0</v>
      </c>
      <c r="Q2102" t="n">
        <v>0</v>
      </c>
      <c r="R2102" s="2" t="inlineStr"/>
    </row>
    <row r="2103" ht="15" customHeight="1">
      <c r="A2103" t="inlineStr">
        <is>
          <t>A 3672-2024</t>
        </is>
      </c>
      <c r="B2103" s="1" t="n">
        <v>45321</v>
      </c>
      <c r="C2103" s="1" t="n">
        <v>45726</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3720-2024</t>
        </is>
      </c>
      <c r="B2104" s="1" t="n">
        <v>45321</v>
      </c>
      <c r="C2104" s="1" t="n">
        <v>45726</v>
      </c>
      <c r="D2104" t="inlineStr">
        <is>
          <t>VÄRMLANDS LÄN</t>
        </is>
      </c>
      <c r="E2104" t="inlineStr">
        <is>
          <t>TORSBY</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3724-2024</t>
        </is>
      </c>
      <c r="B2105" s="1" t="n">
        <v>45321</v>
      </c>
      <c r="C2105" s="1" t="n">
        <v>45726</v>
      </c>
      <c r="D2105" t="inlineStr">
        <is>
          <t>VÄRMLANDS LÄN</t>
        </is>
      </c>
      <c r="E2105" t="inlineStr">
        <is>
          <t>TORSBY</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3673-2024</t>
        </is>
      </c>
      <c r="B2106" s="1" t="n">
        <v>45321</v>
      </c>
      <c r="C2106" s="1" t="n">
        <v>45726</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3750-2024</t>
        </is>
      </c>
      <c r="B2107" s="1" t="n">
        <v>45321</v>
      </c>
      <c r="C2107" s="1" t="n">
        <v>45726</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3734-2024</t>
        </is>
      </c>
      <c r="B2108" s="1" t="n">
        <v>45321</v>
      </c>
      <c r="C2108" s="1" t="n">
        <v>45726</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3822-2024</t>
        </is>
      </c>
      <c r="B2109" s="1" t="n">
        <v>45321</v>
      </c>
      <c r="C2109" s="1" t="n">
        <v>45726</v>
      </c>
      <c r="D2109" t="inlineStr">
        <is>
          <t>VÄRMLANDS LÄN</t>
        </is>
      </c>
      <c r="E2109" t="inlineStr">
        <is>
          <t>TORSBY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3922-2024</t>
        </is>
      </c>
      <c r="B2110" s="1" t="n">
        <v>45322</v>
      </c>
      <c r="C2110" s="1" t="n">
        <v>45726</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4030-2024</t>
        </is>
      </c>
      <c r="B2111" s="1" t="n">
        <v>45323</v>
      </c>
      <c r="C2111" s="1" t="n">
        <v>45726</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4070-2024</t>
        </is>
      </c>
      <c r="B2112" s="1" t="n">
        <v>45323</v>
      </c>
      <c r="C2112" s="1" t="n">
        <v>45726</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4078-2024</t>
        </is>
      </c>
      <c r="B2113" s="1" t="n">
        <v>45323</v>
      </c>
      <c r="C2113" s="1" t="n">
        <v>45726</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4231-2024</t>
        </is>
      </c>
      <c r="B2114" s="1" t="n">
        <v>45324</v>
      </c>
      <c r="C2114" s="1" t="n">
        <v>45726</v>
      </c>
      <c r="D2114" t="inlineStr">
        <is>
          <t>VÄRMLANDS LÄN</t>
        </is>
      </c>
      <c r="E2114" t="inlineStr">
        <is>
          <t>TORSBY</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4219-2024</t>
        </is>
      </c>
      <c r="B2115" s="1" t="n">
        <v>45324</v>
      </c>
      <c r="C2115" s="1" t="n">
        <v>45726</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4908-2024</t>
        </is>
      </c>
      <c r="B2116" s="1" t="n">
        <v>45329</v>
      </c>
      <c r="C2116" s="1" t="n">
        <v>45726</v>
      </c>
      <c r="D2116" t="inlineStr">
        <is>
          <t>VÄRMLANDS LÄN</t>
        </is>
      </c>
      <c r="E2116" t="inlineStr">
        <is>
          <t>TORSBY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4918-2024</t>
        </is>
      </c>
      <c r="B2117" s="1" t="n">
        <v>45329</v>
      </c>
      <c r="C2117" s="1" t="n">
        <v>45726</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4920-2024</t>
        </is>
      </c>
      <c r="B2118" s="1" t="n">
        <v>45329</v>
      </c>
      <c r="C2118" s="1" t="n">
        <v>45726</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4913-2024</t>
        </is>
      </c>
      <c r="B2119" s="1" t="n">
        <v>45329</v>
      </c>
      <c r="C2119" s="1" t="n">
        <v>45726</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5115-2024</t>
        </is>
      </c>
      <c r="B2120" s="1" t="n">
        <v>45330</v>
      </c>
      <c r="C2120" s="1" t="n">
        <v>45726</v>
      </c>
      <c r="D2120" t="inlineStr">
        <is>
          <t>VÄRMLANDS LÄN</t>
        </is>
      </c>
      <c r="E2120" t="inlineStr">
        <is>
          <t>TORSBY</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5351-2024</t>
        </is>
      </c>
      <c r="B2121" s="1" t="n">
        <v>45331</v>
      </c>
      <c r="C2121" s="1" t="n">
        <v>45726</v>
      </c>
      <c r="D2121" t="inlineStr">
        <is>
          <t>VÄRMLANDS LÄN</t>
        </is>
      </c>
      <c r="E2121" t="inlineStr">
        <is>
          <t>TORSBY</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5509-2024</t>
        </is>
      </c>
      <c r="B2122" s="1" t="n">
        <v>45334</v>
      </c>
      <c r="C2122" s="1" t="n">
        <v>45726</v>
      </c>
      <c r="D2122" t="inlineStr">
        <is>
          <t>VÄRMLANDS LÄN</t>
        </is>
      </c>
      <c r="E2122" t="inlineStr">
        <is>
          <t>TORSBY</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5814-2024</t>
        </is>
      </c>
      <c r="B2123" s="1" t="n">
        <v>45335</v>
      </c>
      <c r="C2123" s="1" t="n">
        <v>45726</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5863-2024</t>
        </is>
      </c>
      <c r="B2124" s="1" t="n">
        <v>45335</v>
      </c>
      <c r="C2124" s="1" t="n">
        <v>45726</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5948-2024</t>
        </is>
      </c>
      <c r="B2125" s="1" t="n">
        <v>45336</v>
      </c>
      <c r="C2125" s="1" t="n">
        <v>45726</v>
      </c>
      <c r="D2125" t="inlineStr">
        <is>
          <t>VÄRMLANDS LÄN</t>
        </is>
      </c>
      <c r="E2125" t="inlineStr">
        <is>
          <t>TORSBY</t>
        </is>
      </c>
      <c r="F2125" t="inlineStr">
        <is>
          <t>Bergvik skog väst AB</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v>
      </c>
      <c r="C2126" s="1" t="n">
        <v>45726</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6371-2024</t>
        </is>
      </c>
      <c r="B2127" s="1" t="n">
        <v>45338</v>
      </c>
      <c r="C2127" s="1" t="n">
        <v>45726</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6648-2024</t>
        </is>
      </c>
      <c r="B2128" s="1" t="n">
        <v>45341</v>
      </c>
      <c r="C2128" s="1" t="n">
        <v>45726</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6646-2024</t>
        </is>
      </c>
      <c r="B2129" s="1" t="n">
        <v>45341</v>
      </c>
      <c r="C2129" s="1" t="n">
        <v>45726</v>
      </c>
      <c r="D2129" t="inlineStr">
        <is>
          <t>VÄRMLANDS LÄN</t>
        </is>
      </c>
      <c r="E2129" t="inlineStr">
        <is>
          <t>TORSBY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6675-2024</t>
        </is>
      </c>
      <c r="B2130" s="1" t="n">
        <v>45341</v>
      </c>
      <c r="C2130" s="1" t="n">
        <v>45726</v>
      </c>
      <c r="D2130" t="inlineStr">
        <is>
          <t>VÄRMLANDS LÄN</t>
        </is>
      </c>
      <c r="E2130" t="inlineStr">
        <is>
          <t>TORSBY</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6828-2024</t>
        </is>
      </c>
      <c r="B2131" s="1" t="n">
        <v>45342</v>
      </c>
      <c r="C2131" s="1" t="n">
        <v>45726</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6943-2024</t>
        </is>
      </c>
      <c r="B2132" s="1" t="n">
        <v>45343</v>
      </c>
      <c r="C2132" s="1" t="n">
        <v>45726</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6942-2024</t>
        </is>
      </c>
      <c r="B2133" s="1" t="n">
        <v>45343</v>
      </c>
      <c r="C2133" s="1" t="n">
        <v>45726</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7221-2024</t>
        </is>
      </c>
      <c r="B2134" s="1" t="n">
        <v>45344</v>
      </c>
      <c r="C2134" s="1" t="n">
        <v>45726</v>
      </c>
      <c r="D2134" t="inlineStr">
        <is>
          <t>VÄRMLANDS LÄN</t>
        </is>
      </c>
      <c r="E2134" t="inlineStr">
        <is>
          <t>TORSBY</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7490-2024</t>
        </is>
      </c>
      <c r="B2135" s="1" t="n">
        <v>45346</v>
      </c>
      <c r="C2135" s="1" t="n">
        <v>45726</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7494-2024</t>
        </is>
      </c>
      <c r="B2136" s="1" t="n">
        <v>45346</v>
      </c>
      <c r="C2136" s="1" t="n">
        <v>45726</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7487-2024</t>
        </is>
      </c>
      <c r="B2137" s="1" t="n">
        <v>45346</v>
      </c>
      <c r="C2137" s="1" t="n">
        <v>45726</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7491-2024</t>
        </is>
      </c>
      <c r="B2138" s="1" t="n">
        <v>45346</v>
      </c>
      <c r="C2138" s="1" t="n">
        <v>45726</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7489-2024</t>
        </is>
      </c>
      <c r="B2139" s="1" t="n">
        <v>45346</v>
      </c>
      <c r="C2139" s="1" t="n">
        <v>45726</v>
      </c>
      <c r="D2139" t="inlineStr">
        <is>
          <t>VÄRMLANDS LÄN</t>
        </is>
      </c>
      <c r="E2139" t="inlineStr">
        <is>
          <t>TORSBY</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7493-2024</t>
        </is>
      </c>
      <c r="B2140" s="1" t="n">
        <v>45346</v>
      </c>
      <c r="C2140" s="1" t="n">
        <v>45726</v>
      </c>
      <c r="D2140" t="inlineStr">
        <is>
          <t>VÄRMLANDS LÄN</t>
        </is>
      </c>
      <c r="E2140" t="inlineStr">
        <is>
          <t>TORSBY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7488-2024</t>
        </is>
      </c>
      <c r="B2141" s="1" t="n">
        <v>45346</v>
      </c>
      <c r="C2141" s="1" t="n">
        <v>45726</v>
      </c>
      <c r="D2141" t="inlineStr">
        <is>
          <t>VÄRMLANDS LÄN</t>
        </is>
      </c>
      <c r="E2141" t="inlineStr">
        <is>
          <t>TORSBY</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7500-2024</t>
        </is>
      </c>
      <c r="B2142" s="1" t="n">
        <v>45347</v>
      </c>
      <c r="C2142" s="1" t="n">
        <v>45726</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7651-2024</t>
        </is>
      </c>
      <c r="B2143" s="1" t="n">
        <v>45348</v>
      </c>
      <c r="C2143" s="1" t="n">
        <v>45726</v>
      </c>
      <c r="D2143" t="inlineStr">
        <is>
          <t>VÄRMLANDS LÄN</t>
        </is>
      </c>
      <c r="E2143" t="inlineStr">
        <is>
          <t>TORSBY</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7636-2024</t>
        </is>
      </c>
      <c r="B2144" s="1" t="n">
        <v>45348</v>
      </c>
      <c r="C2144" s="1" t="n">
        <v>45726</v>
      </c>
      <c r="D2144" t="inlineStr">
        <is>
          <t>VÄRMLANDS LÄN</t>
        </is>
      </c>
      <c r="E2144" t="inlineStr">
        <is>
          <t>TORSBY</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7676-2024</t>
        </is>
      </c>
      <c r="B2145" s="1" t="n">
        <v>45348</v>
      </c>
      <c r="C2145" s="1" t="n">
        <v>45726</v>
      </c>
      <c r="D2145" t="inlineStr">
        <is>
          <t>VÄRMLANDS LÄN</t>
        </is>
      </c>
      <c r="E2145" t="inlineStr">
        <is>
          <t>TORSBY</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7677-2024</t>
        </is>
      </c>
      <c r="B2146" s="1" t="n">
        <v>45348</v>
      </c>
      <c r="C2146" s="1" t="n">
        <v>45726</v>
      </c>
      <c r="D2146" t="inlineStr">
        <is>
          <t>VÄRMLANDS LÄN</t>
        </is>
      </c>
      <c r="E2146" t="inlineStr">
        <is>
          <t>TORSBY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7757-2024</t>
        </is>
      </c>
      <c r="B2147" s="1" t="n">
        <v>45349</v>
      </c>
      <c r="C2147" s="1" t="n">
        <v>45726</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7927-2024</t>
        </is>
      </c>
      <c r="B2148" s="1" t="n">
        <v>45350</v>
      </c>
      <c r="C2148" s="1" t="n">
        <v>45726</v>
      </c>
      <c r="D2148" t="inlineStr">
        <is>
          <t>VÄRMLANDS LÄN</t>
        </is>
      </c>
      <c r="E2148" t="inlineStr">
        <is>
          <t>TORSBY</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8012-2024</t>
        </is>
      </c>
      <c r="B2149" s="1" t="n">
        <v>45350</v>
      </c>
      <c r="C2149" s="1" t="n">
        <v>45726</v>
      </c>
      <c r="D2149" t="inlineStr">
        <is>
          <t>VÄRMLANDS LÄN</t>
        </is>
      </c>
      <c r="E2149" t="inlineStr">
        <is>
          <t>TORSBY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8625-2024</t>
        </is>
      </c>
      <c r="B2150" s="1" t="n">
        <v>45355</v>
      </c>
      <c r="C2150" s="1" t="n">
        <v>45726</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8728-2024</t>
        </is>
      </c>
      <c r="B2151" s="1" t="n">
        <v>45356</v>
      </c>
      <c r="C2151" s="1" t="n">
        <v>45726</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8720-2024</t>
        </is>
      </c>
      <c r="B2152" s="1" t="n">
        <v>45356</v>
      </c>
      <c r="C2152" s="1" t="n">
        <v>45726</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8725-2024</t>
        </is>
      </c>
      <c r="B2153" s="1" t="n">
        <v>45356</v>
      </c>
      <c r="C2153" s="1" t="n">
        <v>45726</v>
      </c>
      <c r="D2153" t="inlineStr">
        <is>
          <t>VÄRMLANDS LÄN</t>
        </is>
      </c>
      <c r="E2153" t="inlineStr">
        <is>
          <t>TORSBY</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8719-2024</t>
        </is>
      </c>
      <c r="B2154" s="1" t="n">
        <v>45356</v>
      </c>
      <c r="C2154" s="1" t="n">
        <v>45726</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9203-2024</t>
        </is>
      </c>
      <c r="B2155" s="1" t="n">
        <v>45358</v>
      </c>
      <c r="C2155" s="1" t="n">
        <v>45726</v>
      </c>
      <c r="D2155" t="inlineStr">
        <is>
          <t>VÄRMLANDS LÄN</t>
        </is>
      </c>
      <c r="E2155" t="inlineStr">
        <is>
          <t>TORSBY</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9381-2024</t>
        </is>
      </c>
      <c r="B2156" s="1" t="n">
        <v>45359</v>
      </c>
      <c r="C2156" s="1" t="n">
        <v>45726</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9764-2024</t>
        </is>
      </c>
      <c r="B2157" s="1" t="n">
        <v>45362</v>
      </c>
      <c r="C2157" s="1" t="n">
        <v>45726</v>
      </c>
      <c r="D2157" t="inlineStr">
        <is>
          <t>VÄRMLANDS LÄN</t>
        </is>
      </c>
      <c r="E2157" t="inlineStr">
        <is>
          <t>TORSBY</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9799-2024</t>
        </is>
      </c>
      <c r="B2158" s="1" t="n">
        <v>45362</v>
      </c>
      <c r="C2158" s="1" t="n">
        <v>45726</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9793-2024</t>
        </is>
      </c>
      <c r="B2159" s="1" t="n">
        <v>45362</v>
      </c>
      <c r="C2159" s="1" t="n">
        <v>45726</v>
      </c>
      <c r="D2159" t="inlineStr">
        <is>
          <t>VÄRMLANDS LÄN</t>
        </is>
      </c>
      <c r="E2159" t="inlineStr">
        <is>
          <t>TORSBY</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9797-2024</t>
        </is>
      </c>
      <c r="B2160" s="1" t="n">
        <v>45362</v>
      </c>
      <c r="C2160" s="1" t="n">
        <v>45726</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9902-2024</t>
        </is>
      </c>
      <c r="B2161" s="1" t="n">
        <v>45363</v>
      </c>
      <c r="C2161" s="1" t="n">
        <v>45726</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9900-2024</t>
        </is>
      </c>
      <c r="B2162" s="1" t="n">
        <v>45363</v>
      </c>
      <c r="C2162" s="1" t="n">
        <v>45726</v>
      </c>
      <c r="D2162" t="inlineStr">
        <is>
          <t>VÄRMLANDS LÄN</t>
        </is>
      </c>
      <c r="E2162" t="inlineStr">
        <is>
          <t>TORSBY</t>
        </is>
      </c>
      <c r="G2162" t="n">
        <v>13.6</v>
      </c>
      <c r="H2162" t="n">
        <v>0</v>
      </c>
      <c r="I2162" t="n">
        <v>0</v>
      </c>
      <c r="J2162" t="n">
        <v>0</v>
      </c>
      <c r="K2162" t="n">
        <v>0</v>
      </c>
      <c r="L2162" t="n">
        <v>0</v>
      </c>
      <c r="M2162" t="n">
        <v>0</v>
      </c>
      <c r="N2162" t="n">
        <v>0</v>
      </c>
      <c r="O2162" t="n">
        <v>0</v>
      </c>
      <c r="P2162" t="n">
        <v>0</v>
      </c>
      <c r="Q2162" t="n">
        <v>0</v>
      </c>
      <c r="R2162" s="2" t="inlineStr"/>
    </row>
    <row r="2163" ht="15" customHeight="1">
      <c r="A2163" t="inlineStr">
        <is>
          <t>A 9904-2024</t>
        </is>
      </c>
      <c r="B2163" s="1" t="n">
        <v>45363</v>
      </c>
      <c r="C2163" s="1" t="n">
        <v>45726</v>
      </c>
      <c r="D2163" t="inlineStr">
        <is>
          <t>VÄRMLANDS LÄN</t>
        </is>
      </c>
      <c r="E2163" t="inlineStr">
        <is>
          <t>TORSBY</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9908-2024</t>
        </is>
      </c>
      <c r="B2164" s="1" t="n">
        <v>45363</v>
      </c>
      <c r="C2164" s="1" t="n">
        <v>45726</v>
      </c>
      <c r="D2164" t="inlineStr">
        <is>
          <t>VÄRMLANDS LÄN</t>
        </is>
      </c>
      <c r="E2164" t="inlineStr">
        <is>
          <t>TORSBY</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9912-2024</t>
        </is>
      </c>
      <c r="B2165" s="1" t="n">
        <v>45363</v>
      </c>
      <c r="C2165" s="1" t="n">
        <v>45726</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9871-2024</t>
        </is>
      </c>
      <c r="B2166" s="1" t="n">
        <v>45363</v>
      </c>
      <c r="C2166" s="1" t="n">
        <v>45726</v>
      </c>
      <c r="D2166" t="inlineStr">
        <is>
          <t>VÄRMLANDS LÄN</t>
        </is>
      </c>
      <c r="E2166" t="inlineStr">
        <is>
          <t>TORSBY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10011-2024</t>
        </is>
      </c>
      <c r="B2167" s="1" t="n">
        <v>45363</v>
      </c>
      <c r="C2167" s="1" t="n">
        <v>45726</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10304-2024</t>
        </is>
      </c>
      <c r="B2168" s="1" t="n">
        <v>45365</v>
      </c>
      <c r="C2168" s="1" t="n">
        <v>45726</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10372-2024</t>
        </is>
      </c>
      <c r="B2169" s="1" t="n">
        <v>45365</v>
      </c>
      <c r="C2169" s="1" t="n">
        <v>45726</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10380-2024</t>
        </is>
      </c>
      <c r="B2170" s="1" t="n">
        <v>45365</v>
      </c>
      <c r="C2170" s="1" t="n">
        <v>45726</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10466-2024</t>
        </is>
      </c>
      <c r="B2171" s="1" t="n">
        <v>45366</v>
      </c>
      <c r="C2171" s="1" t="n">
        <v>45726</v>
      </c>
      <c r="D2171" t="inlineStr">
        <is>
          <t>VÄRMLANDS LÄN</t>
        </is>
      </c>
      <c r="E2171" t="inlineStr">
        <is>
          <t>TORSBY</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10589-2024</t>
        </is>
      </c>
      <c r="B2172" s="1" t="n">
        <v>45366</v>
      </c>
      <c r="C2172" s="1" t="n">
        <v>45726</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10587-2024</t>
        </is>
      </c>
      <c r="B2173" s="1" t="n">
        <v>45366</v>
      </c>
      <c r="C2173" s="1" t="n">
        <v>45726</v>
      </c>
      <c r="D2173" t="inlineStr">
        <is>
          <t>VÄRMLANDS LÄN</t>
        </is>
      </c>
      <c r="E2173" t="inlineStr">
        <is>
          <t>TORSBY</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10684-2024</t>
        </is>
      </c>
      <c r="B2174" s="1" t="n">
        <v>45369</v>
      </c>
      <c r="C2174" s="1" t="n">
        <v>45726</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10895-2024</t>
        </is>
      </c>
      <c r="B2175" s="1" t="n">
        <v>45370</v>
      </c>
      <c r="C2175" s="1" t="n">
        <v>45726</v>
      </c>
      <c r="D2175" t="inlineStr">
        <is>
          <t>VÄRMLANDS LÄN</t>
        </is>
      </c>
      <c r="E2175" t="inlineStr">
        <is>
          <t>TORSBY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11121-2024</t>
        </is>
      </c>
      <c r="B2176" s="1" t="n">
        <v>45371</v>
      </c>
      <c r="C2176" s="1" t="n">
        <v>45726</v>
      </c>
      <c r="D2176" t="inlineStr">
        <is>
          <t>VÄRMLANDS LÄN</t>
        </is>
      </c>
      <c r="E2176" t="inlineStr">
        <is>
          <t>TORSBY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11153-2024</t>
        </is>
      </c>
      <c r="B2177" s="1" t="n">
        <v>45371</v>
      </c>
      <c r="C2177" s="1" t="n">
        <v>45726</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11135-2024</t>
        </is>
      </c>
      <c r="B2178" s="1" t="n">
        <v>45371</v>
      </c>
      <c r="C2178" s="1" t="n">
        <v>45726</v>
      </c>
      <c r="D2178" t="inlineStr">
        <is>
          <t>VÄRMLANDS LÄN</t>
        </is>
      </c>
      <c r="E2178" t="inlineStr">
        <is>
          <t>TORSBY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11143-2024</t>
        </is>
      </c>
      <c r="B2179" s="1" t="n">
        <v>45371</v>
      </c>
      <c r="C2179" s="1" t="n">
        <v>45726</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11187-2024</t>
        </is>
      </c>
      <c r="B2180" s="1" t="n">
        <v>45371</v>
      </c>
      <c r="C2180" s="1" t="n">
        <v>45726</v>
      </c>
      <c r="D2180" t="inlineStr">
        <is>
          <t>VÄRMLANDS LÄN</t>
        </is>
      </c>
      <c r="E2180" t="inlineStr">
        <is>
          <t>TORSBY</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11211-2024</t>
        </is>
      </c>
      <c r="B2181" s="1" t="n">
        <v>45371</v>
      </c>
      <c r="C2181" s="1" t="n">
        <v>45726</v>
      </c>
      <c r="D2181" t="inlineStr">
        <is>
          <t>VÄRMLANDS LÄN</t>
        </is>
      </c>
      <c r="E2181" t="inlineStr">
        <is>
          <t>TORSBY</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11227-2024</t>
        </is>
      </c>
      <c r="B2182" s="1" t="n">
        <v>45371</v>
      </c>
      <c r="C2182" s="1" t="n">
        <v>45726</v>
      </c>
      <c r="D2182" t="inlineStr">
        <is>
          <t>VÄRMLANDS LÄN</t>
        </is>
      </c>
      <c r="E2182" t="inlineStr">
        <is>
          <t>TORSBY</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11235-2024</t>
        </is>
      </c>
      <c r="B2183" s="1" t="n">
        <v>45371</v>
      </c>
      <c r="C2183" s="1" t="n">
        <v>45726</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11214-2024</t>
        </is>
      </c>
      <c r="B2184" s="1" t="n">
        <v>45371</v>
      </c>
      <c r="C2184" s="1" t="n">
        <v>45726</v>
      </c>
      <c r="D2184" t="inlineStr">
        <is>
          <t>VÄRMLANDS LÄN</t>
        </is>
      </c>
      <c r="E2184" t="inlineStr">
        <is>
          <t>TORSBY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11222-2024</t>
        </is>
      </c>
      <c r="B2185" s="1" t="n">
        <v>45371</v>
      </c>
      <c r="C2185" s="1" t="n">
        <v>45726</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11242-2024</t>
        </is>
      </c>
      <c r="B2186" s="1" t="n">
        <v>45371</v>
      </c>
      <c r="C2186" s="1" t="n">
        <v>45726</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11253-2024</t>
        </is>
      </c>
      <c r="B2187" s="1" t="n">
        <v>45371</v>
      </c>
      <c r="C2187" s="1" t="n">
        <v>45726</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11259-2024</t>
        </is>
      </c>
      <c r="B2188" s="1" t="n">
        <v>45371</v>
      </c>
      <c r="C2188" s="1" t="n">
        <v>45726</v>
      </c>
      <c r="D2188" t="inlineStr">
        <is>
          <t>VÄRMLANDS LÄN</t>
        </is>
      </c>
      <c r="E2188" t="inlineStr">
        <is>
          <t>TORSBY</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11172-2024</t>
        </is>
      </c>
      <c r="B2189" s="1" t="n">
        <v>45371</v>
      </c>
      <c r="C2189" s="1" t="n">
        <v>45726</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11380-2024</t>
        </is>
      </c>
      <c r="B2190" s="1" t="n">
        <v>45372</v>
      </c>
      <c r="C2190" s="1" t="n">
        <v>45726</v>
      </c>
      <c r="D2190" t="inlineStr">
        <is>
          <t>VÄRMLANDS LÄN</t>
        </is>
      </c>
      <c r="E2190" t="inlineStr">
        <is>
          <t>TORSBY</t>
        </is>
      </c>
      <c r="F2190" t="inlineStr">
        <is>
          <t>Bergvik skog väst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11575-2024</t>
        </is>
      </c>
      <c r="B2191" s="1" t="n">
        <v>45373</v>
      </c>
      <c r="C2191" s="1" t="n">
        <v>45726</v>
      </c>
      <c r="D2191" t="inlineStr">
        <is>
          <t>VÄRMLANDS LÄN</t>
        </is>
      </c>
      <c r="E2191" t="inlineStr">
        <is>
          <t>TORSBY</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11706-2024</t>
        </is>
      </c>
      <c r="B2192" s="1" t="n">
        <v>45373</v>
      </c>
      <c r="C2192" s="1" t="n">
        <v>45726</v>
      </c>
      <c r="D2192" t="inlineStr">
        <is>
          <t>VÄRMLANDS LÄN</t>
        </is>
      </c>
      <c r="E2192" t="inlineStr">
        <is>
          <t>TORSBY</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11776-2024</t>
        </is>
      </c>
      <c r="B2193" s="1" t="n">
        <v>45374</v>
      </c>
      <c r="C2193" s="1" t="n">
        <v>45726</v>
      </c>
      <c r="D2193" t="inlineStr">
        <is>
          <t>VÄRMLANDS LÄN</t>
        </is>
      </c>
      <c r="E2193" t="inlineStr">
        <is>
          <t>TORSBY</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11814-2024</t>
        </is>
      </c>
      <c r="B2194" s="1" t="n">
        <v>45376</v>
      </c>
      <c r="C2194" s="1" t="n">
        <v>45726</v>
      </c>
      <c r="D2194" t="inlineStr">
        <is>
          <t>VÄRMLANDS LÄN</t>
        </is>
      </c>
      <c r="E2194" t="inlineStr">
        <is>
          <t>TORSBY</t>
        </is>
      </c>
      <c r="F2194" t="inlineStr">
        <is>
          <t>Bergvik skog väst AB</t>
        </is>
      </c>
      <c r="G2194" t="n">
        <v>19.9</v>
      </c>
      <c r="H2194" t="n">
        <v>0</v>
      </c>
      <c r="I2194" t="n">
        <v>0</v>
      </c>
      <c r="J2194" t="n">
        <v>0</v>
      </c>
      <c r="K2194" t="n">
        <v>0</v>
      </c>
      <c r="L2194" t="n">
        <v>0</v>
      </c>
      <c r="M2194" t="n">
        <v>0</v>
      </c>
      <c r="N2194" t="n">
        <v>0</v>
      </c>
      <c r="O2194" t="n">
        <v>0</v>
      </c>
      <c r="P2194" t="n">
        <v>0</v>
      </c>
      <c r="Q2194" t="n">
        <v>0</v>
      </c>
      <c r="R2194" s="2" t="inlineStr"/>
    </row>
    <row r="2195" ht="15" customHeight="1">
      <c r="A2195" t="inlineStr">
        <is>
          <t>A 11850-2024</t>
        </is>
      </c>
      <c r="B2195" s="1" t="n">
        <v>45376</v>
      </c>
      <c r="C2195" s="1" t="n">
        <v>45726</v>
      </c>
      <c r="D2195" t="inlineStr">
        <is>
          <t>VÄRMLANDS LÄN</t>
        </is>
      </c>
      <c r="E2195" t="inlineStr">
        <is>
          <t>TORSBY</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11878-2024</t>
        </is>
      </c>
      <c r="B2196" s="1" t="n">
        <v>45376</v>
      </c>
      <c r="C2196" s="1" t="n">
        <v>45726</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12104-2024</t>
        </is>
      </c>
      <c r="B2197" s="1" t="n">
        <v>45377</v>
      </c>
      <c r="C2197" s="1" t="n">
        <v>45726</v>
      </c>
      <c r="D2197" t="inlineStr">
        <is>
          <t>VÄRMLANDS LÄN</t>
        </is>
      </c>
      <c r="E2197" t="inlineStr">
        <is>
          <t>TORSBY</t>
        </is>
      </c>
      <c r="F2197" t="inlineStr">
        <is>
          <t>Bergvik skog väst AB</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12107-2024</t>
        </is>
      </c>
      <c r="B2198" s="1" t="n">
        <v>45377</v>
      </c>
      <c r="C2198" s="1" t="n">
        <v>45726</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12051-2024</t>
        </is>
      </c>
      <c r="B2199" s="1" t="n">
        <v>45377</v>
      </c>
      <c r="C2199" s="1" t="n">
        <v>45726</v>
      </c>
      <c r="D2199" t="inlineStr">
        <is>
          <t>VÄRMLANDS LÄN</t>
        </is>
      </c>
      <c r="E2199" t="inlineStr">
        <is>
          <t>TORSBY</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12509-2024</t>
        </is>
      </c>
      <c r="B2200" s="1" t="n">
        <v>45379</v>
      </c>
      <c r="C2200" s="1" t="n">
        <v>45726</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12503-2024</t>
        </is>
      </c>
      <c r="B2201" s="1" t="n">
        <v>45379</v>
      </c>
      <c r="C2201" s="1" t="n">
        <v>45726</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12684-2024</t>
        </is>
      </c>
      <c r="B2202" s="1" t="n">
        <v>45384</v>
      </c>
      <c r="C2202" s="1" t="n">
        <v>45726</v>
      </c>
      <c r="D2202" t="inlineStr">
        <is>
          <t>VÄRMLANDS LÄN</t>
        </is>
      </c>
      <c r="E2202" t="inlineStr">
        <is>
          <t>TORSBY</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12701-2024</t>
        </is>
      </c>
      <c r="B2203" s="1" t="n">
        <v>45384</v>
      </c>
      <c r="C2203" s="1" t="n">
        <v>45726</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12989-2024</t>
        </is>
      </c>
      <c r="B2204" s="1" t="n">
        <v>45385</v>
      </c>
      <c r="C2204" s="1" t="n">
        <v>45726</v>
      </c>
      <c r="D2204" t="inlineStr">
        <is>
          <t>VÄRMLANDS LÄN</t>
        </is>
      </c>
      <c r="E2204" t="inlineStr">
        <is>
          <t>TORSBY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13211-2024</t>
        </is>
      </c>
      <c r="B2205" s="1" t="n">
        <v>45386</v>
      </c>
      <c r="C2205" s="1" t="n">
        <v>45726</v>
      </c>
      <c r="D2205" t="inlineStr">
        <is>
          <t>VÄRMLANDS LÄN</t>
        </is>
      </c>
      <c r="E2205" t="inlineStr">
        <is>
          <t>TORSBY</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13262-2024</t>
        </is>
      </c>
      <c r="B2206" s="1" t="n">
        <v>45386</v>
      </c>
      <c r="C2206" s="1" t="n">
        <v>45726</v>
      </c>
      <c r="D2206" t="inlineStr">
        <is>
          <t>VÄRMLANDS LÄN</t>
        </is>
      </c>
      <c r="E2206" t="inlineStr">
        <is>
          <t>TORSBY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13186-2024</t>
        </is>
      </c>
      <c r="B2207" s="1" t="n">
        <v>45386</v>
      </c>
      <c r="C2207" s="1" t="n">
        <v>45726</v>
      </c>
      <c r="D2207" t="inlineStr">
        <is>
          <t>VÄRMLANDS LÄN</t>
        </is>
      </c>
      <c r="E2207" t="inlineStr">
        <is>
          <t>TORSBY</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13206-2024</t>
        </is>
      </c>
      <c r="B2208" s="1" t="n">
        <v>45386</v>
      </c>
      <c r="C2208" s="1" t="n">
        <v>45726</v>
      </c>
      <c r="D2208" t="inlineStr">
        <is>
          <t>VÄRMLANDS LÄN</t>
        </is>
      </c>
      <c r="E2208" t="inlineStr">
        <is>
          <t>TORSBY</t>
        </is>
      </c>
      <c r="F2208" t="inlineStr">
        <is>
          <t>Bergvik skog väst AB</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13435-2024</t>
        </is>
      </c>
      <c r="B2209" s="1" t="n">
        <v>45387</v>
      </c>
      <c r="C2209" s="1" t="n">
        <v>45726</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13619-2024</t>
        </is>
      </c>
      <c r="B2210" s="1" t="n">
        <v>45390</v>
      </c>
      <c r="C2210" s="1" t="n">
        <v>45726</v>
      </c>
      <c r="D2210" t="inlineStr">
        <is>
          <t>VÄRMLANDS LÄN</t>
        </is>
      </c>
      <c r="E2210" t="inlineStr">
        <is>
          <t>TORSBY</t>
        </is>
      </c>
      <c r="F2210" t="inlineStr">
        <is>
          <t>Bergvik skog väst AB</t>
        </is>
      </c>
      <c r="G2210" t="n">
        <v>25.7</v>
      </c>
      <c r="H2210" t="n">
        <v>0</v>
      </c>
      <c r="I2210" t="n">
        <v>0</v>
      </c>
      <c r="J2210" t="n">
        <v>0</v>
      </c>
      <c r="K2210" t="n">
        <v>0</v>
      </c>
      <c r="L2210" t="n">
        <v>0</v>
      </c>
      <c r="M2210" t="n">
        <v>0</v>
      </c>
      <c r="N2210" t="n">
        <v>0</v>
      </c>
      <c r="O2210" t="n">
        <v>0</v>
      </c>
      <c r="P2210" t="n">
        <v>0</v>
      </c>
      <c r="Q2210" t="n">
        <v>0</v>
      </c>
      <c r="R2210" s="2" t="inlineStr"/>
    </row>
    <row r="2211" ht="15" customHeight="1">
      <c r="A2211" t="inlineStr">
        <is>
          <t>A 13848-2024</t>
        </is>
      </c>
      <c r="B2211" s="1" t="n">
        <v>45390</v>
      </c>
      <c r="C2211" s="1" t="n">
        <v>45726</v>
      </c>
      <c r="D2211" t="inlineStr">
        <is>
          <t>VÄRMLANDS LÄN</t>
        </is>
      </c>
      <c r="E2211" t="inlineStr">
        <is>
          <t>TORSBY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13847-2024</t>
        </is>
      </c>
      <c r="B2212" s="1" t="n">
        <v>45390</v>
      </c>
      <c r="C2212" s="1" t="n">
        <v>45726</v>
      </c>
      <c r="D2212" t="inlineStr">
        <is>
          <t>VÄRMLANDS LÄN</t>
        </is>
      </c>
      <c r="E2212" t="inlineStr">
        <is>
          <t>TORSBY</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13797-2024</t>
        </is>
      </c>
      <c r="B2213" s="1" t="n">
        <v>45391</v>
      </c>
      <c r="C2213" s="1" t="n">
        <v>45726</v>
      </c>
      <c r="D2213" t="inlineStr">
        <is>
          <t>VÄRMLANDS LÄN</t>
        </is>
      </c>
      <c r="E2213" t="inlineStr">
        <is>
          <t>TORSBY</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14023-2024</t>
        </is>
      </c>
      <c r="B2214" s="1" t="n">
        <v>45392</v>
      </c>
      <c r="C2214" s="1" t="n">
        <v>45726</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13965-2024</t>
        </is>
      </c>
      <c r="B2215" s="1" t="n">
        <v>45392</v>
      </c>
      <c r="C2215" s="1" t="n">
        <v>45726</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14052-2024</t>
        </is>
      </c>
      <c r="B2216" s="1" t="n">
        <v>45392</v>
      </c>
      <c r="C2216" s="1" t="n">
        <v>45726</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14063-2024</t>
        </is>
      </c>
      <c r="B2217" s="1" t="n">
        <v>45392</v>
      </c>
      <c r="C2217" s="1" t="n">
        <v>45726</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14283-2024</t>
        </is>
      </c>
      <c r="B2218" s="1" t="n">
        <v>45393</v>
      </c>
      <c r="C2218" s="1" t="n">
        <v>45726</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14440-2024</t>
        </is>
      </c>
      <c r="B2219" s="1" t="n">
        <v>45394</v>
      </c>
      <c r="C2219" s="1" t="n">
        <v>45726</v>
      </c>
      <c r="D2219" t="inlineStr">
        <is>
          <t>VÄRMLANDS LÄN</t>
        </is>
      </c>
      <c r="E2219" t="inlineStr">
        <is>
          <t>TORSBY</t>
        </is>
      </c>
      <c r="F2219" t="inlineStr">
        <is>
          <t>Bergvik skog väst AB</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14393-2024</t>
        </is>
      </c>
      <c r="B2220" s="1" t="n">
        <v>45394</v>
      </c>
      <c r="C2220" s="1" t="n">
        <v>45726</v>
      </c>
      <c r="D2220" t="inlineStr">
        <is>
          <t>VÄRMLANDS LÄN</t>
        </is>
      </c>
      <c r="E2220" t="inlineStr">
        <is>
          <t>TORSBY</t>
        </is>
      </c>
      <c r="F2220" t="inlineStr">
        <is>
          <t>Bergvik skog väst AB</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14453-2024</t>
        </is>
      </c>
      <c r="B2221" s="1" t="n">
        <v>45394</v>
      </c>
      <c r="C2221" s="1" t="n">
        <v>45726</v>
      </c>
      <c r="D2221" t="inlineStr">
        <is>
          <t>VÄRMLANDS LÄN</t>
        </is>
      </c>
      <c r="E2221" t="inlineStr">
        <is>
          <t>TORSBY</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14730-2024</t>
        </is>
      </c>
      <c r="B2222" s="1" t="n">
        <v>45397</v>
      </c>
      <c r="C2222" s="1" t="n">
        <v>45726</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14763-2024</t>
        </is>
      </c>
      <c r="B2223" s="1" t="n">
        <v>45397</v>
      </c>
      <c r="C2223" s="1" t="n">
        <v>45726</v>
      </c>
      <c r="D2223" t="inlineStr">
        <is>
          <t>VÄRMLANDS LÄN</t>
        </is>
      </c>
      <c r="E2223" t="inlineStr">
        <is>
          <t>TORSBY</t>
        </is>
      </c>
      <c r="F2223" t="inlineStr">
        <is>
          <t>Bergvik skog väst AB</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14872-2024</t>
        </is>
      </c>
      <c r="B2224" s="1" t="n">
        <v>45398</v>
      </c>
      <c r="C2224" s="1" t="n">
        <v>45726</v>
      </c>
      <c r="D2224" t="inlineStr">
        <is>
          <t>VÄRMLANDS LÄN</t>
        </is>
      </c>
      <c r="E2224" t="inlineStr">
        <is>
          <t>TORSBY</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14831-2024</t>
        </is>
      </c>
      <c r="B2225" s="1" t="n">
        <v>45398</v>
      </c>
      <c r="C2225" s="1" t="n">
        <v>45726</v>
      </c>
      <c r="D2225" t="inlineStr">
        <is>
          <t>VÄRMLANDS LÄN</t>
        </is>
      </c>
      <c r="E2225" t="inlineStr">
        <is>
          <t>TORSBY</t>
        </is>
      </c>
      <c r="F2225" t="inlineStr">
        <is>
          <t>Bergvik skog väst AB</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14949-2024</t>
        </is>
      </c>
      <c r="B2226" s="1" t="n">
        <v>45398</v>
      </c>
      <c r="C2226" s="1" t="n">
        <v>45726</v>
      </c>
      <c r="D2226" t="inlineStr">
        <is>
          <t>VÄRMLANDS LÄN</t>
        </is>
      </c>
      <c r="E2226" t="inlineStr">
        <is>
          <t>TORSBY</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14882-2024</t>
        </is>
      </c>
      <c r="B2227" s="1" t="n">
        <v>45398</v>
      </c>
      <c r="C2227" s="1" t="n">
        <v>45726</v>
      </c>
      <c r="D2227" t="inlineStr">
        <is>
          <t>VÄRMLANDS LÄN</t>
        </is>
      </c>
      <c r="E2227" t="inlineStr">
        <is>
          <t>TORSBY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14860-2024</t>
        </is>
      </c>
      <c r="B2228" s="1" t="n">
        <v>45398</v>
      </c>
      <c r="C2228" s="1" t="n">
        <v>45726</v>
      </c>
      <c r="D2228" t="inlineStr">
        <is>
          <t>VÄRMLANDS LÄN</t>
        </is>
      </c>
      <c r="E2228" t="inlineStr">
        <is>
          <t>TORSBY</t>
        </is>
      </c>
      <c r="F2228" t="inlineStr">
        <is>
          <t>Kyrkan</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15083-2024</t>
        </is>
      </c>
      <c r="B2229" s="1" t="n">
        <v>45399</v>
      </c>
      <c r="C2229" s="1" t="n">
        <v>45726</v>
      </c>
      <c r="D2229" t="inlineStr">
        <is>
          <t>VÄRMLANDS LÄN</t>
        </is>
      </c>
      <c r="E2229" t="inlineStr">
        <is>
          <t>TORSBY</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15052-2024</t>
        </is>
      </c>
      <c r="B2230" s="1" t="n">
        <v>45399</v>
      </c>
      <c r="C2230" s="1" t="n">
        <v>45726</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15064-2024</t>
        </is>
      </c>
      <c r="B2231" s="1" t="n">
        <v>45399</v>
      </c>
      <c r="C2231" s="1" t="n">
        <v>45726</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15101-2024</t>
        </is>
      </c>
      <c r="B2232" s="1" t="n">
        <v>45399</v>
      </c>
      <c r="C2232" s="1" t="n">
        <v>45726</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15061-2024</t>
        </is>
      </c>
      <c r="B2233" s="1" t="n">
        <v>45399</v>
      </c>
      <c r="C2233" s="1" t="n">
        <v>45726</v>
      </c>
      <c r="D2233" t="inlineStr">
        <is>
          <t>VÄRMLANDS LÄN</t>
        </is>
      </c>
      <c r="E2233" t="inlineStr">
        <is>
          <t>TORSBY</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15126-2024</t>
        </is>
      </c>
      <c r="B2234" s="1" t="n">
        <v>45399</v>
      </c>
      <c r="C2234" s="1" t="n">
        <v>45726</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15127-2024</t>
        </is>
      </c>
      <c r="B2235" s="1" t="n">
        <v>45399</v>
      </c>
      <c r="C2235" s="1" t="n">
        <v>45726</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15182-2024</t>
        </is>
      </c>
      <c r="B2236" s="1" t="n">
        <v>45400</v>
      </c>
      <c r="C2236" s="1" t="n">
        <v>45726</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15180-2024</t>
        </is>
      </c>
      <c r="B2237" s="1" t="n">
        <v>45400</v>
      </c>
      <c r="C2237" s="1" t="n">
        <v>45726</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15222-2024</t>
        </is>
      </c>
      <c r="B2238" s="1" t="n">
        <v>45400</v>
      </c>
      <c r="C2238" s="1" t="n">
        <v>45726</v>
      </c>
      <c r="D2238" t="inlineStr">
        <is>
          <t>VÄRMLANDS LÄN</t>
        </is>
      </c>
      <c r="E2238" t="inlineStr">
        <is>
          <t>TORSBY</t>
        </is>
      </c>
      <c r="F2238" t="inlineStr">
        <is>
          <t>Bergvik skog väst AB</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15274-2024</t>
        </is>
      </c>
      <c r="B2239" s="1" t="n">
        <v>45400</v>
      </c>
      <c r="C2239" s="1" t="n">
        <v>45726</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15293-2024</t>
        </is>
      </c>
      <c r="B2240" s="1" t="n">
        <v>45400</v>
      </c>
      <c r="C2240" s="1" t="n">
        <v>45726</v>
      </c>
      <c r="D2240" t="inlineStr">
        <is>
          <t>VÄRMLANDS LÄN</t>
        </is>
      </c>
      <c r="E2240" t="inlineStr">
        <is>
          <t>TORSBY</t>
        </is>
      </c>
      <c r="F2240" t="inlineStr">
        <is>
          <t>Bergvik skog väst AB</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15175-2024</t>
        </is>
      </c>
      <c r="B2241" s="1" t="n">
        <v>45400</v>
      </c>
      <c r="C2241" s="1" t="n">
        <v>45726</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15315-2024</t>
        </is>
      </c>
      <c r="B2242" s="1" t="n">
        <v>45400</v>
      </c>
      <c r="C2242" s="1" t="n">
        <v>45726</v>
      </c>
      <c r="D2242" t="inlineStr">
        <is>
          <t>VÄRMLANDS LÄN</t>
        </is>
      </c>
      <c r="E2242" t="inlineStr">
        <is>
          <t>TORSBY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15320-2024</t>
        </is>
      </c>
      <c r="B2243" s="1" t="n">
        <v>45400</v>
      </c>
      <c r="C2243" s="1" t="n">
        <v>45726</v>
      </c>
      <c r="D2243" t="inlineStr">
        <is>
          <t>VÄRMLANDS LÄN</t>
        </is>
      </c>
      <c r="E2243" t="inlineStr">
        <is>
          <t>TORSBY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15425-2024</t>
        </is>
      </c>
      <c r="B2244" s="1" t="n">
        <v>45401</v>
      </c>
      <c r="C2244" s="1" t="n">
        <v>45726</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15503-2024</t>
        </is>
      </c>
      <c r="B2245" s="1" t="n">
        <v>45401</v>
      </c>
      <c r="C2245" s="1" t="n">
        <v>45726</v>
      </c>
      <c r="D2245" t="inlineStr">
        <is>
          <t>VÄRMLANDS LÄN</t>
        </is>
      </c>
      <c r="E2245" t="inlineStr">
        <is>
          <t>TORSBY</t>
        </is>
      </c>
      <c r="F2245" t="inlineStr">
        <is>
          <t>Bergvik skog väst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15465-2024</t>
        </is>
      </c>
      <c r="B2246" s="1" t="n">
        <v>45401</v>
      </c>
      <c r="C2246" s="1" t="n">
        <v>45726</v>
      </c>
      <c r="D2246" t="inlineStr">
        <is>
          <t>VÄRMLANDS LÄN</t>
        </is>
      </c>
      <c r="E2246" t="inlineStr">
        <is>
          <t>TORSBY</t>
        </is>
      </c>
      <c r="F2246" t="inlineStr">
        <is>
          <t>Bergvik skog väst AB</t>
        </is>
      </c>
      <c r="G2246" t="n">
        <v>24.6</v>
      </c>
      <c r="H2246" t="n">
        <v>0</v>
      </c>
      <c r="I2246" t="n">
        <v>0</v>
      </c>
      <c r="J2246" t="n">
        <v>0</v>
      </c>
      <c r="K2246" t="n">
        <v>0</v>
      </c>
      <c r="L2246" t="n">
        <v>0</v>
      </c>
      <c r="M2246" t="n">
        <v>0</v>
      </c>
      <c r="N2246" t="n">
        <v>0</v>
      </c>
      <c r="O2246" t="n">
        <v>0</v>
      </c>
      <c r="P2246" t="n">
        <v>0</v>
      </c>
      <c r="Q2246" t="n">
        <v>0</v>
      </c>
      <c r="R2246" s="2" t="inlineStr"/>
    </row>
    <row r="2247" ht="15" customHeight="1">
      <c r="A2247" t="inlineStr">
        <is>
          <t>A 15730-2024</t>
        </is>
      </c>
      <c r="B2247" s="1" t="n">
        <v>45404</v>
      </c>
      <c r="C2247" s="1" t="n">
        <v>45726</v>
      </c>
      <c r="D2247" t="inlineStr">
        <is>
          <t>VÄRMLANDS LÄN</t>
        </is>
      </c>
      <c r="E2247" t="inlineStr">
        <is>
          <t>TORSBY</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15758-2024</t>
        </is>
      </c>
      <c r="B2248" s="1" t="n">
        <v>45404</v>
      </c>
      <c r="C2248" s="1" t="n">
        <v>45726</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15943-2024</t>
        </is>
      </c>
      <c r="B2249" s="1" t="n">
        <v>45405</v>
      </c>
      <c r="C2249" s="1" t="n">
        <v>45726</v>
      </c>
      <c r="D2249" t="inlineStr">
        <is>
          <t>VÄRMLANDS LÄN</t>
        </is>
      </c>
      <c r="E2249" t="inlineStr">
        <is>
          <t>TORSBY</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15896-2024</t>
        </is>
      </c>
      <c r="B2250" s="1" t="n">
        <v>45405</v>
      </c>
      <c r="C2250" s="1" t="n">
        <v>45726</v>
      </c>
      <c r="D2250" t="inlineStr">
        <is>
          <t>VÄRMLANDS LÄN</t>
        </is>
      </c>
      <c r="E2250" t="inlineStr">
        <is>
          <t>TORSBY</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15892-2024</t>
        </is>
      </c>
      <c r="B2251" s="1" t="n">
        <v>45405</v>
      </c>
      <c r="C2251" s="1" t="n">
        <v>45726</v>
      </c>
      <c r="D2251" t="inlineStr">
        <is>
          <t>VÄRMLANDS LÄN</t>
        </is>
      </c>
      <c r="E2251" t="inlineStr">
        <is>
          <t>TORSBY</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15899-2024</t>
        </is>
      </c>
      <c r="B2252" s="1" t="n">
        <v>45405</v>
      </c>
      <c r="C2252" s="1" t="n">
        <v>45726</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15874-2024</t>
        </is>
      </c>
      <c r="B2253" s="1" t="n">
        <v>45405</v>
      </c>
      <c r="C2253" s="1" t="n">
        <v>45726</v>
      </c>
      <c r="D2253" t="inlineStr">
        <is>
          <t>VÄRMLANDS LÄN</t>
        </is>
      </c>
      <c r="E2253" t="inlineStr">
        <is>
          <t>TORSBY</t>
        </is>
      </c>
      <c r="F2253" t="inlineStr">
        <is>
          <t>Bergvik skog väst AB</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16073-2024</t>
        </is>
      </c>
      <c r="B2254" s="1" t="n">
        <v>45406</v>
      </c>
      <c r="C2254" s="1" t="n">
        <v>45726</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16369-2024</t>
        </is>
      </c>
      <c r="B2255" s="1" t="n">
        <v>45407</v>
      </c>
      <c r="C2255" s="1" t="n">
        <v>45726</v>
      </c>
      <c r="D2255" t="inlineStr">
        <is>
          <t>VÄRMLANDS LÄN</t>
        </is>
      </c>
      <c r="E2255" t="inlineStr">
        <is>
          <t>TORSBY</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16517-2024</t>
        </is>
      </c>
      <c r="B2256" s="1" t="n">
        <v>45408</v>
      </c>
      <c r="C2256" s="1" t="n">
        <v>45726</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16585-2024</t>
        </is>
      </c>
      <c r="B2257" s="1" t="n">
        <v>45408</v>
      </c>
      <c r="C2257" s="1" t="n">
        <v>45726</v>
      </c>
      <c r="D2257" t="inlineStr">
        <is>
          <t>VÄRMLANDS LÄN</t>
        </is>
      </c>
      <c r="E2257" t="inlineStr">
        <is>
          <t>TORSBY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16654-2024</t>
        </is>
      </c>
      <c r="B2258" s="1" t="n">
        <v>45408</v>
      </c>
      <c r="C2258" s="1" t="n">
        <v>45726</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16488-2024</t>
        </is>
      </c>
      <c r="B2259" s="1" t="n">
        <v>45408</v>
      </c>
      <c r="C2259" s="1" t="n">
        <v>45726</v>
      </c>
      <c r="D2259" t="inlineStr">
        <is>
          <t>VÄRMLANDS LÄN</t>
        </is>
      </c>
      <c r="E2259" t="inlineStr">
        <is>
          <t>TORSBY</t>
        </is>
      </c>
      <c r="F2259" t="inlineStr">
        <is>
          <t>Bergvik skog väst AB</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16544-2024</t>
        </is>
      </c>
      <c r="B2260" s="1" t="n">
        <v>45408</v>
      </c>
      <c r="C2260" s="1" t="n">
        <v>45726</v>
      </c>
      <c r="D2260" t="inlineStr">
        <is>
          <t>VÄRMLANDS LÄN</t>
        </is>
      </c>
      <c r="E2260" t="inlineStr">
        <is>
          <t>TORSBY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16592-2024</t>
        </is>
      </c>
      <c r="B2261" s="1" t="n">
        <v>45408</v>
      </c>
      <c r="C2261" s="1" t="n">
        <v>45726</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16583-2024</t>
        </is>
      </c>
      <c r="B2262" s="1" t="n">
        <v>45408</v>
      </c>
      <c r="C2262" s="1" t="n">
        <v>45726</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16591-2024</t>
        </is>
      </c>
      <c r="B2263" s="1" t="n">
        <v>45408</v>
      </c>
      <c r="C2263" s="1" t="n">
        <v>45726</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16586-2024</t>
        </is>
      </c>
      <c r="B2264" s="1" t="n">
        <v>45408</v>
      </c>
      <c r="C2264" s="1" t="n">
        <v>45726</v>
      </c>
      <c r="D2264" t="inlineStr">
        <is>
          <t>VÄRMLANDS LÄN</t>
        </is>
      </c>
      <c r="E2264" t="inlineStr">
        <is>
          <t>TORSBY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16730-2024</t>
        </is>
      </c>
      <c r="B2265" s="1" t="n">
        <v>45410</v>
      </c>
      <c r="C2265" s="1" t="n">
        <v>45726</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16891-2024</t>
        </is>
      </c>
      <c r="B2266" s="1" t="n">
        <v>45411</v>
      </c>
      <c r="C2266" s="1" t="n">
        <v>45726</v>
      </c>
      <c r="D2266" t="inlineStr">
        <is>
          <t>VÄRMLANDS LÄN</t>
        </is>
      </c>
      <c r="E2266" t="inlineStr">
        <is>
          <t>TORSBY</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16961-2024</t>
        </is>
      </c>
      <c r="B2267" s="1" t="n">
        <v>45412</v>
      </c>
      <c r="C2267" s="1" t="n">
        <v>45726</v>
      </c>
      <c r="D2267" t="inlineStr">
        <is>
          <t>VÄRMLANDS LÄN</t>
        </is>
      </c>
      <c r="E2267" t="inlineStr">
        <is>
          <t>TORSBY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16841-2024</t>
        </is>
      </c>
      <c r="B2268" s="1" t="n">
        <v>45411</v>
      </c>
      <c r="C2268" s="1" t="n">
        <v>45726</v>
      </c>
      <c r="D2268" t="inlineStr">
        <is>
          <t>VÄRMLANDS LÄN</t>
        </is>
      </c>
      <c r="E2268" t="inlineStr">
        <is>
          <t>TORSBY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16780-2024</t>
        </is>
      </c>
      <c r="B2269" s="1" t="n">
        <v>45411</v>
      </c>
      <c r="C2269" s="1" t="n">
        <v>45726</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16789-2024</t>
        </is>
      </c>
      <c r="B2270" s="1" t="n">
        <v>45411</v>
      </c>
      <c r="C2270" s="1" t="n">
        <v>45726</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17008-2024</t>
        </is>
      </c>
      <c r="B2271" s="1" t="n">
        <v>45412</v>
      </c>
      <c r="C2271" s="1" t="n">
        <v>45726</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17001-2024</t>
        </is>
      </c>
      <c r="B2272" s="1" t="n">
        <v>45412</v>
      </c>
      <c r="C2272" s="1" t="n">
        <v>45726</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17083-2024</t>
        </is>
      </c>
      <c r="B2273" s="1" t="n">
        <v>45412</v>
      </c>
      <c r="C2273" s="1" t="n">
        <v>45726</v>
      </c>
      <c r="D2273" t="inlineStr">
        <is>
          <t>VÄRMLANDS LÄN</t>
        </is>
      </c>
      <c r="E2273" t="inlineStr">
        <is>
          <t>TORSBY</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17024-2024</t>
        </is>
      </c>
      <c r="B2274" s="1" t="n">
        <v>45412</v>
      </c>
      <c r="C2274" s="1" t="n">
        <v>45726</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17017-2024</t>
        </is>
      </c>
      <c r="B2275" s="1" t="n">
        <v>45412</v>
      </c>
      <c r="C2275" s="1" t="n">
        <v>45726</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17047-2024</t>
        </is>
      </c>
      <c r="B2276" s="1" t="n">
        <v>45412</v>
      </c>
      <c r="C2276" s="1" t="n">
        <v>45726</v>
      </c>
      <c r="D2276" t="inlineStr">
        <is>
          <t>VÄRMLANDS LÄN</t>
        </is>
      </c>
      <c r="E2276" t="inlineStr">
        <is>
          <t>TORSBY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17265-2024</t>
        </is>
      </c>
      <c r="B2277" s="1" t="n">
        <v>45414</v>
      </c>
      <c r="C2277" s="1" t="n">
        <v>45726</v>
      </c>
      <c r="D2277" t="inlineStr">
        <is>
          <t>VÄRMLANDS LÄN</t>
        </is>
      </c>
      <c r="E2277" t="inlineStr">
        <is>
          <t>TORSBY</t>
        </is>
      </c>
      <c r="F2277" t="inlineStr">
        <is>
          <t>Bergvik skog väst AB</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17285-2024</t>
        </is>
      </c>
      <c r="B2278" s="1" t="n">
        <v>45414</v>
      </c>
      <c r="C2278" s="1" t="n">
        <v>45726</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17233-2024</t>
        </is>
      </c>
      <c r="B2279" s="1" t="n">
        <v>45414</v>
      </c>
      <c r="C2279" s="1" t="n">
        <v>45726</v>
      </c>
      <c r="D2279" t="inlineStr">
        <is>
          <t>VÄRMLANDS LÄN</t>
        </is>
      </c>
      <c r="E2279" t="inlineStr">
        <is>
          <t>TORSBY</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17390-2024</t>
        </is>
      </c>
      <c r="B2280" s="1" t="n">
        <v>45414</v>
      </c>
      <c r="C2280" s="1" t="n">
        <v>45726</v>
      </c>
      <c r="D2280" t="inlineStr">
        <is>
          <t>VÄRMLANDS LÄN</t>
        </is>
      </c>
      <c r="E2280" t="inlineStr">
        <is>
          <t>TORSBY</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17364-2024</t>
        </is>
      </c>
      <c r="B2281" s="1" t="n">
        <v>45414</v>
      </c>
      <c r="C2281" s="1" t="n">
        <v>45726</v>
      </c>
      <c r="D2281" t="inlineStr">
        <is>
          <t>VÄRMLANDS LÄN</t>
        </is>
      </c>
      <c r="E2281" t="inlineStr">
        <is>
          <t>TORSBY</t>
        </is>
      </c>
      <c r="F2281" t="inlineStr">
        <is>
          <t>Bergvik skog väst AB</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17556-2024</t>
        </is>
      </c>
      <c r="B2282" s="1" t="n">
        <v>45415</v>
      </c>
      <c r="C2282" s="1" t="n">
        <v>45726</v>
      </c>
      <c r="D2282" t="inlineStr">
        <is>
          <t>VÄRMLANDS LÄN</t>
        </is>
      </c>
      <c r="E2282" t="inlineStr">
        <is>
          <t>TORSBY</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17525-2024</t>
        </is>
      </c>
      <c r="B2283" s="1" t="n">
        <v>45415</v>
      </c>
      <c r="C2283" s="1" t="n">
        <v>45726</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17562-2024</t>
        </is>
      </c>
      <c r="B2284" s="1" t="n">
        <v>45415</v>
      </c>
      <c r="C2284" s="1" t="n">
        <v>45726</v>
      </c>
      <c r="D2284" t="inlineStr">
        <is>
          <t>VÄRMLANDS LÄN</t>
        </is>
      </c>
      <c r="E2284" t="inlineStr">
        <is>
          <t>TORSBY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17450-2024</t>
        </is>
      </c>
      <c r="B2285" s="1" t="n">
        <v>45415</v>
      </c>
      <c r="C2285" s="1" t="n">
        <v>45726</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17530-2024</t>
        </is>
      </c>
      <c r="B2286" s="1" t="n">
        <v>45415</v>
      </c>
      <c r="C2286" s="1" t="n">
        <v>45726</v>
      </c>
      <c r="D2286" t="inlineStr">
        <is>
          <t>VÄRMLANDS LÄN</t>
        </is>
      </c>
      <c r="E2286" t="inlineStr">
        <is>
          <t>TORSBY</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17687-2024</t>
        </is>
      </c>
      <c r="B2287" s="1" t="n">
        <v>45418</v>
      </c>
      <c r="C2287" s="1" t="n">
        <v>45726</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17717-2024</t>
        </is>
      </c>
      <c r="B2288" s="1" t="n">
        <v>45418</v>
      </c>
      <c r="C2288" s="1" t="n">
        <v>45726</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17959-2024</t>
        </is>
      </c>
      <c r="B2289" s="1" t="n">
        <v>45419</v>
      </c>
      <c r="C2289" s="1" t="n">
        <v>45726</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17921-2024</t>
        </is>
      </c>
      <c r="B2290" s="1" t="n">
        <v>45419</v>
      </c>
      <c r="C2290" s="1" t="n">
        <v>45726</v>
      </c>
      <c r="D2290" t="inlineStr">
        <is>
          <t>VÄRMLANDS LÄN</t>
        </is>
      </c>
      <c r="E2290" t="inlineStr">
        <is>
          <t>TORSBY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17837-2024</t>
        </is>
      </c>
      <c r="B2291" s="1" t="n">
        <v>45419</v>
      </c>
      <c r="C2291" s="1" t="n">
        <v>45726</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17879-2024</t>
        </is>
      </c>
      <c r="B2292" s="1" t="n">
        <v>45419</v>
      </c>
      <c r="C2292" s="1" t="n">
        <v>45726</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17931-2024</t>
        </is>
      </c>
      <c r="B2293" s="1" t="n">
        <v>45419</v>
      </c>
      <c r="C2293" s="1" t="n">
        <v>45726</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18125-2024</t>
        </is>
      </c>
      <c r="B2294" s="1" t="n">
        <v>45420</v>
      </c>
      <c r="C2294" s="1" t="n">
        <v>45726</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18155-2024</t>
        </is>
      </c>
      <c r="B2295" s="1" t="n">
        <v>45420</v>
      </c>
      <c r="C2295" s="1" t="n">
        <v>45726</v>
      </c>
      <c r="D2295" t="inlineStr">
        <is>
          <t>VÄRMLANDS LÄN</t>
        </is>
      </c>
      <c r="E2295" t="inlineStr">
        <is>
          <t>TORSBY</t>
        </is>
      </c>
      <c r="F2295" t="inlineStr">
        <is>
          <t>Bergvik skog väst AB</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18339-2024</t>
        </is>
      </c>
      <c r="B2296" s="1" t="n">
        <v>45422</v>
      </c>
      <c r="C2296" s="1" t="n">
        <v>45726</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18330-2024</t>
        </is>
      </c>
      <c r="B2297" s="1" t="n">
        <v>45422</v>
      </c>
      <c r="C2297" s="1" t="n">
        <v>45726</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18308-2024</t>
        </is>
      </c>
      <c r="B2298" s="1" t="n">
        <v>45422</v>
      </c>
      <c r="C2298" s="1" t="n">
        <v>45726</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18337-2024</t>
        </is>
      </c>
      <c r="B2299" s="1" t="n">
        <v>45422</v>
      </c>
      <c r="C2299" s="1" t="n">
        <v>45726</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18422-2024</t>
        </is>
      </c>
      <c r="B2300" s="1" t="n">
        <v>45425</v>
      </c>
      <c r="C2300" s="1" t="n">
        <v>45726</v>
      </c>
      <c r="D2300" t="inlineStr">
        <is>
          <t>VÄRMLANDS LÄN</t>
        </is>
      </c>
      <c r="E2300" t="inlineStr">
        <is>
          <t>TORSBY</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18682-2024</t>
        </is>
      </c>
      <c r="B2301" s="1" t="n">
        <v>45426</v>
      </c>
      <c r="C2301" s="1" t="n">
        <v>45726</v>
      </c>
      <c r="D2301" t="inlineStr">
        <is>
          <t>VÄRMLANDS LÄN</t>
        </is>
      </c>
      <c r="E2301" t="inlineStr">
        <is>
          <t>TORSBY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18883-2024</t>
        </is>
      </c>
      <c r="B2302" s="1" t="n">
        <v>45426</v>
      </c>
      <c r="C2302" s="1" t="n">
        <v>45726</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18855-2024</t>
        </is>
      </c>
      <c r="B2303" s="1" t="n">
        <v>45426</v>
      </c>
      <c r="C2303" s="1" t="n">
        <v>45726</v>
      </c>
      <c r="D2303" t="inlineStr">
        <is>
          <t>VÄRMLANDS LÄN</t>
        </is>
      </c>
      <c r="E2303" t="inlineStr">
        <is>
          <t>TORSBY</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18890-2024</t>
        </is>
      </c>
      <c r="B2304" s="1" t="n">
        <v>45427</v>
      </c>
      <c r="C2304" s="1" t="n">
        <v>45726</v>
      </c>
      <c r="D2304" t="inlineStr">
        <is>
          <t>VÄRMLANDS LÄN</t>
        </is>
      </c>
      <c r="E2304" t="inlineStr">
        <is>
          <t>TORSBY</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18953-2024</t>
        </is>
      </c>
      <c r="B2305" s="1" t="n">
        <v>45427</v>
      </c>
      <c r="C2305" s="1" t="n">
        <v>45726</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18959-2024</t>
        </is>
      </c>
      <c r="B2306" s="1" t="n">
        <v>45427</v>
      </c>
      <c r="C2306" s="1" t="n">
        <v>45726</v>
      </c>
      <c r="D2306" t="inlineStr">
        <is>
          <t>VÄRMLANDS LÄN</t>
        </is>
      </c>
      <c r="E2306" t="inlineStr">
        <is>
          <t>TORSBY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18955-2024</t>
        </is>
      </c>
      <c r="B2307" s="1" t="n">
        <v>45427</v>
      </c>
      <c r="C2307" s="1" t="n">
        <v>45726</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18897-2024</t>
        </is>
      </c>
      <c r="B2308" s="1" t="n">
        <v>45427</v>
      </c>
      <c r="C2308" s="1" t="n">
        <v>45726</v>
      </c>
      <c r="D2308" t="inlineStr">
        <is>
          <t>VÄRMLANDS LÄN</t>
        </is>
      </c>
      <c r="E2308" t="inlineStr">
        <is>
          <t>TORSBY</t>
        </is>
      </c>
      <c r="F2308" t="inlineStr">
        <is>
          <t>Övriga statliga verk och myndigheter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19029-2024</t>
        </is>
      </c>
      <c r="B2309" s="1" t="n">
        <v>45427</v>
      </c>
      <c r="C2309" s="1" t="n">
        <v>45726</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19136-2024</t>
        </is>
      </c>
      <c r="B2310" s="1" t="n">
        <v>45428</v>
      </c>
      <c r="C2310" s="1" t="n">
        <v>45726</v>
      </c>
      <c r="D2310" t="inlineStr">
        <is>
          <t>VÄRMLANDS LÄN</t>
        </is>
      </c>
      <c r="E2310" t="inlineStr">
        <is>
          <t>TORSBY</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19251-2024</t>
        </is>
      </c>
      <c r="B2311" s="1" t="n">
        <v>45428</v>
      </c>
      <c r="C2311" s="1" t="n">
        <v>45726</v>
      </c>
      <c r="D2311" t="inlineStr">
        <is>
          <t>VÄRMLANDS LÄN</t>
        </is>
      </c>
      <c r="E2311" t="inlineStr">
        <is>
          <t>TORSBY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19215-2024</t>
        </is>
      </c>
      <c r="B2312" s="1" t="n">
        <v>45428</v>
      </c>
      <c r="C2312" s="1" t="n">
        <v>45726</v>
      </c>
      <c r="D2312" t="inlineStr">
        <is>
          <t>VÄRMLANDS LÄN</t>
        </is>
      </c>
      <c r="E2312" t="inlineStr">
        <is>
          <t>TORSBY</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19665-2024</t>
        </is>
      </c>
      <c r="B2313" s="1" t="n">
        <v>45432</v>
      </c>
      <c r="C2313" s="1" t="n">
        <v>45726</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19887-2024</t>
        </is>
      </c>
      <c r="B2314" s="1" t="n">
        <v>45433</v>
      </c>
      <c r="C2314" s="1" t="n">
        <v>45726</v>
      </c>
      <c r="D2314" t="inlineStr">
        <is>
          <t>VÄRMLANDS LÄN</t>
        </is>
      </c>
      <c r="E2314" t="inlineStr">
        <is>
          <t>TORSBY</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20440-2024</t>
        </is>
      </c>
      <c r="B2315" s="1" t="n">
        <v>45435</v>
      </c>
      <c r="C2315" s="1" t="n">
        <v>45726</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20472-2024</t>
        </is>
      </c>
      <c r="B2316" s="1" t="n">
        <v>45435</v>
      </c>
      <c r="C2316" s="1" t="n">
        <v>45726</v>
      </c>
      <c r="D2316" t="inlineStr">
        <is>
          <t>VÄRMLANDS LÄN</t>
        </is>
      </c>
      <c r="E2316" t="inlineStr">
        <is>
          <t>TORSBY</t>
        </is>
      </c>
      <c r="F2316" t="inlineStr">
        <is>
          <t>Bergvik skog väst AB</t>
        </is>
      </c>
      <c r="G2316" t="n">
        <v>46.1</v>
      </c>
      <c r="H2316" t="n">
        <v>0</v>
      </c>
      <c r="I2316" t="n">
        <v>0</v>
      </c>
      <c r="J2316" t="n">
        <v>0</v>
      </c>
      <c r="K2316" t="n">
        <v>0</v>
      </c>
      <c r="L2316" t="n">
        <v>0</v>
      </c>
      <c r="M2316" t="n">
        <v>0</v>
      </c>
      <c r="N2316" t="n">
        <v>0</v>
      </c>
      <c r="O2316" t="n">
        <v>0</v>
      </c>
      <c r="P2316" t="n">
        <v>0</v>
      </c>
      <c r="Q2316" t="n">
        <v>0</v>
      </c>
      <c r="R2316" s="2" t="inlineStr"/>
    </row>
    <row r="2317" ht="15" customHeight="1">
      <c r="A2317" t="inlineStr">
        <is>
          <t>A 20645-2024</t>
        </is>
      </c>
      <c r="B2317" s="1" t="n">
        <v>45436</v>
      </c>
      <c r="C2317" s="1" t="n">
        <v>45726</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20725-2024</t>
        </is>
      </c>
      <c r="B2318" s="1" t="n">
        <v>45436</v>
      </c>
      <c r="C2318" s="1" t="n">
        <v>45726</v>
      </c>
      <c r="D2318" t="inlineStr">
        <is>
          <t>VÄRMLANDS LÄN</t>
        </is>
      </c>
      <c r="E2318" t="inlineStr">
        <is>
          <t>TORSBY</t>
        </is>
      </c>
      <c r="F2318" t="inlineStr">
        <is>
          <t>Bergvik skog väst AB</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20633-2024</t>
        </is>
      </c>
      <c r="B2319" s="1" t="n">
        <v>45436</v>
      </c>
      <c r="C2319" s="1" t="n">
        <v>45726</v>
      </c>
      <c r="D2319" t="inlineStr">
        <is>
          <t>VÄRMLANDS LÄN</t>
        </is>
      </c>
      <c r="E2319" t="inlineStr">
        <is>
          <t>TORSBY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20537-2024</t>
        </is>
      </c>
      <c r="B2320" s="1" t="n">
        <v>45436</v>
      </c>
      <c r="C2320" s="1" t="n">
        <v>45726</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20647-2024</t>
        </is>
      </c>
      <c r="B2321" s="1" t="n">
        <v>45436</v>
      </c>
      <c r="C2321" s="1" t="n">
        <v>45726</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20872-2024</t>
        </is>
      </c>
      <c r="B2322" s="1" t="n">
        <v>45439</v>
      </c>
      <c r="C2322" s="1" t="n">
        <v>45726</v>
      </c>
      <c r="D2322" t="inlineStr">
        <is>
          <t>VÄRMLANDS LÄN</t>
        </is>
      </c>
      <c r="E2322" t="inlineStr">
        <is>
          <t>TORSBY</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21013-2024</t>
        </is>
      </c>
      <c r="B2323" s="1" t="n">
        <v>45439</v>
      </c>
      <c r="C2323" s="1" t="n">
        <v>45726</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20982-2024</t>
        </is>
      </c>
      <c r="B2324" s="1" t="n">
        <v>45439</v>
      </c>
      <c r="C2324" s="1" t="n">
        <v>45726</v>
      </c>
      <c r="D2324" t="inlineStr">
        <is>
          <t>VÄRMLANDS LÄN</t>
        </is>
      </c>
      <c r="E2324" t="inlineStr">
        <is>
          <t>TORSBY</t>
        </is>
      </c>
      <c r="F2324" t="inlineStr">
        <is>
          <t>Bergvik skog väst AB</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20985-2024</t>
        </is>
      </c>
      <c r="B2325" s="1" t="n">
        <v>45439</v>
      </c>
      <c r="C2325" s="1" t="n">
        <v>45726</v>
      </c>
      <c r="D2325" t="inlineStr">
        <is>
          <t>VÄRMLANDS LÄN</t>
        </is>
      </c>
      <c r="E2325" t="inlineStr">
        <is>
          <t>TORSBY</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20968-2024</t>
        </is>
      </c>
      <c r="B2326" s="1" t="n">
        <v>45439</v>
      </c>
      <c r="C2326" s="1" t="n">
        <v>45726</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21280-2024</t>
        </is>
      </c>
      <c r="B2327" s="1" t="n">
        <v>45440</v>
      </c>
      <c r="C2327" s="1" t="n">
        <v>45726</v>
      </c>
      <c r="D2327" t="inlineStr">
        <is>
          <t>VÄRMLANDS LÄN</t>
        </is>
      </c>
      <c r="E2327" t="inlineStr">
        <is>
          <t>TORSBY</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21297-2024</t>
        </is>
      </c>
      <c r="B2328" s="1" t="n">
        <v>45440</v>
      </c>
      <c r="C2328" s="1" t="n">
        <v>45726</v>
      </c>
      <c r="D2328" t="inlineStr">
        <is>
          <t>VÄRMLANDS LÄN</t>
        </is>
      </c>
      <c r="E2328" t="inlineStr">
        <is>
          <t>TORSBY</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21308-2024</t>
        </is>
      </c>
      <c r="B2329" s="1" t="n">
        <v>45440</v>
      </c>
      <c r="C2329" s="1" t="n">
        <v>45726</v>
      </c>
      <c r="D2329" t="inlineStr">
        <is>
          <t>VÄRMLANDS LÄN</t>
        </is>
      </c>
      <c r="E2329" t="inlineStr">
        <is>
          <t>TORSBY</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21518-2024</t>
        </is>
      </c>
      <c r="B2330" s="1" t="n">
        <v>45441</v>
      </c>
      <c r="C2330" s="1" t="n">
        <v>45726</v>
      </c>
      <c r="D2330" t="inlineStr">
        <is>
          <t>VÄRMLANDS LÄN</t>
        </is>
      </c>
      <c r="E2330" t="inlineStr">
        <is>
          <t>TORSBY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21542-2024</t>
        </is>
      </c>
      <c r="B2331" s="1" t="n">
        <v>45441</v>
      </c>
      <c r="C2331" s="1" t="n">
        <v>45726</v>
      </c>
      <c r="D2331" t="inlineStr">
        <is>
          <t>VÄRMLANDS LÄN</t>
        </is>
      </c>
      <c r="E2331" t="inlineStr">
        <is>
          <t>TORSBY</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21580-2024</t>
        </is>
      </c>
      <c r="B2332" s="1" t="n">
        <v>45441</v>
      </c>
      <c r="C2332" s="1" t="n">
        <v>45726</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21586-2024</t>
        </is>
      </c>
      <c r="B2333" s="1" t="n">
        <v>45441</v>
      </c>
      <c r="C2333" s="1" t="n">
        <v>45726</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21581-2024</t>
        </is>
      </c>
      <c r="B2334" s="1" t="n">
        <v>45441</v>
      </c>
      <c r="C2334" s="1" t="n">
        <v>45726</v>
      </c>
      <c r="D2334" t="inlineStr">
        <is>
          <t>VÄRMLANDS LÄN</t>
        </is>
      </c>
      <c r="E2334" t="inlineStr">
        <is>
          <t>TORSBY</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21585-2024</t>
        </is>
      </c>
      <c r="B2335" s="1" t="n">
        <v>45441</v>
      </c>
      <c r="C2335" s="1" t="n">
        <v>45726</v>
      </c>
      <c r="D2335" t="inlineStr">
        <is>
          <t>VÄRMLANDS LÄN</t>
        </is>
      </c>
      <c r="E2335" t="inlineStr">
        <is>
          <t>TORSBY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21587-2024</t>
        </is>
      </c>
      <c r="B2336" s="1" t="n">
        <v>45441</v>
      </c>
      <c r="C2336" s="1" t="n">
        <v>45726</v>
      </c>
      <c r="D2336" t="inlineStr">
        <is>
          <t>VÄRMLANDS LÄN</t>
        </is>
      </c>
      <c r="E2336" t="inlineStr">
        <is>
          <t>TORSBY</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21757-2024</t>
        </is>
      </c>
      <c r="B2337" s="1" t="n">
        <v>45442</v>
      </c>
      <c r="C2337" s="1" t="n">
        <v>45726</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21825-2024</t>
        </is>
      </c>
      <c r="B2338" s="1" t="n">
        <v>45442</v>
      </c>
      <c r="C2338" s="1" t="n">
        <v>45726</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21829-2024</t>
        </is>
      </c>
      <c r="B2339" s="1" t="n">
        <v>45442</v>
      </c>
      <c r="C2339" s="1" t="n">
        <v>45726</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21744-2024</t>
        </is>
      </c>
      <c r="B2340" s="1" t="n">
        <v>45442</v>
      </c>
      <c r="C2340" s="1" t="n">
        <v>45726</v>
      </c>
      <c r="D2340" t="inlineStr">
        <is>
          <t>VÄRMLANDS LÄN</t>
        </is>
      </c>
      <c r="E2340" t="inlineStr">
        <is>
          <t>TORSBY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21828-2024</t>
        </is>
      </c>
      <c r="B2341" s="1" t="n">
        <v>45442</v>
      </c>
      <c r="C2341" s="1" t="n">
        <v>45726</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21930-2024</t>
        </is>
      </c>
      <c r="B2342" s="1" t="n">
        <v>45443</v>
      </c>
      <c r="C2342" s="1" t="n">
        <v>45726</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22216-2024</t>
        </is>
      </c>
      <c r="B2343" s="1" t="n">
        <v>45446</v>
      </c>
      <c r="C2343" s="1" t="n">
        <v>45726</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22483-2024</t>
        </is>
      </c>
      <c r="B2344" s="1" t="n">
        <v>45446</v>
      </c>
      <c r="C2344" s="1" t="n">
        <v>45726</v>
      </c>
      <c r="D2344" t="inlineStr">
        <is>
          <t>VÄRMLANDS LÄN</t>
        </is>
      </c>
      <c r="E2344" t="inlineStr">
        <is>
          <t>TORSBY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22421-2024</t>
        </is>
      </c>
      <c r="B2345" s="1" t="n">
        <v>45446</v>
      </c>
      <c r="C2345" s="1" t="n">
        <v>45726</v>
      </c>
      <c r="D2345" t="inlineStr">
        <is>
          <t>VÄRMLANDS LÄN</t>
        </is>
      </c>
      <c r="E2345" t="inlineStr">
        <is>
          <t>TORSBY</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22426-2024</t>
        </is>
      </c>
      <c r="B2346" s="1" t="n">
        <v>45446</v>
      </c>
      <c r="C2346" s="1" t="n">
        <v>45726</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22525-2024</t>
        </is>
      </c>
      <c r="B2347" s="1" t="n">
        <v>45447</v>
      </c>
      <c r="C2347" s="1" t="n">
        <v>45726</v>
      </c>
      <c r="D2347" t="inlineStr">
        <is>
          <t>VÄRMLANDS LÄN</t>
        </is>
      </c>
      <c r="E2347" t="inlineStr">
        <is>
          <t>TORSBY</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22565-2024</t>
        </is>
      </c>
      <c r="B2348" s="1" t="n">
        <v>45447</v>
      </c>
      <c r="C2348" s="1" t="n">
        <v>45726</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22536-2024</t>
        </is>
      </c>
      <c r="B2349" s="1" t="n">
        <v>45447</v>
      </c>
      <c r="C2349" s="1" t="n">
        <v>45726</v>
      </c>
      <c r="D2349" t="inlineStr">
        <is>
          <t>VÄRMLANDS LÄN</t>
        </is>
      </c>
      <c r="E2349" t="inlineStr">
        <is>
          <t>TORSBY</t>
        </is>
      </c>
      <c r="G2349" t="n">
        <v>25.2</v>
      </c>
      <c r="H2349" t="n">
        <v>0</v>
      </c>
      <c r="I2349" t="n">
        <v>0</v>
      </c>
      <c r="J2349" t="n">
        <v>0</v>
      </c>
      <c r="K2349" t="n">
        <v>0</v>
      </c>
      <c r="L2349" t="n">
        <v>0</v>
      </c>
      <c r="M2349" t="n">
        <v>0</v>
      </c>
      <c r="N2349" t="n">
        <v>0</v>
      </c>
      <c r="O2349" t="n">
        <v>0</v>
      </c>
      <c r="P2349" t="n">
        <v>0</v>
      </c>
      <c r="Q2349" t="n">
        <v>0</v>
      </c>
      <c r="R2349" s="2" t="inlineStr"/>
    </row>
    <row r="2350" ht="15" customHeight="1">
      <c r="A2350" t="inlineStr">
        <is>
          <t>A 22844-2024</t>
        </is>
      </c>
      <c r="B2350" s="1" t="n">
        <v>45448</v>
      </c>
      <c r="C2350" s="1" t="n">
        <v>45726</v>
      </c>
      <c r="D2350" t="inlineStr">
        <is>
          <t>VÄRMLANDS LÄN</t>
        </is>
      </c>
      <c r="E2350" t="inlineStr">
        <is>
          <t>TORSBY</t>
        </is>
      </c>
      <c r="F2350" t="inlineStr">
        <is>
          <t>Bergvik skog väst AB</t>
        </is>
      </c>
      <c r="G2350" t="n">
        <v>16.3</v>
      </c>
      <c r="H2350" t="n">
        <v>0</v>
      </c>
      <c r="I2350" t="n">
        <v>0</v>
      </c>
      <c r="J2350" t="n">
        <v>0</v>
      </c>
      <c r="K2350" t="n">
        <v>0</v>
      </c>
      <c r="L2350" t="n">
        <v>0</v>
      </c>
      <c r="M2350" t="n">
        <v>0</v>
      </c>
      <c r="N2350" t="n">
        <v>0</v>
      </c>
      <c r="O2350" t="n">
        <v>0</v>
      </c>
      <c r="P2350" t="n">
        <v>0</v>
      </c>
      <c r="Q2350" t="n">
        <v>0</v>
      </c>
      <c r="R2350" s="2" t="inlineStr"/>
    </row>
    <row r="2351" ht="15" customHeight="1">
      <c r="A2351" t="inlineStr">
        <is>
          <t>A 22729-2024</t>
        </is>
      </c>
      <c r="B2351" s="1" t="n">
        <v>45448</v>
      </c>
      <c r="C2351" s="1" t="n">
        <v>45726</v>
      </c>
      <c r="D2351" t="inlineStr">
        <is>
          <t>VÄRMLANDS LÄN</t>
        </is>
      </c>
      <c r="E2351" t="inlineStr">
        <is>
          <t>TORSBY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22843-2024</t>
        </is>
      </c>
      <c r="B2352" s="1" t="n">
        <v>45448</v>
      </c>
      <c r="C2352" s="1" t="n">
        <v>45726</v>
      </c>
      <c r="D2352" t="inlineStr">
        <is>
          <t>VÄRMLANDS LÄN</t>
        </is>
      </c>
      <c r="E2352" t="inlineStr">
        <is>
          <t>TORSBY</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22973-2024</t>
        </is>
      </c>
      <c r="B2353" s="1" t="n">
        <v>45449</v>
      </c>
      <c r="C2353" s="1" t="n">
        <v>45726</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23042-2024</t>
        </is>
      </c>
      <c r="B2354" s="1" t="n">
        <v>45450</v>
      </c>
      <c r="C2354" s="1" t="n">
        <v>45726</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23133-2024</t>
        </is>
      </c>
      <c r="B2355" s="1" t="n">
        <v>45450</v>
      </c>
      <c r="C2355" s="1" t="n">
        <v>45726</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23108-2024</t>
        </is>
      </c>
      <c r="B2356" s="1" t="n">
        <v>45450</v>
      </c>
      <c r="C2356" s="1" t="n">
        <v>45726</v>
      </c>
      <c r="D2356" t="inlineStr">
        <is>
          <t>VÄRMLANDS LÄN</t>
        </is>
      </c>
      <c r="E2356" t="inlineStr">
        <is>
          <t>TORSBY</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45726</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23106-2024</t>
        </is>
      </c>
      <c r="B2358" s="1" t="n">
        <v>45450</v>
      </c>
      <c r="C2358" s="1" t="n">
        <v>45726</v>
      </c>
      <c r="D2358" t="inlineStr">
        <is>
          <t>VÄRMLANDS LÄN</t>
        </is>
      </c>
      <c r="E2358" t="inlineStr">
        <is>
          <t>TORSBY</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23423-2024</t>
        </is>
      </c>
      <c r="B2359" s="1" t="n">
        <v>45453</v>
      </c>
      <c r="C2359" s="1" t="n">
        <v>45726</v>
      </c>
      <c r="D2359" t="inlineStr">
        <is>
          <t>VÄRMLANDS LÄN</t>
        </is>
      </c>
      <c r="E2359" t="inlineStr">
        <is>
          <t>TORSBY</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23678-2024</t>
        </is>
      </c>
      <c r="B2360" s="1" t="n">
        <v>45454</v>
      </c>
      <c r="C2360" s="1" t="n">
        <v>45726</v>
      </c>
      <c r="D2360" t="inlineStr">
        <is>
          <t>VÄRMLANDS LÄN</t>
        </is>
      </c>
      <c r="E2360" t="inlineStr">
        <is>
          <t>TORSBY</t>
        </is>
      </c>
      <c r="F2360" t="inlineStr">
        <is>
          <t>Bergvik skog väst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23719-2024</t>
        </is>
      </c>
      <c r="B2361" s="1" t="n">
        <v>45454</v>
      </c>
      <c r="C2361" s="1" t="n">
        <v>45726</v>
      </c>
      <c r="D2361" t="inlineStr">
        <is>
          <t>VÄRMLANDS LÄN</t>
        </is>
      </c>
      <c r="E2361" t="inlineStr">
        <is>
          <t>TORSBY</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23746-2024</t>
        </is>
      </c>
      <c r="B2362" s="1" t="n">
        <v>45454</v>
      </c>
      <c r="C2362" s="1" t="n">
        <v>45726</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23820-2024</t>
        </is>
      </c>
      <c r="B2363" s="1" t="n">
        <v>45455</v>
      </c>
      <c r="C2363" s="1" t="n">
        <v>45726</v>
      </c>
      <c r="D2363" t="inlineStr">
        <is>
          <t>VÄRMLANDS LÄN</t>
        </is>
      </c>
      <c r="E2363" t="inlineStr">
        <is>
          <t>TORSBY</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23846-2024</t>
        </is>
      </c>
      <c r="B2364" s="1" t="n">
        <v>45455</v>
      </c>
      <c r="C2364" s="1" t="n">
        <v>45726</v>
      </c>
      <c r="D2364" t="inlineStr">
        <is>
          <t>VÄRMLANDS LÄN</t>
        </is>
      </c>
      <c r="E2364" t="inlineStr">
        <is>
          <t>TORSBY</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23824-2024</t>
        </is>
      </c>
      <c r="B2365" s="1" t="n">
        <v>45455</v>
      </c>
      <c r="C2365" s="1" t="n">
        <v>45726</v>
      </c>
      <c r="D2365" t="inlineStr">
        <is>
          <t>VÄRMLANDS LÄN</t>
        </is>
      </c>
      <c r="E2365" t="inlineStr">
        <is>
          <t>TORSBY</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23845-2024</t>
        </is>
      </c>
      <c r="B2366" s="1" t="n">
        <v>45455</v>
      </c>
      <c r="C2366" s="1" t="n">
        <v>45726</v>
      </c>
      <c r="D2366" t="inlineStr">
        <is>
          <t>VÄRMLANDS LÄN</t>
        </is>
      </c>
      <c r="E2366" t="inlineStr">
        <is>
          <t>TORSBY</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23843-2024</t>
        </is>
      </c>
      <c r="B2367" s="1" t="n">
        <v>45455</v>
      </c>
      <c r="C2367" s="1" t="n">
        <v>45726</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23835-2024</t>
        </is>
      </c>
      <c r="B2368" s="1" t="n">
        <v>45455</v>
      </c>
      <c r="C2368" s="1" t="n">
        <v>45726</v>
      </c>
      <c r="D2368" t="inlineStr">
        <is>
          <t>VÄRMLANDS LÄN</t>
        </is>
      </c>
      <c r="E2368" t="inlineStr">
        <is>
          <t>TORSBY</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24020-2024</t>
        </is>
      </c>
      <c r="B2369" s="1" t="n">
        <v>45456</v>
      </c>
      <c r="C2369" s="1" t="n">
        <v>45726</v>
      </c>
      <c r="D2369" t="inlineStr">
        <is>
          <t>VÄRMLANDS LÄN</t>
        </is>
      </c>
      <c r="E2369" t="inlineStr">
        <is>
          <t>TORSBY</t>
        </is>
      </c>
      <c r="F2369" t="inlineStr">
        <is>
          <t>Bergvik skog väst AB</t>
        </is>
      </c>
      <c r="G2369" t="n">
        <v>19.4</v>
      </c>
      <c r="H2369" t="n">
        <v>0</v>
      </c>
      <c r="I2369" t="n">
        <v>0</v>
      </c>
      <c r="J2369" t="n">
        <v>0</v>
      </c>
      <c r="K2369" t="n">
        <v>0</v>
      </c>
      <c r="L2369" t="n">
        <v>0</v>
      </c>
      <c r="M2369" t="n">
        <v>0</v>
      </c>
      <c r="N2369" t="n">
        <v>0</v>
      </c>
      <c r="O2369" t="n">
        <v>0</v>
      </c>
      <c r="P2369" t="n">
        <v>0</v>
      </c>
      <c r="Q2369" t="n">
        <v>0</v>
      </c>
      <c r="R2369" s="2" t="inlineStr"/>
    </row>
    <row r="2370" ht="15" customHeight="1">
      <c r="A2370" t="inlineStr">
        <is>
          <t>A 23996-2024</t>
        </is>
      </c>
      <c r="B2370" s="1" t="n">
        <v>45456</v>
      </c>
      <c r="C2370" s="1" t="n">
        <v>45726</v>
      </c>
      <c r="D2370" t="inlineStr">
        <is>
          <t>VÄRMLANDS LÄN</t>
        </is>
      </c>
      <c r="E2370" t="inlineStr">
        <is>
          <t>TORSBY</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24004-2024</t>
        </is>
      </c>
      <c r="B2371" s="1" t="n">
        <v>45456</v>
      </c>
      <c r="C2371" s="1" t="n">
        <v>45726</v>
      </c>
      <c r="D2371" t="inlineStr">
        <is>
          <t>VÄRMLANDS LÄN</t>
        </is>
      </c>
      <c r="E2371" t="inlineStr">
        <is>
          <t>TORSBY</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24148-2024</t>
        </is>
      </c>
      <c r="B2372" s="1" t="n">
        <v>45456</v>
      </c>
      <c r="C2372" s="1" t="n">
        <v>45726</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24182-2024</t>
        </is>
      </c>
      <c r="B2373" s="1" t="n">
        <v>45456</v>
      </c>
      <c r="C2373" s="1" t="n">
        <v>45726</v>
      </c>
      <c r="D2373" t="inlineStr">
        <is>
          <t>VÄRMLANDS LÄN</t>
        </is>
      </c>
      <c r="E2373" t="inlineStr">
        <is>
          <t>TORSBY</t>
        </is>
      </c>
      <c r="F2373" t="inlineStr">
        <is>
          <t>Bergvik skog väst AB</t>
        </is>
      </c>
      <c r="G2373" t="n">
        <v>28.9</v>
      </c>
      <c r="H2373" t="n">
        <v>0</v>
      </c>
      <c r="I2373" t="n">
        <v>0</v>
      </c>
      <c r="J2373" t="n">
        <v>0</v>
      </c>
      <c r="K2373" t="n">
        <v>0</v>
      </c>
      <c r="L2373" t="n">
        <v>0</v>
      </c>
      <c r="M2373" t="n">
        <v>0</v>
      </c>
      <c r="N2373" t="n">
        <v>0</v>
      </c>
      <c r="O2373" t="n">
        <v>0</v>
      </c>
      <c r="P2373" t="n">
        <v>0</v>
      </c>
      <c r="Q2373" t="n">
        <v>0</v>
      </c>
      <c r="R2373" s="2" t="inlineStr"/>
    </row>
    <row r="2374" ht="15" customHeight="1">
      <c r="A2374" t="inlineStr">
        <is>
          <t>A 24087-2024</t>
        </is>
      </c>
      <c r="B2374" s="1" t="n">
        <v>45456</v>
      </c>
      <c r="C2374" s="1" t="n">
        <v>45726</v>
      </c>
      <c r="D2374" t="inlineStr">
        <is>
          <t>VÄRMLANDS LÄN</t>
        </is>
      </c>
      <c r="E2374" t="inlineStr">
        <is>
          <t>TORSBY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24113-2024</t>
        </is>
      </c>
      <c r="B2375" s="1" t="n">
        <v>45456</v>
      </c>
      <c r="C2375" s="1" t="n">
        <v>45726</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24242-2024</t>
        </is>
      </c>
      <c r="B2376" s="1" t="n">
        <v>45457</v>
      </c>
      <c r="C2376" s="1" t="n">
        <v>45726</v>
      </c>
      <c r="D2376" t="inlineStr">
        <is>
          <t>VÄRMLANDS LÄN</t>
        </is>
      </c>
      <c r="E2376" t="inlineStr">
        <is>
          <t>TORSBY</t>
        </is>
      </c>
      <c r="F2376" t="inlineStr">
        <is>
          <t>Bergvik skog väst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24261-2024</t>
        </is>
      </c>
      <c r="B2377" s="1" t="n">
        <v>45457</v>
      </c>
      <c r="C2377" s="1" t="n">
        <v>45726</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24267-2024</t>
        </is>
      </c>
      <c r="B2378" s="1" t="n">
        <v>45457</v>
      </c>
      <c r="C2378" s="1" t="n">
        <v>45726</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24493-2024</t>
        </is>
      </c>
      <c r="B2379" s="1" t="n">
        <v>45459</v>
      </c>
      <c r="C2379" s="1" t="n">
        <v>45726</v>
      </c>
      <c r="D2379" t="inlineStr">
        <is>
          <t>VÄRMLANDS LÄN</t>
        </is>
      </c>
      <c r="E2379" t="inlineStr">
        <is>
          <t>TORSBY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24490-2024</t>
        </is>
      </c>
      <c r="B2380" s="1" t="n">
        <v>45459</v>
      </c>
      <c r="C2380" s="1" t="n">
        <v>45726</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24708-2024</t>
        </is>
      </c>
      <c r="B2381" s="1" t="n">
        <v>45460</v>
      </c>
      <c r="C2381" s="1" t="n">
        <v>45726</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24723-2024</t>
        </is>
      </c>
      <c r="B2382" s="1" t="n">
        <v>45460</v>
      </c>
      <c r="C2382" s="1" t="n">
        <v>45726</v>
      </c>
      <c r="D2382" t="inlineStr">
        <is>
          <t>VÄRMLANDS LÄN</t>
        </is>
      </c>
      <c r="E2382" t="inlineStr">
        <is>
          <t>TORSBY</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24717-2024</t>
        </is>
      </c>
      <c r="B2383" s="1" t="n">
        <v>45460</v>
      </c>
      <c r="C2383" s="1" t="n">
        <v>45726</v>
      </c>
      <c r="D2383" t="inlineStr">
        <is>
          <t>VÄRMLANDS LÄN</t>
        </is>
      </c>
      <c r="E2383" t="inlineStr">
        <is>
          <t>TORSBY</t>
        </is>
      </c>
      <c r="F2383" t="inlineStr">
        <is>
          <t>Övriga statliga verk och myndigheter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24636-2024</t>
        </is>
      </c>
      <c r="B2384" s="1" t="n">
        <v>45460</v>
      </c>
      <c r="C2384" s="1" t="n">
        <v>45726</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24630-2024</t>
        </is>
      </c>
      <c r="B2385" s="1" t="n">
        <v>45460</v>
      </c>
      <c r="C2385" s="1" t="n">
        <v>45726</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24657-2024</t>
        </is>
      </c>
      <c r="B2386" s="1" t="n">
        <v>45460</v>
      </c>
      <c r="C2386" s="1" t="n">
        <v>45726</v>
      </c>
      <c r="D2386" t="inlineStr">
        <is>
          <t>VÄRMLANDS LÄN</t>
        </is>
      </c>
      <c r="E2386" t="inlineStr">
        <is>
          <t>TORSBY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24995-2024</t>
        </is>
      </c>
      <c r="B2387" s="1" t="n">
        <v>45461</v>
      </c>
      <c r="C2387" s="1" t="n">
        <v>45726</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24851-2024</t>
        </is>
      </c>
      <c r="B2388" s="1" t="n">
        <v>45461</v>
      </c>
      <c r="C2388" s="1" t="n">
        <v>45726</v>
      </c>
      <c r="D2388" t="inlineStr">
        <is>
          <t>VÄRMLANDS LÄN</t>
        </is>
      </c>
      <c r="E2388" t="inlineStr">
        <is>
          <t>TORSBY</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25355-2024</t>
        </is>
      </c>
      <c r="B2389" s="1" t="n">
        <v>45463</v>
      </c>
      <c r="C2389" s="1" t="n">
        <v>45726</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25313-2024</t>
        </is>
      </c>
      <c r="B2390" s="1" t="n">
        <v>45462</v>
      </c>
      <c r="C2390" s="1" t="n">
        <v>45726</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25090-2024</t>
        </is>
      </c>
      <c r="B2391" s="1" t="n">
        <v>45462</v>
      </c>
      <c r="C2391" s="1" t="n">
        <v>45726</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25264-2024</t>
        </is>
      </c>
      <c r="B2392" s="1" t="n">
        <v>45462</v>
      </c>
      <c r="C2392" s="1" t="n">
        <v>45726</v>
      </c>
      <c r="D2392" t="inlineStr">
        <is>
          <t>VÄRMLANDS LÄN</t>
        </is>
      </c>
      <c r="E2392" t="inlineStr">
        <is>
          <t>TORSBY</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25194-2024</t>
        </is>
      </c>
      <c r="B2393" s="1" t="n">
        <v>45462</v>
      </c>
      <c r="C2393" s="1" t="n">
        <v>45726</v>
      </c>
      <c r="D2393" t="inlineStr">
        <is>
          <t>VÄRMLANDS LÄN</t>
        </is>
      </c>
      <c r="E2393" t="inlineStr">
        <is>
          <t>TORSBY</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25316-2024</t>
        </is>
      </c>
      <c r="B2394" s="1" t="n">
        <v>45462</v>
      </c>
      <c r="C2394" s="1" t="n">
        <v>45726</v>
      </c>
      <c r="D2394" t="inlineStr">
        <is>
          <t>VÄRMLANDS LÄN</t>
        </is>
      </c>
      <c r="E2394" t="inlineStr">
        <is>
          <t>TORSBY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25629-2024</t>
        </is>
      </c>
      <c r="B2395" s="1" t="n">
        <v>45463</v>
      </c>
      <c r="C2395" s="1" t="n">
        <v>45726</v>
      </c>
      <c r="D2395" t="inlineStr">
        <is>
          <t>VÄRMLANDS LÄN</t>
        </is>
      </c>
      <c r="E2395" t="inlineStr">
        <is>
          <t>TORSBY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25504-2024</t>
        </is>
      </c>
      <c r="B2396" s="1" t="n">
        <v>45463</v>
      </c>
      <c r="C2396" s="1" t="n">
        <v>45726</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25827-2024</t>
        </is>
      </c>
      <c r="B2397" s="1" t="n">
        <v>45467</v>
      </c>
      <c r="C2397" s="1" t="n">
        <v>45726</v>
      </c>
      <c r="D2397" t="inlineStr">
        <is>
          <t>VÄRMLANDS LÄN</t>
        </is>
      </c>
      <c r="E2397" t="inlineStr">
        <is>
          <t>TORSBY</t>
        </is>
      </c>
      <c r="G2397" t="n">
        <v>20.5</v>
      </c>
      <c r="H2397" t="n">
        <v>0</v>
      </c>
      <c r="I2397" t="n">
        <v>0</v>
      </c>
      <c r="J2397" t="n">
        <v>0</v>
      </c>
      <c r="K2397" t="n">
        <v>0</v>
      </c>
      <c r="L2397" t="n">
        <v>0</v>
      </c>
      <c r="M2397" t="n">
        <v>0</v>
      </c>
      <c r="N2397" t="n">
        <v>0</v>
      </c>
      <c r="O2397" t="n">
        <v>0</v>
      </c>
      <c r="P2397" t="n">
        <v>0</v>
      </c>
      <c r="Q2397" t="n">
        <v>0</v>
      </c>
      <c r="R2397" s="2" t="inlineStr"/>
    </row>
    <row r="2398" ht="15" customHeight="1">
      <c r="A2398" t="inlineStr">
        <is>
          <t>A 25898-2024</t>
        </is>
      </c>
      <c r="B2398" s="1" t="n">
        <v>45467</v>
      </c>
      <c r="C2398" s="1" t="n">
        <v>45726</v>
      </c>
      <c r="D2398" t="inlineStr">
        <is>
          <t>VÄRMLANDS LÄN</t>
        </is>
      </c>
      <c r="E2398" t="inlineStr">
        <is>
          <t>TORSBY</t>
        </is>
      </c>
      <c r="G2398" t="n">
        <v>27.6</v>
      </c>
      <c r="H2398" t="n">
        <v>0</v>
      </c>
      <c r="I2398" t="n">
        <v>0</v>
      </c>
      <c r="J2398" t="n">
        <v>0</v>
      </c>
      <c r="K2398" t="n">
        <v>0</v>
      </c>
      <c r="L2398" t="n">
        <v>0</v>
      </c>
      <c r="M2398" t="n">
        <v>0</v>
      </c>
      <c r="N2398" t="n">
        <v>0</v>
      </c>
      <c r="O2398" t="n">
        <v>0</v>
      </c>
      <c r="P2398" t="n">
        <v>0</v>
      </c>
      <c r="Q2398" t="n">
        <v>0</v>
      </c>
      <c r="R2398" s="2" t="inlineStr"/>
    </row>
    <row r="2399" ht="15" customHeight="1">
      <c r="A2399" t="inlineStr">
        <is>
          <t>A 25932-2024</t>
        </is>
      </c>
      <c r="B2399" s="1" t="n">
        <v>45467</v>
      </c>
      <c r="C2399" s="1" t="n">
        <v>45726</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25933-2024</t>
        </is>
      </c>
      <c r="B2400" s="1" t="n">
        <v>45467</v>
      </c>
      <c r="C2400" s="1" t="n">
        <v>45726</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25949-2024</t>
        </is>
      </c>
      <c r="B2401" s="1" t="n">
        <v>45467</v>
      </c>
      <c r="C2401" s="1" t="n">
        <v>45726</v>
      </c>
      <c r="D2401" t="inlineStr">
        <is>
          <t>VÄRMLANDS LÄN</t>
        </is>
      </c>
      <c r="E2401" t="inlineStr">
        <is>
          <t>TORSBY</t>
        </is>
      </c>
      <c r="F2401" t="inlineStr">
        <is>
          <t>Bergvik skog väst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26186-2024</t>
        </is>
      </c>
      <c r="B2402" s="1" t="n">
        <v>45468</v>
      </c>
      <c r="C2402" s="1" t="n">
        <v>45726</v>
      </c>
      <c r="D2402" t="inlineStr">
        <is>
          <t>VÄRMLANDS LÄN</t>
        </is>
      </c>
      <c r="E2402" t="inlineStr">
        <is>
          <t>TORSBY</t>
        </is>
      </c>
      <c r="F2402" t="inlineStr">
        <is>
          <t>Bergvik skog väst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26166-2024</t>
        </is>
      </c>
      <c r="B2403" s="1" t="n">
        <v>45468</v>
      </c>
      <c r="C2403" s="1" t="n">
        <v>45726</v>
      </c>
      <c r="D2403" t="inlineStr">
        <is>
          <t>VÄRMLANDS LÄN</t>
        </is>
      </c>
      <c r="E2403" t="inlineStr">
        <is>
          <t>TORSBY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26124-2024</t>
        </is>
      </c>
      <c r="B2404" s="1" t="n">
        <v>45468</v>
      </c>
      <c r="C2404" s="1" t="n">
        <v>45726</v>
      </c>
      <c r="D2404" t="inlineStr">
        <is>
          <t>VÄRMLANDS LÄN</t>
        </is>
      </c>
      <c r="E2404" t="inlineStr">
        <is>
          <t>TORSBY</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26086-2024</t>
        </is>
      </c>
      <c r="B2405" s="1" t="n">
        <v>45468</v>
      </c>
      <c r="C2405" s="1" t="n">
        <v>45726</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26042-2024</t>
        </is>
      </c>
      <c r="B2406" s="1" t="n">
        <v>45468</v>
      </c>
      <c r="C2406" s="1" t="n">
        <v>45726</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26634-2024</t>
        </is>
      </c>
      <c r="B2407" s="1" t="n">
        <v>45469</v>
      </c>
      <c r="C2407" s="1" t="n">
        <v>45726</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26876-2024</t>
        </is>
      </c>
      <c r="B2408" s="1" t="n">
        <v>45470</v>
      </c>
      <c r="C2408" s="1" t="n">
        <v>45726</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26887-2024</t>
        </is>
      </c>
      <c r="B2409" s="1" t="n">
        <v>45470</v>
      </c>
      <c r="C2409" s="1" t="n">
        <v>45726</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26807-2024</t>
        </is>
      </c>
      <c r="B2410" s="1" t="n">
        <v>45470</v>
      </c>
      <c r="C2410" s="1" t="n">
        <v>45726</v>
      </c>
      <c r="D2410" t="inlineStr">
        <is>
          <t>VÄRMLANDS LÄN</t>
        </is>
      </c>
      <c r="E2410" t="inlineStr">
        <is>
          <t>TORSBY</t>
        </is>
      </c>
      <c r="F2410" t="inlineStr">
        <is>
          <t>Bergvik skog väst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26799-2024</t>
        </is>
      </c>
      <c r="B2411" s="1" t="n">
        <v>45470</v>
      </c>
      <c r="C2411" s="1" t="n">
        <v>45726</v>
      </c>
      <c r="D2411" t="inlineStr">
        <is>
          <t>VÄRMLANDS LÄN</t>
        </is>
      </c>
      <c r="E2411" t="inlineStr">
        <is>
          <t>TORSBY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27045-2024</t>
        </is>
      </c>
      <c r="B2412" s="1" t="n">
        <v>45471</v>
      </c>
      <c r="C2412" s="1" t="n">
        <v>45726</v>
      </c>
      <c r="D2412" t="inlineStr">
        <is>
          <t>VÄRMLANDS LÄN</t>
        </is>
      </c>
      <c r="E2412" t="inlineStr">
        <is>
          <t>TORSBY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27187-2024</t>
        </is>
      </c>
      <c r="B2413" s="1" t="n">
        <v>45471</v>
      </c>
      <c r="C2413" s="1" t="n">
        <v>45726</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27111-2024</t>
        </is>
      </c>
      <c r="B2414" s="1" t="n">
        <v>45471</v>
      </c>
      <c r="C2414" s="1" t="n">
        <v>45726</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27115-2024</t>
        </is>
      </c>
      <c r="B2415" s="1" t="n">
        <v>45471</v>
      </c>
      <c r="C2415" s="1" t="n">
        <v>45726</v>
      </c>
      <c r="D2415" t="inlineStr">
        <is>
          <t>VÄRMLANDS LÄN</t>
        </is>
      </c>
      <c r="E2415" t="inlineStr">
        <is>
          <t>TORSBY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27116-2024</t>
        </is>
      </c>
      <c r="B2416" s="1" t="n">
        <v>45471</v>
      </c>
      <c r="C2416" s="1" t="n">
        <v>45726</v>
      </c>
      <c r="D2416" t="inlineStr">
        <is>
          <t>VÄRMLANDS LÄN</t>
        </is>
      </c>
      <c r="E2416" t="inlineStr">
        <is>
          <t>TORSBY</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27120-2024</t>
        </is>
      </c>
      <c r="B2417" s="1" t="n">
        <v>45471</v>
      </c>
      <c r="C2417" s="1" t="n">
        <v>45726</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27124-2024</t>
        </is>
      </c>
      <c r="B2418" s="1" t="n">
        <v>45471</v>
      </c>
      <c r="C2418" s="1" t="n">
        <v>45726</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27144-2024</t>
        </is>
      </c>
      <c r="B2419" s="1" t="n">
        <v>45471</v>
      </c>
      <c r="C2419" s="1" t="n">
        <v>45726</v>
      </c>
      <c r="D2419" t="inlineStr">
        <is>
          <t>VÄRMLANDS LÄN</t>
        </is>
      </c>
      <c r="E2419" t="inlineStr">
        <is>
          <t>TORSBY</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27101-2024</t>
        </is>
      </c>
      <c r="B2420" s="1" t="n">
        <v>45471</v>
      </c>
      <c r="C2420" s="1" t="n">
        <v>45726</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27090-2024</t>
        </is>
      </c>
      <c r="B2421" s="1" t="n">
        <v>45471</v>
      </c>
      <c r="C2421" s="1" t="n">
        <v>45726</v>
      </c>
      <c r="D2421" t="inlineStr">
        <is>
          <t>VÄRMLANDS LÄN</t>
        </is>
      </c>
      <c r="E2421" t="inlineStr">
        <is>
          <t>TORSBY</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27086-2024</t>
        </is>
      </c>
      <c r="B2422" s="1" t="n">
        <v>45471</v>
      </c>
      <c r="C2422" s="1" t="n">
        <v>45726</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27078-2024</t>
        </is>
      </c>
      <c r="B2423" s="1" t="n">
        <v>45471</v>
      </c>
      <c r="C2423" s="1" t="n">
        <v>45726</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27270-2024</t>
        </is>
      </c>
      <c r="B2424" s="1" t="n">
        <v>45471</v>
      </c>
      <c r="C2424" s="1" t="n">
        <v>45726</v>
      </c>
      <c r="D2424" t="inlineStr">
        <is>
          <t>VÄRMLANDS LÄN</t>
        </is>
      </c>
      <c r="E2424" t="inlineStr">
        <is>
          <t>TORSBY</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27291-2024</t>
        </is>
      </c>
      <c r="B2425" s="1" t="n">
        <v>45472</v>
      </c>
      <c r="C2425" s="1" t="n">
        <v>45726</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27096-2024</t>
        </is>
      </c>
      <c r="B2426" s="1" t="n">
        <v>45471</v>
      </c>
      <c r="C2426" s="1" t="n">
        <v>45726</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27273-2024</t>
        </is>
      </c>
      <c r="B2427" s="1" t="n">
        <v>45471</v>
      </c>
      <c r="C2427" s="1" t="n">
        <v>45726</v>
      </c>
      <c r="D2427" t="inlineStr">
        <is>
          <t>VÄRMLANDS LÄN</t>
        </is>
      </c>
      <c r="E2427" t="inlineStr">
        <is>
          <t>TORSBY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27038-2024</t>
        </is>
      </c>
      <c r="B2428" s="1" t="n">
        <v>45471</v>
      </c>
      <c r="C2428" s="1" t="n">
        <v>45726</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27275-2024</t>
        </is>
      </c>
      <c r="B2429" s="1" t="n">
        <v>45471</v>
      </c>
      <c r="C2429" s="1" t="n">
        <v>45726</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27292-2024</t>
        </is>
      </c>
      <c r="B2430" s="1" t="n">
        <v>45472</v>
      </c>
      <c r="C2430" s="1" t="n">
        <v>45726</v>
      </c>
      <c r="D2430" t="inlineStr">
        <is>
          <t>VÄRMLANDS LÄN</t>
        </is>
      </c>
      <c r="E2430" t="inlineStr">
        <is>
          <t>TORSBY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27363-2024</t>
        </is>
      </c>
      <c r="B2431" s="1" t="n">
        <v>45473</v>
      </c>
      <c r="C2431" s="1" t="n">
        <v>45726</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27347-2024</t>
        </is>
      </c>
      <c r="B2432" s="1" t="n">
        <v>45473</v>
      </c>
      <c r="C2432" s="1" t="n">
        <v>45726</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27360-2024</t>
        </is>
      </c>
      <c r="B2433" s="1" t="n">
        <v>45473</v>
      </c>
      <c r="C2433" s="1" t="n">
        <v>45726</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27352-2024</t>
        </is>
      </c>
      <c r="B2434" s="1" t="n">
        <v>45473</v>
      </c>
      <c r="C2434" s="1" t="n">
        <v>45726</v>
      </c>
      <c r="D2434" t="inlineStr">
        <is>
          <t>VÄRMLANDS LÄN</t>
        </is>
      </c>
      <c r="E2434" t="inlineStr">
        <is>
          <t>TORSBY</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27358-2024</t>
        </is>
      </c>
      <c r="B2435" s="1" t="n">
        <v>45473</v>
      </c>
      <c r="C2435" s="1" t="n">
        <v>45726</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27346-2024</t>
        </is>
      </c>
      <c r="B2436" s="1" t="n">
        <v>45473</v>
      </c>
      <c r="C2436" s="1" t="n">
        <v>45726</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27349-2024</t>
        </is>
      </c>
      <c r="B2437" s="1" t="n">
        <v>45473</v>
      </c>
      <c r="C2437" s="1" t="n">
        <v>45726</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27548-2024</t>
        </is>
      </c>
      <c r="B2438" s="1" t="n">
        <v>45474</v>
      </c>
      <c r="C2438" s="1" t="n">
        <v>45726</v>
      </c>
      <c r="D2438" t="inlineStr">
        <is>
          <t>VÄRMLANDS LÄN</t>
        </is>
      </c>
      <c r="E2438" t="inlineStr">
        <is>
          <t>TORSBY</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27615-2024</t>
        </is>
      </c>
      <c r="B2439" s="1" t="n">
        <v>45474</v>
      </c>
      <c r="C2439" s="1" t="n">
        <v>45726</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27554-2024</t>
        </is>
      </c>
      <c r="B2440" s="1" t="n">
        <v>45474</v>
      </c>
      <c r="C2440" s="1" t="n">
        <v>45726</v>
      </c>
      <c r="D2440" t="inlineStr">
        <is>
          <t>VÄRMLANDS LÄN</t>
        </is>
      </c>
      <c r="E2440" t="inlineStr">
        <is>
          <t>TORSBY</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27588-2024</t>
        </is>
      </c>
      <c r="B2441" s="1" t="n">
        <v>45474</v>
      </c>
      <c r="C2441" s="1" t="n">
        <v>45726</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27501-2024</t>
        </is>
      </c>
      <c r="B2442" s="1" t="n">
        <v>45474</v>
      </c>
      <c r="C2442" s="1" t="n">
        <v>45726</v>
      </c>
      <c r="D2442" t="inlineStr">
        <is>
          <t>VÄRMLANDS LÄN</t>
        </is>
      </c>
      <c r="E2442" t="inlineStr">
        <is>
          <t>TORSBY</t>
        </is>
      </c>
      <c r="F2442" t="inlineStr">
        <is>
          <t>Bergvik skog väst AB</t>
        </is>
      </c>
      <c r="G2442" t="n">
        <v>14.4</v>
      </c>
      <c r="H2442" t="n">
        <v>0</v>
      </c>
      <c r="I2442" t="n">
        <v>0</v>
      </c>
      <c r="J2442" t="n">
        <v>0</v>
      </c>
      <c r="K2442" t="n">
        <v>0</v>
      </c>
      <c r="L2442" t="n">
        <v>0</v>
      </c>
      <c r="M2442" t="n">
        <v>0</v>
      </c>
      <c r="N2442" t="n">
        <v>0</v>
      </c>
      <c r="O2442" t="n">
        <v>0</v>
      </c>
      <c r="P2442" t="n">
        <v>0</v>
      </c>
      <c r="Q2442" t="n">
        <v>0</v>
      </c>
      <c r="R2442" s="2" t="inlineStr"/>
    </row>
    <row r="2443" ht="15" customHeight="1">
      <c r="A2443" t="inlineStr">
        <is>
          <t>A 27529-2024</t>
        </is>
      </c>
      <c r="B2443" s="1" t="n">
        <v>45474</v>
      </c>
      <c r="C2443" s="1" t="n">
        <v>45726</v>
      </c>
      <c r="D2443" t="inlineStr">
        <is>
          <t>VÄRMLANDS LÄN</t>
        </is>
      </c>
      <c r="E2443" t="inlineStr">
        <is>
          <t>TORSBY</t>
        </is>
      </c>
      <c r="F2443" t="inlineStr">
        <is>
          <t>Bergvik skog väst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27537-2024</t>
        </is>
      </c>
      <c r="B2444" s="1" t="n">
        <v>45474</v>
      </c>
      <c r="C2444" s="1" t="n">
        <v>45726</v>
      </c>
      <c r="D2444" t="inlineStr">
        <is>
          <t>VÄRMLANDS LÄN</t>
        </is>
      </c>
      <c r="E2444" t="inlineStr">
        <is>
          <t>TORSBY</t>
        </is>
      </c>
      <c r="F2444" t="inlineStr">
        <is>
          <t>Bergvik skog väst AB</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27573-2024</t>
        </is>
      </c>
      <c r="B2445" s="1" t="n">
        <v>45474</v>
      </c>
      <c r="C2445" s="1" t="n">
        <v>45726</v>
      </c>
      <c r="D2445" t="inlineStr">
        <is>
          <t>VÄRMLANDS LÄN</t>
        </is>
      </c>
      <c r="E2445" t="inlineStr">
        <is>
          <t>TORSBY</t>
        </is>
      </c>
      <c r="F2445" t="inlineStr">
        <is>
          <t>Bergvik skog väst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27790-2024</t>
        </is>
      </c>
      <c r="B2446" s="1" t="n">
        <v>45475</v>
      </c>
      <c r="C2446" s="1" t="n">
        <v>45726</v>
      </c>
      <c r="D2446" t="inlineStr">
        <is>
          <t>VÄRMLANDS LÄN</t>
        </is>
      </c>
      <c r="E2446" t="inlineStr">
        <is>
          <t>TORSBY</t>
        </is>
      </c>
      <c r="F2446" t="inlineStr">
        <is>
          <t>Bergvik skog väst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27678-2024</t>
        </is>
      </c>
      <c r="B2447" s="1" t="n">
        <v>45475</v>
      </c>
      <c r="C2447" s="1" t="n">
        <v>45726</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27824-2024</t>
        </is>
      </c>
      <c r="B2448" s="1" t="n">
        <v>45475</v>
      </c>
      <c r="C2448" s="1" t="n">
        <v>45726</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27677-2024</t>
        </is>
      </c>
      <c r="B2449" s="1" t="n">
        <v>45475</v>
      </c>
      <c r="C2449" s="1" t="n">
        <v>45726</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28102-2024</t>
        </is>
      </c>
      <c r="B2450" s="1" t="n">
        <v>45476</v>
      </c>
      <c r="C2450" s="1" t="n">
        <v>45726</v>
      </c>
      <c r="D2450" t="inlineStr">
        <is>
          <t>VÄRMLANDS LÄN</t>
        </is>
      </c>
      <c r="E2450" t="inlineStr">
        <is>
          <t>TORSBY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28089-2024</t>
        </is>
      </c>
      <c r="B2451" s="1" t="n">
        <v>45476</v>
      </c>
      <c r="C2451" s="1" t="n">
        <v>45726</v>
      </c>
      <c r="D2451" t="inlineStr">
        <is>
          <t>VÄRMLANDS LÄN</t>
        </is>
      </c>
      <c r="E2451" t="inlineStr">
        <is>
          <t>TORSBY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28112-2024</t>
        </is>
      </c>
      <c r="B2452" s="1" t="n">
        <v>45476</v>
      </c>
      <c r="C2452" s="1" t="n">
        <v>45726</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28035-2024</t>
        </is>
      </c>
      <c r="B2453" s="1" t="n">
        <v>45476</v>
      </c>
      <c r="C2453" s="1" t="n">
        <v>45726</v>
      </c>
      <c r="D2453" t="inlineStr">
        <is>
          <t>VÄRMLANDS LÄN</t>
        </is>
      </c>
      <c r="E2453" t="inlineStr">
        <is>
          <t>TORSBY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28005-2024</t>
        </is>
      </c>
      <c r="B2454" s="1" t="n">
        <v>45476</v>
      </c>
      <c r="C2454" s="1" t="n">
        <v>45726</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28501-2024</t>
        </is>
      </c>
      <c r="B2455" s="1" t="n">
        <v>45478</v>
      </c>
      <c r="C2455" s="1" t="n">
        <v>45726</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28319-2024</t>
        </is>
      </c>
      <c r="B2456" s="1" t="n">
        <v>45477</v>
      </c>
      <c r="C2456" s="1" t="n">
        <v>45726</v>
      </c>
      <c r="D2456" t="inlineStr">
        <is>
          <t>VÄRMLANDS LÄN</t>
        </is>
      </c>
      <c r="E2456" t="inlineStr">
        <is>
          <t>TORSBY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28311-2024</t>
        </is>
      </c>
      <c r="B2457" s="1" t="n">
        <v>45477</v>
      </c>
      <c r="C2457" s="1" t="n">
        <v>45726</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28329-2024</t>
        </is>
      </c>
      <c r="B2458" s="1" t="n">
        <v>45477</v>
      </c>
      <c r="C2458" s="1" t="n">
        <v>45726</v>
      </c>
      <c r="D2458" t="inlineStr">
        <is>
          <t>VÄRMLANDS LÄN</t>
        </is>
      </c>
      <c r="E2458" t="inlineStr">
        <is>
          <t>TORSBY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28310-2024</t>
        </is>
      </c>
      <c r="B2459" s="1" t="n">
        <v>45477</v>
      </c>
      <c r="C2459" s="1" t="n">
        <v>45726</v>
      </c>
      <c r="D2459" t="inlineStr">
        <is>
          <t>VÄRMLANDS LÄN</t>
        </is>
      </c>
      <c r="E2459" t="inlineStr">
        <is>
          <t>TORSBY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28502-2024</t>
        </is>
      </c>
      <c r="B2460" s="1" t="n">
        <v>45478</v>
      </c>
      <c r="C2460" s="1" t="n">
        <v>45726</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28249-2024</t>
        </is>
      </c>
      <c r="B2461" s="1" t="n">
        <v>45477</v>
      </c>
      <c r="C2461" s="1" t="n">
        <v>45726</v>
      </c>
      <c r="D2461" t="inlineStr">
        <is>
          <t>VÄRMLANDS LÄN</t>
        </is>
      </c>
      <c r="E2461" t="inlineStr">
        <is>
          <t>TORSBY</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28364-2024</t>
        </is>
      </c>
      <c r="B2462" s="1" t="n">
        <v>45477</v>
      </c>
      <c r="C2462" s="1" t="n">
        <v>45726</v>
      </c>
      <c r="D2462" t="inlineStr">
        <is>
          <t>VÄRMLANDS LÄN</t>
        </is>
      </c>
      <c r="E2462" t="inlineStr">
        <is>
          <t>TORSBY</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28284-2024</t>
        </is>
      </c>
      <c r="B2463" s="1" t="n">
        <v>45477</v>
      </c>
      <c r="C2463" s="1" t="n">
        <v>45726</v>
      </c>
      <c r="D2463" t="inlineStr">
        <is>
          <t>VÄRMLANDS LÄN</t>
        </is>
      </c>
      <c r="E2463" t="inlineStr">
        <is>
          <t>TORSBY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28539-2024</t>
        </is>
      </c>
      <c r="B2464" s="1" t="n">
        <v>45478</v>
      </c>
      <c r="C2464" s="1" t="n">
        <v>45726</v>
      </c>
      <c r="D2464" t="inlineStr">
        <is>
          <t>VÄRMLANDS LÄN</t>
        </is>
      </c>
      <c r="E2464" t="inlineStr">
        <is>
          <t>TORSBY</t>
        </is>
      </c>
      <c r="F2464" t="inlineStr">
        <is>
          <t>Bergvik skog väst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28619-2024</t>
        </is>
      </c>
      <c r="B2465" s="1" t="n">
        <v>45478</v>
      </c>
      <c r="C2465" s="1" t="n">
        <v>45726</v>
      </c>
      <c r="D2465" t="inlineStr">
        <is>
          <t>VÄRMLANDS LÄN</t>
        </is>
      </c>
      <c r="E2465" t="inlineStr">
        <is>
          <t>TORSBY</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28554-2024</t>
        </is>
      </c>
      <c r="B2466" s="1" t="n">
        <v>45478</v>
      </c>
      <c r="C2466" s="1" t="n">
        <v>45726</v>
      </c>
      <c r="D2466" t="inlineStr">
        <is>
          <t>VÄRMLANDS LÄN</t>
        </is>
      </c>
      <c r="E2466" t="inlineStr">
        <is>
          <t>TORSBY</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28646-2024</t>
        </is>
      </c>
      <c r="B2467" s="1" t="n">
        <v>45478</v>
      </c>
      <c r="C2467" s="1" t="n">
        <v>45726</v>
      </c>
      <c r="D2467" t="inlineStr">
        <is>
          <t>VÄRMLANDS LÄN</t>
        </is>
      </c>
      <c r="E2467" t="inlineStr">
        <is>
          <t>TORSBY</t>
        </is>
      </c>
      <c r="F2467" t="inlineStr">
        <is>
          <t>Bergvik skog väst AB</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28545-2024</t>
        </is>
      </c>
      <c r="B2468" s="1" t="n">
        <v>45478</v>
      </c>
      <c r="C2468" s="1" t="n">
        <v>45726</v>
      </c>
      <c r="D2468" t="inlineStr">
        <is>
          <t>VÄRMLANDS LÄN</t>
        </is>
      </c>
      <c r="E2468" t="inlineStr">
        <is>
          <t>TORSBY</t>
        </is>
      </c>
      <c r="F2468" t="inlineStr">
        <is>
          <t>Bergvik skog väst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28589-2024</t>
        </is>
      </c>
      <c r="B2469" s="1" t="n">
        <v>45478</v>
      </c>
      <c r="C2469" s="1" t="n">
        <v>45726</v>
      </c>
      <c r="D2469" t="inlineStr">
        <is>
          <t>VÄRMLANDS LÄN</t>
        </is>
      </c>
      <c r="E2469" t="inlineStr">
        <is>
          <t>TORSBY</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28624-2024</t>
        </is>
      </c>
      <c r="B2470" s="1" t="n">
        <v>45478</v>
      </c>
      <c r="C2470" s="1" t="n">
        <v>45726</v>
      </c>
      <c r="D2470" t="inlineStr">
        <is>
          <t>VÄRMLANDS LÄN</t>
        </is>
      </c>
      <c r="E2470" t="inlineStr">
        <is>
          <t>TORSBY</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28673-2024</t>
        </is>
      </c>
      <c r="B2471" s="1" t="n">
        <v>45478</v>
      </c>
      <c r="C2471" s="1" t="n">
        <v>45726</v>
      </c>
      <c r="D2471" t="inlineStr">
        <is>
          <t>VÄRMLANDS LÄN</t>
        </is>
      </c>
      <c r="E2471" t="inlineStr">
        <is>
          <t>TORSBY</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28609-2024</t>
        </is>
      </c>
      <c r="B2472" s="1" t="n">
        <v>45478</v>
      </c>
      <c r="C2472" s="1" t="n">
        <v>45726</v>
      </c>
      <c r="D2472" t="inlineStr">
        <is>
          <t>VÄRMLANDS LÄN</t>
        </is>
      </c>
      <c r="E2472" t="inlineStr">
        <is>
          <t>TORSBY</t>
        </is>
      </c>
      <c r="F2472" t="inlineStr">
        <is>
          <t>Bergvik skog väst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28621-2024</t>
        </is>
      </c>
      <c r="B2473" s="1" t="n">
        <v>45478</v>
      </c>
      <c r="C2473" s="1" t="n">
        <v>45726</v>
      </c>
      <c r="D2473" t="inlineStr">
        <is>
          <t>VÄRMLANDS LÄN</t>
        </is>
      </c>
      <c r="E2473" t="inlineStr">
        <is>
          <t>TORSBY</t>
        </is>
      </c>
      <c r="F2473" t="inlineStr">
        <is>
          <t>Bergvik skog väst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28637-2024</t>
        </is>
      </c>
      <c r="B2474" s="1" t="n">
        <v>45478</v>
      </c>
      <c r="C2474" s="1" t="n">
        <v>45726</v>
      </c>
      <c r="D2474" t="inlineStr">
        <is>
          <t>VÄRMLANDS LÄN</t>
        </is>
      </c>
      <c r="E2474" t="inlineStr">
        <is>
          <t>TORSBY</t>
        </is>
      </c>
      <c r="F2474" t="inlineStr">
        <is>
          <t>Bergvik skog väst AB</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28948-2024</t>
        </is>
      </c>
      <c r="B2475" s="1" t="n">
        <v>45481</v>
      </c>
      <c r="C2475" s="1" t="n">
        <v>45726</v>
      </c>
      <c r="D2475" t="inlineStr">
        <is>
          <t>VÄRMLANDS LÄN</t>
        </is>
      </c>
      <c r="E2475" t="inlineStr">
        <is>
          <t>TORSBY</t>
        </is>
      </c>
      <c r="G2475" t="n">
        <v>11.8</v>
      </c>
      <c r="H2475" t="n">
        <v>0</v>
      </c>
      <c r="I2475" t="n">
        <v>0</v>
      </c>
      <c r="J2475" t="n">
        <v>0</v>
      </c>
      <c r="K2475" t="n">
        <v>0</v>
      </c>
      <c r="L2475" t="n">
        <v>0</v>
      </c>
      <c r="M2475" t="n">
        <v>0</v>
      </c>
      <c r="N2475" t="n">
        <v>0</v>
      </c>
      <c r="O2475" t="n">
        <v>0</v>
      </c>
      <c r="P2475" t="n">
        <v>0</v>
      </c>
      <c r="Q2475" t="n">
        <v>0</v>
      </c>
      <c r="R2475" s="2" t="inlineStr"/>
    </row>
    <row r="2476" ht="15" customHeight="1">
      <c r="A2476" t="inlineStr">
        <is>
          <t>A 28987-2024</t>
        </is>
      </c>
      <c r="B2476" s="1" t="n">
        <v>45481</v>
      </c>
      <c r="C2476" s="1" t="n">
        <v>45726</v>
      </c>
      <c r="D2476" t="inlineStr">
        <is>
          <t>VÄRMLANDS LÄN</t>
        </is>
      </c>
      <c r="E2476" t="inlineStr">
        <is>
          <t>TORSBY</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29306-2024</t>
        </is>
      </c>
      <c r="B2477" s="1" t="n">
        <v>45483</v>
      </c>
      <c r="C2477" s="1" t="n">
        <v>45726</v>
      </c>
      <c r="D2477" t="inlineStr">
        <is>
          <t>VÄRMLANDS LÄN</t>
        </is>
      </c>
      <c r="E2477" t="inlineStr">
        <is>
          <t>TORSBY</t>
        </is>
      </c>
      <c r="F2477" t="inlineStr">
        <is>
          <t>Kyrkan</t>
        </is>
      </c>
      <c r="G2477" t="n">
        <v>18.3</v>
      </c>
      <c r="H2477" t="n">
        <v>0</v>
      </c>
      <c r="I2477" t="n">
        <v>0</v>
      </c>
      <c r="J2477" t="n">
        <v>0</v>
      </c>
      <c r="K2477" t="n">
        <v>0</v>
      </c>
      <c r="L2477" t="n">
        <v>0</v>
      </c>
      <c r="M2477" t="n">
        <v>0</v>
      </c>
      <c r="N2477" t="n">
        <v>0</v>
      </c>
      <c r="O2477" t="n">
        <v>0</v>
      </c>
      <c r="P2477" t="n">
        <v>0</v>
      </c>
      <c r="Q2477" t="n">
        <v>0</v>
      </c>
      <c r="R2477" s="2" t="inlineStr"/>
    </row>
    <row r="2478" ht="15" customHeight="1">
      <c r="A2478" t="inlineStr">
        <is>
          <t>A 29408-2024</t>
        </is>
      </c>
      <c r="B2478" s="1" t="n">
        <v>45483</v>
      </c>
      <c r="C2478" s="1" t="n">
        <v>45726</v>
      </c>
      <c r="D2478" t="inlineStr">
        <is>
          <t>VÄRMLANDS LÄN</t>
        </is>
      </c>
      <c r="E2478" t="inlineStr">
        <is>
          <t>TORSBY</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29375-2024</t>
        </is>
      </c>
      <c r="B2479" s="1" t="n">
        <v>45483</v>
      </c>
      <c r="C2479" s="1" t="n">
        <v>45726</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29541-2024</t>
        </is>
      </c>
      <c r="B2480" s="1" t="n">
        <v>45484</v>
      </c>
      <c r="C2480" s="1" t="n">
        <v>45726</v>
      </c>
      <c r="D2480" t="inlineStr">
        <is>
          <t>VÄRMLANDS LÄN</t>
        </is>
      </c>
      <c r="E2480" t="inlineStr">
        <is>
          <t>TORSBY</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29549-2024</t>
        </is>
      </c>
      <c r="B2481" s="1" t="n">
        <v>45484</v>
      </c>
      <c r="C2481" s="1" t="n">
        <v>45726</v>
      </c>
      <c r="D2481" t="inlineStr">
        <is>
          <t>VÄRMLANDS LÄN</t>
        </is>
      </c>
      <c r="E2481" t="inlineStr">
        <is>
          <t>TORSBY</t>
        </is>
      </c>
      <c r="F2481" t="inlineStr">
        <is>
          <t>Bergvik skog väst AB</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29593-2024</t>
        </is>
      </c>
      <c r="B2482" s="1" t="n">
        <v>45484</v>
      </c>
      <c r="C2482" s="1" t="n">
        <v>45726</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29535-2024</t>
        </is>
      </c>
      <c r="B2483" s="1" t="n">
        <v>45484</v>
      </c>
      <c r="C2483" s="1" t="n">
        <v>45726</v>
      </c>
      <c r="D2483" t="inlineStr">
        <is>
          <t>VÄRMLANDS LÄN</t>
        </is>
      </c>
      <c r="E2483" t="inlineStr">
        <is>
          <t>TORSBY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29559-2024</t>
        </is>
      </c>
      <c r="B2484" s="1" t="n">
        <v>45484</v>
      </c>
      <c r="C2484" s="1" t="n">
        <v>45726</v>
      </c>
      <c r="D2484" t="inlineStr">
        <is>
          <t>VÄRMLANDS LÄN</t>
        </is>
      </c>
      <c r="E2484" t="inlineStr">
        <is>
          <t>TORSBY</t>
        </is>
      </c>
      <c r="F2484" t="inlineStr">
        <is>
          <t>Bergvik skog väst AB</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29502-2024</t>
        </is>
      </c>
      <c r="B2485" s="1" t="n">
        <v>45484</v>
      </c>
      <c r="C2485" s="1" t="n">
        <v>45726</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29759-2024</t>
        </is>
      </c>
      <c r="B2486" s="1" t="n">
        <v>45485</v>
      </c>
      <c r="C2486" s="1" t="n">
        <v>45726</v>
      </c>
      <c r="D2486" t="inlineStr">
        <is>
          <t>VÄRMLANDS LÄN</t>
        </is>
      </c>
      <c r="E2486" t="inlineStr">
        <is>
          <t>TORSBY</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29852-2024</t>
        </is>
      </c>
      <c r="B2487" s="1" t="n">
        <v>45485</v>
      </c>
      <c r="C2487" s="1" t="n">
        <v>45726</v>
      </c>
      <c r="D2487" t="inlineStr">
        <is>
          <t>VÄRMLANDS LÄN</t>
        </is>
      </c>
      <c r="E2487" t="inlineStr">
        <is>
          <t>TORSBY</t>
        </is>
      </c>
      <c r="F2487" t="inlineStr">
        <is>
          <t>Bergvik skog väst AB</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29898-2024</t>
        </is>
      </c>
      <c r="B2488" s="1" t="n">
        <v>45487</v>
      </c>
      <c r="C2488" s="1" t="n">
        <v>45726</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29895-2024</t>
        </is>
      </c>
      <c r="B2489" s="1" t="n">
        <v>45487</v>
      </c>
      <c r="C2489" s="1" t="n">
        <v>45726</v>
      </c>
      <c r="D2489" t="inlineStr">
        <is>
          <t>VÄRMLANDS LÄN</t>
        </is>
      </c>
      <c r="E2489" t="inlineStr">
        <is>
          <t>TORSBY</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29897-2024</t>
        </is>
      </c>
      <c r="B2490" s="1" t="n">
        <v>45487</v>
      </c>
      <c r="C2490" s="1" t="n">
        <v>45726</v>
      </c>
      <c r="D2490" t="inlineStr">
        <is>
          <t>VÄRMLANDS LÄN</t>
        </is>
      </c>
      <c r="E2490" t="inlineStr">
        <is>
          <t>TORSBY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29936-2024</t>
        </is>
      </c>
      <c r="B2491" s="1" t="n">
        <v>45488</v>
      </c>
      <c r="C2491" s="1" t="n">
        <v>45726</v>
      </c>
      <c r="D2491" t="inlineStr">
        <is>
          <t>VÄRMLANDS LÄN</t>
        </is>
      </c>
      <c r="E2491" t="inlineStr">
        <is>
          <t>TORSBY</t>
        </is>
      </c>
      <c r="F2491" t="inlineStr">
        <is>
          <t>Kommuner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29925-2024</t>
        </is>
      </c>
      <c r="B2492" s="1" t="n">
        <v>45488</v>
      </c>
      <c r="C2492" s="1" t="n">
        <v>45726</v>
      </c>
      <c r="D2492" t="inlineStr">
        <is>
          <t>VÄRMLANDS LÄN</t>
        </is>
      </c>
      <c r="E2492" t="inlineStr">
        <is>
          <t>TORSBY</t>
        </is>
      </c>
      <c r="F2492" t="inlineStr">
        <is>
          <t>Kyrkan</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30002-2024</t>
        </is>
      </c>
      <c r="B2493" s="1" t="n">
        <v>45488</v>
      </c>
      <c r="C2493" s="1" t="n">
        <v>45726</v>
      </c>
      <c r="D2493" t="inlineStr">
        <is>
          <t>VÄRMLANDS LÄN</t>
        </is>
      </c>
      <c r="E2493" t="inlineStr">
        <is>
          <t>TORSBY</t>
        </is>
      </c>
      <c r="F2493" t="inlineStr">
        <is>
          <t>Kommuner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30011-2024</t>
        </is>
      </c>
      <c r="B2494" s="1" t="n">
        <v>45488</v>
      </c>
      <c r="C2494" s="1" t="n">
        <v>45726</v>
      </c>
      <c r="D2494" t="inlineStr">
        <is>
          <t>VÄRMLANDS LÄN</t>
        </is>
      </c>
      <c r="E2494" t="inlineStr">
        <is>
          <t>TORSBY</t>
        </is>
      </c>
      <c r="F2494" t="inlineStr">
        <is>
          <t>Kommuner</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29926-2024</t>
        </is>
      </c>
      <c r="B2495" s="1" t="n">
        <v>45488</v>
      </c>
      <c r="C2495" s="1" t="n">
        <v>45726</v>
      </c>
      <c r="D2495" t="inlineStr">
        <is>
          <t>VÄRMLANDS LÄN</t>
        </is>
      </c>
      <c r="E2495" t="inlineStr">
        <is>
          <t>TORSBY</t>
        </is>
      </c>
      <c r="F2495" t="inlineStr">
        <is>
          <t>Kommuner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30074-2024</t>
        </is>
      </c>
      <c r="B2496" s="1" t="n">
        <v>45489</v>
      </c>
      <c r="C2496" s="1" t="n">
        <v>45726</v>
      </c>
      <c r="D2496" t="inlineStr">
        <is>
          <t>VÄRMLANDS LÄN</t>
        </is>
      </c>
      <c r="E2496" t="inlineStr">
        <is>
          <t>TORSBY</t>
        </is>
      </c>
      <c r="F2496" t="inlineStr">
        <is>
          <t>Kyrkan</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30267-2024</t>
        </is>
      </c>
      <c r="B2497" s="1" t="n">
        <v>45490</v>
      </c>
      <c r="C2497" s="1" t="n">
        <v>45726</v>
      </c>
      <c r="D2497" t="inlineStr">
        <is>
          <t>VÄRMLANDS LÄN</t>
        </is>
      </c>
      <c r="E2497" t="inlineStr">
        <is>
          <t>TORSBY</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30403-2024</t>
        </is>
      </c>
      <c r="B2498" s="1" t="n">
        <v>45491</v>
      </c>
      <c r="C2498" s="1" t="n">
        <v>45726</v>
      </c>
      <c r="D2498" t="inlineStr">
        <is>
          <t>VÄRMLANDS LÄN</t>
        </is>
      </c>
      <c r="E2498" t="inlineStr">
        <is>
          <t>TORSBY</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30629-2024</t>
        </is>
      </c>
      <c r="B2499" s="1" t="n">
        <v>45495</v>
      </c>
      <c r="C2499" s="1" t="n">
        <v>45726</v>
      </c>
      <c r="D2499" t="inlineStr">
        <is>
          <t>VÄRMLANDS LÄN</t>
        </is>
      </c>
      <c r="E2499" t="inlineStr">
        <is>
          <t>TORSBY</t>
        </is>
      </c>
      <c r="F2499" t="inlineStr">
        <is>
          <t>Bergvik skog väst AB</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30718-2024</t>
        </is>
      </c>
      <c r="B2500" s="1" t="n">
        <v>45496</v>
      </c>
      <c r="C2500" s="1" t="n">
        <v>45726</v>
      </c>
      <c r="D2500" t="inlineStr">
        <is>
          <t>VÄRMLANDS LÄN</t>
        </is>
      </c>
      <c r="E2500" t="inlineStr">
        <is>
          <t>TORSBY</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30706-2024</t>
        </is>
      </c>
      <c r="B2501" s="1" t="n">
        <v>45496</v>
      </c>
      <c r="C2501" s="1" t="n">
        <v>45726</v>
      </c>
      <c r="D2501" t="inlineStr">
        <is>
          <t>VÄRMLANDS LÄN</t>
        </is>
      </c>
      <c r="E2501" t="inlineStr">
        <is>
          <t>TORSBY</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30720-2024</t>
        </is>
      </c>
      <c r="B2502" s="1" t="n">
        <v>45496</v>
      </c>
      <c r="C2502" s="1" t="n">
        <v>45726</v>
      </c>
      <c r="D2502" t="inlineStr">
        <is>
          <t>VÄRMLANDS LÄN</t>
        </is>
      </c>
      <c r="E2502" t="inlineStr">
        <is>
          <t>TORSBY</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30700-2024</t>
        </is>
      </c>
      <c r="B2503" s="1" t="n">
        <v>45496</v>
      </c>
      <c r="C2503" s="1" t="n">
        <v>45726</v>
      </c>
      <c r="D2503" t="inlineStr">
        <is>
          <t>VÄRMLANDS LÄN</t>
        </is>
      </c>
      <c r="E2503" t="inlineStr">
        <is>
          <t>TORSBY</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30696-2024</t>
        </is>
      </c>
      <c r="B2504" s="1" t="n">
        <v>45496</v>
      </c>
      <c r="C2504" s="1" t="n">
        <v>45726</v>
      </c>
      <c r="D2504" t="inlineStr">
        <is>
          <t>VÄRMLANDS LÄN</t>
        </is>
      </c>
      <c r="E2504" t="inlineStr">
        <is>
          <t>TORSBY</t>
        </is>
      </c>
      <c r="F2504" t="inlineStr">
        <is>
          <t>Bergvik skog väst AB</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30699-2024</t>
        </is>
      </c>
      <c r="B2505" s="1" t="n">
        <v>45496</v>
      </c>
      <c r="C2505" s="1" t="n">
        <v>45726</v>
      </c>
      <c r="D2505" t="inlineStr">
        <is>
          <t>VÄRMLANDS LÄN</t>
        </is>
      </c>
      <c r="E2505" t="inlineStr">
        <is>
          <t>TORSBY</t>
        </is>
      </c>
      <c r="F2505" t="inlineStr">
        <is>
          <t>Kyrkan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30705-2024</t>
        </is>
      </c>
      <c r="B2506" s="1" t="n">
        <v>45496</v>
      </c>
      <c r="C2506" s="1" t="n">
        <v>45726</v>
      </c>
      <c r="D2506" t="inlineStr">
        <is>
          <t>VÄRMLANDS LÄN</t>
        </is>
      </c>
      <c r="E2506" t="inlineStr">
        <is>
          <t>TORSBY</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30790-2024</t>
        </is>
      </c>
      <c r="B2507" s="1" t="n">
        <v>45497</v>
      </c>
      <c r="C2507" s="1" t="n">
        <v>45726</v>
      </c>
      <c r="D2507" t="inlineStr">
        <is>
          <t>VÄRMLANDS LÄN</t>
        </is>
      </c>
      <c r="E2507" t="inlineStr">
        <is>
          <t>TORSBY</t>
        </is>
      </c>
      <c r="G2507" t="n">
        <v>49.9</v>
      </c>
      <c r="H2507" t="n">
        <v>0</v>
      </c>
      <c r="I2507" t="n">
        <v>0</v>
      </c>
      <c r="J2507" t="n">
        <v>0</v>
      </c>
      <c r="K2507" t="n">
        <v>0</v>
      </c>
      <c r="L2507" t="n">
        <v>0</v>
      </c>
      <c r="M2507" t="n">
        <v>0</v>
      </c>
      <c r="N2507" t="n">
        <v>0</v>
      </c>
      <c r="O2507" t="n">
        <v>0</v>
      </c>
      <c r="P2507" t="n">
        <v>0</v>
      </c>
      <c r="Q2507" t="n">
        <v>0</v>
      </c>
      <c r="R2507" s="2" t="inlineStr"/>
    </row>
    <row r="2508" ht="15" customHeight="1">
      <c r="A2508" t="inlineStr">
        <is>
          <t>A 30789-2024</t>
        </is>
      </c>
      <c r="B2508" s="1" t="n">
        <v>45497</v>
      </c>
      <c r="C2508" s="1" t="n">
        <v>45726</v>
      </c>
      <c r="D2508" t="inlineStr">
        <is>
          <t>VÄRMLANDS LÄN</t>
        </is>
      </c>
      <c r="E2508" t="inlineStr">
        <is>
          <t>TORSBY</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30803-2024</t>
        </is>
      </c>
      <c r="B2509" s="1" t="n">
        <v>45497</v>
      </c>
      <c r="C2509" s="1" t="n">
        <v>45726</v>
      </c>
      <c r="D2509" t="inlineStr">
        <is>
          <t>VÄRMLANDS LÄN</t>
        </is>
      </c>
      <c r="E2509" t="inlineStr">
        <is>
          <t>TORSBY</t>
        </is>
      </c>
      <c r="F2509" t="inlineStr">
        <is>
          <t>Kyrkan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30791-2024</t>
        </is>
      </c>
      <c r="B2510" s="1" t="n">
        <v>45497</v>
      </c>
      <c r="C2510" s="1" t="n">
        <v>45726</v>
      </c>
      <c r="D2510" t="inlineStr">
        <is>
          <t>VÄRMLANDS LÄN</t>
        </is>
      </c>
      <c r="E2510" t="inlineStr">
        <is>
          <t>TORSBY</t>
        </is>
      </c>
      <c r="G2510" t="n">
        <v>44.2</v>
      </c>
      <c r="H2510" t="n">
        <v>0</v>
      </c>
      <c r="I2510" t="n">
        <v>0</v>
      </c>
      <c r="J2510" t="n">
        <v>0</v>
      </c>
      <c r="K2510" t="n">
        <v>0</v>
      </c>
      <c r="L2510" t="n">
        <v>0</v>
      </c>
      <c r="M2510" t="n">
        <v>0</v>
      </c>
      <c r="N2510" t="n">
        <v>0</v>
      </c>
      <c r="O2510" t="n">
        <v>0</v>
      </c>
      <c r="P2510" t="n">
        <v>0</v>
      </c>
      <c r="Q2510" t="n">
        <v>0</v>
      </c>
      <c r="R2510" s="2" t="inlineStr"/>
    </row>
    <row r="2511" ht="15" customHeight="1">
      <c r="A2511" t="inlineStr">
        <is>
          <t>A 30873-2024</t>
        </is>
      </c>
      <c r="B2511" s="1" t="n">
        <v>45498</v>
      </c>
      <c r="C2511" s="1" t="n">
        <v>45726</v>
      </c>
      <c r="D2511" t="inlineStr">
        <is>
          <t>VÄRMLANDS LÄN</t>
        </is>
      </c>
      <c r="E2511" t="inlineStr">
        <is>
          <t>TORSBY</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30952-2024</t>
        </is>
      </c>
      <c r="B2512" s="1" t="n">
        <v>45499</v>
      </c>
      <c r="C2512" s="1" t="n">
        <v>45726</v>
      </c>
      <c r="D2512" t="inlineStr">
        <is>
          <t>VÄRMLANDS LÄN</t>
        </is>
      </c>
      <c r="E2512" t="inlineStr">
        <is>
          <t>TORSBY</t>
        </is>
      </c>
      <c r="F2512" t="inlineStr">
        <is>
          <t>Bergvik skog väst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30947-2024</t>
        </is>
      </c>
      <c r="B2513" s="1" t="n">
        <v>45499</v>
      </c>
      <c r="C2513" s="1" t="n">
        <v>45726</v>
      </c>
      <c r="D2513" t="inlineStr">
        <is>
          <t>VÄRMLANDS LÄN</t>
        </is>
      </c>
      <c r="E2513" t="inlineStr">
        <is>
          <t>TORSBY</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31004-2024</t>
        </is>
      </c>
      <c r="B2514" s="1" t="n">
        <v>45499</v>
      </c>
      <c r="C2514" s="1" t="n">
        <v>45726</v>
      </c>
      <c r="D2514" t="inlineStr">
        <is>
          <t>VÄRMLANDS LÄN</t>
        </is>
      </c>
      <c r="E2514" t="inlineStr">
        <is>
          <t>TORSBY</t>
        </is>
      </c>
      <c r="F2514" t="inlineStr">
        <is>
          <t>Bergvik skog väst AB</t>
        </is>
      </c>
      <c r="G2514" t="n">
        <v>14.2</v>
      </c>
      <c r="H2514" t="n">
        <v>0</v>
      </c>
      <c r="I2514" t="n">
        <v>0</v>
      </c>
      <c r="J2514" t="n">
        <v>0</v>
      </c>
      <c r="K2514" t="n">
        <v>0</v>
      </c>
      <c r="L2514" t="n">
        <v>0</v>
      </c>
      <c r="M2514" t="n">
        <v>0</v>
      </c>
      <c r="N2514" t="n">
        <v>0</v>
      </c>
      <c r="O2514" t="n">
        <v>0</v>
      </c>
      <c r="P2514" t="n">
        <v>0</v>
      </c>
      <c r="Q2514" t="n">
        <v>0</v>
      </c>
      <c r="R2514" s="2" t="inlineStr"/>
    </row>
    <row r="2515" ht="15" customHeight="1">
      <c r="A2515" t="inlineStr">
        <is>
          <t>A 30942-2024</t>
        </is>
      </c>
      <c r="B2515" s="1" t="n">
        <v>45499</v>
      </c>
      <c r="C2515" s="1" t="n">
        <v>45726</v>
      </c>
      <c r="D2515" t="inlineStr">
        <is>
          <t>VÄRMLANDS LÄN</t>
        </is>
      </c>
      <c r="E2515" t="inlineStr">
        <is>
          <t>TORSBY</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31089-2024</t>
        </is>
      </c>
      <c r="B2516" s="1" t="n">
        <v>45502</v>
      </c>
      <c r="C2516" s="1" t="n">
        <v>45726</v>
      </c>
      <c r="D2516" t="inlineStr">
        <is>
          <t>VÄRMLANDS LÄN</t>
        </is>
      </c>
      <c r="E2516" t="inlineStr">
        <is>
          <t>TORSBY</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31158-2024</t>
        </is>
      </c>
      <c r="B2517" s="1" t="n">
        <v>45503</v>
      </c>
      <c r="C2517" s="1" t="n">
        <v>45726</v>
      </c>
      <c r="D2517" t="inlineStr">
        <is>
          <t>VÄRMLANDS LÄN</t>
        </is>
      </c>
      <c r="E2517" t="inlineStr">
        <is>
          <t>TORSBY</t>
        </is>
      </c>
      <c r="F2517" t="inlineStr">
        <is>
          <t>Kyrkan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31164-2024</t>
        </is>
      </c>
      <c r="B2518" s="1" t="n">
        <v>45503</v>
      </c>
      <c r="C2518" s="1" t="n">
        <v>45726</v>
      </c>
      <c r="D2518" t="inlineStr">
        <is>
          <t>VÄRMLANDS LÄN</t>
        </is>
      </c>
      <c r="E2518" t="inlineStr">
        <is>
          <t>TORSBY</t>
        </is>
      </c>
      <c r="F2518" t="inlineStr">
        <is>
          <t>Kyrkan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31285-2024</t>
        </is>
      </c>
      <c r="B2519" s="1" t="n">
        <v>45504</v>
      </c>
      <c r="C2519" s="1" t="n">
        <v>45726</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31289-2024</t>
        </is>
      </c>
      <c r="B2520" s="1" t="n">
        <v>45504</v>
      </c>
      <c r="C2520" s="1" t="n">
        <v>45726</v>
      </c>
      <c r="D2520" t="inlineStr">
        <is>
          <t>VÄRMLANDS LÄN</t>
        </is>
      </c>
      <c r="E2520" t="inlineStr">
        <is>
          <t>TORSBY</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31380-2024</t>
        </is>
      </c>
      <c r="B2521" s="1" t="n">
        <v>45505</v>
      </c>
      <c r="C2521" s="1" t="n">
        <v>45726</v>
      </c>
      <c r="D2521" t="inlineStr">
        <is>
          <t>VÄRMLANDS LÄN</t>
        </is>
      </c>
      <c r="E2521" t="inlineStr">
        <is>
          <t>TORSBY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31385-2024</t>
        </is>
      </c>
      <c r="B2522" s="1" t="n">
        <v>45505</v>
      </c>
      <c r="C2522" s="1" t="n">
        <v>45726</v>
      </c>
      <c r="D2522" t="inlineStr">
        <is>
          <t>VÄRMLANDS LÄN</t>
        </is>
      </c>
      <c r="E2522" t="inlineStr">
        <is>
          <t>TORSBY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31377-2024</t>
        </is>
      </c>
      <c r="B2523" s="1" t="n">
        <v>45505</v>
      </c>
      <c r="C2523" s="1" t="n">
        <v>45726</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31351-2024</t>
        </is>
      </c>
      <c r="B2524" s="1" t="n">
        <v>45505</v>
      </c>
      <c r="C2524" s="1" t="n">
        <v>45726</v>
      </c>
      <c r="D2524" t="inlineStr">
        <is>
          <t>VÄRMLANDS LÄN</t>
        </is>
      </c>
      <c r="E2524" t="inlineStr">
        <is>
          <t>TORSBY</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31767-2024</t>
        </is>
      </c>
      <c r="B2525" s="1" t="n">
        <v>45509</v>
      </c>
      <c r="C2525" s="1" t="n">
        <v>45726</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31716-2024</t>
        </is>
      </c>
      <c r="B2526" s="1" t="n">
        <v>45509</v>
      </c>
      <c r="C2526" s="1" t="n">
        <v>45726</v>
      </c>
      <c r="D2526" t="inlineStr">
        <is>
          <t>VÄRMLANDS LÄN</t>
        </is>
      </c>
      <c r="E2526" t="inlineStr">
        <is>
          <t>TORSBY</t>
        </is>
      </c>
      <c r="F2526" t="inlineStr">
        <is>
          <t>Bergvik skog väst AB</t>
        </is>
      </c>
      <c r="G2526" t="n">
        <v>19.3</v>
      </c>
      <c r="H2526" t="n">
        <v>0</v>
      </c>
      <c r="I2526" t="n">
        <v>0</v>
      </c>
      <c r="J2526" t="n">
        <v>0</v>
      </c>
      <c r="K2526" t="n">
        <v>0</v>
      </c>
      <c r="L2526" t="n">
        <v>0</v>
      </c>
      <c r="M2526" t="n">
        <v>0</v>
      </c>
      <c r="N2526" t="n">
        <v>0</v>
      </c>
      <c r="O2526" t="n">
        <v>0</v>
      </c>
      <c r="P2526" t="n">
        <v>0</v>
      </c>
      <c r="Q2526" t="n">
        <v>0</v>
      </c>
      <c r="R2526" s="2" t="inlineStr"/>
    </row>
    <row r="2527" ht="15" customHeight="1">
      <c r="A2527" t="inlineStr">
        <is>
          <t>A 31836-2024</t>
        </is>
      </c>
      <c r="B2527" s="1" t="n">
        <v>45509</v>
      </c>
      <c r="C2527" s="1" t="n">
        <v>45726</v>
      </c>
      <c r="D2527" t="inlineStr">
        <is>
          <t>VÄRMLANDS LÄN</t>
        </is>
      </c>
      <c r="E2527" t="inlineStr">
        <is>
          <t>TORSBY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31830-2024</t>
        </is>
      </c>
      <c r="B2528" s="1" t="n">
        <v>45509</v>
      </c>
      <c r="C2528" s="1" t="n">
        <v>45726</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31945-2024</t>
        </is>
      </c>
      <c r="B2529" s="1" t="n">
        <v>45510</v>
      </c>
      <c r="C2529" s="1" t="n">
        <v>45726</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32155-2024</t>
        </is>
      </c>
      <c r="B2530" s="1" t="n">
        <v>45511</v>
      </c>
      <c r="C2530" s="1" t="n">
        <v>45726</v>
      </c>
      <c r="D2530" t="inlineStr">
        <is>
          <t>VÄRMLANDS LÄN</t>
        </is>
      </c>
      <c r="E2530" t="inlineStr">
        <is>
          <t>TORSBY</t>
        </is>
      </c>
      <c r="F2530" t="inlineStr">
        <is>
          <t>Bergvik skog väst AB</t>
        </is>
      </c>
      <c r="G2530" t="n">
        <v>13.5</v>
      </c>
      <c r="H2530" t="n">
        <v>0</v>
      </c>
      <c r="I2530" t="n">
        <v>0</v>
      </c>
      <c r="J2530" t="n">
        <v>0</v>
      </c>
      <c r="K2530" t="n">
        <v>0</v>
      </c>
      <c r="L2530" t="n">
        <v>0</v>
      </c>
      <c r="M2530" t="n">
        <v>0</v>
      </c>
      <c r="N2530" t="n">
        <v>0</v>
      </c>
      <c r="O2530" t="n">
        <v>0</v>
      </c>
      <c r="P2530" t="n">
        <v>0</v>
      </c>
      <c r="Q2530" t="n">
        <v>0</v>
      </c>
      <c r="R2530" s="2" t="inlineStr"/>
    </row>
    <row r="2531" ht="15" customHeight="1">
      <c r="A2531" t="inlineStr">
        <is>
          <t>A 32138-2024</t>
        </is>
      </c>
      <c r="B2531" s="1" t="n">
        <v>45511</v>
      </c>
      <c r="C2531" s="1" t="n">
        <v>45726</v>
      </c>
      <c r="D2531" t="inlineStr">
        <is>
          <t>VÄRMLANDS LÄN</t>
        </is>
      </c>
      <c r="E2531" t="inlineStr">
        <is>
          <t>TORSBY</t>
        </is>
      </c>
      <c r="F2531" t="inlineStr">
        <is>
          <t>Bergvik skog väst AB</t>
        </is>
      </c>
      <c r="G2531" t="n">
        <v>26.3</v>
      </c>
      <c r="H2531" t="n">
        <v>0</v>
      </c>
      <c r="I2531" t="n">
        <v>0</v>
      </c>
      <c r="J2531" t="n">
        <v>0</v>
      </c>
      <c r="K2531" t="n">
        <v>0</v>
      </c>
      <c r="L2531" t="n">
        <v>0</v>
      </c>
      <c r="M2531" t="n">
        <v>0</v>
      </c>
      <c r="N2531" t="n">
        <v>0</v>
      </c>
      <c r="O2531" t="n">
        <v>0</v>
      </c>
      <c r="P2531" t="n">
        <v>0</v>
      </c>
      <c r="Q2531" t="n">
        <v>0</v>
      </c>
      <c r="R2531" s="2" t="inlineStr"/>
    </row>
    <row r="2532" ht="15" customHeight="1">
      <c r="A2532" t="inlineStr">
        <is>
          <t>A 32213-2024</t>
        </is>
      </c>
      <c r="B2532" s="1" t="n">
        <v>45511</v>
      </c>
      <c r="C2532" s="1" t="n">
        <v>45726</v>
      </c>
      <c r="D2532" t="inlineStr">
        <is>
          <t>VÄRMLANDS LÄN</t>
        </is>
      </c>
      <c r="E2532" t="inlineStr">
        <is>
          <t>TORSBY</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32314-2024</t>
        </is>
      </c>
      <c r="B2533" s="1" t="n">
        <v>45512</v>
      </c>
      <c r="C2533" s="1" t="n">
        <v>45726</v>
      </c>
      <c r="D2533" t="inlineStr">
        <is>
          <t>VÄRMLANDS LÄN</t>
        </is>
      </c>
      <c r="E2533" t="inlineStr">
        <is>
          <t>TORSBY</t>
        </is>
      </c>
      <c r="F2533" t="inlineStr">
        <is>
          <t>Bergvik skog väst AB</t>
        </is>
      </c>
      <c r="G2533" t="n">
        <v>35.1</v>
      </c>
      <c r="H2533" t="n">
        <v>0</v>
      </c>
      <c r="I2533" t="n">
        <v>0</v>
      </c>
      <c r="J2533" t="n">
        <v>0</v>
      </c>
      <c r="K2533" t="n">
        <v>0</v>
      </c>
      <c r="L2533" t="n">
        <v>0</v>
      </c>
      <c r="M2533" t="n">
        <v>0</v>
      </c>
      <c r="N2533" t="n">
        <v>0</v>
      </c>
      <c r="O2533" t="n">
        <v>0</v>
      </c>
      <c r="P2533" t="n">
        <v>0</v>
      </c>
      <c r="Q2533" t="n">
        <v>0</v>
      </c>
      <c r="R2533" s="2" t="inlineStr"/>
    </row>
    <row r="2534" ht="15" customHeight="1">
      <c r="A2534" t="inlineStr">
        <is>
          <t>A 32343-2024</t>
        </is>
      </c>
      <c r="B2534" s="1" t="n">
        <v>45512</v>
      </c>
      <c r="C2534" s="1" t="n">
        <v>45726</v>
      </c>
      <c r="D2534" t="inlineStr">
        <is>
          <t>VÄRMLANDS LÄN</t>
        </is>
      </c>
      <c r="E2534" t="inlineStr">
        <is>
          <t>TORSBY</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32340-2024</t>
        </is>
      </c>
      <c r="B2535" s="1" t="n">
        <v>45512</v>
      </c>
      <c r="C2535" s="1" t="n">
        <v>45726</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32319-2024</t>
        </is>
      </c>
      <c r="B2536" s="1" t="n">
        <v>45512</v>
      </c>
      <c r="C2536" s="1" t="n">
        <v>45726</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32588-2024</t>
        </is>
      </c>
      <c r="B2537" s="1" t="n">
        <v>45513</v>
      </c>
      <c r="C2537" s="1" t="n">
        <v>45726</v>
      </c>
      <c r="D2537" t="inlineStr">
        <is>
          <t>VÄRMLANDS LÄN</t>
        </is>
      </c>
      <c r="E2537" t="inlineStr">
        <is>
          <t>TORSBY</t>
        </is>
      </c>
      <c r="F2537" t="inlineStr">
        <is>
          <t>Bergvik skog väst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32603-2024</t>
        </is>
      </c>
      <c r="B2538" s="1" t="n">
        <v>45513</v>
      </c>
      <c r="C2538" s="1" t="n">
        <v>45726</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32764-2024</t>
        </is>
      </c>
      <c r="B2539" s="1" t="n">
        <v>45515</v>
      </c>
      <c r="C2539" s="1" t="n">
        <v>45726</v>
      </c>
      <c r="D2539" t="inlineStr">
        <is>
          <t>VÄRMLANDS LÄN</t>
        </is>
      </c>
      <c r="E2539" t="inlineStr">
        <is>
          <t>TORSBY</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32755-2024</t>
        </is>
      </c>
      <c r="B2540" s="1" t="n">
        <v>45515</v>
      </c>
      <c r="C2540" s="1" t="n">
        <v>45726</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32746-2024</t>
        </is>
      </c>
      <c r="B2541" s="1" t="n">
        <v>45515</v>
      </c>
      <c r="C2541" s="1" t="n">
        <v>45726</v>
      </c>
      <c r="D2541" t="inlineStr">
        <is>
          <t>VÄRMLANDS LÄN</t>
        </is>
      </c>
      <c r="E2541" t="inlineStr">
        <is>
          <t>TORSBY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32758-2024</t>
        </is>
      </c>
      <c r="B2542" s="1" t="n">
        <v>45515</v>
      </c>
      <c r="C2542" s="1" t="n">
        <v>45726</v>
      </c>
      <c r="D2542" t="inlineStr">
        <is>
          <t>VÄRMLANDS LÄN</t>
        </is>
      </c>
      <c r="E2542" t="inlineStr">
        <is>
          <t>TORSBY</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32845-2024</t>
        </is>
      </c>
      <c r="B2543" s="1" t="n">
        <v>45516</v>
      </c>
      <c r="C2543" s="1" t="n">
        <v>45726</v>
      </c>
      <c r="D2543" t="inlineStr">
        <is>
          <t>VÄRMLANDS LÄN</t>
        </is>
      </c>
      <c r="E2543" t="inlineStr">
        <is>
          <t>TORSBY</t>
        </is>
      </c>
      <c r="F2543" t="inlineStr">
        <is>
          <t>Bergvik skog väst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32847-2024</t>
        </is>
      </c>
      <c r="B2544" s="1" t="n">
        <v>45516</v>
      </c>
      <c r="C2544" s="1" t="n">
        <v>45726</v>
      </c>
      <c r="D2544" t="inlineStr">
        <is>
          <t>VÄRMLANDS LÄN</t>
        </is>
      </c>
      <c r="E2544" t="inlineStr">
        <is>
          <t>TORSBY</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33088-2024</t>
        </is>
      </c>
      <c r="B2545" s="1" t="n">
        <v>45517</v>
      </c>
      <c r="C2545" s="1" t="n">
        <v>45726</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33078-2024</t>
        </is>
      </c>
      <c r="B2546" s="1" t="n">
        <v>45517</v>
      </c>
      <c r="C2546" s="1" t="n">
        <v>45726</v>
      </c>
      <c r="D2546" t="inlineStr">
        <is>
          <t>VÄRMLANDS LÄN</t>
        </is>
      </c>
      <c r="E2546" t="inlineStr">
        <is>
          <t>TORSBY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32973-2024</t>
        </is>
      </c>
      <c r="B2547" s="1" t="n">
        <v>45517</v>
      </c>
      <c r="C2547" s="1" t="n">
        <v>45726</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33085-2024</t>
        </is>
      </c>
      <c r="B2548" s="1" t="n">
        <v>45517</v>
      </c>
      <c r="C2548" s="1" t="n">
        <v>45726</v>
      </c>
      <c r="D2548" t="inlineStr">
        <is>
          <t>VÄRMLANDS LÄN</t>
        </is>
      </c>
      <c r="E2548" t="inlineStr">
        <is>
          <t>TORSBY</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33073-2024</t>
        </is>
      </c>
      <c r="B2549" s="1" t="n">
        <v>45517</v>
      </c>
      <c r="C2549" s="1" t="n">
        <v>45726</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32988-2024</t>
        </is>
      </c>
      <c r="B2550" s="1" t="n">
        <v>45517</v>
      </c>
      <c r="C2550" s="1" t="n">
        <v>45726</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32932-2024</t>
        </is>
      </c>
      <c r="B2551" s="1" t="n">
        <v>45517</v>
      </c>
      <c r="C2551" s="1" t="n">
        <v>45726</v>
      </c>
      <c r="D2551" t="inlineStr">
        <is>
          <t>VÄRMLANDS LÄN</t>
        </is>
      </c>
      <c r="E2551" t="inlineStr">
        <is>
          <t>TORSBY</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32936-2024</t>
        </is>
      </c>
      <c r="B2552" s="1" t="n">
        <v>45517</v>
      </c>
      <c r="C2552" s="1" t="n">
        <v>45726</v>
      </c>
      <c r="D2552" t="inlineStr">
        <is>
          <t>VÄRMLANDS LÄN</t>
        </is>
      </c>
      <c r="E2552" t="inlineStr">
        <is>
          <t>TORSBY</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32939-2024</t>
        </is>
      </c>
      <c r="B2553" s="1" t="n">
        <v>45517</v>
      </c>
      <c r="C2553" s="1" t="n">
        <v>45726</v>
      </c>
      <c r="D2553" t="inlineStr">
        <is>
          <t>VÄRMLANDS LÄN</t>
        </is>
      </c>
      <c r="E2553" t="inlineStr">
        <is>
          <t>TORSBY</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33185-2024</t>
        </is>
      </c>
      <c r="B2554" s="1" t="n">
        <v>45518</v>
      </c>
      <c r="C2554" s="1" t="n">
        <v>45726</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33293-2024</t>
        </is>
      </c>
      <c r="B2555" s="1" t="n">
        <v>45518</v>
      </c>
      <c r="C2555" s="1" t="n">
        <v>45726</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33218-2024</t>
        </is>
      </c>
      <c r="B2556" s="1" t="n">
        <v>45518</v>
      </c>
      <c r="C2556" s="1" t="n">
        <v>45726</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33232-2024</t>
        </is>
      </c>
      <c r="B2557" s="1" t="n">
        <v>45518</v>
      </c>
      <c r="C2557" s="1" t="n">
        <v>45726</v>
      </c>
      <c r="D2557" t="inlineStr">
        <is>
          <t>VÄRMLANDS LÄN</t>
        </is>
      </c>
      <c r="E2557" t="inlineStr">
        <is>
          <t>TORSBY</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33133-2024</t>
        </is>
      </c>
      <c r="B2558" s="1" t="n">
        <v>45518</v>
      </c>
      <c r="C2558" s="1" t="n">
        <v>45726</v>
      </c>
      <c r="D2558" t="inlineStr">
        <is>
          <t>VÄRMLANDS LÄN</t>
        </is>
      </c>
      <c r="E2558" t="inlineStr">
        <is>
          <t>TORSBY</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33227-2024</t>
        </is>
      </c>
      <c r="B2559" s="1" t="n">
        <v>45518</v>
      </c>
      <c r="C2559" s="1" t="n">
        <v>45726</v>
      </c>
      <c r="D2559" t="inlineStr">
        <is>
          <t>VÄRMLANDS LÄN</t>
        </is>
      </c>
      <c r="E2559" t="inlineStr">
        <is>
          <t>TORSBY</t>
        </is>
      </c>
      <c r="F2559" t="inlineStr">
        <is>
          <t>Bergvik skog väst AB</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33220-2024</t>
        </is>
      </c>
      <c r="B2560" s="1" t="n">
        <v>45518</v>
      </c>
      <c r="C2560" s="1" t="n">
        <v>45726</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33172-2024</t>
        </is>
      </c>
      <c r="B2561" s="1" t="n">
        <v>45518</v>
      </c>
      <c r="C2561" s="1" t="n">
        <v>45726</v>
      </c>
      <c r="D2561" t="inlineStr">
        <is>
          <t>VÄRMLANDS LÄN</t>
        </is>
      </c>
      <c r="E2561" t="inlineStr">
        <is>
          <t>TORSBY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33151-2024</t>
        </is>
      </c>
      <c r="B2562" s="1" t="n">
        <v>45518</v>
      </c>
      <c r="C2562" s="1" t="n">
        <v>45726</v>
      </c>
      <c r="D2562" t="inlineStr">
        <is>
          <t>VÄRMLANDS LÄN</t>
        </is>
      </c>
      <c r="E2562" t="inlineStr">
        <is>
          <t>TORSBY</t>
        </is>
      </c>
      <c r="F2562" t="inlineStr">
        <is>
          <t>Bergvik skog väst AB</t>
        </is>
      </c>
      <c r="G2562" t="n">
        <v>28.2</v>
      </c>
      <c r="H2562" t="n">
        <v>0</v>
      </c>
      <c r="I2562" t="n">
        <v>0</v>
      </c>
      <c r="J2562" t="n">
        <v>0</v>
      </c>
      <c r="K2562" t="n">
        <v>0</v>
      </c>
      <c r="L2562" t="n">
        <v>0</v>
      </c>
      <c r="M2562" t="n">
        <v>0</v>
      </c>
      <c r="N2562" t="n">
        <v>0</v>
      </c>
      <c r="O2562" t="n">
        <v>0</v>
      </c>
      <c r="P2562" t="n">
        <v>0</v>
      </c>
      <c r="Q2562" t="n">
        <v>0</v>
      </c>
      <c r="R2562" s="2" t="inlineStr"/>
    </row>
    <row r="2563" ht="15" customHeight="1">
      <c r="A2563" t="inlineStr">
        <is>
          <t>A 33338-2024</t>
        </is>
      </c>
      <c r="B2563" s="1" t="n">
        <v>45519</v>
      </c>
      <c r="C2563" s="1" t="n">
        <v>45726</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33370-2024</t>
        </is>
      </c>
      <c r="B2564" s="1" t="n">
        <v>45519</v>
      </c>
      <c r="C2564" s="1" t="n">
        <v>45726</v>
      </c>
      <c r="D2564" t="inlineStr">
        <is>
          <t>VÄRMLANDS LÄN</t>
        </is>
      </c>
      <c r="E2564" t="inlineStr">
        <is>
          <t>TORSBY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33337-2024</t>
        </is>
      </c>
      <c r="B2565" s="1" t="n">
        <v>45519</v>
      </c>
      <c r="C2565" s="1" t="n">
        <v>45726</v>
      </c>
      <c r="D2565" t="inlineStr">
        <is>
          <t>VÄRMLANDS LÄN</t>
        </is>
      </c>
      <c r="E2565" t="inlineStr">
        <is>
          <t>TORSBY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33341-2024</t>
        </is>
      </c>
      <c r="B2566" s="1" t="n">
        <v>45519</v>
      </c>
      <c r="C2566" s="1" t="n">
        <v>45726</v>
      </c>
      <c r="D2566" t="inlineStr">
        <is>
          <t>VÄRMLANDS LÄN</t>
        </is>
      </c>
      <c r="E2566" t="inlineStr">
        <is>
          <t>TORSBY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33425-2024</t>
        </is>
      </c>
      <c r="B2567" s="1" t="n">
        <v>45519</v>
      </c>
      <c r="C2567" s="1" t="n">
        <v>45726</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33429-2024</t>
        </is>
      </c>
      <c r="B2568" s="1" t="n">
        <v>45519</v>
      </c>
      <c r="C2568" s="1" t="n">
        <v>45726</v>
      </c>
      <c r="D2568" t="inlineStr">
        <is>
          <t>VÄRMLANDS LÄN</t>
        </is>
      </c>
      <c r="E2568" t="inlineStr">
        <is>
          <t>TORSBY</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33469-2024</t>
        </is>
      </c>
      <c r="B2569" s="1" t="n">
        <v>45519</v>
      </c>
      <c r="C2569" s="1" t="n">
        <v>45726</v>
      </c>
      <c r="D2569" t="inlineStr">
        <is>
          <t>VÄRMLANDS LÄN</t>
        </is>
      </c>
      <c r="E2569" t="inlineStr">
        <is>
          <t>TORSBY</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33546-2024</t>
        </is>
      </c>
      <c r="B2570" s="1" t="n">
        <v>45519</v>
      </c>
      <c r="C2570" s="1" t="n">
        <v>45726</v>
      </c>
      <c r="D2570" t="inlineStr">
        <is>
          <t>VÄRMLANDS LÄN</t>
        </is>
      </c>
      <c r="E2570" t="inlineStr">
        <is>
          <t>TORSBY</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33418-2024</t>
        </is>
      </c>
      <c r="B2571" s="1" t="n">
        <v>45519</v>
      </c>
      <c r="C2571" s="1" t="n">
        <v>45726</v>
      </c>
      <c r="D2571" t="inlineStr">
        <is>
          <t>VÄRMLANDS LÄN</t>
        </is>
      </c>
      <c r="E2571" t="inlineStr">
        <is>
          <t>TORSBY</t>
        </is>
      </c>
      <c r="F2571" t="inlineStr">
        <is>
          <t>Bergvik skog väst AB</t>
        </is>
      </c>
      <c r="G2571" t="n">
        <v>27.6</v>
      </c>
      <c r="H2571" t="n">
        <v>0</v>
      </c>
      <c r="I2571" t="n">
        <v>0</v>
      </c>
      <c r="J2571" t="n">
        <v>0</v>
      </c>
      <c r="K2571" t="n">
        <v>0</v>
      </c>
      <c r="L2571" t="n">
        <v>0</v>
      </c>
      <c r="M2571" t="n">
        <v>0</v>
      </c>
      <c r="N2571" t="n">
        <v>0</v>
      </c>
      <c r="O2571" t="n">
        <v>0</v>
      </c>
      <c r="P2571" t="n">
        <v>0</v>
      </c>
      <c r="Q2571" t="n">
        <v>0</v>
      </c>
      <c r="R2571" s="2" t="inlineStr"/>
    </row>
    <row r="2572" ht="15" customHeight="1">
      <c r="A2572" t="inlineStr">
        <is>
          <t>A 33511-2024</t>
        </is>
      </c>
      <c r="B2572" s="1" t="n">
        <v>45519</v>
      </c>
      <c r="C2572" s="1" t="n">
        <v>45726</v>
      </c>
      <c r="D2572" t="inlineStr">
        <is>
          <t>VÄRMLANDS LÄN</t>
        </is>
      </c>
      <c r="E2572" t="inlineStr">
        <is>
          <t>TORSBY</t>
        </is>
      </c>
      <c r="F2572" t="inlineStr">
        <is>
          <t>Bergvik skog väst AB</t>
        </is>
      </c>
      <c r="G2572" t="n">
        <v>12.1</v>
      </c>
      <c r="H2572" t="n">
        <v>0</v>
      </c>
      <c r="I2572" t="n">
        <v>0</v>
      </c>
      <c r="J2572" t="n">
        <v>0</v>
      </c>
      <c r="K2572" t="n">
        <v>0</v>
      </c>
      <c r="L2572" t="n">
        <v>0</v>
      </c>
      <c r="M2572" t="n">
        <v>0</v>
      </c>
      <c r="N2572" t="n">
        <v>0</v>
      </c>
      <c r="O2572" t="n">
        <v>0</v>
      </c>
      <c r="P2572" t="n">
        <v>0</v>
      </c>
      <c r="Q2572" t="n">
        <v>0</v>
      </c>
      <c r="R2572" s="2" t="inlineStr"/>
    </row>
    <row r="2573" ht="15" customHeight="1">
      <c r="A2573" t="inlineStr">
        <is>
          <t>A 33547-2024</t>
        </is>
      </c>
      <c r="B2573" s="1" t="n">
        <v>45519</v>
      </c>
      <c r="C2573" s="1" t="n">
        <v>45726</v>
      </c>
      <c r="D2573" t="inlineStr">
        <is>
          <t>VÄRMLANDS LÄN</t>
        </is>
      </c>
      <c r="E2573" t="inlineStr">
        <is>
          <t>TORSBY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33495-2024</t>
        </is>
      </c>
      <c r="B2574" s="1" t="n">
        <v>45519</v>
      </c>
      <c r="C2574" s="1" t="n">
        <v>45726</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33499-2024</t>
        </is>
      </c>
      <c r="B2575" s="1" t="n">
        <v>45519</v>
      </c>
      <c r="C2575" s="1" t="n">
        <v>45726</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33548-2024</t>
        </is>
      </c>
      <c r="B2576" s="1" t="n">
        <v>45519</v>
      </c>
      <c r="C2576" s="1" t="n">
        <v>45726</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33367-2024</t>
        </is>
      </c>
      <c r="B2577" s="1" t="n">
        <v>45519</v>
      </c>
      <c r="C2577" s="1" t="n">
        <v>45726</v>
      </c>
      <c r="D2577" t="inlineStr">
        <is>
          <t>VÄRMLANDS LÄN</t>
        </is>
      </c>
      <c r="E2577" t="inlineStr">
        <is>
          <t>TORSBY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33371-2024</t>
        </is>
      </c>
      <c r="B2578" s="1" t="n">
        <v>45519</v>
      </c>
      <c r="C2578" s="1" t="n">
        <v>45726</v>
      </c>
      <c r="D2578" t="inlineStr">
        <is>
          <t>VÄRMLANDS LÄN</t>
        </is>
      </c>
      <c r="E2578" t="inlineStr">
        <is>
          <t>TORSBY</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33521-2024</t>
        </is>
      </c>
      <c r="B2579" s="1" t="n">
        <v>45519</v>
      </c>
      <c r="C2579" s="1" t="n">
        <v>45726</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33620-2024</t>
        </is>
      </c>
      <c r="B2580" s="1" t="n">
        <v>45520</v>
      </c>
      <c r="C2580" s="1" t="n">
        <v>45726</v>
      </c>
      <c r="D2580" t="inlineStr">
        <is>
          <t>VÄRMLANDS LÄN</t>
        </is>
      </c>
      <c r="E2580" t="inlineStr">
        <is>
          <t>TORSBY</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33649-2024</t>
        </is>
      </c>
      <c r="B2581" s="1" t="n">
        <v>45520</v>
      </c>
      <c r="C2581" s="1" t="n">
        <v>45726</v>
      </c>
      <c r="D2581" t="inlineStr">
        <is>
          <t>VÄRMLANDS LÄN</t>
        </is>
      </c>
      <c r="E2581" t="inlineStr">
        <is>
          <t>TORSBY</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33769-2024</t>
        </is>
      </c>
      <c r="B2582" s="1" t="n">
        <v>45520</v>
      </c>
      <c r="C2582" s="1" t="n">
        <v>45726</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33862-2024</t>
        </is>
      </c>
      <c r="B2583" s="1" t="n">
        <v>45520</v>
      </c>
      <c r="C2583" s="1" t="n">
        <v>45726</v>
      </c>
      <c r="D2583" t="inlineStr">
        <is>
          <t>VÄRMLANDS LÄN</t>
        </is>
      </c>
      <c r="E2583" t="inlineStr">
        <is>
          <t>TORSBY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33791-2024</t>
        </is>
      </c>
      <c r="B2584" s="1" t="n">
        <v>45520</v>
      </c>
      <c r="C2584" s="1" t="n">
        <v>45726</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33964-2024</t>
        </is>
      </c>
      <c r="B2585" s="1" t="n">
        <v>45523</v>
      </c>
      <c r="C2585" s="1" t="n">
        <v>45726</v>
      </c>
      <c r="D2585" t="inlineStr">
        <is>
          <t>VÄRMLANDS LÄN</t>
        </is>
      </c>
      <c r="E2585" t="inlineStr">
        <is>
          <t>TORSBY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34034-2024</t>
        </is>
      </c>
      <c r="B2586" s="1" t="n">
        <v>45523</v>
      </c>
      <c r="C2586" s="1" t="n">
        <v>45726</v>
      </c>
      <c r="D2586" t="inlineStr">
        <is>
          <t>VÄRMLANDS LÄN</t>
        </is>
      </c>
      <c r="E2586" t="inlineStr">
        <is>
          <t>TORSBY</t>
        </is>
      </c>
      <c r="F2586" t="inlineStr">
        <is>
          <t>Bergvik skog väst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34031-2024</t>
        </is>
      </c>
      <c r="B2587" s="1" t="n">
        <v>45523</v>
      </c>
      <c r="C2587" s="1" t="n">
        <v>45726</v>
      </c>
      <c r="D2587" t="inlineStr">
        <is>
          <t>VÄRMLANDS LÄN</t>
        </is>
      </c>
      <c r="E2587" t="inlineStr">
        <is>
          <t>TORSBY</t>
        </is>
      </c>
      <c r="F2587" t="inlineStr">
        <is>
          <t>Bergvik skog väst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34081-2024</t>
        </is>
      </c>
      <c r="B2588" s="1" t="n">
        <v>45523</v>
      </c>
      <c r="C2588" s="1" t="n">
        <v>45726</v>
      </c>
      <c r="D2588" t="inlineStr">
        <is>
          <t>VÄRMLANDS LÄN</t>
        </is>
      </c>
      <c r="E2588" t="inlineStr">
        <is>
          <t>TORSBY</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34093-2024</t>
        </is>
      </c>
      <c r="B2589" s="1" t="n">
        <v>45523</v>
      </c>
      <c r="C2589" s="1" t="n">
        <v>45726</v>
      </c>
      <c r="D2589" t="inlineStr">
        <is>
          <t>VÄRMLANDS LÄN</t>
        </is>
      </c>
      <c r="E2589" t="inlineStr">
        <is>
          <t>TORSBY</t>
        </is>
      </c>
      <c r="F2589" t="inlineStr">
        <is>
          <t>Bergvik skog väst AB</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34207-2024</t>
        </is>
      </c>
      <c r="B2590" s="1" t="n">
        <v>45524</v>
      </c>
      <c r="C2590" s="1" t="n">
        <v>45726</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34219-2024</t>
        </is>
      </c>
      <c r="B2591" s="1" t="n">
        <v>45524</v>
      </c>
      <c r="C2591" s="1" t="n">
        <v>45726</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34164-2024</t>
        </is>
      </c>
      <c r="B2592" s="1" t="n">
        <v>45524</v>
      </c>
      <c r="C2592" s="1" t="n">
        <v>45726</v>
      </c>
      <c r="D2592" t="inlineStr">
        <is>
          <t>VÄRMLANDS LÄN</t>
        </is>
      </c>
      <c r="E2592" t="inlineStr">
        <is>
          <t>TORSBY</t>
        </is>
      </c>
      <c r="F2592" t="inlineStr">
        <is>
          <t>Bergvik skog väst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34226-2024</t>
        </is>
      </c>
      <c r="B2593" s="1" t="n">
        <v>45524</v>
      </c>
      <c r="C2593" s="1" t="n">
        <v>45726</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34206-2024</t>
        </is>
      </c>
      <c r="B2594" s="1" t="n">
        <v>45524</v>
      </c>
      <c r="C2594" s="1" t="n">
        <v>45726</v>
      </c>
      <c r="D2594" t="inlineStr">
        <is>
          <t>VÄRMLANDS LÄN</t>
        </is>
      </c>
      <c r="E2594" t="inlineStr">
        <is>
          <t>TORSBY</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34236-2024</t>
        </is>
      </c>
      <c r="B2595" s="1" t="n">
        <v>45524</v>
      </c>
      <c r="C2595" s="1" t="n">
        <v>45726</v>
      </c>
      <c r="D2595" t="inlineStr">
        <is>
          <t>VÄRMLANDS LÄN</t>
        </is>
      </c>
      <c r="E2595" t="inlineStr">
        <is>
          <t>TORSBY</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34256-2024</t>
        </is>
      </c>
      <c r="B2596" s="1" t="n">
        <v>45524</v>
      </c>
      <c r="C2596" s="1" t="n">
        <v>45726</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34281-2024</t>
        </is>
      </c>
      <c r="B2597" s="1" t="n">
        <v>45524</v>
      </c>
      <c r="C2597" s="1" t="n">
        <v>45726</v>
      </c>
      <c r="D2597" t="inlineStr">
        <is>
          <t>VÄRMLANDS LÄN</t>
        </is>
      </c>
      <c r="E2597" t="inlineStr">
        <is>
          <t>TORSBY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34304-2024</t>
        </is>
      </c>
      <c r="B2598" s="1" t="n">
        <v>45524</v>
      </c>
      <c r="C2598" s="1" t="n">
        <v>45726</v>
      </c>
      <c r="D2598" t="inlineStr">
        <is>
          <t>VÄRMLANDS LÄN</t>
        </is>
      </c>
      <c r="E2598" t="inlineStr">
        <is>
          <t>TORSBY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34500-2024</t>
        </is>
      </c>
      <c r="B2599" s="1" t="n">
        <v>45525</v>
      </c>
      <c r="C2599" s="1" t="n">
        <v>45726</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34534-2024</t>
        </is>
      </c>
      <c r="B2600" s="1" t="n">
        <v>45525</v>
      </c>
      <c r="C2600" s="1" t="n">
        <v>45726</v>
      </c>
      <c r="D2600" t="inlineStr">
        <is>
          <t>VÄRMLANDS LÄN</t>
        </is>
      </c>
      <c r="E2600" t="inlineStr">
        <is>
          <t>TORSBY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34528-2024</t>
        </is>
      </c>
      <c r="B2601" s="1" t="n">
        <v>45525</v>
      </c>
      <c r="C2601" s="1" t="n">
        <v>45726</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34554-2024</t>
        </is>
      </c>
      <c r="B2602" s="1" t="n">
        <v>45525</v>
      </c>
      <c r="C2602" s="1" t="n">
        <v>45726</v>
      </c>
      <c r="D2602" t="inlineStr">
        <is>
          <t>VÄRMLANDS LÄN</t>
        </is>
      </c>
      <c r="E2602" t="inlineStr">
        <is>
          <t>TORSBY</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34472-2024</t>
        </is>
      </c>
      <c r="B2603" s="1" t="n">
        <v>45525</v>
      </c>
      <c r="C2603" s="1" t="n">
        <v>45726</v>
      </c>
      <c r="D2603" t="inlineStr">
        <is>
          <t>VÄRMLANDS LÄN</t>
        </is>
      </c>
      <c r="E2603" t="inlineStr">
        <is>
          <t>TORSBY</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34549-2024</t>
        </is>
      </c>
      <c r="B2604" s="1" t="n">
        <v>45525</v>
      </c>
      <c r="C2604" s="1" t="n">
        <v>45726</v>
      </c>
      <c r="D2604" t="inlineStr">
        <is>
          <t>VÄRMLANDS LÄN</t>
        </is>
      </c>
      <c r="E2604" t="inlineStr">
        <is>
          <t>TORSBY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34551-2024</t>
        </is>
      </c>
      <c r="B2605" s="1" t="n">
        <v>45525</v>
      </c>
      <c r="C2605" s="1" t="n">
        <v>45726</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34680-2024</t>
        </is>
      </c>
      <c r="B2606" s="1" t="n">
        <v>45526</v>
      </c>
      <c r="C2606" s="1" t="n">
        <v>45726</v>
      </c>
      <c r="D2606" t="inlineStr">
        <is>
          <t>VÄRMLANDS LÄN</t>
        </is>
      </c>
      <c r="E2606" t="inlineStr">
        <is>
          <t>TORSBY</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34568-2024</t>
        </is>
      </c>
      <c r="B2607" s="1" t="n">
        <v>45526</v>
      </c>
      <c r="C2607" s="1" t="n">
        <v>45726</v>
      </c>
      <c r="D2607" t="inlineStr">
        <is>
          <t>VÄRMLANDS LÄN</t>
        </is>
      </c>
      <c r="E2607" t="inlineStr">
        <is>
          <t>TORSBY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34573-2024</t>
        </is>
      </c>
      <c r="B2608" s="1" t="n">
        <v>45526</v>
      </c>
      <c r="C2608" s="1" t="n">
        <v>45726</v>
      </c>
      <c r="D2608" t="inlineStr">
        <is>
          <t>VÄRMLANDS LÄN</t>
        </is>
      </c>
      <c r="E2608" t="inlineStr">
        <is>
          <t>TORSBY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34697-2024</t>
        </is>
      </c>
      <c r="B2609" s="1" t="n">
        <v>45526</v>
      </c>
      <c r="C2609" s="1" t="n">
        <v>45726</v>
      </c>
      <c r="D2609" t="inlineStr">
        <is>
          <t>VÄRMLANDS LÄN</t>
        </is>
      </c>
      <c r="E2609" t="inlineStr">
        <is>
          <t>TORSBY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34717-2024</t>
        </is>
      </c>
      <c r="B2610" s="1" t="n">
        <v>45526</v>
      </c>
      <c r="C2610" s="1" t="n">
        <v>45726</v>
      </c>
      <c r="D2610" t="inlineStr">
        <is>
          <t>VÄRMLANDS LÄN</t>
        </is>
      </c>
      <c r="E2610" t="inlineStr">
        <is>
          <t>TORSBY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34824-2024</t>
        </is>
      </c>
      <c r="B2611" s="1" t="n">
        <v>45526</v>
      </c>
      <c r="C2611" s="1" t="n">
        <v>45726</v>
      </c>
      <c r="D2611" t="inlineStr">
        <is>
          <t>VÄRMLANDS LÄN</t>
        </is>
      </c>
      <c r="E2611" t="inlineStr">
        <is>
          <t>TORSBY</t>
        </is>
      </c>
      <c r="F2611" t="inlineStr">
        <is>
          <t>Bergvik skog väst AB</t>
        </is>
      </c>
      <c r="G2611" t="n">
        <v>27.5</v>
      </c>
      <c r="H2611" t="n">
        <v>0</v>
      </c>
      <c r="I2611" t="n">
        <v>0</v>
      </c>
      <c r="J2611" t="n">
        <v>0</v>
      </c>
      <c r="K2611" t="n">
        <v>0</v>
      </c>
      <c r="L2611" t="n">
        <v>0</v>
      </c>
      <c r="M2611" t="n">
        <v>0</v>
      </c>
      <c r="N2611" t="n">
        <v>0</v>
      </c>
      <c r="O2611" t="n">
        <v>0</v>
      </c>
      <c r="P2611" t="n">
        <v>0</v>
      </c>
      <c r="Q2611" t="n">
        <v>0</v>
      </c>
      <c r="R2611" s="2" t="inlineStr"/>
    </row>
    <row r="2612" ht="15" customHeight="1">
      <c r="A2612" t="inlineStr">
        <is>
          <t>A 34686-2024</t>
        </is>
      </c>
      <c r="B2612" s="1" t="n">
        <v>45526</v>
      </c>
      <c r="C2612" s="1" t="n">
        <v>45726</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35019-2024</t>
        </is>
      </c>
      <c r="B2613" s="1" t="n">
        <v>45527</v>
      </c>
      <c r="C2613" s="1" t="n">
        <v>45726</v>
      </c>
      <c r="D2613" t="inlineStr">
        <is>
          <t>VÄRMLANDS LÄN</t>
        </is>
      </c>
      <c r="E2613" t="inlineStr">
        <is>
          <t>TORSBY</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35075-2024</t>
        </is>
      </c>
      <c r="B2614" s="1" t="n">
        <v>45527</v>
      </c>
      <c r="C2614" s="1" t="n">
        <v>45726</v>
      </c>
      <c r="D2614" t="inlineStr">
        <is>
          <t>VÄRMLANDS LÄN</t>
        </is>
      </c>
      <c r="E2614" t="inlineStr">
        <is>
          <t>TORSBY</t>
        </is>
      </c>
      <c r="F2614" t="inlineStr">
        <is>
          <t>Bergvik skog väst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34970-2024</t>
        </is>
      </c>
      <c r="B2615" s="1" t="n">
        <v>45527</v>
      </c>
      <c r="C2615" s="1" t="n">
        <v>45726</v>
      </c>
      <c r="D2615" t="inlineStr">
        <is>
          <t>VÄRMLANDS LÄN</t>
        </is>
      </c>
      <c r="E2615" t="inlineStr">
        <is>
          <t>TORSBY</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34966-2024</t>
        </is>
      </c>
      <c r="B2616" s="1" t="n">
        <v>45527</v>
      </c>
      <c r="C2616" s="1" t="n">
        <v>45726</v>
      </c>
      <c r="D2616" t="inlineStr">
        <is>
          <t>VÄRMLANDS LÄN</t>
        </is>
      </c>
      <c r="E2616" t="inlineStr">
        <is>
          <t>TORSBY</t>
        </is>
      </c>
      <c r="F2616" t="inlineStr">
        <is>
          <t>Bergvik skog väst AB</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34958-2024</t>
        </is>
      </c>
      <c r="B2617" s="1" t="n">
        <v>45527</v>
      </c>
      <c r="C2617" s="1" t="n">
        <v>45726</v>
      </c>
      <c r="D2617" t="inlineStr">
        <is>
          <t>VÄRMLANDS LÄN</t>
        </is>
      </c>
      <c r="E2617" t="inlineStr">
        <is>
          <t>TORSBY</t>
        </is>
      </c>
      <c r="F2617" t="inlineStr">
        <is>
          <t>Bergvik skog väst AB</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34946-2024</t>
        </is>
      </c>
      <c r="B2618" s="1" t="n">
        <v>45527</v>
      </c>
      <c r="C2618" s="1" t="n">
        <v>45726</v>
      </c>
      <c r="D2618" t="inlineStr">
        <is>
          <t>VÄRMLANDS LÄN</t>
        </is>
      </c>
      <c r="E2618" t="inlineStr">
        <is>
          <t>TORSBY</t>
        </is>
      </c>
      <c r="F2618" t="inlineStr">
        <is>
          <t>Bergvik skog väst AB</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34906-2024</t>
        </is>
      </c>
      <c r="B2619" s="1" t="n">
        <v>45527</v>
      </c>
      <c r="C2619" s="1" t="n">
        <v>45726</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35066-2024</t>
        </is>
      </c>
      <c r="B2620" s="1" t="n">
        <v>45527</v>
      </c>
      <c r="C2620" s="1" t="n">
        <v>45726</v>
      </c>
      <c r="D2620" t="inlineStr">
        <is>
          <t>VÄRMLANDS LÄN</t>
        </is>
      </c>
      <c r="E2620" t="inlineStr">
        <is>
          <t>TORSBY</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34961-2024</t>
        </is>
      </c>
      <c r="B2621" s="1" t="n">
        <v>45527</v>
      </c>
      <c r="C2621" s="1" t="n">
        <v>45726</v>
      </c>
      <c r="D2621" t="inlineStr">
        <is>
          <t>VÄRMLANDS LÄN</t>
        </is>
      </c>
      <c r="E2621" t="inlineStr">
        <is>
          <t>TORSBY</t>
        </is>
      </c>
      <c r="F2621" t="inlineStr">
        <is>
          <t>Bergvik skog väst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34921-2024</t>
        </is>
      </c>
      <c r="B2622" s="1" t="n">
        <v>45527</v>
      </c>
      <c r="C2622" s="1" t="n">
        <v>45726</v>
      </c>
      <c r="D2622" t="inlineStr">
        <is>
          <t>VÄRMLANDS LÄN</t>
        </is>
      </c>
      <c r="E2622" t="inlineStr">
        <is>
          <t>TORSBY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34968-2024</t>
        </is>
      </c>
      <c r="B2623" s="1" t="n">
        <v>45527</v>
      </c>
      <c r="C2623" s="1" t="n">
        <v>45726</v>
      </c>
      <c r="D2623" t="inlineStr">
        <is>
          <t>VÄRMLANDS LÄN</t>
        </is>
      </c>
      <c r="E2623" t="inlineStr">
        <is>
          <t>TORSBY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34939-2024</t>
        </is>
      </c>
      <c r="B2624" s="1" t="n">
        <v>45527</v>
      </c>
      <c r="C2624" s="1" t="n">
        <v>45726</v>
      </c>
      <c r="D2624" t="inlineStr">
        <is>
          <t>VÄRMLANDS LÄN</t>
        </is>
      </c>
      <c r="E2624" t="inlineStr">
        <is>
          <t>TORSBY</t>
        </is>
      </c>
      <c r="F2624" t="inlineStr">
        <is>
          <t>Bergvik skog väst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35107-2024</t>
        </is>
      </c>
      <c r="B2625" s="1" t="n">
        <v>45529</v>
      </c>
      <c r="C2625" s="1" t="n">
        <v>45726</v>
      </c>
      <c r="D2625" t="inlineStr">
        <is>
          <t>VÄRMLANDS LÄN</t>
        </is>
      </c>
      <c r="E2625" t="inlineStr">
        <is>
          <t>TORSBY</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35524-2024</t>
        </is>
      </c>
      <c r="B2626" s="1" t="n">
        <v>45531</v>
      </c>
      <c r="C2626" s="1" t="n">
        <v>45726</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35493-2024</t>
        </is>
      </c>
      <c r="B2627" s="1" t="n">
        <v>45531</v>
      </c>
      <c r="C2627" s="1" t="n">
        <v>45726</v>
      </c>
      <c r="D2627" t="inlineStr">
        <is>
          <t>VÄRMLANDS LÄN</t>
        </is>
      </c>
      <c r="E2627" t="inlineStr">
        <is>
          <t>TORSBY</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35497-2024</t>
        </is>
      </c>
      <c r="B2628" s="1" t="n">
        <v>45531</v>
      </c>
      <c r="C2628" s="1" t="n">
        <v>45726</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35609-2024</t>
        </is>
      </c>
      <c r="B2629" s="1" t="n">
        <v>45531</v>
      </c>
      <c r="C2629" s="1" t="n">
        <v>45726</v>
      </c>
      <c r="D2629" t="inlineStr">
        <is>
          <t>VÄRMLANDS LÄN</t>
        </is>
      </c>
      <c r="E2629" t="inlineStr">
        <is>
          <t>TORSBY</t>
        </is>
      </c>
      <c r="G2629" t="n">
        <v>38.3</v>
      </c>
      <c r="H2629" t="n">
        <v>0</v>
      </c>
      <c r="I2629" t="n">
        <v>0</v>
      </c>
      <c r="J2629" t="n">
        <v>0</v>
      </c>
      <c r="K2629" t="n">
        <v>0</v>
      </c>
      <c r="L2629" t="n">
        <v>0</v>
      </c>
      <c r="M2629" t="n">
        <v>0</v>
      </c>
      <c r="N2629" t="n">
        <v>0</v>
      </c>
      <c r="O2629" t="n">
        <v>0</v>
      </c>
      <c r="P2629" t="n">
        <v>0</v>
      </c>
      <c r="Q2629" t="n">
        <v>0</v>
      </c>
      <c r="R2629" s="2" t="inlineStr"/>
    </row>
    <row r="2630" ht="15" customHeight="1">
      <c r="A2630" t="inlineStr">
        <is>
          <t>A 35632-2024</t>
        </is>
      </c>
      <c r="B2630" s="1" t="n">
        <v>45531</v>
      </c>
      <c r="C2630" s="1" t="n">
        <v>45726</v>
      </c>
      <c r="D2630" t="inlineStr">
        <is>
          <t>VÄRMLANDS LÄN</t>
        </is>
      </c>
      <c r="E2630" t="inlineStr">
        <is>
          <t>TORSBY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35762-2024</t>
        </is>
      </c>
      <c r="B2631" s="1" t="n">
        <v>45532</v>
      </c>
      <c r="C2631" s="1" t="n">
        <v>45726</v>
      </c>
      <c r="D2631" t="inlineStr">
        <is>
          <t>VÄRMLANDS LÄN</t>
        </is>
      </c>
      <c r="E2631" t="inlineStr">
        <is>
          <t>TORSBY</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35774-2024</t>
        </is>
      </c>
      <c r="B2632" s="1" t="n">
        <v>45532</v>
      </c>
      <c r="C2632" s="1" t="n">
        <v>45726</v>
      </c>
      <c r="D2632" t="inlineStr">
        <is>
          <t>VÄRMLANDS LÄN</t>
        </is>
      </c>
      <c r="E2632" t="inlineStr">
        <is>
          <t>TORSBY</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35787-2024</t>
        </is>
      </c>
      <c r="B2633" s="1" t="n">
        <v>45532</v>
      </c>
      <c r="C2633" s="1" t="n">
        <v>45726</v>
      </c>
      <c r="D2633" t="inlineStr">
        <is>
          <t>VÄRMLANDS LÄN</t>
        </is>
      </c>
      <c r="E2633" t="inlineStr">
        <is>
          <t>TORSBY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35769-2024</t>
        </is>
      </c>
      <c r="B2634" s="1" t="n">
        <v>45532</v>
      </c>
      <c r="C2634" s="1" t="n">
        <v>45726</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35777-2024</t>
        </is>
      </c>
      <c r="B2635" s="1" t="n">
        <v>45532</v>
      </c>
      <c r="C2635" s="1" t="n">
        <v>45726</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35967-2024</t>
        </is>
      </c>
      <c r="B2636" s="1" t="n">
        <v>45533</v>
      </c>
      <c r="C2636" s="1" t="n">
        <v>45726</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36057-2024</t>
        </is>
      </c>
      <c r="B2637" s="1" t="n">
        <v>45533</v>
      </c>
      <c r="C2637" s="1" t="n">
        <v>45726</v>
      </c>
      <c r="D2637" t="inlineStr">
        <is>
          <t>VÄRMLANDS LÄN</t>
        </is>
      </c>
      <c r="E2637" t="inlineStr">
        <is>
          <t>TORSBY</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36153-2024</t>
        </is>
      </c>
      <c r="B2638" s="1" t="n">
        <v>45534</v>
      </c>
      <c r="C2638" s="1" t="n">
        <v>45726</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36175-2024</t>
        </is>
      </c>
      <c r="B2639" s="1" t="n">
        <v>45534</v>
      </c>
      <c r="C2639" s="1" t="n">
        <v>45726</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36184-2024</t>
        </is>
      </c>
      <c r="B2640" s="1" t="n">
        <v>45534</v>
      </c>
      <c r="C2640" s="1" t="n">
        <v>45726</v>
      </c>
      <c r="D2640" t="inlineStr">
        <is>
          <t>VÄRMLANDS LÄN</t>
        </is>
      </c>
      <c r="E2640" t="inlineStr">
        <is>
          <t>TORSBY</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36419-2024</t>
        </is>
      </c>
      <c r="B2641" s="1" t="n">
        <v>45536</v>
      </c>
      <c r="C2641" s="1" t="n">
        <v>45726</v>
      </c>
      <c r="D2641" t="inlineStr">
        <is>
          <t>VÄRMLANDS LÄN</t>
        </is>
      </c>
      <c r="E2641" t="inlineStr">
        <is>
          <t>TORSBY</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36558-2024</t>
        </is>
      </c>
      <c r="B2642" s="1" t="n">
        <v>45537</v>
      </c>
      <c r="C2642" s="1" t="n">
        <v>45726</v>
      </c>
      <c r="D2642" t="inlineStr">
        <is>
          <t>VÄRMLANDS LÄN</t>
        </is>
      </c>
      <c r="E2642" t="inlineStr">
        <is>
          <t>TORSBY</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36578-2024</t>
        </is>
      </c>
      <c r="B2643" s="1" t="n">
        <v>45537</v>
      </c>
      <c r="C2643" s="1" t="n">
        <v>45726</v>
      </c>
      <c r="D2643" t="inlineStr">
        <is>
          <t>VÄRMLANDS LÄN</t>
        </is>
      </c>
      <c r="E2643" t="inlineStr">
        <is>
          <t>TORSBY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36540-2024</t>
        </is>
      </c>
      <c r="B2644" s="1" t="n">
        <v>45537</v>
      </c>
      <c r="C2644" s="1" t="n">
        <v>45726</v>
      </c>
      <c r="D2644" t="inlineStr">
        <is>
          <t>VÄRMLANDS LÄN</t>
        </is>
      </c>
      <c r="E2644" t="inlineStr">
        <is>
          <t>TORSBY</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36445-2024</t>
        </is>
      </c>
      <c r="B2645" s="1" t="n">
        <v>45537</v>
      </c>
      <c r="C2645" s="1" t="n">
        <v>45726</v>
      </c>
      <c r="D2645" t="inlineStr">
        <is>
          <t>VÄRMLANDS LÄN</t>
        </is>
      </c>
      <c r="E2645" t="inlineStr">
        <is>
          <t>TORSBY</t>
        </is>
      </c>
      <c r="F2645" t="inlineStr">
        <is>
          <t>Bergvik skog väst AB</t>
        </is>
      </c>
      <c r="G2645" t="n">
        <v>78.3</v>
      </c>
      <c r="H2645" t="n">
        <v>0</v>
      </c>
      <c r="I2645" t="n">
        <v>0</v>
      </c>
      <c r="J2645" t="n">
        <v>0</v>
      </c>
      <c r="K2645" t="n">
        <v>0</v>
      </c>
      <c r="L2645" t="n">
        <v>0</v>
      </c>
      <c r="M2645" t="n">
        <v>0</v>
      </c>
      <c r="N2645" t="n">
        <v>0</v>
      </c>
      <c r="O2645" t="n">
        <v>0</v>
      </c>
      <c r="P2645" t="n">
        <v>0</v>
      </c>
      <c r="Q2645" t="n">
        <v>0</v>
      </c>
      <c r="R2645" s="2" t="inlineStr"/>
    </row>
    <row r="2646" ht="15" customHeight="1">
      <c r="A2646" t="inlineStr">
        <is>
          <t>A 36718-2024</t>
        </is>
      </c>
      <c r="B2646" s="1" t="n">
        <v>45537</v>
      </c>
      <c r="C2646" s="1" t="n">
        <v>45726</v>
      </c>
      <c r="D2646" t="inlineStr">
        <is>
          <t>VÄRMLANDS LÄN</t>
        </is>
      </c>
      <c r="E2646" t="inlineStr">
        <is>
          <t>TORSBY</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36765-2024</t>
        </is>
      </c>
      <c r="B2647" s="1" t="n">
        <v>45538</v>
      </c>
      <c r="C2647" s="1" t="n">
        <v>45726</v>
      </c>
      <c r="D2647" t="inlineStr">
        <is>
          <t>VÄRMLANDS LÄN</t>
        </is>
      </c>
      <c r="E2647" t="inlineStr">
        <is>
          <t>TORSBY</t>
        </is>
      </c>
      <c r="F2647" t="inlineStr">
        <is>
          <t>Bergvik skog väst AB</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36758-2024</t>
        </is>
      </c>
      <c r="B2648" s="1" t="n">
        <v>45538</v>
      </c>
      <c r="C2648" s="1" t="n">
        <v>45726</v>
      </c>
      <c r="D2648" t="inlineStr">
        <is>
          <t>VÄRMLANDS LÄN</t>
        </is>
      </c>
      <c r="E2648" t="inlineStr">
        <is>
          <t>TORSBY</t>
        </is>
      </c>
      <c r="F2648" t="inlineStr">
        <is>
          <t>Kyrkan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36782-2024</t>
        </is>
      </c>
      <c r="B2649" s="1" t="n">
        <v>45538</v>
      </c>
      <c r="C2649" s="1" t="n">
        <v>45726</v>
      </c>
      <c r="D2649" t="inlineStr">
        <is>
          <t>VÄRMLANDS LÄN</t>
        </is>
      </c>
      <c r="E2649" t="inlineStr">
        <is>
          <t>TORSBY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36790-2024</t>
        </is>
      </c>
      <c r="B2650" s="1" t="n">
        <v>45538</v>
      </c>
      <c r="C2650" s="1" t="n">
        <v>45726</v>
      </c>
      <c r="D2650" t="inlineStr">
        <is>
          <t>VÄRMLANDS LÄN</t>
        </is>
      </c>
      <c r="E2650" t="inlineStr">
        <is>
          <t>TORSBY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36775-2024</t>
        </is>
      </c>
      <c r="B2651" s="1" t="n">
        <v>45538</v>
      </c>
      <c r="C2651" s="1" t="n">
        <v>45726</v>
      </c>
      <c r="D2651" t="inlineStr">
        <is>
          <t>VÄRMLANDS LÄN</t>
        </is>
      </c>
      <c r="E2651" t="inlineStr">
        <is>
          <t>TORSBY</t>
        </is>
      </c>
      <c r="F2651" t="inlineStr">
        <is>
          <t>Kyrkan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36850-2024</t>
        </is>
      </c>
      <c r="B2652" s="1" t="n">
        <v>45538</v>
      </c>
      <c r="C2652" s="1" t="n">
        <v>45726</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36879-2024</t>
        </is>
      </c>
      <c r="B2653" s="1" t="n">
        <v>45538</v>
      </c>
      <c r="C2653" s="1" t="n">
        <v>45726</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36922-2024</t>
        </is>
      </c>
      <c r="B2654" s="1" t="n">
        <v>45538</v>
      </c>
      <c r="C2654" s="1" t="n">
        <v>45726</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36939-2024</t>
        </is>
      </c>
      <c r="B2655" s="1" t="n">
        <v>45538</v>
      </c>
      <c r="C2655" s="1" t="n">
        <v>45726</v>
      </c>
      <c r="D2655" t="inlineStr">
        <is>
          <t>VÄRMLANDS LÄN</t>
        </is>
      </c>
      <c r="E2655" t="inlineStr">
        <is>
          <t>TORSBY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36917-2024</t>
        </is>
      </c>
      <c r="B2656" s="1" t="n">
        <v>45538</v>
      </c>
      <c r="C2656" s="1" t="n">
        <v>45726</v>
      </c>
      <c r="D2656" t="inlineStr">
        <is>
          <t>VÄRMLANDS LÄN</t>
        </is>
      </c>
      <c r="E2656" t="inlineStr">
        <is>
          <t>TORSBY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36964-2024</t>
        </is>
      </c>
      <c r="B2657" s="1" t="n">
        <v>45538</v>
      </c>
      <c r="C2657" s="1" t="n">
        <v>45726</v>
      </c>
      <c r="D2657" t="inlineStr">
        <is>
          <t>VÄRMLANDS LÄN</t>
        </is>
      </c>
      <c r="E2657" t="inlineStr">
        <is>
          <t>TORSBY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37153-2024</t>
        </is>
      </c>
      <c r="B2658" s="1" t="n">
        <v>45539</v>
      </c>
      <c r="C2658" s="1" t="n">
        <v>45726</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37194-2024</t>
        </is>
      </c>
      <c r="B2659" s="1" t="n">
        <v>45539</v>
      </c>
      <c r="C2659" s="1" t="n">
        <v>45726</v>
      </c>
      <c r="D2659" t="inlineStr">
        <is>
          <t>VÄRMLANDS LÄN</t>
        </is>
      </c>
      <c r="E2659" t="inlineStr">
        <is>
          <t>TORSBY</t>
        </is>
      </c>
      <c r="F2659" t="inlineStr">
        <is>
          <t>Bergvik skog väst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37238-2024</t>
        </is>
      </c>
      <c r="B2660" s="1" t="n">
        <v>45540</v>
      </c>
      <c r="C2660" s="1" t="n">
        <v>45726</v>
      </c>
      <c r="D2660" t="inlineStr">
        <is>
          <t>VÄRMLANDS LÄN</t>
        </is>
      </c>
      <c r="E2660" t="inlineStr">
        <is>
          <t>TORSBY</t>
        </is>
      </c>
      <c r="F2660" t="inlineStr">
        <is>
          <t>Bergvik skog väst AB</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45726</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45726</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45726</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45726</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45726</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45726</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45726</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45726</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45726</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45726</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45726</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45726</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45726</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45726</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45726</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45726</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45726</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45726</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45726</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45726</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45726</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45726</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45726</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45726</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45726</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45726</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45726</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45726</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45726</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45726</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45726</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45726</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45726</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45726</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45726</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45726</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45726</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45726</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45726</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45726</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45726</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45726</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45726</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45726</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45726</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45726</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45726</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45726</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45726</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45726</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45726</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45726</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45726</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45726</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45726</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45726</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45726</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45726</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45726</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45726</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45726</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45726</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45726</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45726</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45726</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45726</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45726</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45726</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45726</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45726</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45726</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45726</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45726</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45726</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45726</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45726</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45726</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45726</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45726</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45726</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45726</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45726</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45726</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45726</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45726</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45726</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45726</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45726</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45726</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45726</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45726</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45726</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45726</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45726</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45726</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45726</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45726</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45726</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45726</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45726</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45726</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45726</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45726</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45726</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45726</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45726</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45726</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45726</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45726</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45726</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45726</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45726</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45726</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45726</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45726</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45726</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45726</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45726</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45726</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45726</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45726</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45726</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45726</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45726</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45726</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45726</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45726</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45726</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45726</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45726</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45726</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45726</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45726</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45726</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45726</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45726</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45726</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45726</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45726</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45726</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45726</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45726</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45726</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45726</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45726</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45726</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45726</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45726</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45726</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45726</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45726</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45726</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45726</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45726</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45726</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45726</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45726</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45726</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45726</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45726</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45726</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45726</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45726</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45726</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45726</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45726</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45726</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45726</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45726</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45726</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45726</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45726</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45726</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45726</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45726</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45726</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45726</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45726</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45726</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45726</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45726</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45726</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45726</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45726</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45726</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45726</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45726</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45726</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45726</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45726</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45726</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45726</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45726</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45726</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45726</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45726</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45726</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45726</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45726</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45726</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45726</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45726</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45726</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45726</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45726</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45726</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45726</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45726</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45726</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45726</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45726</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45726</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45726</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45726</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45726</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45726</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45726</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45726</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45726</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45726</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45726</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45726</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45726</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45726</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45726</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45726</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45726</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45726</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45726</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45726</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45726</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45726</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45726</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45726</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45726</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45726</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45726</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45726</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45726</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45726</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45726</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45726</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45726</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45726</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45726</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45726</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45726</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45726</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45726</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45726</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45726</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45726</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45726</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45726</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45726</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45726</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45726</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45726</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45726</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45726</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45726</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45726</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45726</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45726</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45726</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45726</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45726</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45726</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45726</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45726</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45726</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45726</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45726</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45726</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45726</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45726</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45726</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45726</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45726</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45726</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45726</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45726</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45726</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45726</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45726</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45726</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45726</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45726</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45726</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45726</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45726</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45726</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45726</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45726</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45726</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45726</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45726</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45726</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45726</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45726</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45726</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45726</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45726</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45726</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45726</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45726</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45726</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45726</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45726</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45726</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45726</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45726</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45726</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45726</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45726</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45726</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45726</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45726</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45726</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45726</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45726</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45726</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45726</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45726</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45726</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45726</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45726</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45726</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45726</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45726</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45726</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45726</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45726</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45726</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45726</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45726</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45726</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45726</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45726</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45726</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45726</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45726</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45726</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45726</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45726</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45726</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45726</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45726</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45726</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45726</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45726</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45726</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45726</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45726</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45726</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45726</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45726</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45726</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45726</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45726</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45726</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45726</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45726</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45726</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45726</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45726</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45726</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45726</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45726</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45726</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45726</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45726</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45726</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45726</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45726</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45726</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45726</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45726</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45726</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45726</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45726</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45726</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45726</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45726</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45726</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45726</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45726</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45726</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45726</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45726</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45726</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45726</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45726</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45726</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45726</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45726</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45726</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45726</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45726</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45726</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45726</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45726</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45726</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45726</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45726</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45726</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45726</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45726</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45726</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45726</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45726</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45726</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45726</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45726</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45726</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45726</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45726</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45726</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45726</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45726</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45726</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45726</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45726</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45726</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45726</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45726</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45726</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45726</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45726</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45726</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45726</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45726</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45726</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45726</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45726</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45726</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45726</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45726</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45726</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45726</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5799-2025</t>
        </is>
      </c>
      <c r="B3101" s="1" t="n">
        <v>45694</v>
      </c>
      <c r="C3101" s="1" t="n">
        <v>45726</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5748-2025</t>
        </is>
      </c>
      <c r="B3102" s="1" t="n">
        <v>45694</v>
      </c>
      <c r="C3102" s="1" t="n">
        <v>45726</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45726</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45726</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45726</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45726</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45726</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6529-2025</t>
        </is>
      </c>
      <c r="B3108" s="1" t="n">
        <v>45699</v>
      </c>
      <c r="C3108" s="1" t="n">
        <v>45726</v>
      </c>
      <c r="D3108" t="inlineStr">
        <is>
          <t>VÄRMLANDS LÄN</t>
        </is>
      </c>
      <c r="E3108" t="inlineStr">
        <is>
          <t>TORSBY</t>
        </is>
      </c>
      <c r="F3108" t="inlineStr">
        <is>
          <t>Kommuner</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45726</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45726</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6862-2025</t>
        </is>
      </c>
      <c r="B3111" s="1" t="n">
        <v>45700</v>
      </c>
      <c r="C3111" s="1" t="n">
        <v>45726</v>
      </c>
      <c r="D3111" t="inlineStr">
        <is>
          <t>VÄRMLANDS LÄN</t>
        </is>
      </c>
      <c r="E3111" t="inlineStr">
        <is>
          <t>TORSBY</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6968-2025</t>
        </is>
      </c>
      <c r="B3112" s="1" t="n">
        <v>45701</v>
      </c>
      <c r="C3112" s="1" t="n">
        <v>45726</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6965-2025</t>
        </is>
      </c>
      <c r="B3113" s="1" t="n">
        <v>45701</v>
      </c>
      <c r="C3113" s="1" t="n">
        <v>45726</v>
      </c>
      <c r="D3113" t="inlineStr">
        <is>
          <t>VÄRMLANDS LÄN</t>
        </is>
      </c>
      <c r="E3113" t="inlineStr">
        <is>
          <t>TORSBY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7068-2025</t>
        </is>
      </c>
      <c r="B3114" s="1" t="n">
        <v>45701</v>
      </c>
      <c r="C3114" s="1" t="n">
        <v>45726</v>
      </c>
      <c r="D3114" t="inlineStr">
        <is>
          <t>VÄRMLANDS LÄN</t>
        </is>
      </c>
      <c r="E3114" t="inlineStr">
        <is>
          <t>TORSBY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7065-2025</t>
        </is>
      </c>
      <c r="B3115" s="1" t="n">
        <v>45701</v>
      </c>
      <c r="C3115" s="1" t="n">
        <v>45726</v>
      </c>
      <c r="D3115" t="inlineStr">
        <is>
          <t>VÄRMLANDS LÄN</t>
        </is>
      </c>
      <c r="E3115" t="inlineStr">
        <is>
          <t>TORSBY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7101-2025</t>
        </is>
      </c>
      <c r="B3116" s="1" t="n">
        <v>45701</v>
      </c>
      <c r="C3116" s="1" t="n">
        <v>45726</v>
      </c>
      <c r="D3116" t="inlineStr">
        <is>
          <t>VÄRMLANDS LÄN</t>
        </is>
      </c>
      <c r="E3116" t="inlineStr">
        <is>
          <t>TORSBY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7214-2025</t>
        </is>
      </c>
      <c r="B3117" s="1" t="n">
        <v>45702</v>
      </c>
      <c r="C3117" s="1" t="n">
        <v>45726</v>
      </c>
      <c r="D3117" t="inlineStr">
        <is>
          <t>VÄRMLANDS LÄN</t>
        </is>
      </c>
      <c r="E3117" t="inlineStr">
        <is>
          <t>TORSBY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7178-2025</t>
        </is>
      </c>
      <c r="B3118" s="1" t="n">
        <v>45702</v>
      </c>
      <c r="C3118" s="1" t="n">
        <v>45726</v>
      </c>
      <c r="D3118" t="inlineStr">
        <is>
          <t>VÄRMLANDS LÄN</t>
        </is>
      </c>
      <c r="E3118" t="inlineStr">
        <is>
          <t>TORSBY</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7215-2025</t>
        </is>
      </c>
      <c r="B3119" s="1" t="n">
        <v>45702</v>
      </c>
      <c r="C3119" s="1" t="n">
        <v>45726</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7420-2025</t>
        </is>
      </c>
      <c r="B3120" s="1" t="n">
        <v>45705</v>
      </c>
      <c r="C3120" s="1" t="n">
        <v>45726</v>
      </c>
      <c r="D3120" t="inlineStr">
        <is>
          <t>VÄRMLANDS LÄN</t>
        </is>
      </c>
      <c r="E3120" t="inlineStr">
        <is>
          <t>TORSBY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7378-2025</t>
        </is>
      </c>
      <c r="B3121" s="1" t="n">
        <v>45705</v>
      </c>
      <c r="C3121" s="1" t="n">
        <v>45726</v>
      </c>
      <c r="D3121" t="inlineStr">
        <is>
          <t>VÄRMLANDS LÄN</t>
        </is>
      </c>
      <c r="E3121" t="inlineStr">
        <is>
          <t>TORSBY</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45726</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7829-2025</t>
        </is>
      </c>
      <c r="B3123" s="1" t="n">
        <v>45706</v>
      </c>
      <c r="C3123" s="1" t="n">
        <v>45726</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7907-2025</t>
        </is>
      </c>
      <c r="B3124" s="1" t="n">
        <v>45707</v>
      </c>
      <c r="C3124" s="1" t="n">
        <v>45726</v>
      </c>
      <c r="D3124" t="inlineStr">
        <is>
          <t>VÄRMLANDS LÄN</t>
        </is>
      </c>
      <c r="E3124" t="inlineStr">
        <is>
          <t>TORSBY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8025-2025</t>
        </is>
      </c>
      <c r="B3125" s="1" t="n">
        <v>45707</v>
      </c>
      <c r="C3125" s="1" t="n">
        <v>45726</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8070-2025</t>
        </is>
      </c>
      <c r="B3126" s="1" t="n">
        <v>45707</v>
      </c>
      <c r="C3126" s="1" t="n">
        <v>45726</v>
      </c>
      <c r="D3126" t="inlineStr">
        <is>
          <t>VÄRMLANDS LÄN</t>
        </is>
      </c>
      <c r="E3126" t="inlineStr">
        <is>
          <t>TORSBY</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8018-2025</t>
        </is>
      </c>
      <c r="B3127" s="1" t="n">
        <v>45707</v>
      </c>
      <c r="C3127" s="1" t="n">
        <v>45726</v>
      </c>
      <c r="D3127" t="inlineStr">
        <is>
          <t>VÄRMLANDS LÄN</t>
        </is>
      </c>
      <c r="E3127" t="inlineStr">
        <is>
          <t>TORSBY</t>
        </is>
      </c>
      <c r="G3127" t="n">
        <v>22.7</v>
      </c>
      <c r="H3127" t="n">
        <v>0</v>
      </c>
      <c r="I3127" t="n">
        <v>0</v>
      </c>
      <c r="J3127" t="n">
        <v>0</v>
      </c>
      <c r="K3127" t="n">
        <v>0</v>
      </c>
      <c r="L3127" t="n">
        <v>0</v>
      </c>
      <c r="M3127" t="n">
        <v>0</v>
      </c>
      <c r="N3127" t="n">
        <v>0</v>
      </c>
      <c r="O3127" t="n">
        <v>0</v>
      </c>
      <c r="P3127" t="n">
        <v>0</v>
      </c>
      <c r="Q3127" t="n">
        <v>0</v>
      </c>
      <c r="R3127" s="2" t="inlineStr"/>
    </row>
    <row r="3128" ht="15" customHeight="1">
      <c r="A3128" t="inlineStr">
        <is>
          <t>A 8022-2025</t>
        </is>
      </c>
      <c r="B3128" s="1" t="n">
        <v>45707</v>
      </c>
      <c r="C3128" s="1" t="n">
        <v>45726</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8188-2025</t>
        </is>
      </c>
      <c r="B3129" s="1" t="n">
        <v>45708</v>
      </c>
      <c r="C3129" s="1" t="n">
        <v>45726</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8197-2025</t>
        </is>
      </c>
      <c r="B3130" s="1" t="n">
        <v>45708</v>
      </c>
      <c r="C3130" s="1" t="n">
        <v>45726</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8398-2025</t>
        </is>
      </c>
      <c r="B3131" s="1" t="n">
        <v>45709</v>
      </c>
      <c r="C3131" s="1" t="n">
        <v>45726</v>
      </c>
      <c r="D3131" t="inlineStr">
        <is>
          <t>VÄRMLANDS LÄN</t>
        </is>
      </c>
      <c r="E3131" t="inlineStr">
        <is>
          <t>TORSBY</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8428-2025</t>
        </is>
      </c>
      <c r="B3132" s="1" t="n">
        <v>45709</v>
      </c>
      <c r="C3132" s="1" t="n">
        <v>45726</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8685-2025</t>
        </is>
      </c>
      <c r="B3133" s="1" t="n">
        <v>45712</v>
      </c>
      <c r="C3133" s="1" t="n">
        <v>45726</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8979-2025</t>
        </is>
      </c>
      <c r="B3134" s="1" t="n">
        <v>45713</v>
      </c>
      <c r="C3134" s="1" t="n">
        <v>45726</v>
      </c>
      <c r="D3134" t="inlineStr">
        <is>
          <t>VÄRMLANDS LÄN</t>
        </is>
      </c>
      <c r="E3134" t="inlineStr">
        <is>
          <t>TORSBY</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9171-2025</t>
        </is>
      </c>
      <c r="B3135" s="1" t="n">
        <v>45713</v>
      </c>
      <c r="C3135" s="1" t="n">
        <v>45726</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9286-2025</t>
        </is>
      </c>
      <c r="B3136" s="1" t="n">
        <v>45714</v>
      </c>
      <c r="C3136" s="1" t="n">
        <v>45726</v>
      </c>
      <c r="D3136" t="inlineStr">
        <is>
          <t>VÄRMLANDS LÄN</t>
        </is>
      </c>
      <c r="E3136" t="inlineStr">
        <is>
          <t>TORSBY</t>
        </is>
      </c>
      <c r="F3136" t="inlineStr">
        <is>
          <t>Kommuner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9628-2025</t>
        </is>
      </c>
      <c r="B3137" s="1" t="n">
        <v>45714</v>
      </c>
      <c r="C3137" s="1" t="n">
        <v>45726</v>
      </c>
      <c r="D3137" t="inlineStr">
        <is>
          <t>VÄRMLANDS LÄN</t>
        </is>
      </c>
      <c r="E3137" t="inlineStr">
        <is>
          <t>TORSBY</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9226-2025</t>
        </is>
      </c>
      <c r="B3138" s="1" t="n">
        <v>45714</v>
      </c>
      <c r="C3138" s="1" t="n">
        <v>45726</v>
      </c>
      <c r="D3138" t="inlineStr">
        <is>
          <t>VÄRMLANDS LÄN</t>
        </is>
      </c>
      <c r="E3138" t="inlineStr">
        <is>
          <t>TORSBY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9729-2025</t>
        </is>
      </c>
      <c r="B3139" s="1" t="n">
        <v>45715</v>
      </c>
      <c r="C3139" s="1" t="n">
        <v>45726</v>
      </c>
      <c r="D3139" t="inlineStr">
        <is>
          <t>VÄRMLANDS LÄN</t>
        </is>
      </c>
      <c r="E3139" t="inlineStr">
        <is>
          <t>TORSBY</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9723-2025</t>
        </is>
      </c>
      <c r="B3140" s="1" t="n">
        <v>45715</v>
      </c>
      <c r="C3140" s="1" t="n">
        <v>45726</v>
      </c>
      <c r="D3140" t="inlineStr">
        <is>
          <t>VÄRMLANDS LÄN</t>
        </is>
      </c>
      <c r="E3140" t="inlineStr">
        <is>
          <t>TORSBY</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9704-2025</t>
        </is>
      </c>
      <c r="B3141" s="1" t="n">
        <v>45716</v>
      </c>
      <c r="C3141" s="1" t="n">
        <v>45726</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10006-2025</t>
        </is>
      </c>
      <c r="B3142" s="1" t="n">
        <v>45719</v>
      </c>
      <c r="C3142" s="1" t="n">
        <v>45726</v>
      </c>
      <c r="D3142" t="inlineStr">
        <is>
          <t>VÄRMLANDS LÄN</t>
        </is>
      </c>
      <c r="E3142" t="inlineStr">
        <is>
          <t>TORSBY</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10023-2025</t>
        </is>
      </c>
      <c r="B3143" s="1" t="n">
        <v>45719</v>
      </c>
      <c r="C3143" s="1" t="n">
        <v>45726</v>
      </c>
      <c r="D3143" t="inlineStr">
        <is>
          <t>VÄRMLANDS LÄN</t>
        </is>
      </c>
      <c r="E3143" t="inlineStr">
        <is>
          <t>TORSBY</t>
        </is>
      </c>
      <c r="F3143" t="inlineStr">
        <is>
          <t>Bergvik skog väst AB</t>
        </is>
      </c>
      <c r="G3143" t="n">
        <v>14.3</v>
      </c>
      <c r="H3143" t="n">
        <v>0</v>
      </c>
      <c r="I3143" t="n">
        <v>0</v>
      </c>
      <c r="J3143" t="n">
        <v>0</v>
      </c>
      <c r="K3143" t="n">
        <v>0</v>
      </c>
      <c r="L3143" t="n">
        <v>0</v>
      </c>
      <c r="M3143" t="n">
        <v>0</v>
      </c>
      <c r="N3143" t="n">
        <v>0</v>
      </c>
      <c r="O3143" t="n">
        <v>0</v>
      </c>
      <c r="P3143" t="n">
        <v>0</v>
      </c>
      <c r="Q3143" t="n">
        <v>0</v>
      </c>
      <c r="R3143" s="2" t="inlineStr"/>
    </row>
    <row r="3144" ht="15" customHeight="1">
      <c r="A3144" t="inlineStr">
        <is>
          <t>A 9942-2025</t>
        </is>
      </c>
      <c r="B3144" s="1" t="n">
        <v>45719</v>
      </c>
      <c r="C3144" s="1" t="n">
        <v>45726</v>
      </c>
      <c r="D3144" t="inlineStr">
        <is>
          <t>VÄRMLANDS LÄN</t>
        </is>
      </c>
      <c r="E3144" t="inlineStr">
        <is>
          <t>TORSBY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10108-2025</t>
        </is>
      </c>
      <c r="B3145" s="1" t="n">
        <v>45719</v>
      </c>
      <c r="C3145" s="1" t="n">
        <v>45726</v>
      </c>
      <c r="D3145" t="inlineStr">
        <is>
          <t>VÄRMLANDS LÄN</t>
        </is>
      </c>
      <c r="E3145" t="inlineStr">
        <is>
          <t>TORSBY</t>
        </is>
      </c>
      <c r="F3145" t="inlineStr">
        <is>
          <t>Bergvik skog väst AB</t>
        </is>
      </c>
      <c r="G3145" t="n">
        <v>17.9</v>
      </c>
      <c r="H3145" t="n">
        <v>0</v>
      </c>
      <c r="I3145" t="n">
        <v>0</v>
      </c>
      <c r="J3145" t="n">
        <v>0</v>
      </c>
      <c r="K3145" t="n">
        <v>0</v>
      </c>
      <c r="L3145" t="n">
        <v>0</v>
      </c>
      <c r="M3145" t="n">
        <v>0</v>
      </c>
      <c r="N3145" t="n">
        <v>0</v>
      </c>
      <c r="O3145" t="n">
        <v>0</v>
      </c>
      <c r="P3145" t="n">
        <v>0</v>
      </c>
      <c r="Q3145" t="n">
        <v>0</v>
      </c>
      <c r="R3145" s="2" t="inlineStr"/>
    </row>
    <row r="3146" ht="15" customHeight="1">
      <c r="A3146" t="inlineStr">
        <is>
          <t>A 10288-2025</t>
        </is>
      </c>
      <c r="B3146" s="1" t="n">
        <v>45720</v>
      </c>
      <c r="C3146" s="1" t="n">
        <v>45726</v>
      </c>
      <c r="D3146" t="inlineStr">
        <is>
          <t>VÄRMLANDS LÄN</t>
        </is>
      </c>
      <c r="E3146" t="inlineStr">
        <is>
          <t>TORSBY</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10292-2025</t>
        </is>
      </c>
      <c r="B3147" s="1" t="n">
        <v>45720</v>
      </c>
      <c r="C3147" s="1" t="n">
        <v>45726</v>
      </c>
      <c r="D3147" t="inlineStr">
        <is>
          <t>VÄRMLANDS LÄN</t>
        </is>
      </c>
      <c r="E3147" t="inlineStr">
        <is>
          <t>TORSBY</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10329-2025</t>
        </is>
      </c>
      <c r="B3148" s="1" t="n">
        <v>45720</v>
      </c>
      <c r="C3148" s="1" t="n">
        <v>45726</v>
      </c>
      <c r="D3148" t="inlineStr">
        <is>
          <t>VÄRMLANDS LÄN</t>
        </is>
      </c>
      <c r="E3148" t="inlineStr">
        <is>
          <t>TORSBY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10456-2025</t>
        </is>
      </c>
      <c r="B3149" s="1" t="n">
        <v>45720</v>
      </c>
      <c r="C3149" s="1" t="n">
        <v>45726</v>
      </c>
      <c r="D3149" t="inlineStr">
        <is>
          <t>VÄRMLANDS LÄN</t>
        </is>
      </c>
      <c r="E3149" t="inlineStr">
        <is>
          <t>TORSBY</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10343-2025</t>
        </is>
      </c>
      <c r="B3150" s="1" t="n">
        <v>45720</v>
      </c>
      <c r="C3150" s="1" t="n">
        <v>45726</v>
      </c>
      <c r="D3150" t="inlineStr">
        <is>
          <t>VÄRMLANDS LÄN</t>
        </is>
      </c>
      <c r="E3150" t="inlineStr">
        <is>
          <t>TORSBY</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10342-2025</t>
        </is>
      </c>
      <c r="B3151" s="1" t="n">
        <v>45720</v>
      </c>
      <c r="C3151" s="1" t="n">
        <v>45726</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10816-2025</t>
        </is>
      </c>
      <c r="B3152" s="1" t="n">
        <v>45722</v>
      </c>
      <c r="C3152" s="1" t="n">
        <v>45726</v>
      </c>
      <c r="D3152" t="inlineStr">
        <is>
          <t>VÄRMLANDS LÄN</t>
        </is>
      </c>
      <c r="E3152" t="inlineStr">
        <is>
          <t>TORSBY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10917-2025</t>
        </is>
      </c>
      <c r="B3153" s="1" t="n">
        <v>45722</v>
      </c>
      <c r="C3153" s="1" t="n">
        <v>45726</v>
      </c>
      <c r="D3153" t="inlineStr">
        <is>
          <t>VÄRMLANDS LÄN</t>
        </is>
      </c>
      <c r="E3153" t="inlineStr">
        <is>
          <t>TORSBY</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10979-2025</t>
        </is>
      </c>
      <c r="B3154" s="1" t="n">
        <v>45723</v>
      </c>
      <c r="C3154" s="1" t="n">
        <v>45726</v>
      </c>
      <c r="D3154" t="inlineStr">
        <is>
          <t>VÄRMLANDS LÄN</t>
        </is>
      </c>
      <c r="E3154" t="inlineStr">
        <is>
          <t>TORSBY</t>
        </is>
      </c>
      <c r="G3154" t="n">
        <v>5.2</v>
      </c>
      <c r="H3154" t="n">
        <v>0</v>
      </c>
      <c r="I3154" t="n">
        <v>0</v>
      </c>
      <c r="J3154" t="n">
        <v>0</v>
      </c>
      <c r="K3154" t="n">
        <v>0</v>
      </c>
      <c r="L3154" t="n">
        <v>0</v>
      </c>
      <c r="M3154" t="n">
        <v>0</v>
      </c>
      <c r="N3154" t="n">
        <v>0</v>
      </c>
      <c r="O3154" t="n">
        <v>0</v>
      </c>
      <c r="P3154" t="n">
        <v>0</v>
      </c>
      <c r="Q3154" t="n">
        <v>0</v>
      </c>
      <c r="R3154" s="2" t="inlineStr"/>
    </row>
    <row r="3155">
      <c r="A3155" t="inlineStr">
        <is>
          <t>A 11195-2025</t>
        </is>
      </c>
      <c r="B3155" s="1" t="n">
        <v>45725</v>
      </c>
      <c r="C3155" s="1" t="n">
        <v>45726</v>
      </c>
      <c r="D3155" t="inlineStr">
        <is>
          <t>VÄRMLANDS LÄN</t>
        </is>
      </c>
      <c r="E3155" t="inlineStr">
        <is>
          <t>TORSBY</t>
        </is>
      </c>
      <c r="G3155" t="n">
        <v>0.9</v>
      </c>
      <c r="H3155" t="n">
        <v>0</v>
      </c>
      <c r="I3155" t="n">
        <v>0</v>
      </c>
      <c r="J3155" t="n">
        <v>0</v>
      </c>
      <c r="K3155" t="n">
        <v>0</v>
      </c>
      <c r="L3155" t="n">
        <v>0</v>
      </c>
      <c r="M3155" t="n">
        <v>0</v>
      </c>
      <c r="N3155" t="n">
        <v>0</v>
      </c>
      <c r="O3155" t="n">
        <v>0</v>
      </c>
      <c r="P3155" t="n">
        <v>0</v>
      </c>
      <c r="Q3155" t="n">
        <v>0</v>
      </c>
      <c r="R3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2025-03-10T17:35:24Z</dcterms:created>
  <dcterms:modified xmlns:dcterms="http://purl.org/dc/terms/" xmlns:xsi="http://www.w3.org/2001/XMLSchema-instance" xsi:type="dcterms:W3CDTF">2025-03-10T17:35:27Z</dcterms:modified>
</cp:coreProperties>
</file>