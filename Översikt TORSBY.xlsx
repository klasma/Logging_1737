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45472</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45472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45472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45472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45472</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45472</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27265-2020</t>
        </is>
      </c>
      <c r="B8" s="1" t="n">
        <v>43992</v>
      </c>
      <c r="C8" s="1" t="n">
        <v>45472</v>
      </c>
      <c r="D8" t="inlineStr">
        <is>
          <t>VÄRMLANDS LÄN</t>
        </is>
      </c>
      <c r="E8" t="inlineStr">
        <is>
          <t>TORSBY</t>
        </is>
      </c>
      <c r="G8" t="n">
        <v>47.8</v>
      </c>
      <c r="H8" t="n">
        <v>3</v>
      </c>
      <c r="I8" t="n">
        <v>5</v>
      </c>
      <c r="J8" t="n">
        <v>9</v>
      </c>
      <c r="K8" t="n">
        <v>1</v>
      </c>
      <c r="L8" t="n">
        <v>0</v>
      </c>
      <c r="M8" t="n">
        <v>0</v>
      </c>
      <c r="N8" t="n">
        <v>0</v>
      </c>
      <c r="O8" t="n">
        <v>10</v>
      </c>
      <c r="P8" t="n">
        <v>1</v>
      </c>
      <c r="Q8" t="n">
        <v>15</v>
      </c>
      <c r="R8" s="2" t="inlineStr">
        <is>
          <t>Norsk näverlav
Doftskinn
Dvärgbägarlav
Gammelgransskål
Garnlav
Kolflarnlav
Kortskaftad ärgspik
Mörk kolflarnlav
Vedskivlav
Violettgrå tagellav
Kattfotslav
Korallrot
Plattlummer
Spindelblomster
Vedticka</t>
        </is>
      </c>
      <c r="S8">
        <f>HYPERLINK("https://klasma.github.io/Logging_1737/artfynd/A 27265-2020 artfynd.xlsx", "A 27265-2020")</f>
        <v/>
      </c>
      <c r="T8">
        <f>HYPERLINK("https://klasma.github.io/Logging_1737/kartor/A 27265-2020 karta.png", "A 27265-2020")</f>
        <v/>
      </c>
      <c r="V8">
        <f>HYPERLINK("https://klasma.github.io/Logging_1737/klagomål/A 27265-2020 FSC-klagomål.docx", "A 27265-2020")</f>
        <v/>
      </c>
      <c r="W8">
        <f>HYPERLINK("https://klasma.github.io/Logging_1737/klagomålsmail/A 27265-2020 FSC-klagomål mail.docx", "A 27265-2020")</f>
        <v/>
      </c>
      <c r="X8">
        <f>HYPERLINK("https://klasma.github.io/Logging_1737/tillsyn/A 27265-2020 tillsynsbegäran.docx", "A 27265-2020")</f>
        <v/>
      </c>
      <c r="Y8">
        <f>HYPERLINK("https://klasma.github.io/Logging_1737/tillsynsmail/A 27265-2020 tillsynsbegäran mail.docx", "A 27265-2020")</f>
        <v/>
      </c>
    </row>
    <row r="9" ht="15" customHeight="1">
      <c r="A9" t="inlineStr">
        <is>
          <t>A 19458-2024</t>
        </is>
      </c>
      <c r="B9" s="1" t="n">
        <v>45429</v>
      </c>
      <c r="C9" s="1" t="n">
        <v>45472</v>
      </c>
      <c r="D9" t="inlineStr">
        <is>
          <t>VÄRMLANDS LÄN</t>
        </is>
      </c>
      <c r="E9" t="inlineStr">
        <is>
          <t>TORSBY</t>
        </is>
      </c>
      <c r="G9" t="n">
        <v>8.800000000000001</v>
      </c>
      <c r="H9" t="n">
        <v>4</v>
      </c>
      <c r="I9" t="n">
        <v>4</v>
      </c>
      <c r="J9" t="n">
        <v>8</v>
      </c>
      <c r="K9" t="n">
        <v>0</v>
      </c>
      <c r="L9" t="n">
        <v>0</v>
      </c>
      <c r="M9" t="n">
        <v>0</v>
      </c>
      <c r="N9" t="n">
        <v>0</v>
      </c>
      <c r="O9" t="n">
        <v>8</v>
      </c>
      <c r="P9" t="n">
        <v>0</v>
      </c>
      <c r="Q9" t="n">
        <v>14</v>
      </c>
      <c r="R9" s="2" t="inlineStr">
        <is>
          <t>Brunpudrad nållav
Gammelgransskål
Garnlav
Granticka
Lunglav
Ullticka
Vedtrappmossa
Violettgrå tagellav
Bårdlav
Korallrot
Spindelblomster
Vedticka
Grönsiska
Fläcknycklar</t>
        </is>
      </c>
      <c r="S9">
        <f>HYPERLINK("https://klasma.github.io/Logging_1737/artfynd/A 19458-2024 artfynd.xlsx", "A 19458-2024")</f>
        <v/>
      </c>
      <c r="T9">
        <f>HYPERLINK("https://klasma.github.io/Logging_1737/kartor/A 19458-2024 karta.png", "A 19458-2024")</f>
        <v/>
      </c>
      <c r="V9">
        <f>HYPERLINK("https://klasma.github.io/Logging_1737/klagomål/A 19458-2024 FSC-klagomål.docx", "A 19458-2024")</f>
        <v/>
      </c>
      <c r="W9">
        <f>HYPERLINK("https://klasma.github.io/Logging_1737/klagomålsmail/A 19458-2024 FSC-klagomål mail.docx", "A 19458-2024")</f>
        <v/>
      </c>
      <c r="X9">
        <f>HYPERLINK("https://klasma.github.io/Logging_1737/tillsyn/A 19458-2024 tillsynsbegäran.docx", "A 19458-2024")</f>
        <v/>
      </c>
      <c r="Y9">
        <f>HYPERLINK("https://klasma.github.io/Logging_1737/tillsynsmail/A 19458-2024 tillsynsbegäran mail.docx", "A 19458-2024")</f>
        <v/>
      </c>
      <c r="Z9">
        <f>HYPERLINK("https://klasma.github.io/Logging_1737/fåglar/A 19458-2024 prioriterade fågelarter.docx", "A 19458-2024")</f>
        <v/>
      </c>
    </row>
    <row r="10" ht="15" customHeight="1">
      <c r="A10" t="inlineStr">
        <is>
          <t>A 43019-2021</t>
        </is>
      </c>
      <c r="B10" s="1" t="n">
        <v>44431</v>
      </c>
      <c r="C10" s="1" t="n">
        <v>45472</v>
      </c>
      <c r="D10" t="inlineStr">
        <is>
          <t>VÄRMLANDS LÄN</t>
        </is>
      </c>
      <c r="E10" t="inlineStr">
        <is>
          <t>TORSBY</t>
        </is>
      </c>
      <c r="G10" t="n">
        <v>12.8</v>
      </c>
      <c r="H10" t="n">
        <v>1</v>
      </c>
      <c r="I10" t="n">
        <v>2</v>
      </c>
      <c r="J10" t="n">
        <v>11</v>
      </c>
      <c r="K10" t="n">
        <v>0</v>
      </c>
      <c r="L10" t="n">
        <v>0</v>
      </c>
      <c r="M10" t="n">
        <v>0</v>
      </c>
      <c r="N10" t="n">
        <v>0</v>
      </c>
      <c r="O10" t="n">
        <v>11</v>
      </c>
      <c r="P10" t="n">
        <v>0</v>
      </c>
      <c r="Q10" t="n">
        <v>13</v>
      </c>
      <c r="R10" s="2" t="inlineStr">
        <is>
          <t>Dvärgbägarlav
Garnlav
Kolflarnlav
Lunglav
Mörk kolflarnlav
Skrovellav
Tretåig hackspett
Ullticka
Vedskivlav
Vedtrappmossa
Violettgrå tagellav
Skuggblåslav
Stuplav</t>
        </is>
      </c>
      <c r="S10">
        <f>HYPERLINK("https://klasma.github.io/Logging_1737/artfynd/A 43019-2021 artfynd.xlsx", "A 43019-2021")</f>
        <v/>
      </c>
      <c r="T10">
        <f>HYPERLINK("https://klasma.github.io/Logging_1737/kartor/A 43019-2021 karta.png", "A 43019-2021")</f>
        <v/>
      </c>
      <c r="V10">
        <f>HYPERLINK("https://klasma.github.io/Logging_1737/klagomål/A 43019-2021 FSC-klagomål.docx", "A 43019-2021")</f>
        <v/>
      </c>
      <c r="W10">
        <f>HYPERLINK("https://klasma.github.io/Logging_1737/klagomålsmail/A 43019-2021 FSC-klagomål mail.docx", "A 43019-2021")</f>
        <v/>
      </c>
      <c r="X10">
        <f>HYPERLINK("https://klasma.github.io/Logging_1737/tillsyn/A 43019-2021 tillsynsbegäran.docx", "A 43019-2021")</f>
        <v/>
      </c>
      <c r="Y10">
        <f>HYPERLINK("https://klasma.github.io/Logging_1737/tillsynsmail/A 43019-2021 tillsynsbegäran mail.docx", "A 43019-2021")</f>
        <v/>
      </c>
      <c r="Z10">
        <f>HYPERLINK("https://klasma.github.io/Logging_1737/fåglar/A 43019-2021 prioriterade fågelarter.docx", "A 43019-2021")</f>
        <v/>
      </c>
    </row>
    <row r="11" ht="15" customHeight="1">
      <c r="A11" t="inlineStr">
        <is>
          <t>A 9075-2023</t>
        </is>
      </c>
      <c r="B11" s="1" t="n">
        <v>44979</v>
      </c>
      <c r="C11" s="1" t="n">
        <v>45472</v>
      </c>
      <c r="D11" t="inlineStr">
        <is>
          <t>VÄRMLANDS LÄN</t>
        </is>
      </c>
      <c r="E11" t="inlineStr">
        <is>
          <t>TORSBY</t>
        </is>
      </c>
      <c r="G11" t="n">
        <v>11.9</v>
      </c>
      <c r="H11" t="n">
        <v>2</v>
      </c>
      <c r="I11" t="n">
        <v>2</v>
      </c>
      <c r="J11" t="n">
        <v>9</v>
      </c>
      <c r="K11" t="n">
        <v>0</v>
      </c>
      <c r="L11" t="n">
        <v>0</v>
      </c>
      <c r="M11" t="n">
        <v>0</v>
      </c>
      <c r="N11" t="n">
        <v>0</v>
      </c>
      <c r="O11" t="n">
        <v>9</v>
      </c>
      <c r="P11" t="n">
        <v>0</v>
      </c>
      <c r="Q11" t="n">
        <v>12</v>
      </c>
      <c r="R11" s="2" t="inlineStr">
        <is>
          <t>Garnlav
Kolflarnlav
Motaggsvamp
Mörk kolflarnlav
Skrovlig taggsvamp
Spillkråka
Svartvit taggsvamp
Vedskivlav
Violettgrå tagellav
Dropptaggsvamp
Nästlav
Grönsiska</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44460-2023</t>
        </is>
      </c>
      <c r="B12" s="1" t="n">
        <v>45189</v>
      </c>
      <c r="C12" s="1" t="n">
        <v>45472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45472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45472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45472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26793-2020</t>
        </is>
      </c>
      <c r="B16" s="1" t="n">
        <v>43990</v>
      </c>
      <c r="C16" s="1" t="n">
        <v>45472</v>
      </c>
      <c r="D16" t="inlineStr">
        <is>
          <t>VÄRMLANDS LÄN</t>
        </is>
      </c>
      <c r="E16" t="inlineStr">
        <is>
          <t>TORSBY</t>
        </is>
      </c>
      <c r="G16" t="n">
        <v>19</v>
      </c>
      <c r="H16" t="n">
        <v>2</v>
      </c>
      <c r="I16" t="n">
        <v>6</v>
      </c>
      <c r="J16" t="n">
        <v>1</v>
      </c>
      <c r="K16" t="n">
        <v>0</v>
      </c>
      <c r="L16" t="n">
        <v>0</v>
      </c>
      <c r="M16" t="n">
        <v>0</v>
      </c>
      <c r="N16" t="n">
        <v>0</v>
      </c>
      <c r="O16" t="n">
        <v>1</v>
      </c>
      <c r="P16" t="n">
        <v>0</v>
      </c>
      <c r="Q16" t="n">
        <v>9</v>
      </c>
      <c r="R16" s="2" t="inlineStr">
        <is>
          <t>Myskmåra
Dvärghäxört
Hässleklocka
Svart trolldruva
Tibast
Underviol
Vårärt
Fläcknycklar
Blåsippa</t>
        </is>
      </c>
      <c r="S16">
        <f>HYPERLINK("https://klasma.github.io/Logging_1737/artfynd/A 26793-2020 artfynd.xlsx", "A 26793-2020")</f>
        <v/>
      </c>
      <c r="T16">
        <f>HYPERLINK("https://klasma.github.io/Logging_1737/kartor/A 26793-2020 karta.png", "A 26793-2020")</f>
        <v/>
      </c>
      <c r="V16">
        <f>HYPERLINK("https://klasma.github.io/Logging_1737/klagomål/A 26793-2020 FSC-klagomål.docx", "A 26793-2020")</f>
        <v/>
      </c>
      <c r="W16">
        <f>HYPERLINK("https://klasma.github.io/Logging_1737/klagomålsmail/A 26793-2020 FSC-klagomål mail.docx", "A 26793-2020")</f>
        <v/>
      </c>
      <c r="X16">
        <f>HYPERLINK("https://klasma.github.io/Logging_1737/tillsyn/A 26793-2020 tillsynsbegäran.docx", "A 26793-2020")</f>
        <v/>
      </c>
      <c r="Y16">
        <f>HYPERLINK("https://klasma.github.io/Logging_1737/tillsynsmail/A 26793-2020 tillsynsbegäran mail.docx", "A 26793-2020")</f>
        <v/>
      </c>
    </row>
    <row r="17" ht="15" customHeight="1">
      <c r="A17" t="inlineStr">
        <is>
          <t>A 60716-2021</t>
        </is>
      </c>
      <c r="B17" s="1" t="n">
        <v>44496</v>
      </c>
      <c r="C17" s="1" t="n">
        <v>45472</v>
      </c>
      <c r="D17" t="inlineStr">
        <is>
          <t>VÄRMLANDS LÄN</t>
        </is>
      </c>
      <c r="E17" t="inlineStr">
        <is>
          <t>TORSBY</t>
        </is>
      </c>
      <c r="G17" t="n">
        <v>7.2</v>
      </c>
      <c r="H17" t="n">
        <v>0</v>
      </c>
      <c r="I17" t="n">
        <v>4</v>
      </c>
      <c r="J17" t="n">
        <v>5</v>
      </c>
      <c r="K17" t="n">
        <v>0</v>
      </c>
      <c r="L17" t="n">
        <v>0</v>
      </c>
      <c r="M17" t="n">
        <v>0</v>
      </c>
      <c r="N17" t="n">
        <v>0</v>
      </c>
      <c r="O17" t="n">
        <v>5</v>
      </c>
      <c r="P17" t="n">
        <v>0</v>
      </c>
      <c r="Q17" t="n">
        <v>9</v>
      </c>
      <c r="R17" s="2" t="inlineStr">
        <is>
          <t>Dvärgbägarlav
Gammelgransskål
Garnlav
Lunglav
Skrovellav
Kattfotslav
Korallblylav
Skuggblåslav
Stuplav</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22230-2022</t>
        </is>
      </c>
      <c r="B18" s="1" t="n">
        <v>44712</v>
      </c>
      <c r="C18" s="1" t="n">
        <v>45472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45472</v>
      </c>
      <c r="D19" t="inlineStr">
        <is>
          <t>VÄRMLANDS LÄN</t>
        </is>
      </c>
      <c r="E19" t="inlineStr">
        <is>
          <t>TORSBY</t>
        </is>
      </c>
      <c r="G19" t="n">
        <v>6.4</v>
      </c>
      <c r="H19" t="n">
        <v>0</v>
      </c>
      <c r="I19" t="n">
        <v>2</v>
      </c>
      <c r="J19" t="n">
        <v>6</v>
      </c>
      <c r="K19" t="n">
        <v>0</v>
      </c>
      <c r="L19" t="n">
        <v>0</v>
      </c>
      <c r="M19" t="n">
        <v>0</v>
      </c>
      <c r="N19" t="n">
        <v>0</v>
      </c>
      <c r="O19" t="n">
        <v>6</v>
      </c>
      <c r="P19" t="n">
        <v>0</v>
      </c>
      <c r="Q19" t="n">
        <v>8</v>
      </c>
      <c r="R19" s="2" t="inlineStr">
        <is>
          <t>Brunpudrad nållav
Doftskinn
Gammelgransskål
Garnlav
Gränsticka
Violettgrå tagellav
Korallblylav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4553-2021</t>
        </is>
      </c>
      <c r="B20" s="1" t="n">
        <v>44224</v>
      </c>
      <c r="C20" s="1" t="n">
        <v>45472</v>
      </c>
      <c r="D20" t="inlineStr">
        <is>
          <t>VÄRMLANDS LÄN</t>
        </is>
      </c>
      <c r="E20" t="inlineStr">
        <is>
          <t>TORSBY</t>
        </is>
      </c>
      <c r="G20" t="n">
        <v>14.9</v>
      </c>
      <c r="H20" t="n">
        <v>0</v>
      </c>
      <c r="I20" t="n">
        <v>1</v>
      </c>
      <c r="J20" t="n">
        <v>7</v>
      </c>
      <c r="K20" t="n">
        <v>0</v>
      </c>
      <c r="L20" t="n">
        <v>0</v>
      </c>
      <c r="M20" t="n">
        <v>0</v>
      </c>
      <c r="N20" t="n">
        <v>0</v>
      </c>
      <c r="O20" t="n">
        <v>7</v>
      </c>
      <c r="P20" t="n">
        <v>0</v>
      </c>
      <c r="Q20" t="n">
        <v>8</v>
      </c>
      <c r="R20" s="2" t="inlineStr">
        <is>
          <t>Brunpudrad nållav
Doftskinn
Gammelgransskål
Garnlav
Lunglav
Skrovellav
Violettgrå tagellav
Vedticka</t>
        </is>
      </c>
      <c r="S20">
        <f>HYPERLINK("https://klasma.github.io/Logging_1737/artfynd/A 4553-2021 artfynd.xlsx", "A 4553-2021")</f>
        <v/>
      </c>
      <c r="T20">
        <f>HYPERLINK("https://klasma.github.io/Logging_1737/kartor/A 4553-2021 karta.png", "A 4553-2021")</f>
        <v/>
      </c>
      <c r="V20">
        <f>HYPERLINK("https://klasma.github.io/Logging_1737/klagomål/A 4553-2021 FSC-klagomål.docx", "A 4553-2021")</f>
        <v/>
      </c>
      <c r="W20">
        <f>HYPERLINK("https://klasma.github.io/Logging_1737/klagomålsmail/A 4553-2021 FSC-klagomål mail.docx", "A 4553-2021")</f>
        <v/>
      </c>
      <c r="X20">
        <f>HYPERLINK("https://klasma.github.io/Logging_1737/tillsyn/A 4553-2021 tillsynsbegäran.docx", "A 4553-2021")</f>
        <v/>
      </c>
      <c r="Y20">
        <f>HYPERLINK("https://klasma.github.io/Logging_1737/tillsynsmail/A 4553-2021 tillsynsbegäran mail.docx", "A 4553-2021")</f>
        <v/>
      </c>
    </row>
    <row r="21" ht="15" customHeight="1">
      <c r="A21" t="inlineStr">
        <is>
          <t>A 33920-2019</t>
        </is>
      </c>
      <c r="B21" s="1" t="n">
        <v>43654</v>
      </c>
      <c r="C21" s="1" t="n">
        <v>45472</v>
      </c>
      <c r="D21" t="inlineStr">
        <is>
          <t>VÄRMLANDS LÄN</t>
        </is>
      </c>
      <c r="E21" t="inlineStr">
        <is>
          <t>TORSBY</t>
        </is>
      </c>
      <c r="G21" t="n">
        <v>1.5</v>
      </c>
      <c r="H21" t="n">
        <v>0</v>
      </c>
      <c r="I21" t="n">
        <v>2</v>
      </c>
      <c r="J21" t="n">
        <v>5</v>
      </c>
      <c r="K21" t="n">
        <v>0</v>
      </c>
      <c r="L21" t="n">
        <v>0</v>
      </c>
      <c r="M21" t="n">
        <v>0</v>
      </c>
      <c r="N21" t="n">
        <v>0</v>
      </c>
      <c r="O21" t="n">
        <v>5</v>
      </c>
      <c r="P21" t="n">
        <v>0</v>
      </c>
      <c r="Q21" t="n">
        <v>7</v>
      </c>
      <c r="R21" s="2" t="inlineStr">
        <is>
          <t>Gammelgransskål
Garnlav
Lunglav
Ullticka
Vedtrappmossa
Gulnål
Vedticka</t>
        </is>
      </c>
      <c r="S21">
        <f>HYPERLINK("https://klasma.github.io/Logging_1737/artfynd/A 33920-2019 artfynd.xlsx", "A 33920-2019")</f>
        <v/>
      </c>
      <c r="T21">
        <f>HYPERLINK("https://klasma.github.io/Logging_1737/kartor/A 33920-2019 karta.png", "A 33920-2019")</f>
        <v/>
      </c>
      <c r="V21">
        <f>HYPERLINK("https://klasma.github.io/Logging_1737/klagomål/A 33920-2019 FSC-klagomål.docx", "A 33920-2019")</f>
        <v/>
      </c>
      <c r="W21">
        <f>HYPERLINK("https://klasma.github.io/Logging_1737/klagomålsmail/A 33920-2019 FSC-klagomål mail.docx", "A 33920-2019")</f>
        <v/>
      </c>
      <c r="X21">
        <f>HYPERLINK("https://klasma.github.io/Logging_1737/tillsyn/A 33920-2019 tillsynsbegäran.docx", "A 33920-2019")</f>
        <v/>
      </c>
      <c r="Y21">
        <f>HYPERLINK("https://klasma.github.io/Logging_1737/tillsynsmail/A 33920-2019 tillsynsbegäran mail.docx", "A 33920-2019")</f>
        <v/>
      </c>
    </row>
    <row r="22" ht="15" customHeight="1">
      <c r="A22" t="inlineStr">
        <is>
          <t>A 730-2020</t>
        </is>
      </c>
      <c r="B22" s="1" t="n">
        <v>43838</v>
      </c>
      <c r="C22" s="1" t="n">
        <v>45472</v>
      </c>
      <c r="D22" t="inlineStr">
        <is>
          <t>VÄRMLANDS LÄN</t>
        </is>
      </c>
      <c r="E22" t="inlineStr">
        <is>
          <t>TORSBY</t>
        </is>
      </c>
      <c r="G22" t="n">
        <v>2.1</v>
      </c>
      <c r="H22" t="n">
        <v>0</v>
      </c>
      <c r="I22" t="n">
        <v>4</v>
      </c>
      <c r="J22" t="n">
        <v>3</v>
      </c>
      <c r="K22" t="n">
        <v>0</v>
      </c>
      <c r="L22" t="n">
        <v>0</v>
      </c>
      <c r="M22" t="n">
        <v>0</v>
      </c>
      <c r="N22" t="n">
        <v>0</v>
      </c>
      <c r="O22" t="n">
        <v>3</v>
      </c>
      <c r="P22" t="n">
        <v>0</v>
      </c>
      <c r="Q22" t="n">
        <v>7</v>
      </c>
      <c r="R22" s="2" t="inlineStr">
        <is>
          <t>Desmeknopp
Flattoppad klubbsvamp
Lunglav
Dvärghäxört
Kransrams
Springkorn
Svart trolldruva</t>
        </is>
      </c>
      <c r="S22">
        <f>HYPERLINK("https://klasma.github.io/Logging_1737/artfynd/A 730-2020 artfynd.xlsx", "A 730-2020")</f>
        <v/>
      </c>
      <c r="T22">
        <f>HYPERLINK("https://klasma.github.io/Logging_1737/kartor/A 730-2020 karta.png", "A 730-2020")</f>
        <v/>
      </c>
      <c r="V22">
        <f>HYPERLINK("https://klasma.github.io/Logging_1737/klagomål/A 730-2020 FSC-klagomål.docx", "A 730-2020")</f>
        <v/>
      </c>
      <c r="W22">
        <f>HYPERLINK("https://klasma.github.io/Logging_1737/klagomålsmail/A 730-2020 FSC-klagomål mail.docx", "A 730-2020")</f>
        <v/>
      </c>
      <c r="X22">
        <f>HYPERLINK("https://klasma.github.io/Logging_1737/tillsyn/A 730-2020 tillsynsbegäran.docx", "A 730-2020")</f>
        <v/>
      </c>
      <c r="Y22">
        <f>HYPERLINK("https://klasma.github.io/Logging_1737/tillsynsmail/A 730-2020 tillsynsbegäran mail.docx", "A 730-2020")</f>
        <v/>
      </c>
    </row>
    <row r="23" ht="15" customHeight="1">
      <c r="A23" t="inlineStr">
        <is>
          <t>A 35199-2021</t>
        </is>
      </c>
      <c r="B23" s="1" t="n">
        <v>44384</v>
      </c>
      <c r="C23" s="1" t="n">
        <v>45472</v>
      </c>
      <c r="D23" t="inlineStr">
        <is>
          <t>VÄRMLANDS LÄN</t>
        </is>
      </c>
      <c r="E23" t="inlineStr">
        <is>
          <t>TORSBY</t>
        </is>
      </c>
      <c r="G23" t="n">
        <v>20.8</v>
      </c>
      <c r="H23" t="n">
        <v>0</v>
      </c>
      <c r="I23" t="n">
        <v>1</v>
      </c>
      <c r="J23" t="n">
        <v>6</v>
      </c>
      <c r="K23" t="n">
        <v>0</v>
      </c>
      <c r="L23" t="n">
        <v>0</v>
      </c>
      <c r="M23" t="n">
        <v>0</v>
      </c>
      <c r="N23" t="n">
        <v>0</v>
      </c>
      <c r="O23" t="n">
        <v>6</v>
      </c>
      <c r="P23" t="n">
        <v>0</v>
      </c>
      <c r="Q23" t="n">
        <v>7</v>
      </c>
      <c r="R23" s="2" t="inlineStr">
        <is>
          <t>Dvärgbägarlav
Garnlav
Kolflarnlav
Kortskaftad ärgspik
Mörk kolflarnlav
Vedskivlav
Nästlav</t>
        </is>
      </c>
      <c r="S23">
        <f>HYPERLINK("https://klasma.github.io/Logging_1737/artfynd/A 35199-2021 artfynd.xlsx", "A 35199-2021")</f>
        <v/>
      </c>
      <c r="T23">
        <f>HYPERLINK("https://klasma.github.io/Logging_1737/kartor/A 35199-2021 karta.png", "A 35199-2021")</f>
        <v/>
      </c>
      <c r="V23">
        <f>HYPERLINK("https://klasma.github.io/Logging_1737/klagomål/A 35199-2021 FSC-klagomål.docx", "A 35199-2021")</f>
        <v/>
      </c>
      <c r="W23">
        <f>HYPERLINK("https://klasma.github.io/Logging_1737/klagomålsmail/A 35199-2021 FSC-klagomål mail.docx", "A 35199-2021")</f>
        <v/>
      </c>
      <c r="X23">
        <f>HYPERLINK("https://klasma.github.io/Logging_1737/tillsyn/A 35199-2021 tillsynsbegäran.docx", "A 35199-2021")</f>
        <v/>
      </c>
      <c r="Y23">
        <f>HYPERLINK("https://klasma.github.io/Logging_1737/tillsynsmail/A 35199-2021 tillsynsbegäran mail.docx", "A 35199-2021")</f>
        <v/>
      </c>
    </row>
    <row r="24" ht="15" customHeight="1">
      <c r="A24" t="inlineStr">
        <is>
          <t>A 66836-2021</t>
        </is>
      </c>
      <c r="B24" s="1" t="n">
        <v>44522</v>
      </c>
      <c r="C24" s="1" t="n">
        <v>45472</v>
      </c>
      <c r="D24" t="inlineStr">
        <is>
          <t>VÄRMLANDS LÄN</t>
        </is>
      </c>
      <c r="E24" t="inlineStr">
        <is>
          <t>TORSBY</t>
        </is>
      </c>
      <c r="G24" t="n">
        <v>4.1</v>
      </c>
      <c r="H24" t="n">
        <v>1</v>
      </c>
      <c r="I24" t="n">
        <v>3</v>
      </c>
      <c r="J24" t="n">
        <v>4</v>
      </c>
      <c r="K24" t="n">
        <v>0</v>
      </c>
      <c r="L24" t="n">
        <v>0</v>
      </c>
      <c r="M24" t="n">
        <v>0</v>
      </c>
      <c r="N24" t="n">
        <v>0</v>
      </c>
      <c r="O24" t="n">
        <v>4</v>
      </c>
      <c r="P24" t="n">
        <v>0</v>
      </c>
      <c r="Q24" t="n">
        <v>7</v>
      </c>
      <c r="R24" s="2" t="inlineStr">
        <is>
          <t>Doftskinn
Garnlav
Lunglav
Violettgrå tagellav
Korallblylav
Spindelblomster
Vedticka</t>
        </is>
      </c>
      <c r="S24">
        <f>HYPERLINK("https://klasma.github.io/Logging_1737/artfynd/A 66836-2021 artfynd.xlsx", "A 66836-2021")</f>
        <v/>
      </c>
      <c r="T24">
        <f>HYPERLINK("https://klasma.github.io/Logging_1737/kartor/A 66836-2021 karta.png", "A 66836-2021")</f>
        <v/>
      </c>
      <c r="V24">
        <f>HYPERLINK("https://klasma.github.io/Logging_1737/klagomål/A 66836-2021 FSC-klagomål.docx", "A 66836-2021")</f>
        <v/>
      </c>
      <c r="W24">
        <f>HYPERLINK("https://klasma.github.io/Logging_1737/klagomålsmail/A 66836-2021 FSC-klagomål mail.docx", "A 66836-2021")</f>
        <v/>
      </c>
      <c r="X24">
        <f>HYPERLINK("https://klasma.github.io/Logging_1737/tillsyn/A 66836-2021 tillsynsbegäran.docx", "A 66836-2021")</f>
        <v/>
      </c>
      <c r="Y24">
        <f>HYPERLINK("https://klasma.github.io/Logging_1737/tillsynsmail/A 66836-2021 tillsynsbegäran mail.docx", "A 66836-2021")</f>
        <v/>
      </c>
    </row>
    <row r="25" ht="15" customHeight="1">
      <c r="A25" t="inlineStr">
        <is>
          <t>A 73921-2021</t>
        </is>
      </c>
      <c r="B25" s="1" t="n">
        <v>44553</v>
      </c>
      <c r="C25" s="1" t="n">
        <v>45472</v>
      </c>
      <c r="D25" t="inlineStr">
        <is>
          <t>VÄRMLANDS LÄN</t>
        </is>
      </c>
      <c r="E25" t="inlineStr">
        <is>
          <t>TORSBY</t>
        </is>
      </c>
      <c r="G25" t="n">
        <v>15.3</v>
      </c>
      <c r="H25" t="n">
        <v>0</v>
      </c>
      <c r="I25" t="n">
        <v>1</v>
      </c>
      <c r="J25" t="n">
        <v>6</v>
      </c>
      <c r="K25" t="n">
        <v>0</v>
      </c>
      <c r="L25" t="n">
        <v>0</v>
      </c>
      <c r="M25" t="n">
        <v>0</v>
      </c>
      <c r="N25" t="n">
        <v>0</v>
      </c>
      <c r="O25" t="n">
        <v>6</v>
      </c>
      <c r="P25" t="n">
        <v>0</v>
      </c>
      <c r="Q25" t="n">
        <v>7</v>
      </c>
      <c r="R25" s="2" t="inlineStr">
        <is>
          <t>Gammelgransskål
Garnlav
Kolflarnlav
Motaggsvamp
Mörk kolflarnlav
Vedskivlav
Dropptaggsvamp</t>
        </is>
      </c>
      <c r="S25">
        <f>HYPERLINK("https://klasma.github.io/Logging_1737/artfynd/A 73921-2021 artfynd.xlsx", "A 73921-2021")</f>
        <v/>
      </c>
      <c r="T25">
        <f>HYPERLINK("https://klasma.github.io/Logging_1737/kartor/A 73921-2021 karta.png", "A 73921-2021")</f>
        <v/>
      </c>
      <c r="V25">
        <f>HYPERLINK("https://klasma.github.io/Logging_1737/klagomål/A 73921-2021 FSC-klagomål.docx", "A 73921-2021")</f>
        <v/>
      </c>
      <c r="W25">
        <f>HYPERLINK("https://klasma.github.io/Logging_1737/klagomålsmail/A 73921-2021 FSC-klagomål mail.docx", "A 73921-2021")</f>
        <v/>
      </c>
      <c r="X25">
        <f>HYPERLINK("https://klasma.github.io/Logging_1737/tillsyn/A 73921-2021 tillsynsbegäran.docx", "A 73921-2021")</f>
        <v/>
      </c>
      <c r="Y25">
        <f>HYPERLINK("https://klasma.github.io/Logging_1737/tillsynsmail/A 73921-2021 tillsynsbegäran mail.docx", "A 73921-2021")</f>
        <v/>
      </c>
    </row>
    <row r="26" ht="15" customHeight="1">
      <c r="A26" t="inlineStr">
        <is>
          <t>A 42499-2022</t>
        </is>
      </c>
      <c r="B26" s="1" t="n">
        <v>44831</v>
      </c>
      <c r="C26" s="1" t="n">
        <v>45472</v>
      </c>
      <c r="D26" t="inlineStr">
        <is>
          <t>VÄRMLANDS LÄN</t>
        </is>
      </c>
      <c r="E26" t="inlineStr">
        <is>
          <t>TORSBY</t>
        </is>
      </c>
      <c r="F26" t="inlineStr">
        <is>
          <t>Kommuner</t>
        </is>
      </c>
      <c r="G26" t="n">
        <v>2.8</v>
      </c>
      <c r="H26" t="n">
        <v>0</v>
      </c>
      <c r="I26" t="n">
        <v>1</v>
      </c>
      <c r="J26" t="n">
        <v>6</v>
      </c>
      <c r="K26" t="n">
        <v>0</v>
      </c>
      <c r="L26" t="n">
        <v>0</v>
      </c>
      <c r="M26" t="n">
        <v>0</v>
      </c>
      <c r="N26" t="n">
        <v>0</v>
      </c>
      <c r="O26" t="n">
        <v>6</v>
      </c>
      <c r="P26" t="n">
        <v>0</v>
      </c>
      <c r="Q26" t="n">
        <v>7</v>
      </c>
      <c r="R26" s="2" t="inlineStr">
        <is>
          <t>Dvärgbägarlav
Garnlav
Kolflarnlav
Mörk kolflarnlav
Vedskivlav
Violettgrå tagellav
Dropptaggsvamp</t>
        </is>
      </c>
      <c r="S26">
        <f>HYPERLINK("https://klasma.github.io/Logging_1737/artfynd/A 42499-2022 artfynd.xlsx", "A 42499-2022")</f>
        <v/>
      </c>
      <c r="T26">
        <f>HYPERLINK("https://klasma.github.io/Logging_1737/kartor/A 42499-2022 karta.png", "A 42499-2022")</f>
        <v/>
      </c>
      <c r="V26">
        <f>HYPERLINK("https://klasma.github.io/Logging_1737/klagomål/A 42499-2022 FSC-klagomål.docx", "A 42499-2022")</f>
        <v/>
      </c>
      <c r="W26">
        <f>HYPERLINK("https://klasma.github.io/Logging_1737/klagomålsmail/A 42499-2022 FSC-klagomål mail.docx", "A 42499-2022")</f>
        <v/>
      </c>
      <c r="X26">
        <f>HYPERLINK("https://klasma.github.io/Logging_1737/tillsyn/A 42499-2022 tillsynsbegäran.docx", "A 42499-2022")</f>
        <v/>
      </c>
      <c r="Y26">
        <f>HYPERLINK("https://klasma.github.io/Logging_1737/tillsynsmail/A 42499-2022 tillsynsbegäran mail.docx", "A 42499-2022")</f>
        <v/>
      </c>
    </row>
    <row r="27" ht="15" customHeight="1">
      <c r="A27" t="inlineStr">
        <is>
          <t>A 43822-2023</t>
        </is>
      </c>
      <c r="B27" s="1" t="n">
        <v>45182</v>
      </c>
      <c r="C27" s="1" t="n">
        <v>45472</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7650-2021</t>
        </is>
      </c>
      <c r="B28" s="1" t="n">
        <v>44242</v>
      </c>
      <c r="C28" s="1" t="n">
        <v>45472</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41279-2021</t>
        </is>
      </c>
      <c r="B29" s="1" t="n">
        <v>44424</v>
      </c>
      <c r="C29" s="1" t="n">
        <v>45472</v>
      </c>
      <c r="D29" t="inlineStr">
        <is>
          <t>VÄRMLANDS LÄN</t>
        </is>
      </c>
      <c r="E29" t="inlineStr">
        <is>
          <t>TORSBY</t>
        </is>
      </c>
      <c r="G29" t="n">
        <v>9.699999999999999</v>
      </c>
      <c r="H29" t="n">
        <v>1</v>
      </c>
      <c r="I29" t="n">
        <v>1</v>
      </c>
      <c r="J29" t="n">
        <v>4</v>
      </c>
      <c r="K29" t="n">
        <v>0</v>
      </c>
      <c r="L29" t="n">
        <v>0</v>
      </c>
      <c r="M29" t="n">
        <v>0</v>
      </c>
      <c r="N29" t="n">
        <v>0</v>
      </c>
      <c r="O29" t="n">
        <v>4</v>
      </c>
      <c r="P29" t="n">
        <v>0</v>
      </c>
      <c r="Q29" t="n">
        <v>5</v>
      </c>
      <c r="R29" s="2" t="inlineStr">
        <is>
          <t>Gammelgransskål
Garnlav
Tretåig hackspett
Vedskivlav
Vedticka</t>
        </is>
      </c>
      <c r="S29">
        <f>HYPERLINK("https://klasma.github.io/Logging_1737/artfynd/A 41279-2021 artfynd.xlsx", "A 41279-2021")</f>
        <v/>
      </c>
      <c r="T29">
        <f>HYPERLINK("https://klasma.github.io/Logging_1737/kartor/A 41279-2021 karta.png", "A 41279-2021")</f>
        <v/>
      </c>
      <c r="V29">
        <f>HYPERLINK("https://klasma.github.io/Logging_1737/klagomål/A 41279-2021 FSC-klagomål.docx", "A 41279-2021")</f>
        <v/>
      </c>
      <c r="W29">
        <f>HYPERLINK("https://klasma.github.io/Logging_1737/klagomålsmail/A 41279-2021 FSC-klagomål mail.docx", "A 41279-2021")</f>
        <v/>
      </c>
      <c r="X29">
        <f>HYPERLINK("https://klasma.github.io/Logging_1737/tillsyn/A 41279-2021 tillsynsbegäran.docx", "A 41279-2021")</f>
        <v/>
      </c>
      <c r="Y29">
        <f>HYPERLINK("https://klasma.github.io/Logging_1737/tillsynsmail/A 41279-2021 tillsynsbegäran mail.docx", "A 41279-2021")</f>
        <v/>
      </c>
      <c r="Z29">
        <f>HYPERLINK("https://klasma.github.io/Logging_1737/fåglar/A 41279-2021 prioriterade fågelarter.docx", "A 41279-2021")</f>
        <v/>
      </c>
    </row>
    <row r="30" ht="15" customHeight="1">
      <c r="A30" t="inlineStr">
        <is>
          <t>A 49109-2021</t>
        </is>
      </c>
      <c r="B30" s="1" t="n">
        <v>44453</v>
      </c>
      <c r="C30" s="1" t="n">
        <v>45472</v>
      </c>
      <c r="D30" t="inlineStr">
        <is>
          <t>VÄRMLANDS LÄN</t>
        </is>
      </c>
      <c r="E30" t="inlineStr">
        <is>
          <t>TORSBY</t>
        </is>
      </c>
      <c r="G30" t="n">
        <v>36.3</v>
      </c>
      <c r="H30" t="n">
        <v>0</v>
      </c>
      <c r="I30" t="n">
        <v>1</v>
      </c>
      <c r="J30" t="n">
        <v>3</v>
      </c>
      <c r="K30" t="n">
        <v>1</v>
      </c>
      <c r="L30" t="n">
        <v>0</v>
      </c>
      <c r="M30" t="n">
        <v>0</v>
      </c>
      <c r="N30" t="n">
        <v>0</v>
      </c>
      <c r="O30" t="n">
        <v>4</v>
      </c>
      <c r="P30" t="n">
        <v>1</v>
      </c>
      <c r="Q30" t="n">
        <v>5</v>
      </c>
      <c r="R30" s="2" t="inlineStr">
        <is>
          <t>Vågticka
Garnlav
Lunglav
Skrovellav
Stuplav</t>
        </is>
      </c>
      <c r="S30">
        <f>HYPERLINK("https://klasma.github.io/Logging_1737/artfynd/A 49109-2021 artfynd.xlsx", "A 49109-2021")</f>
        <v/>
      </c>
      <c r="T30">
        <f>HYPERLINK("https://klasma.github.io/Logging_1737/kartor/A 49109-2021 karta.png", "A 49109-2021")</f>
        <v/>
      </c>
      <c r="V30">
        <f>HYPERLINK("https://klasma.github.io/Logging_1737/klagomål/A 49109-2021 FSC-klagomål.docx", "A 49109-2021")</f>
        <v/>
      </c>
      <c r="W30">
        <f>HYPERLINK("https://klasma.github.io/Logging_1737/klagomålsmail/A 49109-2021 FSC-klagomål mail.docx", "A 49109-2021")</f>
        <v/>
      </c>
      <c r="X30">
        <f>HYPERLINK("https://klasma.github.io/Logging_1737/tillsyn/A 49109-2021 tillsynsbegäran.docx", "A 49109-2021")</f>
        <v/>
      </c>
      <c r="Y30">
        <f>HYPERLINK("https://klasma.github.io/Logging_1737/tillsynsmail/A 49109-2021 tillsynsbegäran mail.docx", "A 49109-2021")</f>
        <v/>
      </c>
    </row>
    <row r="31" ht="15" customHeight="1">
      <c r="A31" t="inlineStr">
        <is>
          <t>A 72312-2021</t>
        </is>
      </c>
      <c r="B31" s="1" t="n">
        <v>44545</v>
      </c>
      <c r="C31" s="1" t="n">
        <v>45472</v>
      </c>
      <c r="D31" t="inlineStr">
        <is>
          <t>VÄRMLANDS LÄN</t>
        </is>
      </c>
      <c r="E31" t="inlineStr">
        <is>
          <t>TORSBY</t>
        </is>
      </c>
      <c r="G31" t="n">
        <v>5.1</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HYPERLINK("https://klasma.github.io/Logging_1737/artfynd/A 72312-2021 artfynd.xlsx", "A 72312-2021")</f>
        <v/>
      </c>
      <c r="T31">
        <f>HYPERLINK("https://klasma.github.io/Logging_1737/kartor/A 72312-2021 karta.png", "A 72312-2021")</f>
        <v/>
      </c>
      <c r="V31">
        <f>HYPERLINK("https://klasma.github.io/Logging_1737/klagomål/A 72312-2021 FSC-klagomål.docx", "A 72312-2021")</f>
        <v/>
      </c>
      <c r="W31">
        <f>HYPERLINK("https://klasma.github.io/Logging_1737/klagomålsmail/A 72312-2021 FSC-klagomål mail.docx", "A 72312-2021")</f>
        <v/>
      </c>
      <c r="X31">
        <f>HYPERLINK("https://klasma.github.io/Logging_1737/tillsyn/A 72312-2021 tillsynsbegäran.docx", "A 72312-2021")</f>
        <v/>
      </c>
      <c r="Y31">
        <f>HYPERLINK("https://klasma.github.io/Logging_1737/tillsynsmail/A 72312-2021 tillsynsbegäran mail.docx", "A 72312-2021")</f>
        <v/>
      </c>
    </row>
    <row r="32" ht="15" customHeight="1">
      <c r="A32" t="inlineStr">
        <is>
          <t>A 4972-2022</t>
        </is>
      </c>
      <c r="B32" s="1" t="n">
        <v>44593</v>
      </c>
      <c r="C32" s="1" t="n">
        <v>45472</v>
      </c>
      <c r="D32" t="inlineStr">
        <is>
          <t>VÄRMLANDS LÄN</t>
        </is>
      </c>
      <c r="E32" t="inlineStr">
        <is>
          <t>TORSBY</t>
        </is>
      </c>
      <c r="G32" t="n">
        <v>10.7</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HYPERLINK("https://klasma.github.io/Logging_1737/artfynd/A 4972-2022 artfynd.xlsx", "A 4972-2022")</f>
        <v/>
      </c>
      <c r="T32">
        <f>HYPERLINK("https://klasma.github.io/Logging_1737/kartor/A 4972-2022 karta.png", "A 4972-2022")</f>
        <v/>
      </c>
      <c r="V32">
        <f>HYPERLINK("https://klasma.github.io/Logging_1737/klagomål/A 4972-2022 FSC-klagomål.docx", "A 4972-2022")</f>
        <v/>
      </c>
      <c r="W32">
        <f>HYPERLINK("https://klasma.github.io/Logging_1737/klagomålsmail/A 4972-2022 FSC-klagomål mail.docx", "A 4972-2022")</f>
        <v/>
      </c>
      <c r="X32">
        <f>HYPERLINK("https://klasma.github.io/Logging_1737/tillsyn/A 4972-2022 tillsynsbegäran.docx", "A 4972-2022")</f>
        <v/>
      </c>
      <c r="Y32">
        <f>HYPERLINK("https://klasma.github.io/Logging_1737/tillsynsmail/A 4972-2022 tillsynsbegäran mail.docx", "A 4972-2022")</f>
        <v/>
      </c>
    </row>
    <row r="33" ht="15" customHeight="1">
      <c r="A33" t="inlineStr">
        <is>
          <t>A 9573-2023</t>
        </is>
      </c>
      <c r="B33" s="1" t="n">
        <v>44982</v>
      </c>
      <c r="C33" s="1" t="n">
        <v>45472</v>
      </c>
      <c r="D33" t="inlineStr">
        <is>
          <t>VÄRMLANDS LÄN</t>
        </is>
      </c>
      <c r="E33" t="inlineStr">
        <is>
          <t>TORSBY</t>
        </is>
      </c>
      <c r="F33" t="inlineStr">
        <is>
          <t>Övriga statliga verk och myndigheter</t>
        </is>
      </c>
      <c r="G33" t="n">
        <v>4.4</v>
      </c>
      <c r="H33" t="n">
        <v>0</v>
      </c>
      <c r="I33" t="n">
        <v>1</v>
      </c>
      <c r="J33" t="n">
        <v>4</v>
      </c>
      <c r="K33" t="n">
        <v>0</v>
      </c>
      <c r="L33" t="n">
        <v>0</v>
      </c>
      <c r="M33" t="n">
        <v>0</v>
      </c>
      <c r="N33" t="n">
        <v>0</v>
      </c>
      <c r="O33" t="n">
        <v>4</v>
      </c>
      <c r="P33" t="n">
        <v>0</v>
      </c>
      <c r="Q33" t="n">
        <v>5</v>
      </c>
      <c r="R33" s="2" t="inlineStr">
        <is>
          <t>Garnlav
Mörk kolflarnlav
Tallticka
Vedskivlav
Dropptaggsvamp</t>
        </is>
      </c>
      <c r="S33">
        <f>HYPERLINK("https://klasma.github.io/Logging_1737/artfynd/A 9573-2023 artfynd.xlsx", "A 9573-2023")</f>
        <v/>
      </c>
      <c r="T33">
        <f>HYPERLINK("https://klasma.github.io/Logging_1737/kartor/A 9573-2023 karta.png", "A 9573-2023")</f>
        <v/>
      </c>
      <c r="V33">
        <f>HYPERLINK("https://klasma.github.io/Logging_1737/klagomål/A 9573-2023 FSC-klagomål.docx", "A 9573-2023")</f>
        <v/>
      </c>
      <c r="W33">
        <f>HYPERLINK("https://klasma.github.io/Logging_1737/klagomålsmail/A 9573-2023 FSC-klagomål mail.docx", "A 9573-2023")</f>
        <v/>
      </c>
      <c r="X33">
        <f>HYPERLINK("https://klasma.github.io/Logging_1737/tillsyn/A 9573-2023 tillsynsbegäran.docx", "A 9573-2023")</f>
        <v/>
      </c>
      <c r="Y33">
        <f>HYPERLINK("https://klasma.github.io/Logging_1737/tillsynsmail/A 9573-2023 tillsynsbegäran mail.docx", "A 9573-2023")</f>
        <v/>
      </c>
    </row>
    <row r="34" ht="15" customHeight="1">
      <c r="A34" t="inlineStr">
        <is>
          <t>A 54109-2023</t>
        </is>
      </c>
      <c r="B34" s="1" t="n">
        <v>45232</v>
      </c>
      <c r="C34" s="1" t="n">
        <v>45472</v>
      </c>
      <c r="D34" t="inlineStr">
        <is>
          <t>VÄRMLANDS LÄN</t>
        </is>
      </c>
      <c r="E34" t="inlineStr">
        <is>
          <t>TORSBY</t>
        </is>
      </c>
      <c r="F34" t="inlineStr">
        <is>
          <t>Bergvik skog väst AB</t>
        </is>
      </c>
      <c r="G34" t="n">
        <v>26.6</v>
      </c>
      <c r="H34" t="n">
        <v>0</v>
      </c>
      <c r="I34" t="n">
        <v>0</v>
      </c>
      <c r="J34" t="n">
        <v>0</v>
      </c>
      <c r="K34" t="n">
        <v>2</v>
      </c>
      <c r="L34" t="n">
        <v>3</v>
      </c>
      <c r="M34" t="n">
        <v>0</v>
      </c>
      <c r="N34" t="n">
        <v>0</v>
      </c>
      <c r="O34" t="n">
        <v>5</v>
      </c>
      <c r="P34" t="n">
        <v>5</v>
      </c>
      <c r="Q34" t="n">
        <v>5</v>
      </c>
      <c r="R34" s="2" t="inlineStr">
        <is>
          <t>Gulgrå fibbla
Kopparbergsfibbla
Stråltandad fibbla
Skinkfibbla
Vitbandad fibbla</t>
        </is>
      </c>
      <c r="S34">
        <f>HYPERLINK("https://klasma.github.io/Logging_1737/artfynd/A 54109-2023 artfynd.xlsx", "A 54109-2023")</f>
        <v/>
      </c>
      <c r="T34">
        <f>HYPERLINK("https://klasma.github.io/Logging_1737/kartor/A 54109-2023 karta.png", "A 54109-2023")</f>
        <v/>
      </c>
      <c r="V34">
        <f>HYPERLINK("https://klasma.github.io/Logging_1737/klagomål/A 54109-2023 FSC-klagomål.docx", "A 54109-2023")</f>
        <v/>
      </c>
      <c r="W34">
        <f>HYPERLINK("https://klasma.github.io/Logging_1737/klagomålsmail/A 54109-2023 FSC-klagomål mail.docx", "A 54109-2023")</f>
        <v/>
      </c>
      <c r="X34">
        <f>HYPERLINK("https://klasma.github.io/Logging_1737/tillsyn/A 54109-2023 tillsynsbegäran.docx", "A 54109-2023")</f>
        <v/>
      </c>
      <c r="Y34">
        <f>HYPERLINK("https://klasma.github.io/Logging_1737/tillsynsmail/A 54109-2023 tillsynsbegäran mail.docx", "A 54109-2023")</f>
        <v/>
      </c>
    </row>
    <row r="35" ht="15" customHeight="1">
      <c r="A35" t="inlineStr">
        <is>
          <t>A 62275-2023</t>
        </is>
      </c>
      <c r="B35" s="1" t="n">
        <v>45267</v>
      </c>
      <c r="C35" s="1" t="n">
        <v>45472</v>
      </c>
      <c r="D35" t="inlineStr">
        <is>
          <t>VÄRMLANDS LÄN</t>
        </is>
      </c>
      <c r="E35" t="inlineStr">
        <is>
          <t>TORSBY</t>
        </is>
      </c>
      <c r="G35" t="n">
        <v>3.9</v>
      </c>
      <c r="H35" t="n">
        <v>0</v>
      </c>
      <c r="I35" t="n">
        <v>2</v>
      </c>
      <c r="J35" t="n">
        <v>3</v>
      </c>
      <c r="K35" t="n">
        <v>0</v>
      </c>
      <c r="L35" t="n">
        <v>0</v>
      </c>
      <c r="M35" t="n">
        <v>0</v>
      </c>
      <c r="N35" t="n">
        <v>0</v>
      </c>
      <c r="O35" t="n">
        <v>3</v>
      </c>
      <c r="P35" t="n">
        <v>0</v>
      </c>
      <c r="Q35" t="n">
        <v>5</v>
      </c>
      <c r="R35" s="2" t="inlineStr">
        <is>
          <t>Ullticka
Veckticka
Vedtrappmossa
Jättesvampmal
Stor aspticka</t>
        </is>
      </c>
      <c r="S35">
        <f>HYPERLINK("https://klasma.github.io/Logging_1737/artfynd/A 62275-2023 artfynd.xlsx", "A 62275-2023")</f>
        <v/>
      </c>
      <c r="T35">
        <f>HYPERLINK("https://klasma.github.io/Logging_1737/kartor/A 62275-2023 karta.png", "A 62275-2023")</f>
        <v/>
      </c>
      <c r="V35">
        <f>HYPERLINK("https://klasma.github.io/Logging_1737/klagomål/A 62275-2023 FSC-klagomål.docx", "A 62275-2023")</f>
        <v/>
      </c>
      <c r="W35">
        <f>HYPERLINK("https://klasma.github.io/Logging_1737/klagomålsmail/A 62275-2023 FSC-klagomål mail.docx", "A 62275-2023")</f>
        <v/>
      </c>
      <c r="X35">
        <f>HYPERLINK("https://klasma.github.io/Logging_1737/tillsyn/A 62275-2023 tillsynsbegäran.docx", "A 62275-2023")</f>
        <v/>
      </c>
      <c r="Y35">
        <f>HYPERLINK("https://klasma.github.io/Logging_1737/tillsynsmail/A 62275-2023 tillsynsbegäran mail.docx", "A 62275-2023")</f>
        <v/>
      </c>
    </row>
    <row r="36" ht="15" customHeight="1">
      <c r="A36" t="inlineStr">
        <is>
          <t>A 173-2021</t>
        </is>
      </c>
      <c r="B36" s="1" t="n">
        <v>44200</v>
      </c>
      <c r="C36" s="1" t="n">
        <v>45472</v>
      </c>
      <c r="D36" t="inlineStr">
        <is>
          <t>VÄRMLANDS LÄN</t>
        </is>
      </c>
      <c r="E36" t="inlineStr">
        <is>
          <t>TORSBY</t>
        </is>
      </c>
      <c r="G36" t="n">
        <v>6.8</v>
      </c>
      <c r="H36" t="n">
        <v>0</v>
      </c>
      <c r="I36" t="n">
        <v>1</v>
      </c>
      <c r="J36" t="n">
        <v>3</v>
      </c>
      <c r="K36" t="n">
        <v>0</v>
      </c>
      <c r="L36" t="n">
        <v>0</v>
      </c>
      <c r="M36" t="n">
        <v>0</v>
      </c>
      <c r="N36" t="n">
        <v>0</v>
      </c>
      <c r="O36" t="n">
        <v>3</v>
      </c>
      <c r="P36" t="n">
        <v>0</v>
      </c>
      <c r="Q36" t="n">
        <v>4</v>
      </c>
      <c r="R36" s="2" t="inlineStr">
        <is>
          <t>Gammelgransskål
Garnlav
Violettgrå tagellav
Vedticka</t>
        </is>
      </c>
      <c r="S36">
        <f>HYPERLINK("https://klasma.github.io/Logging_1737/artfynd/A 173-2021 artfynd.xlsx", "A 173-2021")</f>
        <v/>
      </c>
      <c r="T36">
        <f>HYPERLINK("https://klasma.github.io/Logging_1737/kartor/A 173-2021 karta.png", "A 173-2021")</f>
        <v/>
      </c>
      <c r="V36">
        <f>HYPERLINK("https://klasma.github.io/Logging_1737/klagomål/A 173-2021 FSC-klagomål.docx", "A 173-2021")</f>
        <v/>
      </c>
      <c r="W36">
        <f>HYPERLINK("https://klasma.github.io/Logging_1737/klagomålsmail/A 173-2021 FSC-klagomål mail.docx", "A 173-2021")</f>
        <v/>
      </c>
      <c r="X36">
        <f>HYPERLINK("https://klasma.github.io/Logging_1737/tillsyn/A 173-2021 tillsynsbegäran.docx", "A 173-2021")</f>
        <v/>
      </c>
      <c r="Y36">
        <f>HYPERLINK("https://klasma.github.io/Logging_1737/tillsynsmail/A 173-2021 tillsynsbegäran mail.docx", "A 173-2021")</f>
        <v/>
      </c>
    </row>
    <row r="37" ht="15" customHeight="1">
      <c r="A37" t="inlineStr">
        <is>
          <t>A 42501-2022</t>
        </is>
      </c>
      <c r="B37" s="1" t="n">
        <v>44831</v>
      </c>
      <c r="C37" s="1" t="n">
        <v>45472</v>
      </c>
      <c r="D37" t="inlineStr">
        <is>
          <t>VÄRMLANDS LÄN</t>
        </is>
      </c>
      <c r="E37" t="inlineStr">
        <is>
          <t>TORSBY</t>
        </is>
      </c>
      <c r="F37" t="inlineStr">
        <is>
          <t>Kommuner</t>
        </is>
      </c>
      <c r="G37" t="n">
        <v>2.4</v>
      </c>
      <c r="H37" t="n">
        <v>0</v>
      </c>
      <c r="I37" t="n">
        <v>1</v>
      </c>
      <c r="J37" t="n">
        <v>3</v>
      </c>
      <c r="K37" t="n">
        <v>0</v>
      </c>
      <c r="L37" t="n">
        <v>0</v>
      </c>
      <c r="M37" t="n">
        <v>0</v>
      </c>
      <c r="N37" t="n">
        <v>0</v>
      </c>
      <c r="O37" t="n">
        <v>3</v>
      </c>
      <c r="P37" t="n">
        <v>0</v>
      </c>
      <c r="Q37" t="n">
        <v>4</v>
      </c>
      <c r="R37" s="2" t="inlineStr">
        <is>
          <t>Garnlav
Mörk kolflarnlav
Vedtrappmossa
Skuggblåslav</t>
        </is>
      </c>
      <c r="S37">
        <f>HYPERLINK("https://klasma.github.io/Logging_1737/artfynd/A 42501-2022 artfynd.xlsx", "A 42501-2022")</f>
        <v/>
      </c>
      <c r="T37">
        <f>HYPERLINK("https://klasma.github.io/Logging_1737/kartor/A 42501-2022 karta.png", "A 42501-2022")</f>
        <v/>
      </c>
      <c r="V37">
        <f>HYPERLINK("https://klasma.github.io/Logging_1737/klagomål/A 42501-2022 FSC-klagomål.docx", "A 42501-2022")</f>
        <v/>
      </c>
      <c r="W37">
        <f>HYPERLINK("https://klasma.github.io/Logging_1737/klagomålsmail/A 42501-2022 FSC-klagomål mail.docx", "A 42501-2022")</f>
        <v/>
      </c>
      <c r="X37">
        <f>HYPERLINK("https://klasma.github.io/Logging_1737/tillsyn/A 42501-2022 tillsynsbegäran.docx", "A 42501-2022")</f>
        <v/>
      </c>
      <c r="Y37">
        <f>HYPERLINK("https://klasma.github.io/Logging_1737/tillsynsmail/A 42501-2022 tillsynsbegäran mail.docx", "A 42501-2022")</f>
        <v/>
      </c>
    </row>
    <row r="38" ht="15" customHeight="1">
      <c r="A38" t="inlineStr">
        <is>
          <t>A 54297-2022</t>
        </is>
      </c>
      <c r="B38" s="1" t="n">
        <v>44882</v>
      </c>
      <c r="C38" s="1" t="n">
        <v>45472</v>
      </c>
      <c r="D38" t="inlineStr">
        <is>
          <t>VÄRMLANDS LÄN</t>
        </is>
      </c>
      <c r="E38" t="inlineStr">
        <is>
          <t>TORSBY</t>
        </is>
      </c>
      <c r="G38" t="n">
        <v>10.2</v>
      </c>
      <c r="H38" t="n">
        <v>1</v>
      </c>
      <c r="I38" t="n">
        <v>3</v>
      </c>
      <c r="J38" t="n">
        <v>1</v>
      </c>
      <c r="K38" t="n">
        <v>0</v>
      </c>
      <c r="L38" t="n">
        <v>0</v>
      </c>
      <c r="M38" t="n">
        <v>0</v>
      </c>
      <c r="N38" t="n">
        <v>0</v>
      </c>
      <c r="O38" t="n">
        <v>1</v>
      </c>
      <c r="P38" t="n">
        <v>0</v>
      </c>
      <c r="Q38" t="n">
        <v>4</v>
      </c>
      <c r="R38" s="2" t="inlineStr">
        <is>
          <t>Tretåig hackspett
Bronshjon
Thomsons trägnagare
Vedticka</t>
        </is>
      </c>
      <c r="S38">
        <f>HYPERLINK("https://klasma.github.io/Logging_1737/artfynd/A 54297-2022 artfynd.xlsx", "A 54297-2022")</f>
        <v/>
      </c>
      <c r="T38">
        <f>HYPERLINK("https://klasma.github.io/Logging_1737/kartor/A 54297-2022 karta.png", "A 54297-2022")</f>
        <v/>
      </c>
      <c r="V38">
        <f>HYPERLINK("https://klasma.github.io/Logging_1737/klagomål/A 54297-2022 FSC-klagomål.docx", "A 54297-2022")</f>
        <v/>
      </c>
      <c r="W38">
        <f>HYPERLINK("https://klasma.github.io/Logging_1737/klagomålsmail/A 54297-2022 FSC-klagomål mail.docx", "A 54297-2022")</f>
        <v/>
      </c>
      <c r="X38">
        <f>HYPERLINK("https://klasma.github.io/Logging_1737/tillsyn/A 54297-2022 tillsynsbegäran.docx", "A 54297-2022")</f>
        <v/>
      </c>
      <c r="Y38">
        <f>HYPERLINK("https://klasma.github.io/Logging_1737/tillsynsmail/A 54297-2022 tillsynsbegäran mail.docx", "A 54297-2022")</f>
        <v/>
      </c>
      <c r="Z38">
        <f>HYPERLINK("https://klasma.github.io/Logging_1737/fåglar/A 54297-2022 prioriterade fågelarter.docx", "A 54297-2022")</f>
        <v/>
      </c>
    </row>
    <row r="39" ht="15" customHeight="1">
      <c r="A39" t="inlineStr">
        <is>
          <t>A 16134-2023</t>
        </is>
      </c>
      <c r="B39" s="1" t="n">
        <v>45021</v>
      </c>
      <c r="C39" s="1" t="n">
        <v>45472</v>
      </c>
      <c r="D39" t="inlineStr">
        <is>
          <t>VÄRMLANDS LÄN</t>
        </is>
      </c>
      <c r="E39" t="inlineStr">
        <is>
          <t>TORSBY</t>
        </is>
      </c>
      <c r="G39" t="n">
        <v>15.5</v>
      </c>
      <c r="H39" t="n">
        <v>0</v>
      </c>
      <c r="I39" t="n">
        <v>1</v>
      </c>
      <c r="J39" t="n">
        <v>3</v>
      </c>
      <c r="K39" t="n">
        <v>0</v>
      </c>
      <c r="L39" t="n">
        <v>0</v>
      </c>
      <c r="M39" t="n">
        <v>0</v>
      </c>
      <c r="N39" t="n">
        <v>0</v>
      </c>
      <c r="O39" t="n">
        <v>3</v>
      </c>
      <c r="P39" t="n">
        <v>0</v>
      </c>
      <c r="Q39" t="n">
        <v>4</v>
      </c>
      <c r="R39" s="2" t="inlineStr">
        <is>
          <t>Skrovlig taggsvamp
Svartvit taggsvamp
Vitgrynig nållav
Dropptaggsvamp</t>
        </is>
      </c>
      <c r="S39">
        <f>HYPERLINK("https://klasma.github.io/Logging_1737/artfynd/A 16134-2023 artfynd.xlsx", "A 16134-2023")</f>
        <v/>
      </c>
      <c r="T39">
        <f>HYPERLINK("https://klasma.github.io/Logging_1737/kartor/A 16134-2023 karta.png", "A 16134-2023")</f>
        <v/>
      </c>
      <c r="V39">
        <f>HYPERLINK("https://klasma.github.io/Logging_1737/klagomål/A 16134-2023 FSC-klagomål.docx", "A 16134-2023")</f>
        <v/>
      </c>
      <c r="W39">
        <f>HYPERLINK("https://klasma.github.io/Logging_1737/klagomålsmail/A 16134-2023 FSC-klagomål mail.docx", "A 16134-2023")</f>
        <v/>
      </c>
      <c r="X39">
        <f>HYPERLINK("https://klasma.github.io/Logging_1737/tillsyn/A 16134-2023 tillsynsbegäran.docx", "A 16134-2023")</f>
        <v/>
      </c>
      <c r="Y39">
        <f>HYPERLINK("https://klasma.github.io/Logging_1737/tillsynsmail/A 16134-2023 tillsynsbegäran mail.docx", "A 16134-2023")</f>
        <v/>
      </c>
    </row>
    <row r="40" ht="15" customHeight="1">
      <c r="A40" t="inlineStr">
        <is>
          <t>A 35706-2023</t>
        </is>
      </c>
      <c r="B40" s="1" t="n">
        <v>45147</v>
      </c>
      <c r="C40" s="1" t="n">
        <v>45472</v>
      </c>
      <c r="D40" t="inlineStr">
        <is>
          <t>VÄRMLANDS LÄN</t>
        </is>
      </c>
      <c r="E40" t="inlineStr">
        <is>
          <t>TORSBY</t>
        </is>
      </c>
      <c r="G40" t="n">
        <v>22.5</v>
      </c>
      <c r="H40" t="n">
        <v>0</v>
      </c>
      <c r="I40" t="n">
        <v>2</v>
      </c>
      <c r="J40" t="n">
        <v>2</v>
      </c>
      <c r="K40" t="n">
        <v>0</v>
      </c>
      <c r="L40" t="n">
        <v>0</v>
      </c>
      <c r="M40" t="n">
        <v>0</v>
      </c>
      <c r="N40" t="n">
        <v>0</v>
      </c>
      <c r="O40" t="n">
        <v>2</v>
      </c>
      <c r="P40" t="n">
        <v>0</v>
      </c>
      <c r="Q40" t="n">
        <v>4</v>
      </c>
      <c r="R40" s="2" t="inlineStr">
        <is>
          <t>Garnlav
Lunglav
Bronshjon
Vedticka</t>
        </is>
      </c>
      <c r="S40">
        <f>HYPERLINK("https://klasma.github.io/Logging_1737/artfynd/A 35706-2023 artfynd.xlsx", "A 35706-2023")</f>
        <v/>
      </c>
      <c r="T40">
        <f>HYPERLINK("https://klasma.github.io/Logging_1737/kartor/A 35706-2023 karta.png", "A 35706-2023")</f>
        <v/>
      </c>
      <c r="V40">
        <f>HYPERLINK("https://klasma.github.io/Logging_1737/klagomål/A 35706-2023 FSC-klagomål.docx", "A 35706-2023")</f>
        <v/>
      </c>
      <c r="W40">
        <f>HYPERLINK("https://klasma.github.io/Logging_1737/klagomålsmail/A 35706-2023 FSC-klagomål mail.docx", "A 35706-2023")</f>
        <v/>
      </c>
      <c r="X40">
        <f>HYPERLINK("https://klasma.github.io/Logging_1737/tillsyn/A 35706-2023 tillsynsbegäran.docx", "A 35706-2023")</f>
        <v/>
      </c>
      <c r="Y40">
        <f>HYPERLINK("https://klasma.github.io/Logging_1737/tillsynsmail/A 35706-2023 tillsynsbegäran mail.docx", "A 35706-2023")</f>
        <v/>
      </c>
    </row>
    <row r="41" ht="15" customHeight="1">
      <c r="A41" t="inlineStr">
        <is>
          <t>A 25899-2024</t>
        </is>
      </c>
      <c r="B41" s="1" t="n">
        <v>45467</v>
      </c>
      <c r="C41" s="1" t="n">
        <v>45472</v>
      </c>
      <c r="D41" t="inlineStr">
        <is>
          <t>VÄRMLANDS LÄN</t>
        </is>
      </c>
      <c r="E41" t="inlineStr">
        <is>
          <t>TORSBY</t>
        </is>
      </c>
      <c r="G41" t="n">
        <v>28.3</v>
      </c>
      <c r="H41" t="n">
        <v>1</v>
      </c>
      <c r="I41" t="n">
        <v>1</v>
      </c>
      <c r="J41" t="n">
        <v>2</v>
      </c>
      <c r="K41" t="n">
        <v>0</v>
      </c>
      <c r="L41" t="n">
        <v>0</v>
      </c>
      <c r="M41" t="n">
        <v>0</v>
      </c>
      <c r="N41" t="n">
        <v>0</v>
      </c>
      <c r="O41" t="n">
        <v>2</v>
      </c>
      <c r="P41" t="n">
        <v>0</v>
      </c>
      <c r="Q41" t="n">
        <v>4</v>
      </c>
      <c r="R41" s="2" t="inlineStr">
        <is>
          <t>Garnlav
Lunglav
Korallblylav
Tjäder</t>
        </is>
      </c>
      <c r="S41">
        <f>HYPERLINK("https://klasma.github.io/Logging_1737/artfynd/A 25899-2024 artfynd.xlsx", "A 25899-2024")</f>
        <v/>
      </c>
      <c r="T41">
        <f>HYPERLINK("https://klasma.github.io/Logging_1737/kartor/A 25899-2024 karta.png", "A 25899-2024")</f>
        <v/>
      </c>
      <c r="V41">
        <f>HYPERLINK("https://klasma.github.io/Logging_1737/klagomål/A 25899-2024 FSC-klagomål.docx", "A 25899-2024")</f>
        <v/>
      </c>
      <c r="W41">
        <f>HYPERLINK("https://klasma.github.io/Logging_1737/klagomålsmail/A 25899-2024 FSC-klagomål mail.docx", "A 25899-2024")</f>
        <v/>
      </c>
      <c r="X41">
        <f>HYPERLINK("https://klasma.github.io/Logging_1737/tillsyn/A 25899-2024 tillsynsbegäran.docx", "A 25899-2024")</f>
        <v/>
      </c>
      <c r="Y41">
        <f>HYPERLINK("https://klasma.github.io/Logging_1737/tillsynsmail/A 25899-2024 tillsynsbegäran mail.docx", "A 25899-2024")</f>
        <v/>
      </c>
      <c r="Z41">
        <f>HYPERLINK("https://klasma.github.io/Logging_1737/fåglar/A 25899-2024 prioriterade fågelarter.docx", "A 25899-2024")</f>
        <v/>
      </c>
    </row>
    <row r="42" ht="15" customHeight="1">
      <c r="A42" t="inlineStr">
        <is>
          <t>A 24010-2019</t>
        </is>
      </c>
      <c r="B42" s="1" t="n">
        <v>43598</v>
      </c>
      <c r="C42" s="1" t="n">
        <v>45472</v>
      </c>
      <c r="D42" t="inlineStr">
        <is>
          <t>VÄRMLANDS LÄN</t>
        </is>
      </c>
      <c r="E42" t="inlineStr">
        <is>
          <t>TORSBY</t>
        </is>
      </c>
      <c r="G42" t="n">
        <v>2.2</v>
      </c>
      <c r="H42" t="n">
        <v>0</v>
      </c>
      <c r="I42" t="n">
        <v>0</v>
      </c>
      <c r="J42" t="n">
        <v>3</v>
      </c>
      <c r="K42" t="n">
        <v>0</v>
      </c>
      <c r="L42" t="n">
        <v>0</v>
      </c>
      <c r="M42" t="n">
        <v>0</v>
      </c>
      <c r="N42" t="n">
        <v>0</v>
      </c>
      <c r="O42" t="n">
        <v>3</v>
      </c>
      <c r="P42" t="n">
        <v>0</v>
      </c>
      <c r="Q42" t="n">
        <v>3</v>
      </c>
      <c r="R42" s="2" t="inlineStr">
        <is>
          <t>Garnlav
Kolflarnlav
Vedskivlav</t>
        </is>
      </c>
      <c r="S42">
        <f>HYPERLINK("https://klasma.github.io/Logging_1737/artfynd/A 24010-2019 artfynd.xlsx", "A 24010-2019")</f>
        <v/>
      </c>
      <c r="T42">
        <f>HYPERLINK("https://klasma.github.io/Logging_1737/kartor/A 24010-2019 karta.png", "A 24010-2019")</f>
        <v/>
      </c>
      <c r="V42">
        <f>HYPERLINK("https://klasma.github.io/Logging_1737/klagomål/A 24010-2019 FSC-klagomål.docx", "A 24010-2019")</f>
        <v/>
      </c>
      <c r="W42">
        <f>HYPERLINK("https://klasma.github.io/Logging_1737/klagomålsmail/A 24010-2019 FSC-klagomål mail.docx", "A 24010-2019")</f>
        <v/>
      </c>
      <c r="X42">
        <f>HYPERLINK("https://klasma.github.io/Logging_1737/tillsyn/A 24010-2019 tillsynsbegäran.docx", "A 24010-2019")</f>
        <v/>
      </c>
      <c r="Y42">
        <f>HYPERLINK("https://klasma.github.io/Logging_1737/tillsynsmail/A 24010-2019 tillsynsbegäran mail.docx", "A 24010-2019")</f>
        <v/>
      </c>
    </row>
    <row r="43" ht="15" customHeight="1">
      <c r="A43" t="inlineStr">
        <is>
          <t>A 26919-2019</t>
        </is>
      </c>
      <c r="B43" s="1" t="n">
        <v>43613</v>
      </c>
      <c r="C43" s="1" t="n">
        <v>45472</v>
      </c>
      <c r="D43" t="inlineStr">
        <is>
          <t>VÄRMLANDS LÄN</t>
        </is>
      </c>
      <c r="E43" t="inlineStr">
        <is>
          <t>TORSBY</t>
        </is>
      </c>
      <c r="G43" t="n">
        <v>4.6</v>
      </c>
      <c r="H43" t="n">
        <v>0</v>
      </c>
      <c r="I43" t="n">
        <v>0</v>
      </c>
      <c r="J43" t="n">
        <v>2</v>
      </c>
      <c r="K43" t="n">
        <v>0</v>
      </c>
      <c r="L43" t="n">
        <v>1</v>
      </c>
      <c r="M43" t="n">
        <v>0</v>
      </c>
      <c r="N43" t="n">
        <v>0</v>
      </c>
      <c r="O43" t="n">
        <v>3</v>
      </c>
      <c r="P43" t="n">
        <v>1</v>
      </c>
      <c r="Q43" t="n">
        <v>3</v>
      </c>
      <c r="R43" s="2" t="inlineStr">
        <is>
          <t>Broktagel
Lunglav
Violettgrå tagellav</t>
        </is>
      </c>
      <c r="S43">
        <f>HYPERLINK("https://klasma.github.io/Logging_1737/artfynd/A 26919-2019 artfynd.xlsx", "A 26919-2019")</f>
        <v/>
      </c>
      <c r="T43">
        <f>HYPERLINK("https://klasma.github.io/Logging_1737/kartor/A 26919-2019 karta.png", "A 26919-2019")</f>
        <v/>
      </c>
      <c r="V43">
        <f>HYPERLINK("https://klasma.github.io/Logging_1737/klagomål/A 26919-2019 FSC-klagomål.docx", "A 26919-2019")</f>
        <v/>
      </c>
      <c r="W43">
        <f>HYPERLINK("https://klasma.github.io/Logging_1737/klagomålsmail/A 26919-2019 FSC-klagomål mail.docx", "A 26919-2019")</f>
        <v/>
      </c>
      <c r="X43">
        <f>HYPERLINK("https://klasma.github.io/Logging_1737/tillsyn/A 26919-2019 tillsynsbegäran.docx", "A 26919-2019")</f>
        <v/>
      </c>
      <c r="Y43">
        <f>HYPERLINK("https://klasma.github.io/Logging_1737/tillsynsmail/A 26919-2019 tillsynsbegäran mail.docx", "A 26919-2019")</f>
        <v/>
      </c>
    </row>
    <row r="44" ht="15" customHeight="1">
      <c r="A44" t="inlineStr">
        <is>
          <t>A 32928-2019</t>
        </is>
      </c>
      <c r="B44" s="1" t="n">
        <v>43648</v>
      </c>
      <c r="C44" s="1" t="n">
        <v>45472</v>
      </c>
      <c r="D44" t="inlineStr">
        <is>
          <t>VÄRMLANDS LÄN</t>
        </is>
      </c>
      <c r="E44" t="inlineStr">
        <is>
          <t>TORSBY</t>
        </is>
      </c>
      <c r="G44" t="n">
        <v>5.3</v>
      </c>
      <c r="H44" t="n">
        <v>0</v>
      </c>
      <c r="I44" t="n">
        <v>0</v>
      </c>
      <c r="J44" t="n">
        <v>3</v>
      </c>
      <c r="K44" t="n">
        <v>0</v>
      </c>
      <c r="L44" t="n">
        <v>0</v>
      </c>
      <c r="M44" t="n">
        <v>0</v>
      </c>
      <c r="N44" t="n">
        <v>0</v>
      </c>
      <c r="O44" t="n">
        <v>3</v>
      </c>
      <c r="P44" t="n">
        <v>0</v>
      </c>
      <c r="Q44" t="n">
        <v>3</v>
      </c>
      <c r="R44" s="2" t="inlineStr">
        <is>
          <t>Garnlav
Lunglav
Skrovellav</t>
        </is>
      </c>
      <c r="S44">
        <f>HYPERLINK("https://klasma.github.io/Logging_1737/artfynd/A 32928-2019 artfynd.xlsx", "A 32928-2019")</f>
        <v/>
      </c>
      <c r="T44">
        <f>HYPERLINK("https://klasma.github.io/Logging_1737/kartor/A 32928-2019 karta.png", "A 32928-2019")</f>
        <v/>
      </c>
      <c r="V44">
        <f>HYPERLINK("https://klasma.github.io/Logging_1737/klagomål/A 32928-2019 FSC-klagomål.docx", "A 32928-2019")</f>
        <v/>
      </c>
      <c r="W44">
        <f>HYPERLINK("https://klasma.github.io/Logging_1737/klagomålsmail/A 32928-2019 FSC-klagomål mail.docx", "A 32928-2019")</f>
        <v/>
      </c>
      <c r="X44">
        <f>HYPERLINK("https://klasma.github.io/Logging_1737/tillsyn/A 32928-2019 tillsynsbegäran.docx", "A 32928-2019")</f>
        <v/>
      </c>
      <c r="Y44">
        <f>HYPERLINK("https://klasma.github.io/Logging_1737/tillsynsmail/A 32928-2019 tillsynsbegäran mail.docx", "A 32928-2019")</f>
        <v/>
      </c>
    </row>
    <row r="45" ht="15" customHeight="1">
      <c r="A45" t="inlineStr">
        <is>
          <t>A 38932-2019</t>
        </is>
      </c>
      <c r="B45" s="1" t="n">
        <v>43689</v>
      </c>
      <c r="C45" s="1" t="n">
        <v>45472</v>
      </c>
      <c r="D45" t="inlineStr">
        <is>
          <t>VÄRMLANDS LÄN</t>
        </is>
      </c>
      <c r="E45" t="inlineStr">
        <is>
          <t>TORSBY</t>
        </is>
      </c>
      <c r="G45" t="n">
        <v>1.3</v>
      </c>
      <c r="H45" t="n">
        <v>3</v>
      </c>
      <c r="I45" t="n">
        <v>0</v>
      </c>
      <c r="J45" t="n">
        <v>3</v>
      </c>
      <c r="K45" t="n">
        <v>0</v>
      </c>
      <c r="L45" t="n">
        <v>0</v>
      </c>
      <c r="M45" t="n">
        <v>0</v>
      </c>
      <c r="N45" t="n">
        <v>0</v>
      </c>
      <c r="O45" t="n">
        <v>3</v>
      </c>
      <c r="P45" t="n">
        <v>0</v>
      </c>
      <c r="Q45" t="n">
        <v>3</v>
      </c>
      <c r="R45" s="2" t="inlineStr">
        <is>
          <t>Buskskvätta
Grönsångare
Gulsparv</t>
        </is>
      </c>
      <c r="S45">
        <f>HYPERLINK("https://klasma.github.io/Logging_1737/artfynd/A 38932-2019 artfynd.xlsx", "A 38932-2019")</f>
        <v/>
      </c>
      <c r="T45">
        <f>HYPERLINK("https://klasma.github.io/Logging_1737/kartor/A 38932-2019 karta.png", "A 38932-2019")</f>
        <v/>
      </c>
      <c r="V45">
        <f>HYPERLINK("https://klasma.github.io/Logging_1737/klagomål/A 38932-2019 FSC-klagomål.docx", "A 38932-2019")</f>
        <v/>
      </c>
      <c r="W45">
        <f>HYPERLINK("https://klasma.github.io/Logging_1737/klagomålsmail/A 38932-2019 FSC-klagomål mail.docx", "A 38932-2019")</f>
        <v/>
      </c>
      <c r="X45">
        <f>HYPERLINK("https://klasma.github.io/Logging_1737/tillsyn/A 38932-2019 tillsynsbegäran.docx", "A 38932-2019")</f>
        <v/>
      </c>
      <c r="Y45">
        <f>HYPERLINK("https://klasma.github.io/Logging_1737/tillsynsmail/A 38932-2019 tillsynsbegäran mail.docx", "A 38932-2019")</f>
        <v/>
      </c>
      <c r="Z45">
        <f>HYPERLINK("https://klasma.github.io/Logging_1737/fåglar/A 38932-2019 prioriterade fågelarter.docx", "A 38932-2019")</f>
        <v/>
      </c>
    </row>
    <row r="46" ht="15" customHeight="1">
      <c r="A46" t="inlineStr">
        <is>
          <t>A 65913-2019</t>
        </is>
      </c>
      <c r="B46" s="1" t="n">
        <v>43805</v>
      </c>
      <c r="C46" s="1" t="n">
        <v>45472</v>
      </c>
      <c r="D46" t="inlineStr">
        <is>
          <t>VÄRMLANDS LÄN</t>
        </is>
      </c>
      <c r="E46" t="inlineStr">
        <is>
          <t>TORSBY</t>
        </is>
      </c>
      <c r="G46" t="n">
        <v>2.9</v>
      </c>
      <c r="H46" t="n">
        <v>3</v>
      </c>
      <c r="I46" t="n">
        <v>0</v>
      </c>
      <c r="J46" t="n">
        <v>3</v>
      </c>
      <c r="K46" t="n">
        <v>0</v>
      </c>
      <c r="L46" t="n">
        <v>0</v>
      </c>
      <c r="M46" t="n">
        <v>0</v>
      </c>
      <c r="N46" t="n">
        <v>0</v>
      </c>
      <c r="O46" t="n">
        <v>3</v>
      </c>
      <c r="P46" t="n">
        <v>0</v>
      </c>
      <c r="Q46" t="n">
        <v>3</v>
      </c>
      <c r="R46" s="2" t="inlineStr">
        <is>
          <t>Kråka
Spillkråka
Talltita</t>
        </is>
      </c>
      <c r="S46">
        <f>HYPERLINK("https://klasma.github.io/Logging_1737/artfynd/A 65913-2019 artfynd.xlsx", "A 65913-2019")</f>
        <v/>
      </c>
      <c r="T46">
        <f>HYPERLINK("https://klasma.github.io/Logging_1737/kartor/A 65913-2019 karta.png", "A 65913-2019")</f>
        <v/>
      </c>
      <c r="V46">
        <f>HYPERLINK("https://klasma.github.io/Logging_1737/klagomål/A 65913-2019 FSC-klagomål.docx", "A 65913-2019")</f>
        <v/>
      </c>
      <c r="W46">
        <f>HYPERLINK("https://klasma.github.io/Logging_1737/klagomålsmail/A 65913-2019 FSC-klagomål mail.docx", "A 65913-2019")</f>
        <v/>
      </c>
      <c r="X46">
        <f>HYPERLINK("https://klasma.github.io/Logging_1737/tillsyn/A 65913-2019 tillsynsbegäran.docx", "A 65913-2019")</f>
        <v/>
      </c>
      <c r="Y46">
        <f>HYPERLINK("https://klasma.github.io/Logging_1737/tillsynsmail/A 65913-2019 tillsynsbegäran mail.docx", "A 65913-2019")</f>
        <v/>
      </c>
      <c r="Z46">
        <f>HYPERLINK("https://klasma.github.io/Logging_1737/fåglar/A 65913-2019 prioriterade fågelarter.docx", "A 65913-2019")</f>
        <v/>
      </c>
    </row>
    <row r="47" ht="15" customHeight="1">
      <c r="A47" t="inlineStr">
        <is>
          <t>A 10035-2020</t>
        </is>
      </c>
      <c r="B47" s="1" t="n">
        <v>43882</v>
      </c>
      <c r="C47" s="1" t="n">
        <v>45472</v>
      </c>
      <c r="D47" t="inlineStr">
        <is>
          <t>VÄRMLANDS LÄN</t>
        </is>
      </c>
      <c r="E47" t="inlineStr">
        <is>
          <t>TORSBY</t>
        </is>
      </c>
      <c r="F47" t="inlineStr">
        <is>
          <t>Kyrkan</t>
        </is>
      </c>
      <c r="G47" t="n">
        <v>11.2</v>
      </c>
      <c r="H47" t="n">
        <v>0</v>
      </c>
      <c r="I47" t="n">
        <v>0</v>
      </c>
      <c r="J47" t="n">
        <v>3</v>
      </c>
      <c r="K47" t="n">
        <v>0</v>
      </c>
      <c r="L47" t="n">
        <v>0</v>
      </c>
      <c r="M47" t="n">
        <v>0</v>
      </c>
      <c r="N47" t="n">
        <v>0</v>
      </c>
      <c r="O47" t="n">
        <v>3</v>
      </c>
      <c r="P47" t="n">
        <v>0</v>
      </c>
      <c r="Q47" t="n">
        <v>3</v>
      </c>
      <c r="R47" s="2" t="inlineStr">
        <is>
          <t>Garnlav
Kolflarnlav
Mörk kolflarnlav</t>
        </is>
      </c>
      <c r="S47">
        <f>HYPERLINK("https://klasma.github.io/Logging_1737/artfynd/A 10035-2020 artfynd.xlsx", "A 10035-2020")</f>
        <v/>
      </c>
      <c r="T47">
        <f>HYPERLINK("https://klasma.github.io/Logging_1737/kartor/A 10035-2020 karta.png", "A 10035-2020")</f>
        <v/>
      </c>
      <c r="V47">
        <f>HYPERLINK("https://klasma.github.io/Logging_1737/klagomål/A 10035-2020 FSC-klagomål.docx", "A 10035-2020")</f>
        <v/>
      </c>
      <c r="W47">
        <f>HYPERLINK("https://klasma.github.io/Logging_1737/klagomålsmail/A 10035-2020 FSC-klagomål mail.docx", "A 10035-2020")</f>
        <v/>
      </c>
      <c r="X47">
        <f>HYPERLINK("https://klasma.github.io/Logging_1737/tillsyn/A 10035-2020 tillsynsbegäran.docx", "A 10035-2020")</f>
        <v/>
      </c>
      <c r="Y47">
        <f>HYPERLINK("https://klasma.github.io/Logging_1737/tillsynsmail/A 10035-2020 tillsynsbegäran mail.docx", "A 10035-2020")</f>
        <v/>
      </c>
    </row>
    <row r="48" ht="15" customHeight="1">
      <c r="A48" t="inlineStr">
        <is>
          <t>A 46200-2020</t>
        </is>
      </c>
      <c r="B48" s="1" t="n">
        <v>44092</v>
      </c>
      <c r="C48" s="1" t="n">
        <v>45472</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45472</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45472</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45472</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45472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45472</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45472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45472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45472</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29560-2023</t>
        </is>
      </c>
      <c r="B57" s="1" t="n">
        <v>45106</v>
      </c>
      <c r="C57" s="1" t="n">
        <v>45472</v>
      </c>
      <c r="D57" t="inlineStr">
        <is>
          <t>VÄRMLANDS LÄN</t>
        </is>
      </c>
      <c r="E57" t="inlineStr">
        <is>
          <t>TORSBY</t>
        </is>
      </c>
      <c r="G57" t="n">
        <v>10.3</v>
      </c>
      <c r="H57" t="n">
        <v>2</v>
      </c>
      <c r="I57" t="n">
        <v>1</v>
      </c>
      <c r="J57" t="n">
        <v>1</v>
      </c>
      <c r="K57" t="n">
        <v>0</v>
      </c>
      <c r="L57" t="n">
        <v>0</v>
      </c>
      <c r="M57" t="n">
        <v>0</v>
      </c>
      <c r="N57" t="n">
        <v>0</v>
      </c>
      <c r="O57" t="n">
        <v>1</v>
      </c>
      <c r="P57" t="n">
        <v>0</v>
      </c>
      <c r="Q57" t="n">
        <v>3</v>
      </c>
      <c r="R57" s="2" t="inlineStr">
        <is>
          <t>Spillkråka
Tibast
Orre</t>
        </is>
      </c>
      <c r="S57">
        <f>HYPERLINK("https://klasma.github.io/Logging_1737/artfynd/A 29560-2023 artfynd.xlsx", "A 29560-2023")</f>
        <v/>
      </c>
      <c r="T57">
        <f>HYPERLINK("https://klasma.github.io/Logging_1737/kartor/A 29560-2023 karta.png", "A 29560-2023")</f>
        <v/>
      </c>
      <c r="V57">
        <f>HYPERLINK("https://klasma.github.io/Logging_1737/klagomål/A 29560-2023 FSC-klagomål.docx", "A 29560-2023")</f>
        <v/>
      </c>
      <c r="W57">
        <f>HYPERLINK("https://klasma.github.io/Logging_1737/klagomålsmail/A 29560-2023 FSC-klagomål mail.docx", "A 29560-2023")</f>
        <v/>
      </c>
      <c r="X57">
        <f>HYPERLINK("https://klasma.github.io/Logging_1737/tillsyn/A 29560-2023 tillsynsbegäran.docx", "A 29560-2023")</f>
        <v/>
      </c>
      <c r="Y57">
        <f>HYPERLINK("https://klasma.github.io/Logging_1737/tillsynsmail/A 29560-2023 tillsynsbegäran mail.docx", "A 29560-2023")</f>
        <v/>
      </c>
      <c r="Z57">
        <f>HYPERLINK("https://klasma.github.io/Logging_1737/fåglar/A 29560-2023 prioriterade fågelarter.docx", "A 29560-2023")</f>
        <v/>
      </c>
    </row>
    <row r="58" ht="15" customHeight="1">
      <c r="A58" t="inlineStr">
        <is>
          <t>A 42590-2023</t>
        </is>
      </c>
      <c r="B58" s="1" t="n">
        <v>45181</v>
      </c>
      <c r="C58" s="1" t="n">
        <v>45472</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46016-2023</t>
        </is>
      </c>
      <c r="B59" s="1" t="n">
        <v>45196</v>
      </c>
      <c r="C59" s="1" t="n">
        <v>45472</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3099-2024</t>
        </is>
      </c>
      <c r="B60" s="1" t="n">
        <v>45316</v>
      </c>
      <c r="C60" s="1" t="n">
        <v>45472</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5680-2024</t>
        </is>
      </c>
      <c r="B61" s="1" t="n">
        <v>45334</v>
      </c>
      <c r="C61" s="1" t="n">
        <v>45472</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18528-2019</t>
        </is>
      </c>
      <c r="B62" s="1" t="n">
        <v>43559</v>
      </c>
      <c r="C62" s="1" t="n">
        <v>45472</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47423-2019</t>
        </is>
      </c>
      <c r="B63" s="1" t="n">
        <v>43723</v>
      </c>
      <c r="C63" s="1" t="n">
        <v>45472</v>
      </c>
      <c r="D63" t="inlineStr">
        <is>
          <t>VÄRMLANDS LÄN</t>
        </is>
      </c>
      <c r="E63" t="inlineStr">
        <is>
          <t>TORSBY</t>
        </is>
      </c>
      <c r="G63" t="n">
        <v>5.1</v>
      </c>
      <c r="H63" t="n">
        <v>0</v>
      </c>
      <c r="I63" t="n">
        <v>0</v>
      </c>
      <c r="J63" t="n">
        <v>2</v>
      </c>
      <c r="K63" t="n">
        <v>0</v>
      </c>
      <c r="L63" t="n">
        <v>0</v>
      </c>
      <c r="M63" t="n">
        <v>0</v>
      </c>
      <c r="N63" t="n">
        <v>0</v>
      </c>
      <c r="O63" t="n">
        <v>2</v>
      </c>
      <c r="P63" t="n">
        <v>0</v>
      </c>
      <c r="Q63" t="n">
        <v>2</v>
      </c>
      <c r="R63" s="2" t="inlineStr">
        <is>
          <t>Gammelgransskål
Garnlav</t>
        </is>
      </c>
      <c r="S63">
        <f>HYPERLINK("https://klasma.github.io/Logging_1737/artfynd/A 47423-2019 artfynd.xlsx", "A 47423-2019")</f>
        <v/>
      </c>
      <c r="T63">
        <f>HYPERLINK("https://klasma.github.io/Logging_1737/kartor/A 47423-2019 karta.png", "A 47423-2019")</f>
        <v/>
      </c>
      <c r="V63">
        <f>HYPERLINK("https://klasma.github.io/Logging_1737/klagomål/A 47423-2019 FSC-klagomål.docx", "A 47423-2019")</f>
        <v/>
      </c>
      <c r="W63">
        <f>HYPERLINK("https://klasma.github.io/Logging_1737/klagomålsmail/A 47423-2019 FSC-klagomål mail.docx", "A 47423-2019")</f>
        <v/>
      </c>
      <c r="X63">
        <f>HYPERLINK("https://klasma.github.io/Logging_1737/tillsyn/A 47423-2019 tillsynsbegäran.docx", "A 47423-2019")</f>
        <v/>
      </c>
      <c r="Y63">
        <f>HYPERLINK("https://klasma.github.io/Logging_1737/tillsynsmail/A 47423-2019 tillsynsbegäran mail.docx", "A 47423-2019")</f>
        <v/>
      </c>
    </row>
    <row r="64" ht="15" customHeight="1">
      <c r="A64" t="inlineStr">
        <is>
          <t>A 60661-2019</t>
        </is>
      </c>
      <c r="B64" s="1" t="n">
        <v>43781</v>
      </c>
      <c r="C64" s="1" t="n">
        <v>45472</v>
      </c>
      <c r="D64" t="inlineStr">
        <is>
          <t>VÄRMLANDS LÄN</t>
        </is>
      </c>
      <c r="E64" t="inlineStr">
        <is>
          <t>TORSBY</t>
        </is>
      </c>
      <c r="F64" t="inlineStr">
        <is>
          <t>Bergvik skog väst AB</t>
        </is>
      </c>
      <c r="G64" t="n">
        <v>40.4</v>
      </c>
      <c r="H64" t="n">
        <v>2</v>
      </c>
      <c r="I64" t="n">
        <v>0</v>
      </c>
      <c r="J64" t="n">
        <v>2</v>
      </c>
      <c r="K64" t="n">
        <v>0</v>
      </c>
      <c r="L64" t="n">
        <v>0</v>
      </c>
      <c r="M64" t="n">
        <v>0</v>
      </c>
      <c r="N64" t="n">
        <v>0</v>
      </c>
      <c r="O64" t="n">
        <v>2</v>
      </c>
      <c r="P64" t="n">
        <v>0</v>
      </c>
      <c r="Q64" t="n">
        <v>2</v>
      </c>
      <c r="R64" s="2" t="inlineStr">
        <is>
          <t>Kråka
Spillkråka</t>
        </is>
      </c>
      <c r="S64">
        <f>HYPERLINK("https://klasma.github.io/Logging_1737/artfynd/A 60661-2019 artfynd.xlsx", "A 60661-2019")</f>
        <v/>
      </c>
      <c r="T64">
        <f>HYPERLINK("https://klasma.github.io/Logging_1737/kartor/A 60661-2019 karta.png", "A 60661-2019")</f>
        <v/>
      </c>
      <c r="V64">
        <f>HYPERLINK("https://klasma.github.io/Logging_1737/klagomål/A 60661-2019 FSC-klagomål.docx", "A 60661-2019")</f>
        <v/>
      </c>
      <c r="W64">
        <f>HYPERLINK("https://klasma.github.io/Logging_1737/klagomålsmail/A 60661-2019 FSC-klagomål mail.docx", "A 60661-2019")</f>
        <v/>
      </c>
      <c r="X64">
        <f>HYPERLINK("https://klasma.github.io/Logging_1737/tillsyn/A 60661-2019 tillsynsbegäran.docx", "A 60661-2019")</f>
        <v/>
      </c>
      <c r="Y64">
        <f>HYPERLINK("https://klasma.github.io/Logging_1737/tillsynsmail/A 60661-2019 tillsynsbegäran mail.docx", "A 60661-2019")</f>
        <v/>
      </c>
      <c r="Z64">
        <f>HYPERLINK("https://klasma.github.io/Logging_1737/fåglar/A 60661-2019 prioriterade fågelarter.docx", "A 60661-2019")</f>
        <v/>
      </c>
    </row>
    <row r="65" ht="15" customHeight="1">
      <c r="A65" t="inlineStr">
        <is>
          <t>A 53198-2020</t>
        </is>
      </c>
      <c r="B65" s="1" t="n">
        <v>44122</v>
      </c>
      <c r="C65" s="1" t="n">
        <v>45472</v>
      </c>
      <c r="D65" t="inlineStr">
        <is>
          <t>VÄRMLANDS LÄN</t>
        </is>
      </c>
      <c r="E65" t="inlineStr">
        <is>
          <t>TORSBY</t>
        </is>
      </c>
      <c r="G65" t="n">
        <v>6.5</v>
      </c>
      <c r="H65" t="n">
        <v>0</v>
      </c>
      <c r="I65" t="n">
        <v>0</v>
      </c>
      <c r="J65" t="n">
        <v>2</v>
      </c>
      <c r="K65" t="n">
        <v>0</v>
      </c>
      <c r="L65" t="n">
        <v>0</v>
      </c>
      <c r="M65" t="n">
        <v>0</v>
      </c>
      <c r="N65" t="n">
        <v>0</v>
      </c>
      <c r="O65" t="n">
        <v>2</v>
      </c>
      <c r="P65" t="n">
        <v>0</v>
      </c>
      <c r="Q65" t="n">
        <v>2</v>
      </c>
      <c r="R65" s="2" t="inlineStr">
        <is>
          <t>Garnlav
Kolflarnlav</t>
        </is>
      </c>
      <c r="S65">
        <f>HYPERLINK("https://klasma.github.io/Logging_1737/artfynd/A 53198-2020 artfynd.xlsx", "A 53198-2020")</f>
        <v/>
      </c>
      <c r="T65">
        <f>HYPERLINK("https://klasma.github.io/Logging_1737/kartor/A 53198-2020 karta.png", "A 53198-2020")</f>
        <v/>
      </c>
      <c r="V65">
        <f>HYPERLINK("https://klasma.github.io/Logging_1737/klagomål/A 53198-2020 FSC-klagomål.docx", "A 53198-2020")</f>
        <v/>
      </c>
      <c r="W65">
        <f>HYPERLINK("https://klasma.github.io/Logging_1737/klagomålsmail/A 53198-2020 FSC-klagomål mail.docx", "A 53198-2020")</f>
        <v/>
      </c>
      <c r="X65">
        <f>HYPERLINK("https://klasma.github.io/Logging_1737/tillsyn/A 53198-2020 tillsynsbegäran.docx", "A 53198-2020")</f>
        <v/>
      </c>
      <c r="Y65">
        <f>HYPERLINK("https://klasma.github.io/Logging_1737/tillsynsmail/A 53198-2020 tillsynsbegäran mail.docx", "A 53198-2020")</f>
        <v/>
      </c>
    </row>
    <row r="66" ht="15" customHeight="1">
      <c r="A66" t="inlineStr">
        <is>
          <t>A 1524-2021</t>
        </is>
      </c>
      <c r="B66" s="1" t="n">
        <v>44209</v>
      </c>
      <c r="C66" s="1" t="n">
        <v>45472</v>
      </c>
      <c r="D66" t="inlineStr">
        <is>
          <t>VÄRMLANDS LÄN</t>
        </is>
      </c>
      <c r="E66" t="inlineStr">
        <is>
          <t>TORSBY</t>
        </is>
      </c>
      <c r="G66" t="n">
        <v>1</v>
      </c>
      <c r="H66" t="n">
        <v>0</v>
      </c>
      <c r="I66" t="n">
        <v>2</v>
      </c>
      <c r="J66" t="n">
        <v>0</v>
      </c>
      <c r="K66" t="n">
        <v>0</v>
      </c>
      <c r="L66" t="n">
        <v>0</v>
      </c>
      <c r="M66" t="n">
        <v>0</v>
      </c>
      <c r="N66" t="n">
        <v>0</v>
      </c>
      <c r="O66" t="n">
        <v>0</v>
      </c>
      <c r="P66" t="n">
        <v>0</v>
      </c>
      <c r="Q66" t="n">
        <v>2</v>
      </c>
      <c r="R66" s="2" t="inlineStr">
        <is>
          <t>Dropptaggsvamp
Skarp dropptaggsvamp</t>
        </is>
      </c>
      <c r="S66">
        <f>HYPERLINK("https://klasma.github.io/Logging_1737/artfynd/A 1524-2021 artfynd.xlsx", "A 1524-2021")</f>
        <v/>
      </c>
      <c r="T66">
        <f>HYPERLINK("https://klasma.github.io/Logging_1737/kartor/A 1524-2021 karta.png", "A 1524-2021")</f>
        <v/>
      </c>
      <c r="V66">
        <f>HYPERLINK("https://klasma.github.io/Logging_1737/klagomål/A 1524-2021 FSC-klagomål.docx", "A 1524-2021")</f>
        <v/>
      </c>
      <c r="W66">
        <f>HYPERLINK("https://klasma.github.io/Logging_1737/klagomålsmail/A 1524-2021 FSC-klagomål mail.docx", "A 1524-2021")</f>
        <v/>
      </c>
      <c r="X66">
        <f>HYPERLINK("https://klasma.github.io/Logging_1737/tillsyn/A 1524-2021 tillsynsbegäran.docx", "A 1524-2021")</f>
        <v/>
      </c>
      <c r="Y66">
        <f>HYPERLINK("https://klasma.github.io/Logging_1737/tillsynsmail/A 1524-2021 tillsynsbegäran mail.docx", "A 1524-2021")</f>
        <v/>
      </c>
    </row>
    <row r="67" ht="15" customHeight="1">
      <c r="A67" t="inlineStr">
        <is>
          <t>A 43023-2021</t>
        </is>
      </c>
      <c r="B67" s="1" t="n">
        <v>44431</v>
      </c>
      <c r="C67" s="1" t="n">
        <v>45472</v>
      </c>
      <c r="D67" t="inlineStr">
        <is>
          <t>VÄRMLANDS LÄN</t>
        </is>
      </c>
      <c r="E67" t="inlineStr">
        <is>
          <t>TORSBY</t>
        </is>
      </c>
      <c r="G67" t="n">
        <v>1</v>
      </c>
      <c r="H67" t="n">
        <v>0</v>
      </c>
      <c r="I67" t="n">
        <v>0</v>
      </c>
      <c r="J67" t="n">
        <v>2</v>
      </c>
      <c r="K67" t="n">
        <v>0</v>
      </c>
      <c r="L67" t="n">
        <v>0</v>
      </c>
      <c r="M67" t="n">
        <v>0</v>
      </c>
      <c r="N67" t="n">
        <v>0</v>
      </c>
      <c r="O67" t="n">
        <v>2</v>
      </c>
      <c r="P67" t="n">
        <v>0</v>
      </c>
      <c r="Q67" t="n">
        <v>2</v>
      </c>
      <c r="R67" s="2" t="inlineStr">
        <is>
          <t>Doftskinn
Violettgrå tagellav</t>
        </is>
      </c>
      <c r="S67">
        <f>HYPERLINK("https://klasma.github.io/Logging_1737/artfynd/A 43023-2021 artfynd.xlsx", "A 43023-2021")</f>
        <v/>
      </c>
      <c r="T67">
        <f>HYPERLINK("https://klasma.github.io/Logging_1737/kartor/A 43023-2021 karta.png", "A 43023-2021")</f>
        <v/>
      </c>
      <c r="V67">
        <f>HYPERLINK("https://klasma.github.io/Logging_1737/klagomål/A 43023-2021 FSC-klagomål.docx", "A 43023-2021")</f>
        <v/>
      </c>
      <c r="W67">
        <f>HYPERLINK("https://klasma.github.io/Logging_1737/klagomålsmail/A 43023-2021 FSC-klagomål mail.docx", "A 43023-2021")</f>
        <v/>
      </c>
      <c r="X67">
        <f>HYPERLINK("https://klasma.github.io/Logging_1737/tillsyn/A 43023-2021 tillsynsbegäran.docx", "A 43023-2021")</f>
        <v/>
      </c>
      <c r="Y67">
        <f>HYPERLINK("https://klasma.github.io/Logging_1737/tillsynsmail/A 43023-2021 tillsynsbegäran mail.docx", "A 43023-2021")</f>
        <v/>
      </c>
    </row>
    <row r="68" ht="15" customHeight="1">
      <c r="A68" t="inlineStr">
        <is>
          <t>A 12375-2022</t>
        </is>
      </c>
      <c r="B68" s="1" t="n">
        <v>44637</v>
      </c>
      <c r="C68" s="1" t="n">
        <v>45472</v>
      </c>
      <c r="D68" t="inlineStr">
        <is>
          <t>VÄRMLANDS LÄN</t>
        </is>
      </c>
      <c r="E68" t="inlineStr">
        <is>
          <t>TORSBY</t>
        </is>
      </c>
      <c r="G68" t="n">
        <v>5.8</v>
      </c>
      <c r="H68" t="n">
        <v>0</v>
      </c>
      <c r="I68" t="n">
        <v>1</v>
      </c>
      <c r="J68" t="n">
        <v>1</v>
      </c>
      <c r="K68" t="n">
        <v>0</v>
      </c>
      <c r="L68" t="n">
        <v>0</v>
      </c>
      <c r="M68" t="n">
        <v>0</v>
      </c>
      <c r="N68" t="n">
        <v>0</v>
      </c>
      <c r="O68" t="n">
        <v>1</v>
      </c>
      <c r="P68" t="n">
        <v>0</v>
      </c>
      <c r="Q68" t="n">
        <v>2</v>
      </c>
      <c r="R68" s="2" t="inlineStr">
        <is>
          <t>Garnlav
Nästlav</t>
        </is>
      </c>
      <c r="S68">
        <f>HYPERLINK("https://klasma.github.io/Logging_1737/artfynd/A 12375-2022 artfynd.xlsx", "A 12375-2022")</f>
        <v/>
      </c>
      <c r="T68">
        <f>HYPERLINK("https://klasma.github.io/Logging_1737/kartor/A 12375-2022 karta.png", "A 12375-2022")</f>
        <v/>
      </c>
      <c r="V68">
        <f>HYPERLINK("https://klasma.github.io/Logging_1737/klagomål/A 12375-2022 FSC-klagomål.docx", "A 12375-2022")</f>
        <v/>
      </c>
      <c r="W68">
        <f>HYPERLINK("https://klasma.github.io/Logging_1737/klagomålsmail/A 12375-2022 FSC-klagomål mail.docx", "A 12375-2022")</f>
        <v/>
      </c>
      <c r="X68">
        <f>HYPERLINK("https://klasma.github.io/Logging_1737/tillsyn/A 12375-2022 tillsynsbegäran.docx", "A 12375-2022")</f>
        <v/>
      </c>
      <c r="Y68">
        <f>HYPERLINK("https://klasma.github.io/Logging_1737/tillsynsmail/A 12375-2022 tillsynsbegäran mail.docx", "A 12375-2022")</f>
        <v/>
      </c>
    </row>
    <row r="69" ht="15" customHeight="1">
      <c r="A69" t="inlineStr">
        <is>
          <t>A 12372-2022</t>
        </is>
      </c>
      <c r="B69" s="1" t="n">
        <v>44637</v>
      </c>
      <c r="C69" s="1" t="n">
        <v>45472</v>
      </c>
      <c r="D69" t="inlineStr">
        <is>
          <t>VÄRMLANDS LÄN</t>
        </is>
      </c>
      <c r="E69" t="inlineStr">
        <is>
          <t>TORSBY</t>
        </is>
      </c>
      <c r="G69" t="n">
        <v>3.4</v>
      </c>
      <c r="H69" t="n">
        <v>0</v>
      </c>
      <c r="I69" t="n">
        <v>0</v>
      </c>
      <c r="J69" t="n">
        <v>2</v>
      </c>
      <c r="K69" t="n">
        <v>0</v>
      </c>
      <c r="L69" t="n">
        <v>0</v>
      </c>
      <c r="M69" t="n">
        <v>0</v>
      </c>
      <c r="N69" t="n">
        <v>0</v>
      </c>
      <c r="O69" t="n">
        <v>2</v>
      </c>
      <c r="P69" t="n">
        <v>0</v>
      </c>
      <c r="Q69" t="n">
        <v>2</v>
      </c>
      <c r="R69" s="2" t="inlineStr">
        <is>
          <t>Gammelgransskål
Garnlav</t>
        </is>
      </c>
      <c r="S69">
        <f>HYPERLINK("https://klasma.github.io/Logging_1737/artfynd/A 12372-2022 artfynd.xlsx", "A 12372-2022")</f>
        <v/>
      </c>
      <c r="T69">
        <f>HYPERLINK("https://klasma.github.io/Logging_1737/kartor/A 12372-2022 karta.png", "A 12372-2022")</f>
        <v/>
      </c>
      <c r="V69">
        <f>HYPERLINK("https://klasma.github.io/Logging_1737/klagomål/A 12372-2022 FSC-klagomål.docx", "A 12372-2022")</f>
        <v/>
      </c>
      <c r="W69">
        <f>HYPERLINK("https://klasma.github.io/Logging_1737/klagomålsmail/A 12372-2022 FSC-klagomål mail.docx", "A 12372-2022")</f>
        <v/>
      </c>
      <c r="X69">
        <f>HYPERLINK("https://klasma.github.io/Logging_1737/tillsyn/A 12372-2022 tillsynsbegäran.docx", "A 12372-2022")</f>
        <v/>
      </c>
      <c r="Y69">
        <f>HYPERLINK("https://klasma.github.io/Logging_1737/tillsynsmail/A 12372-2022 tillsynsbegäran mail.docx", "A 12372-2022")</f>
        <v/>
      </c>
    </row>
    <row r="70" ht="15" customHeight="1">
      <c r="A70" t="inlineStr">
        <is>
          <t>A 28156-2022</t>
        </is>
      </c>
      <c r="B70" s="1" t="n">
        <v>44746</v>
      </c>
      <c r="C70" s="1" t="n">
        <v>45472</v>
      </c>
      <c r="D70" t="inlineStr">
        <is>
          <t>VÄRMLANDS LÄN</t>
        </is>
      </c>
      <c r="E70" t="inlineStr">
        <is>
          <t>TORSBY</t>
        </is>
      </c>
      <c r="F70" t="inlineStr">
        <is>
          <t>Bergvik skog väst AB</t>
        </is>
      </c>
      <c r="G70" t="n">
        <v>8.300000000000001</v>
      </c>
      <c r="H70" t="n">
        <v>0</v>
      </c>
      <c r="I70" t="n">
        <v>0</v>
      </c>
      <c r="J70" t="n">
        <v>1</v>
      </c>
      <c r="K70" t="n">
        <v>1</v>
      </c>
      <c r="L70" t="n">
        <v>0</v>
      </c>
      <c r="M70" t="n">
        <v>0</v>
      </c>
      <c r="N70" t="n">
        <v>0</v>
      </c>
      <c r="O70" t="n">
        <v>2</v>
      </c>
      <c r="P70" t="n">
        <v>1</v>
      </c>
      <c r="Q70" t="n">
        <v>2</v>
      </c>
      <c r="R70" s="2" t="inlineStr">
        <is>
          <t>Raggbock
Tallticka</t>
        </is>
      </c>
      <c r="S70">
        <f>HYPERLINK("https://klasma.github.io/Logging_1737/artfynd/A 28156-2022 artfynd.xlsx", "A 28156-2022")</f>
        <v/>
      </c>
      <c r="T70">
        <f>HYPERLINK("https://klasma.github.io/Logging_1737/kartor/A 28156-2022 karta.png", "A 28156-2022")</f>
        <v/>
      </c>
      <c r="V70">
        <f>HYPERLINK("https://klasma.github.io/Logging_1737/klagomål/A 28156-2022 FSC-klagomål.docx", "A 28156-2022")</f>
        <v/>
      </c>
      <c r="W70">
        <f>HYPERLINK("https://klasma.github.io/Logging_1737/klagomålsmail/A 28156-2022 FSC-klagomål mail.docx", "A 28156-2022")</f>
        <v/>
      </c>
      <c r="X70">
        <f>HYPERLINK("https://klasma.github.io/Logging_1737/tillsyn/A 28156-2022 tillsynsbegäran.docx", "A 28156-2022")</f>
        <v/>
      </c>
      <c r="Y70">
        <f>HYPERLINK("https://klasma.github.io/Logging_1737/tillsynsmail/A 28156-2022 tillsynsbegäran mail.docx", "A 28156-2022")</f>
        <v/>
      </c>
    </row>
    <row r="71" ht="15" customHeight="1">
      <c r="A71" t="inlineStr">
        <is>
          <t>A 34930-2022</t>
        </is>
      </c>
      <c r="B71" s="1" t="n">
        <v>44796</v>
      </c>
      <c r="C71" s="1" t="n">
        <v>45472</v>
      </c>
      <c r="D71" t="inlineStr">
        <is>
          <t>VÄRMLANDS LÄN</t>
        </is>
      </c>
      <c r="E71" t="inlineStr">
        <is>
          <t>TORSBY</t>
        </is>
      </c>
      <c r="G71" t="n">
        <v>3.3</v>
      </c>
      <c r="H71" t="n">
        <v>0</v>
      </c>
      <c r="I71" t="n">
        <v>2</v>
      </c>
      <c r="J71" t="n">
        <v>0</v>
      </c>
      <c r="K71" t="n">
        <v>0</v>
      </c>
      <c r="L71" t="n">
        <v>0</v>
      </c>
      <c r="M71" t="n">
        <v>0</v>
      </c>
      <c r="N71" t="n">
        <v>0</v>
      </c>
      <c r="O71" t="n">
        <v>0</v>
      </c>
      <c r="P71" t="n">
        <v>0</v>
      </c>
      <c r="Q71" t="n">
        <v>2</v>
      </c>
      <c r="R71" s="2" t="inlineStr">
        <is>
          <t>Mörk husmossa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2000-2023</t>
        </is>
      </c>
      <c r="B72" s="1" t="n">
        <v>44939</v>
      </c>
      <c r="C72" s="1" t="n">
        <v>45472</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45472</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13364-2023</t>
        </is>
      </c>
      <c r="B74" s="1" t="n">
        <v>45005</v>
      </c>
      <c r="C74" s="1" t="n">
        <v>45472</v>
      </c>
      <c r="D74" t="inlineStr">
        <is>
          <t>VÄRMLANDS LÄN</t>
        </is>
      </c>
      <c r="E74" t="inlineStr">
        <is>
          <t>TORSBY</t>
        </is>
      </c>
      <c r="G74" t="n">
        <v>16.3</v>
      </c>
      <c r="H74" t="n">
        <v>0</v>
      </c>
      <c r="I74" t="n">
        <v>1</v>
      </c>
      <c r="J74" t="n">
        <v>1</v>
      </c>
      <c r="K74" t="n">
        <v>0</v>
      </c>
      <c r="L74" t="n">
        <v>0</v>
      </c>
      <c r="M74" t="n">
        <v>0</v>
      </c>
      <c r="N74" t="n">
        <v>0</v>
      </c>
      <c r="O74" t="n">
        <v>1</v>
      </c>
      <c r="P74" t="n">
        <v>0</v>
      </c>
      <c r="Q74" t="n">
        <v>2</v>
      </c>
      <c r="R74" s="2" t="inlineStr">
        <is>
          <t>Mörk kolflarnlav
Dropptaggsvamp</t>
        </is>
      </c>
      <c r="S74">
        <f>HYPERLINK("https://klasma.github.io/Logging_1737/artfynd/A 13364-2023 artfynd.xlsx", "A 13364-2023")</f>
        <v/>
      </c>
      <c r="T74">
        <f>HYPERLINK("https://klasma.github.io/Logging_1737/kartor/A 13364-2023 karta.png", "A 13364-2023")</f>
        <v/>
      </c>
      <c r="V74">
        <f>HYPERLINK("https://klasma.github.io/Logging_1737/klagomål/A 13364-2023 FSC-klagomål.docx", "A 13364-2023")</f>
        <v/>
      </c>
      <c r="W74">
        <f>HYPERLINK("https://klasma.github.io/Logging_1737/klagomålsmail/A 13364-2023 FSC-klagomål mail.docx", "A 13364-2023")</f>
        <v/>
      </c>
      <c r="X74">
        <f>HYPERLINK("https://klasma.github.io/Logging_1737/tillsyn/A 13364-2023 tillsynsbegäran.docx", "A 13364-2023")</f>
        <v/>
      </c>
      <c r="Y74">
        <f>HYPERLINK("https://klasma.github.io/Logging_1737/tillsynsmail/A 13364-2023 tillsynsbegäran mail.docx", "A 13364-2023")</f>
        <v/>
      </c>
    </row>
    <row r="75" ht="15" customHeight="1">
      <c r="A75" t="inlineStr">
        <is>
          <t>A 16414-2023</t>
        </is>
      </c>
      <c r="B75" s="1" t="n">
        <v>45022</v>
      </c>
      <c r="C75" s="1" t="n">
        <v>45472</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16442-2023</t>
        </is>
      </c>
      <c r="B76" s="1" t="n">
        <v>45026</v>
      </c>
      <c r="C76" s="1" t="n">
        <v>45472</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42610-2023</t>
        </is>
      </c>
      <c r="B77" s="1" t="n">
        <v>45181</v>
      </c>
      <c r="C77" s="1" t="n">
        <v>45472</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46008-2023</t>
        </is>
      </c>
      <c r="B78" s="1" t="n">
        <v>45196</v>
      </c>
      <c r="C78" s="1" t="n">
        <v>45472</v>
      </c>
      <c r="D78" t="inlineStr">
        <is>
          <t>VÄRMLANDS LÄN</t>
        </is>
      </c>
      <c r="E78" t="inlineStr">
        <is>
          <t>TORSBY</t>
        </is>
      </c>
      <c r="G78" t="n">
        <v>15.4</v>
      </c>
      <c r="H78" t="n">
        <v>0</v>
      </c>
      <c r="I78" t="n">
        <v>0</v>
      </c>
      <c r="J78" t="n">
        <v>2</v>
      </c>
      <c r="K78" t="n">
        <v>0</v>
      </c>
      <c r="L78" t="n">
        <v>0</v>
      </c>
      <c r="M78" t="n">
        <v>0</v>
      </c>
      <c r="N78" t="n">
        <v>0</v>
      </c>
      <c r="O78" t="n">
        <v>2</v>
      </c>
      <c r="P78" t="n">
        <v>0</v>
      </c>
      <c r="Q78" t="n">
        <v>2</v>
      </c>
      <c r="R78" s="2" t="inlineStr">
        <is>
          <t>Dvärgbägarlav
Garnlav</t>
        </is>
      </c>
      <c r="S78">
        <f>HYPERLINK("https://klasma.github.io/Logging_1737/artfynd/A 46008-2023 artfynd.xlsx", "A 46008-2023")</f>
        <v/>
      </c>
      <c r="T78">
        <f>HYPERLINK("https://klasma.github.io/Logging_1737/kartor/A 46008-2023 karta.png", "A 46008-2023")</f>
        <v/>
      </c>
      <c r="V78">
        <f>HYPERLINK("https://klasma.github.io/Logging_1737/klagomål/A 46008-2023 FSC-klagomål.docx", "A 46008-2023")</f>
        <v/>
      </c>
      <c r="W78">
        <f>HYPERLINK("https://klasma.github.io/Logging_1737/klagomålsmail/A 46008-2023 FSC-klagomål mail.docx", "A 46008-2023")</f>
        <v/>
      </c>
      <c r="X78">
        <f>HYPERLINK("https://klasma.github.io/Logging_1737/tillsyn/A 46008-2023 tillsynsbegäran.docx", "A 46008-2023")</f>
        <v/>
      </c>
      <c r="Y78">
        <f>HYPERLINK("https://klasma.github.io/Logging_1737/tillsynsmail/A 46008-2023 tillsynsbegäran mail.docx", "A 46008-2023")</f>
        <v/>
      </c>
    </row>
    <row r="79" ht="15" customHeight="1">
      <c r="A79" t="inlineStr">
        <is>
          <t>A 48292-2023</t>
        </is>
      </c>
      <c r="B79" s="1" t="n">
        <v>45205</v>
      </c>
      <c r="C79" s="1" t="n">
        <v>45472</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45472</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4068-2024</t>
        </is>
      </c>
      <c r="B81" s="1" t="n">
        <v>45323</v>
      </c>
      <c r="C81" s="1" t="n">
        <v>45472</v>
      </c>
      <c r="D81" t="inlineStr">
        <is>
          <t>VÄRMLANDS LÄN</t>
        </is>
      </c>
      <c r="E81" t="inlineStr">
        <is>
          <t>TORSBY</t>
        </is>
      </c>
      <c r="G81" t="n">
        <v>2.9</v>
      </c>
      <c r="H81" t="n">
        <v>1</v>
      </c>
      <c r="I81" t="n">
        <v>2</v>
      </c>
      <c r="J81" t="n">
        <v>0</v>
      </c>
      <c r="K81" t="n">
        <v>0</v>
      </c>
      <c r="L81" t="n">
        <v>0</v>
      </c>
      <c r="M81" t="n">
        <v>0</v>
      </c>
      <c r="N81" t="n">
        <v>0</v>
      </c>
      <c r="O81" t="n">
        <v>0</v>
      </c>
      <c r="P81" t="n">
        <v>0</v>
      </c>
      <c r="Q81" t="n">
        <v>2</v>
      </c>
      <c r="R81" s="2" t="inlineStr">
        <is>
          <t>Korallrot
Springkorn</t>
        </is>
      </c>
      <c r="S81">
        <f>HYPERLINK("https://klasma.github.io/Logging_1737/artfynd/A 4068-2024 artfynd.xlsx", "A 4068-2024")</f>
        <v/>
      </c>
      <c r="T81">
        <f>HYPERLINK("https://klasma.github.io/Logging_1737/kartor/A 4068-2024 karta.png", "A 4068-2024")</f>
        <v/>
      </c>
      <c r="V81">
        <f>HYPERLINK("https://klasma.github.io/Logging_1737/klagomål/A 4068-2024 FSC-klagomål.docx", "A 4068-2024")</f>
        <v/>
      </c>
      <c r="W81">
        <f>HYPERLINK("https://klasma.github.io/Logging_1737/klagomålsmail/A 4068-2024 FSC-klagomål mail.docx", "A 4068-2024")</f>
        <v/>
      </c>
      <c r="X81">
        <f>HYPERLINK("https://klasma.github.io/Logging_1737/tillsyn/A 4068-2024 tillsynsbegäran.docx", "A 4068-2024")</f>
        <v/>
      </c>
      <c r="Y81">
        <f>HYPERLINK("https://klasma.github.io/Logging_1737/tillsynsmail/A 4068-2024 tillsynsbegäran mail.docx", "A 4068-2024")</f>
        <v/>
      </c>
    </row>
    <row r="82" ht="15" customHeight="1">
      <c r="A82" t="inlineStr">
        <is>
          <t>A 23091-2024</t>
        </is>
      </c>
      <c r="B82" s="1" t="n">
        <v>45450</v>
      </c>
      <c r="C82" s="1" t="n">
        <v>45472</v>
      </c>
      <c r="D82" t="inlineStr">
        <is>
          <t>VÄRMLANDS LÄN</t>
        </is>
      </c>
      <c r="E82" t="inlineStr">
        <is>
          <t>TORSBY</t>
        </is>
      </c>
      <c r="F82" t="inlineStr">
        <is>
          <t>Bergvik skog väst AB</t>
        </is>
      </c>
      <c r="G82" t="n">
        <v>14.3</v>
      </c>
      <c r="H82" t="n">
        <v>0</v>
      </c>
      <c r="I82" t="n">
        <v>1</v>
      </c>
      <c r="J82" t="n">
        <v>1</v>
      </c>
      <c r="K82" t="n">
        <v>0</v>
      </c>
      <c r="L82" t="n">
        <v>0</v>
      </c>
      <c r="M82" t="n">
        <v>0</v>
      </c>
      <c r="N82" t="n">
        <v>0</v>
      </c>
      <c r="O82" t="n">
        <v>1</v>
      </c>
      <c r="P82" t="n">
        <v>0</v>
      </c>
      <c r="Q82" t="n">
        <v>2</v>
      </c>
      <c r="R82" s="2" t="inlineStr">
        <is>
          <t>Vedskivlav
Kambräken</t>
        </is>
      </c>
      <c r="S82">
        <f>HYPERLINK("https://klasma.github.io/Logging_1737/artfynd/A 23091-2024 artfynd.xlsx", "A 23091-2024")</f>
        <v/>
      </c>
      <c r="T82">
        <f>HYPERLINK("https://klasma.github.io/Logging_1737/kartor/A 23091-2024 karta.png", "A 23091-2024")</f>
        <v/>
      </c>
      <c r="V82">
        <f>HYPERLINK("https://klasma.github.io/Logging_1737/klagomål/A 23091-2024 FSC-klagomål.docx", "A 23091-2024")</f>
        <v/>
      </c>
      <c r="W82">
        <f>HYPERLINK("https://klasma.github.io/Logging_1737/klagomålsmail/A 23091-2024 FSC-klagomål mail.docx", "A 23091-2024")</f>
        <v/>
      </c>
      <c r="X82">
        <f>HYPERLINK("https://klasma.github.io/Logging_1737/tillsyn/A 23091-2024 tillsynsbegäran.docx", "A 23091-2024")</f>
        <v/>
      </c>
      <c r="Y82">
        <f>HYPERLINK("https://klasma.github.io/Logging_1737/tillsynsmail/A 23091-2024 tillsynsbegäran mail.docx", "A 23091-2024")</f>
        <v/>
      </c>
    </row>
    <row r="83" ht="15" customHeight="1">
      <c r="A83" t="inlineStr">
        <is>
          <t>A 18499-2019</t>
        </is>
      </c>
      <c r="B83" s="1" t="n">
        <v>43559</v>
      </c>
      <c r="C83" s="1" t="n">
        <v>45472</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45472</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45472</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47731-2019</t>
        </is>
      </c>
      <c r="B86" s="1" t="n">
        <v>43724</v>
      </c>
      <c r="C86" s="1" t="n">
        <v>45472</v>
      </c>
      <c r="D86" t="inlineStr">
        <is>
          <t>VÄRMLANDS LÄN</t>
        </is>
      </c>
      <c r="E86" t="inlineStr">
        <is>
          <t>TORSBY</t>
        </is>
      </c>
      <c r="G86" t="n">
        <v>3.5</v>
      </c>
      <c r="H86" t="n">
        <v>1</v>
      </c>
      <c r="I86" t="n">
        <v>0</v>
      </c>
      <c r="J86" t="n">
        <v>1</v>
      </c>
      <c r="K86" t="n">
        <v>0</v>
      </c>
      <c r="L86" t="n">
        <v>0</v>
      </c>
      <c r="M86" t="n">
        <v>0</v>
      </c>
      <c r="N86" t="n">
        <v>0</v>
      </c>
      <c r="O86" t="n">
        <v>1</v>
      </c>
      <c r="P86" t="n">
        <v>0</v>
      </c>
      <c r="Q86" t="n">
        <v>1</v>
      </c>
      <c r="R86" s="2" t="inlineStr">
        <is>
          <t>Gulsparv</t>
        </is>
      </c>
      <c r="S86">
        <f>HYPERLINK("https://klasma.github.io/Logging_1737/artfynd/A 47731-2019 artfynd.xlsx", "A 47731-2019")</f>
        <v/>
      </c>
      <c r="T86">
        <f>HYPERLINK("https://klasma.github.io/Logging_1737/kartor/A 47731-2019 karta.png", "A 47731-2019")</f>
        <v/>
      </c>
      <c r="V86">
        <f>HYPERLINK("https://klasma.github.io/Logging_1737/klagomål/A 47731-2019 FSC-klagomål.docx", "A 47731-2019")</f>
        <v/>
      </c>
      <c r="W86">
        <f>HYPERLINK("https://klasma.github.io/Logging_1737/klagomålsmail/A 47731-2019 FSC-klagomål mail.docx", "A 47731-2019")</f>
        <v/>
      </c>
      <c r="X86">
        <f>HYPERLINK("https://klasma.github.io/Logging_1737/tillsyn/A 47731-2019 tillsynsbegäran.docx", "A 47731-2019")</f>
        <v/>
      </c>
      <c r="Y86">
        <f>HYPERLINK("https://klasma.github.io/Logging_1737/tillsynsmail/A 47731-2019 tillsynsbegäran mail.docx", "A 47731-2019")</f>
        <v/>
      </c>
      <c r="Z86">
        <f>HYPERLINK("https://klasma.github.io/Logging_1737/fåglar/A 47731-2019 prioriterade fågelarter.docx", "A 47731-2019")</f>
        <v/>
      </c>
    </row>
    <row r="87" ht="15" customHeight="1">
      <c r="A87" t="inlineStr">
        <is>
          <t>A 53924-2019</t>
        </is>
      </c>
      <c r="B87" s="1" t="n">
        <v>43742</v>
      </c>
      <c r="C87" s="1" t="n">
        <v>45472</v>
      </c>
      <c r="D87" t="inlineStr">
        <is>
          <t>VÄRMLANDS LÄN</t>
        </is>
      </c>
      <c r="E87" t="inlineStr">
        <is>
          <t>TORSBY</t>
        </is>
      </c>
      <c r="G87" t="n">
        <v>7.1</v>
      </c>
      <c r="H87" t="n">
        <v>1</v>
      </c>
      <c r="I87" t="n">
        <v>0</v>
      </c>
      <c r="J87" t="n">
        <v>0</v>
      </c>
      <c r="K87" t="n">
        <v>0</v>
      </c>
      <c r="L87" t="n">
        <v>0</v>
      </c>
      <c r="M87" t="n">
        <v>0</v>
      </c>
      <c r="N87" t="n">
        <v>0</v>
      </c>
      <c r="O87" t="n">
        <v>0</v>
      </c>
      <c r="P87" t="n">
        <v>0</v>
      </c>
      <c r="Q87" t="n">
        <v>1</v>
      </c>
      <c r="R87" s="2" t="inlineStr">
        <is>
          <t>Fläcknycklar</t>
        </is>
      </c>
      <c r="S87">
        <f>HYPERLINK("https://klasma.github.io/Logging_1737/artfynd/A 53924-2019 artfynd.xlsx", "A 53924-2019")</f>
        <v/>
      </c>
      <c r="T87">
        <f>HYPERLINK("https://klasma.github.io/Logging_1737/kartor/A 53924-2019 karta.png", "A 53924-2019")</f>
        <v/>
      </c>
      <c r="V87">
        <f>HYPERLINK("https://klasma.github.io/Logging_1737/klagomål/A 53924-2019 FSC-klagomål.docx", "A 53924-2019")</f>
        <v/>
      </c>
      <c r="W87">
        <f>HYPERLINK("https://klasma.github.io/Logging_1737/klagomålsmail/A 53924-2019 FSC-klagomål mail.docx", "A 53924-2019")</f>
        <v/>
      </c>
      <c r="X87">
        <f>HYPERLINK("https://klasma.github.io/Logging_1737/tillsyn/A 53924-2019 tillsynsbegäran.docx", "A 53924-2019")</f>
        <v/>
      </c>
      <c r="Y87">
        <f>HYPERLINK("https://klasma.github.io/Logging_1737/tillsynsmail/A 53924-2019 tillsynsbegäran mail.docx", "A 53924-2019")</f>
        <v/>
      </c>
    </row>
    <row r="88" ht="15" customHeight="1">
      <c r="A88" t="inlineStr">
        <is>
          <t>A 63767-2019</t>
        </is>
      </c>
      <c r="B88" s="1" t="n">
        <v>43795</v>
      </c>
      <c r="C88" s="1" t="n">
        <v>45472</v>
      </c>
      <c r="D88" t="inlineStr">
        <is>
          <t>VÄRMLANDS LÄN</t>
        </is>
      </c>
      <c r="E88" t="inlineStr">
        <is>
          <t>TORSBY</t>
        </is>
      </c>
      <c r="G88" t="n">
        <v>1.4</v>
      </c>
      <c r="H88" t="n">
        <v>0</v>
      </c>
      <c r="I88" t="n">
        <v>0</v>
      </c>
      <c r="J88" t="n">
        <v>1</v>
      </c>
      <c r="K88" t="n">
        <v>0</v>
      </c>
      <c r="L88" t="n">
        <v>0</v>
      </c>
      <c r="M88" t="n">
        <v>0</v>
      </c>
      <c r="N88" t="n">
        <v>0</v>
      </c>
      <c r="O88" t="n">
        <v>1</v>
      </c>
      <c r="P88" t="n">
        <v>0</v>
      </c>
      <c r="Q88" t="n">
        <v>1</v>
      </c>
      <c r="R88" s="2" t="inlineStr">
        <is>
          <t>Garnlav</t>
        </is>
      </c>
      <c r="S88">
        <f>HYPERLINK("https://klasma.github.io/Logging_1737/artfynd/A 63767-2019 artfynd.xlsx", "A 63767-2019")</f>
        <v/>
      </c>
      <c r="T88">
        <f>HYPERLINK("https://klasma.github.io/Logging_1737/kartor/A 63767-2019 karta.png", "A 63767-2019")</f>
        <v/>
      </c>
      <c r="V88">
        <f>HYPERLINK("https://klasma.github.io/Logging_1737/klagomål/A 63767-2019 FSC-klagomål.docx", "A 63767-2019")</f>
        <v/>
      </c>
      <c r="W88">
        <f>HYPERLINK("https://klasma.github.io/Logging_1737/klagomålsmail/A 63767-2019 FSC-klagomål mail.docx", "A 63767-2019")</f>
        <v/>
      </c>
      <c r="X88">
        <f>HYPERLINK("https://klasma.github.io/Logging_1737/tillsyn/A 63767-2019 tillsynsbegäran.docx", "A 63767-2019")</f>
        <v/>
      </c>
      <c r="Y88">
        <f>HYPERLINK("https://klasma.github.io/Logging_1737/tillsynsmail/A 63767-2019 tillsynsbegäran mail.docx", "A 63767-2019")</f>
        <v/>
      </c>
    </row>
    <row r="89" ht="15" customHeight="1">
      <c r="A89" t="inlineStr">
        <is>
          <t>A 65129-2019</t>
        </is>
      </c>
      <c r="B89" s="1" t="n">
        <v>43802</v>
      </c>
      <c r="C89" s="1" t="n">
        <v>45472</v>
      </c>
      <c r="D89" t="inlineStr">
        <is>
          <t>VÄRMLANDS LÄN</t>
        </is>
      </c>
      <c r="E89" t="inlineStr">
        <is>
          <t>TORSBY</t>
        </is>
      </c>
      <c r="G89" t="n">
        <v>3.3</v>
      </c>
      <c r="H89" t="n">
        <v>0</v>
      </c>
      <c r="I89" t="n">
        <v>0</v>
      </c>
      <c r="J89" t="n">
        <v>1</v>
      </c>
      <c r="K89" t="n">
        <v>0</v>
      </c>
      <c r="L89" t="n">
        <v>0</v>
      </c>
      <c r="M89" t="n">
        <v>0</v>
      </c>
      <c r="N89" t="n">
        <v>0</v>
      </c>
      <c r="O89" t="n">
        <v>1</v>
      </c>
      <c r="P89" t="n">
        <v>0</v>
      </c>
      <c r="Q89" t="n">
        <v>1</v>
      </c>
      <c r="R89" s="2" t="inlineStr">
        <is>
          <t>Garnlav</t>
        </is>
      </c>
      <c r="S89">
        <f>HYPERLINK("https://klasma.github.io/Logging_1737/artfynd/A 65129-2019 artfynd.xlsx", "A 65129-2019")</f>
        <v/>
      </c>
      <c r="T89">
        <f>HYPERLINK("https://klasma.github.io/Logging_1737/kartor/A 65129-2019 karta.png", "A 65129-2019")</f>
        <v/>
      </c>
      <c r="V89">
        <f>HYPERLINK("https://klasma.github.io/Logging_1737/klagomål/A 65129-2019 FSC-klagomål.docx", "A 65129-2019")</f>
        <v/>
      </c>
      <c r="W89">
        <f>HYPERLINK("https://klasma.github.io/Logging_1737/klagomålsmail/A 65129-2019 FSC-klagomål mail.docx", "A 65129-2019")</f>
        <v/>
      </c>
      <c r="X89">
        <f>HYPERLINK("https://klasma.github.io/Logging_1737/tillsyn/A 65129-2019 tillsynsbegäran.docx", "A 65129-2019")</f>
        <v/>
      </c>
      <c r="Y89">
        <f>HYPERLINK("https://klasma.github.io/Logging_1737/tillsynsmail/A 65129-2019 tillsynsbegäran mail.docx", "A 65129-2019")</f>
        <v/>
      </c>
    </row>
    <row r="90" ht="15" customHeight="1">
      <c r="A90" t="inlineStr">
        <is>
          <t>A 37035-2020</t>
        </is>
      </c>
      <c r="B90" s="1" t="n">
        <v>44054</v>
      </c>
      <c r="C90" s="1" t="n">
        <v>45472</v>
      </c>
      <c r="D90" t="inlineStr">
        <is>
          <t>VÄRMLANDS LÄN</t>
        </is>
      </c>
      <c r="E90" t="inlineStr">
        <is>
          <t>TORSBY</t>
        </is>
      </c>
      <c r="G90" t="n">
        <v>2.7</v>
      </c>
      <c r="H90" t="n">
        <v>0</v>
      </c>
      <c r="I90" t="n">
        <v>0</v>
      </c>
      <c r="J90" t="n">
        <v>0</v>
      </c>
      <c r="K90" t="n">
        <v>1</v>
      </c>
      <c r="L90" t="n">
        <v>0</v>
      </c>
      <c r="M90" t="n">
        <v>0</v>
      </c>
      <c r="N90" t="n">
        <v>0</v>
      </c>
      <c r="O90" t="n">
        <v>1</v>
      </c>
      <c r="P90" t="n">
        <v>1</v>
      </c>
      <c r="Q90" t="n">
        <v>1</v>
      </c>
      <c r="R90" s="2" t="inlineStr">
        <is>
          <t>Raggbock</t>
        </is>
      </c>
      <c r="S90">
        <f>HYPERLINK("https://klasma.github.io/Logging_1737/artfynd/A 37035-2020 artfynd.xlsx", "A 37035-2020")</f>
        <v/>
      </c>
      <c r="T90">
        <f>HYPERLINK("https://klasma.github.io/Logging_1737/kartor/A 37035-2020 karta.png", "A 37035-2020")</f>
        <v/>
      </c>
      <c r="V90">
        <f>HYPERLINK("https://klasma.github.io/Logging_1737/klagomål/A 37035-2020 FSC-klagomål.docx", "A 37035-2020")</f>
        <v/>
      </c>
      <c r="W90">
        <f>HYPERLINK("https://klasma.github.io/Logging_1737/klagomålsmail/A 37035-2020 FSC-klagomål mail.docx", "A 37035-2020")</f>
        <v/>
      </c>
      <c r="X90">
        <f>HYPERLINK("https://klasma.github.io/Logging_1737/tillsyn/A 37035-2020 tillsynsbegäran.docx", "A 37035-2020")</f>
        <v/>
      </c>
      <c r="Y90">
        <f>HYPERLINK("https://klasma.github.io/Logging_1737/tillsynsmail/A 37035-2020 tillsynsbegäran mail.docx", "A 37035-2020")</f>
        <v/>
      </c>
    </row>
    <row r="91" ht="15" customHeight="1">
      <c r="A91" t="inlineStr">
        <is>
          <t>A 50854-2020</t>
        </is>
      </c>
      <c r="B91" s="1" t="n">
        <v>44105</v>
      </c>
      <c r="C91" s="1" t="n">
        <v>45472</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50089-2020</t>
        </is>
      </c>
      <c r="B92" s="1" t="n">
        <v>44109</v>
      </c>
      <c r="C92" s="1" t="n">
        <v>45472</v>
      </c>
      <c r="D92" t="inlineStr">
        <is>
          <t>VÄRMLANDS LÄN</t>
        </is>
      </c>
      <c r="E92" t="inlineStr">
        <is>
          <t>TORSBY</t>
        </is>
      </c>
      <c r="G92" t="n">
        <v>0.9</v>
      </c>
      <c r="H92" t="n">
        <v>1</v>
      </c>
      <c r="I92" t="n">
        <v>0</v>
      </c>
      <c r="J92" t="n">
        <v>1</v>
      </c>
      <c r="K92" t="n">
        <v>0</v>
      </c>
      <c r="L92" t="n">
        <v>0</v>
      </c>
      <c r="M92" t="n">
        <v>0</v>
      </c>
      <c r="N92" t="n">
        <v>0</v>
      </c>
      <c r="O92" t="n">
        <v>1</v>
      </c>
      <c r="P92" t="n">
        <v>0</v>
      </c>
      <c r="Q92" t="n">
        <v>1</v>
      </c>
      <c r="R92" s="2" t="inlineStr">
        <is>
          <t>Spillkråka</t>
        </is>
      </c>
      <c r="S92">
        <f>HYPERLINK("https://klasma.github.io/Logging_1737/artfynd/A 50089-2020 artfynd.xlsx", "A 50089-2020")</f>
        <v/>
      </c>
      <c r="T92">
        <f>HYPERLINK("https://klasma.github.io/Logging_1737/kartor/A 50089-2020 karta.png", "A 50089-2020")</f>
        <v/>
      </c>
      <c r="V92">
        <f>HYPERLINK("https://klasma.github.io/Logging_1737/klagomål/A 50089-2020 FSC-klagomål.docx", "A 50089-2020")</f>
        <v/>
      </c>
      <c r="W92">
        <f>HYPERLINK("https://klasma.github.io/Logging_1737/klagomålsmail/A 50089-2020 FSC-klagomål mail.docx", "A 50089-2020")</f>
        <v/>
      </c>
      <c r="X92">
        <f>HYPERLINK("https://klasma.github.io/Logging_1737/tillsyn/A 50089-2020 tillsynsbegäran.docx", "A 50089-2020")</f>
        <v/>
      </c>
      <c r="Y92">
        <f>HYPERLINK("https://klasma.github.io/Logging_1737/tillsynsmail/A 50089-2020 tillsynsbegäran mail.docx", "A 50089-2020")</f>
        <v/>
      </c>
      <c r="Z92">
        <f>HYPERLINK("https://klasma.github.io/Logging_1737/fåglar/A 50089-2020 prioriterade fågelarter.docx", "A 50089-2020")</f>
        <v/>
      </c>
    </row>
    <row r="93" ht="15" customHeight="1">
      <c r="A93" t="inlineStr">
        <is>
          <t>A 53491-2020</t>
        </is>
      </c>
      <c r="B93" s="1" t="n">
        <v>44123</v>
      </c>
      <c r="C93" s="1" t="n">
        <v>45472</v>
      </c>
      <c r="D93" t="inlineStr">
        <is>
          <t>VÄRMLANDS LÄN</t>
        </is>
      </c>
      <c r="E93" t="inlineStr">
        <is>
          <t>TORSBY</t>
        </is>
      </c>
      <c r="G93" t="n">
        <v>1.5</v>
      </c>
      <c r="H93" t="n">
        <v>0</v>
      </c>
      <c r="I93" t="n">
        <v>0</v>
      </c>
      <c r="J93" t="n">
        <v>1</v>
      </c>
      <c r="K93" t="n">
        <v>0</v>
      </c>
      <c r="L93" t="n">
        <v>0</v>
      </c>
      <c r="M93" t="n">
        <v>0</v>
      </c>
      <c r="N93" t="n">
        <v>0</v>
      </c>
      <c r="O93" t="n">
        <v>1</v>
      </c>
      <c r="P93" t="n">
        <v>0</v>
      </c>
      <c r="Q93" t="n">
        <v>1</v>
      </c>
      <c r="R93" s="2" t="inlineStr">
        <is>
          <t>Garnlav</t>
        </is>
      </c>
      <c r="S93">
        <f>HYPERLINK("https://klasma.github.io/Logging_1737/artfynd/A 53491-2020 artfynd.xlsx", "A 53491-2020")</f>
        <v/>
      </c>
      <c r="T93">
        <f>HYPERLINK("https://klasma.github.io/Logging_1737/kartor/A 53491-2020 karta.png", "A 53491-2020")</f>
        <v/>
      </c>
      <c r="V93">
        <f>HYPERLINK("https://klasma.github.io/Logging_1737/klagomål/A 53491-2020 FSC-klagomål.docx", "A 53491-2020")</f>
        <v/>
      </c>
      <c r="W93">
        <f>HYPERLINK("https://klasma.github.io/Logging_1737/klagomålsmail/A 53491-2020 FSC-klagomål mail.docx", "A 53491-2020")</f>
        <v/>
      </c>
      <c r="X93">
        <f>HYPERLINK("https://klasma.github.io/Logging_1737/tillsyn/A 53491-2020 tillsynsbegäran.docx", "A 53491-2020")</f>
        <v/>
      </c>
      <c r="Y93">
        <f>HYPERLINK("https://klasma.github.io/Logging_1737/tillsynsmail/A 53491-2020 tillsynsbegäran mail.docx", "A 53491-2020")</f>
        <v/>
      </c>
    </row>
    <row r="94" ht="15" customHeight="1">
      <c r="A94" t="inlineStr">
        <is>
          <t>A 8747-2021</t>
        </is>
      </c>
      <c r="B94" s="1" t="n">
        <v>44246</v>
      </c>
      <c r="C94" s="1" t="n">
        <v>45472</v>
      </c>
      <c r="D94" t="inlineStr">
        <is>
          <t>VÄRMLANDS LÄN</t>
        </is>
      </c>
      <c r="E94" t="inlineStr">
        <is>
          <t>TORSBY</t>
        </is>
      </c>
      <c r="G94" t="n">
        <v>8.5</v>
      </c>
      <c r="H94" t="n">
        <v>0</v>
      </c>
      <c r="I94" t="n">
        <v>0</v>
      </c>
      <c r="J94" t="n">
        <v>1</v>
      </c>
      <c r="K94" t="n">
        <v>0</v>
      </c>
      <c r="L94" t="n">
        <v>0</v>
      </c>
      <c r="M94" t="n">
        <v>0</v>
      </c>
      <c r="N94" t="n">
        <v>0</v>
      </c>
      <c r="O94" t="n">
        <v>1</v>
      </c>
      <c r="P94" t="n">
        <v>0</v>
      </c>
      <c r="Q94" t="n">
        <v>1</v>
      </c>
      <c r="R94" s="2" t="inlineStr">
        <is>
          <t>Garnlav</t>
        </is>
      </c>
      <c r="S94">
        <f>HYPERLINK("https://klasma.github.io/Logging_1737/artfynd/A 8747-2021 artfynd.xlsx", "A 8747-2021")</f>
        <v/>
      </c>
      <c r="T94">
        <f>HYPERLINK("https://klasma.github.io/Logging_1737/kartor/A 8747-2021 karta.png", "A 8747-2021")</f>
        <v/>
      </c>
      <c r="V94">
        <f>HYPERLINK("https://klasma.github.io/Logging_1737/klagomål/A 8747-2021 FSC-klagomål.docx", "A 8747-2021")</f>
        <v/>
      </c>
      <c r="W94">
        <f>HYPERLINK("https://klasma.github.io/Logging_1737/klagomålsmail/A 8747-2021 FSC-klagomål mail.docx", "A 8747-2021")</f>
        <v/>
      </c>
      <c r="X94">
        <f>HYPERLINK("https://klasma.github.io/Logging_1737/tillsyn/A 8747-2021 tillsynsbegäran.docx", "A 8747-2021")</f>
        <v/>
      </c>
      <c r="Y94">
        <f>HYPERLINK("https://klasma.github.io/Logging_1737/tillsynsmail/A 8747-2021 tillsynsbegäran mail.docx", "A 8747-2021")</f>
        <v/>
      </c>
    </row>
    <row r="95" ht="15" customHeight="1">
      <c r="A95" t="inlineStr">
        <is>
          <t>A 24042-2021</t>
        </is>
      </c>
      <c r="B95" s="1" t="n">
        <v>44336</v>
      </c>
      <c r="C95" s="1" t="n">
        <v>45472</v>
      </c>
      <c r="D95" t="inlineStr">
        <is>
          <t>VÄRMLANDS LÄN</t>
        </is>
      </c>
      <c r="E95" t="inlineStr">
        <is>
          <t>TORSBY</t>
        </is>
      </c>
      <c r="G95" t="n">
        <v>4.5</v>
      </c>
      <c r="H95" t="n">
        <v>0</v>
      </c>
      <c r="I95" t="n">
        <v>1</v>
      </c>
      <c r="J95" t="n">
        <v>0</v>
      </c>
      <c r="K95" t="n">
        <v>0</v>
      </c>
      <c r="L95" t="n">
        <v>0</v>
      </c>
      <c r="M95" t="n">
        <v>0</v>
      </c>
      <c r="N95" t="n">
        <v>0</v>
      </c>
      <c r="O95" t="n">
        <v>0</v>
      </c>
      <c r="P95" t="n">
        <v>0</v>
      </c>
      <c r="Q95" t="n">
        <v>1</v>
      </c>
      <c r="R95" s="2" t="inlineStr">
        <is>
          <t>Stuplav</t>
        </is>
      </c>
      <c r="S95">
        <f>HYPERLINK("https://klasma.github.io/Logging_1737/artfynd/A 24042-2021 artfynd.xlsx", "A 24042-2021")</f>
        <v/>
      </c>
      <c r="T95">
        <f>HYPERLINK("https://klasma.github.io/Logging_1737/kartor/A 24042-2021 karta.png", "A 24042-2021")</f>
        <v/>
      </c>
      <c r="V95">
        <f>HYPERLINK("https://klasma.github.io/Logging_1737/klagomål/A 24042-2021 FSC-klagomål.docx", "A 24042-2021")</f>
        <v/>
      </c>
      <c r="W95">
        <f>HYPERLINK("https://klasma.github.io/Logging_1737/klagomålsmail/A 24042-2021 FSC-klagomål mail.docx", "A 24042-2021")</f>
        <v/>
      </c>
      <c r="X95">
        <f>HYPERLINK("https://klasma.github.io/Logging_1737/tillsyn/A 24042-2021 tillsynsbegäran.docx", "A 24042-2021")</f>
        <v/>
      </c>
      <c r="Y95">
        <f>HYPERLINK("https://klasma.github.io/Logging_1737/tillsynsmail/A 24042-2021 tillsynsbegäran mail.docx", "A 24042-2021")</f>
        <v/>
      </c>
    </row>
    <row r="96" ht="15" customHeight="1">
      <c r="A96" t="inlineStr">
        <is>
          <t>A 34876-2021</t>
        </is>
      </c>
      <c r="B96" s="1" t="n">
        <v>44383</v>
      </c>
      <c r="C96" s="1" t="n">
        <v>45472</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34853-2021</t>
        </is>
      </c>
      <c r="B97" s="1" t="n">
        <v>44383</v>
      </c>
      <c r="C97" s="1" t="n">
        <v>45472</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40265-2021</t>
        </is>
      </c>
      <c r="B98" s="1" t="n">
        <v>44419</v>
      </c>
      <c r="C98" s="1" t="n">
        <v>45472</v>
      </c>
      <c r="D98" t="inlineStr">
        <is>
          <t>VÄRMLANDS LÄN</t>
        </is>
      </c>
      <c r="E98" t="inlineStr">
        <is>
          <t>TORSBY</t>
        </is>
      </c>
      <c r="F98" t="inlineStr">
        <is>
          <t>Bergvik skog väst AB</t>
        </is>
      </c>
      <c r="G98" t="n">
        <v>5.7</v>
      </c>
      <c r="H98" t="n">
        <v>1</v>
      </c>
      <c r="I98" t="n">
        <v>0</v>
      </c>
      <c r="J98" t="n">
        <v>1</v>
      </c>
      <c r="K98" t="n">
        <v>0</v>
      </c>
      <c r="L98" t="n">
        <v>0</v>
      </c>
      <c r="M98" t="n">
        <v>0</v>
      </c>
      <c r="N98" t="n">
        <v>0</v>
      </c>
      <c r="O98" t="n">
        <v>1</v>
      </c>
      <c r="P98" t="n">
        <v>0</v>
      </c>
      <c r="Q98" t="n">
        <v>1</v>
      </c>
      <c r="R98" s="2" t="inlineStr">
        <is>
          <t>Nordfladdermus</t>
        </is>
      </c>
      <c r="S98">
        <f>HYPERLINK("https://klasma.github.io/Logging_1737/artfynd/A 40265-2021 artfynd.xlsx", "A 40265-2021")</f>
        <v/>
      </c>
      <c r="T98">
        <f>HYPERLINK("https://klasma.github.io/Logging_1737/kartor/A 40265-2021 karta.png", "A 40265-2021")</f>
        <v/>
      </c>
      <c r="V98">
        <f>HYPERLINK("https://klasma.github.io/Logging_1737/klagomål/A 40265-2021 FSC-klagomål.docx", "A 40265-2021")</f>
        <v/>
      </c>
      <c r="W98">
        <f>HYPERLINK("https://klasma.github.io/Logging_1737/klagomålsmail/A 40265-2021 FSC-klagomål mail.docx", "A 40265-2021")</f>
        <v/>
      </c>
      <c r="X98">
        <f>HYPERLINK("https://klasma.github.io/Logging_1737/tillsyn/A 40265-2021 tillsynsbegäran.docx", "A 40265-2021")</f>
        <v/>
      </c>
      <c r="Y98">
        <f>HYPERLINK("https://klasma.github.io/Logging_1737/tillsynsmail/A 40265-2021 tillsynsbegäran mail.docx", "A 40265-2021")</f>
        <v/>
      </c>
    </row>
    <row r="99" ht="15" customHeight="1">
      <c r="A99" t="inlineStr">
        <is>
          <t>A 49110-2021</t>
        </is>
      </c>
      <c r="B99" s="1" t="n">
        <v>44453</v>
      </c>
      <c r="C99" s="1" t="n">
        <v>45472</v>
      </c>
      <c r="D99" t="inlineStr">
        <is>
          <t>VÄRMLANDS LÄN</t>
        </is>
      </c>
      <c r="E99" t="inlineStr">
        <is>
          <t>TORSBY</t>
        </is>
      </c>
      <c r="G99" t="n">
        <v>33.8</v>
      </c>
      <c r="H99" t="n">
        <v>0</v>
      </c>
      <c r="I99" t="n">
        <v>1</v>
      </c>
      <c r="J99" t="n">
        <v>0</v>
      </c>
      <c r="K99" t="n">
        <v>0</v>
      </c>
      <c r="L99" t="n">
        <v>0</v>
      </c>
      <c r="M99" t="n">
        <v>0</v>
      </c>
      <c r="N99" t="n">
        <v>0</v>
      </c>
      <c r="O99" t="n">
        <v>0</v>
      </c>
      <c r="P99" t="n">
        <v>0</v>
      </c>
      <c r="Q99" t="n">
        <v>1</v>
      </c>
      <c r="R99" s="2" t="inlineStr">
        <is>
          <t>Vedticka</t>
        </is>
      </c>
      <c r="S99">
        <f>HYPERLINK("https://klasma.github.io/Logging_1737/artfynd/A 49110-2021 artfynd.xlsx", "A 49110-2021")</f>
        <v/>
      </c>
      <c r="T99">
        <f>HYPERLINK("https://klasma.github.io/Logging_1737/kartor/A 49110-2021 karta.png", "A 49110-2021")</f>
        <v/>
      </c>
      <c r="V99">
        <f>HYPERLINK("https://klasma.github.io/Logging_1737/klagomål/A 49110-2021 FSC-klagomål.docx", "A 49110-2021")</f>
        <v/>
      </c>
      <c r="W99">
        <f>HYPERLINK("https://klasma.github.io/Logging_1737/klagomålsmail/A 49110-2021 FSC-klagomål mail.docx", "A 49110-2021")</f>
        <v/>
      </c>
      <c r="X99">
        <f>HYPERLINK("https://klasma.github.io/Logging_1737/tillsyn/A 49110-2021 tillsynsbegäran.docx", "A 49110-2021")</f>
        <v/>
      </c>
      <c r="Y99">
        <f>HYPERLINK("https://klasma.github.io/Logging_1737/tillsynsmail/A 49110-2021 tillsynsbegäran mail.docx", "A 49110-2021")</f>
        <v/>
      </c>
    </row>
    <row r="100" ht="15" customHeight="1">
      <c r="A100" t="inlineStr">
        <is>
          <t>A 54982-2021</t>
        </is>
      </c>
      <c r="B100" s="1" t="n">
        <v>44469</v>
      </c>
      <c r="C100" s="1" t="n">
        <v>45472</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58471-2021</t>
        </is>
      </c>
      <c r="B101" s="1" t="n">
        <v>44488</v>
      </c>
      <c r="C101" s="1" t="n">
        <v>45472</v>
      </c>
      <c r="D101" t="inlineStr">
        <is>
          <t>VÄRMLANDS LÄN</t>
        </is>
      </c>
      <c r="E101" t="inlineStr">
        <is>
          <t>TORSBY</t>
        </is>
      </c>
      <c r="G101" t="n">
        <v>2.5</v>
      </c>
      <c r="H101" t="n">
        <v>0</v>
      </c>
      <c r="I101" t="n">
        <v>1</v>
      </c>
      <c r="J101" t="n">
        <v>0</v>
      </c>
      <c r="K101" t="n">
        <v>0</v>
      </c>
      <c r="L101" t="n">
        <v>0</v>
      </c>
      <c r="M101" t="n">
        <v>0</v>
      </c>
      <c r="N101" t="n">
        <v>0</v>
      </c>
      <c r="O101" t="n">
        <v>0</v>
      </c>
      <c r="P101" t="n">
        <v>0</v>
      </c>
      <c r="Q101" t="n">
        <v>1</v>
      </c>
      <c r="R101" s="2" t="inlineStr">
        <is>
          <t>Korallblylav</t>
        </is>
      </c>
      <c r="S101">
        <f>HYPERLINK("https://klasma.github.io/Logging_1737/artfynd/A 58471-2021 artfynd.xlsx", "A 58471-2021")</f>
        <v/>
      </c>
      <c r="T101">
        <f>HYPERLINK("https://klasma.github.io/Logging_1737/kartor/A 58471-2021 karta.png", "A 58471-2021")</f>
        <v/>
      </c>
      <c r="V101">
        <f>HYPERLINK("https://klasma.github.io/Logging_1737/klagomål/A 58471-2021 FSC-klagomål.docx", "A 58471-2021")</f>
        <v/>
      </c>
      <c r="W101">
        <f>HYPERLINK("https://klasma.github.io/Logging_1737/klagomålsmail/A 58471-2021 FSC-klagomål mail.docx", "A 58471-2021")</f>
        <v/>
      </c>
      <c r="X101">
        <f>HYPERLINK("https://klasma.github.io/Logging_1737/tillsyn/A 58471-2021 tillsynsbegäran.docx", "A 58471-2021")</f>
        <v/>
      </c>
      <c r="Y101">
        <f>HYPERLINK("https://klasma.github.io/Logging_1737/tillsynsmail/A 58471-2021 tillsynsbegäran mail.docx", "A 58471-2021")</f>
        <v/>
      </c>
    </row>
    <row r="102" ht="15" customHeight="1">
      <c r="A102" t="inlineStr">
        <is>
          <t>A 61813-2021</t>
        </is>
      </c>
      <c r="B102" s="1" t="n">
        <v>44501</v>
      </c>
      <c r="C102" s="1" t="n">
        <v>45472</v>
      </c>
      <c r="D102" t="inlineStr">
        <is>
          <t>VÄRMLANDS LÄN</t>
        </is>
      </c>
      <c r="E102" t="inlineStr">
        <is>
          <t>TORSBY</t>
        </is>
      </c>
      <c r="G102" t="n">
        <v>4.9</v>
      </c>
      <c r="H102" t="n">
        <v>0</v>
      </c>
      <c r="I102" t="n">
        <v>0</v>
      </c>
      <c r="J102" t="n">
        <v>1</v>
      </c>
      <c r="K102" t="n">
        <v>0</v>
      </c>
      <c r="L102" t="n">
        <v>0</v>
      </c>
      <c r="M102" t="n">
        <v>0</v>
      </c>
      <c r="N102" t="n">
        <v>0</v>
      </c>
      <c r="O102" t="n">
        <v>1</v>
      </c>
      <c r="P102" t="n">
        <v>0</v>
      </c>
      <c r="Q102" t="n">
        <v>1</v>
      </c>
      <c r="R102" s="2" t="inlineStr">
        <is>
          <t>Tallticka</t>
        </is>
      </c>
      <c r="S102">
        <f>HYPERLINK("https://klasma.github.io/Logging_1737/artfynd/A 61813-2021 artfynd.xlsx", "A 61813-2021")</f>
        <v/>
      </c>
      <c r="T102">
        <f>HYPERLINK("https://klasma.github.io/Logging_1737/kartor/A 61813-2021 karta.png", "A 61813-2021")</f>
        <v/>
      </c>
      <c r="V102">
        <f>HYPERLINK("https://klasma.github.io/Logging_1737/klagomål/A 61813-2021 FSC-klagomål.docx", "A 61813-2021")</f>
        <v/>
      </c>
      <c r="W102">
        <f>HYPERLINK("https://klasma.github.io/Logging_1737/klagomålsmail/A 61813-2021 FSC-klagomål mail.docx", "A 61813-2021")</f>
        <v/>
      </c>
      <c r="X102">
        <f>HYPERLINK("https://klasma.github.io/Logging_1737/tillsyn/A 61813-2021 tillsynsbegäran.docx", "A 61813-2021")</f>
        <v/>
      </c>
      <c r="Y102">
        <f>HYPERLINK("https://klasma.github.io/Logging_1737/tillsynsmail/A 61813-2021 tillsynsbegäran mail.docx", "A 61813-2021")</f>
        <v/>
      </c>
    </row>
    <row r="103" ht="15" customHeight="1">
      <c r="A103" t="inlineStr">
        <is>
          <t>A 65767-2021</t>
        </is>
      </c>
      <c r="B103" s="1" t="n">
        <v>44516</v>
      </c>
      <c r="C103" s="1" t="n">
        <v>45472</v>
      </c>
      <c r="D103" t="inlineStr">
        <is>
          <t>VÄRMLANDS LÄN</t>
        </is>
      </c>
      <c r="E103" t="inlineStr">
        <is>
          <t>TORSBY</t>
        </is>
      </c>
      <c r="G103" t="n">
        <v>7.5</v>
      </c>
      <c r="H103" t="n">
        <v>0</v>
      </c>
      <c r="I103" t="n">
        <v>1</v>
      </c>
      <c r="J103" t="n">
        <v>0</v>
      </c>
      <c r="K103" t="n">
        <v>0</v>
      </c>
      <c r="L103" t="n">
        <v>0</v>
      </c>
      <c r="M103" t="n">
        <v>0</v>
      </c>
      <c r="N103" t="n">
        <v>0</v>
      </c>
      <c r="O103" t="n">
        <v>0</v>
      </c>
      <c r="P103" t="n">
        <v>0</v>
      </c>
      <c r="Q103" t="n">
        <v>1</v>
      </c>
      <c r="R103" s="2" t="inlineStr">
        <is>
          <t>Mörk husmossa</t>
        </is>
      </c>
      <c r="S103">
        <f>HYPERLINK("https://klasma.github.io/Logging_1737/artfynd/A 65767-2021 artfynd.xlsx", "A 65767-2021")</f>
        <v/>
      </c>
      <c r="T103">
        <f>HYPERLINK("https://klasma.github.io/Logging_1737/kartor/A 65767-2021 karta.png", "A 65767-2021")</f>
        <v/>
      </c>
      <c r="V103">
        <f>HYPERLINK("https://klasma.github.io/Logging_1737/klagomål/A 65767-2021 FSC-klagomål.docx", "A 65767-2021")</f>
        <v/>
      </c>
      <c r="W103">
        <f>HYPERLINK("https://klasma.github.io/Logging_1737/klagomålsmail/A 65767-2021 FSC-klagomål mail.docx", "A 65767-2021")</f>
        <v/>
      </c>
      <c r="X103">
        <f>HYPERLINK("https://klasma.github.io/Logging_1737/tillsyn/A 65767-2021 tillsynsbegäran.docx", "A 65767-2021")</f>
        <v/>
      </c>
      <c r="Y103">
        <f>HYPERLINK("https://klasma.github.io/Logging_1737/tillsynsmail/A 65767-2021 tillsynsbegäran mail.docx", "A 65767-2021")</f>
        <v/>
      </c>
    </row>
    <row r="104" ht="15" customHeight="1">
      <c r="A104" t="inlineStr">
        <is>
          <t>A 71594-2021</t>
        </is>
      </c>
      <c r="B104" s="1" t="n">
        <v>44541</v>
      </c>
      <c r="C104" s="1" t="n">
        <v>45472</v>
      </c>
      <c r="D104" t="inlineStr">
        <is>
          <t>VÄRMLANDS LÄN</t>
        </is>
      </c>
      <c r="E104" t="inlineStr">
        <is>
          <t>TORSBY</t>
        </is>
      </c>
      <c r="G104" t="n">
        <v>13.1</v>
      </c>
      <c r="H104" t="n">
        <v>0</v>
      </c>
      <c r="I104" t="n">
        <v>0</v>
      </c>
      <c r="J104" t="n">
        <v>1</v>
      </c>
      <c r="K104" t="n">
        <v>0</v>
      </c>
      <c r="L104" t="n">
        <v>0</v>
      </c>
      <c r="M104" t="n">
        <v>0</v>
      </c>
      <c r="N104" t="n">
        <v>0</v>
      </c>
      <c r="O104" t="n">
        <v>1</v>
      </c>
      <c r="P104" t="n">
        <v>0</v>
      </c>
      <c r="Q104" t="n">
        <v>1</v>
      </c>
      <c r="R104" s="2" t="inlineStr">
        <is>
          <t>Garnlav</t>
        </is>
      </c>
      <c r="S104">
        <f>HYPERLINK("https://klasma.github.io/Logging_1737/artfynd/A 71594-2021 artfynd.xlsx", "A 71594-2021")</f>
        <v/>
      </c>
      <c r="T104">
        <f>HYPERLINK("https://klasma.github.io/Logging_1737/kartor/A 71594-2021 karta.png", "A 71594-2021")</f>
        <v/>
      </c>
      <c r="V104">
        <f>HYPERLINK("https://klasma.github.io/Logging_1737/klagomål/A 71594-2021 FSC-klagomål.docx", "A 71594-2021")</f>
        <v/>
      </c>
      <c r="W104">
        <f>HYPERLINK("https://klasma.github.io/Logging_1737/klagomålsmail/A 71594-2021 FSC-klagomål mail.docx", "A 71594-2021")</f>
        <v/>
      </c>
      <c r="X104">
        <f>HYPERLINK("https://klasma.github.io/Logging_1737/tillsyn/A 71594-2021 tillsynsbegäran.docx", "A 71594-2021")</f>
        <v/>
      </c>
      <c r="Y104">
        <f>HYPERLINK("https://klasma.github.io/Logging_1737/tillsynsmail/A 71594-2021 tillsynsbegäran mail.docx", "A 71594-2021")</f>
        <v/>
      </c>
    </row>
    <row r="105" ht="15" customHeight="1">
      <c r="A105" t="inlineStr">
        <is>
          <t>A 3404-2022</t>
        </is>
      </c>
      <c r="B105" s="1" t="n">
        <v>44585</v>
      </c>
      <c r="C105" s="1" t="n">
        <v>45472</v>
      </c>
      <c r="D105" t="inlineStr">
        <is>
          <t>VÄRMLANDS LÄN</t>
        </is>
      </c>
      <c r="E105" t="inlineStr">
        <is>
          <t>TORSBY</t>
        </is>
      </c>
      <c r="G105" t="n">
        <v>1</v>
      </c>
      <c r="H105" t="n">
        <v>0</v>
      </c>
      <c r="I105" t="n">
        <v>0</v>
      </c>
      <c r="J105" t="n">
        <v>1</v>
      </c>
      <c r="K105" t="n">
        <v>0</v>
      </c>
      <c r="L105" t="n">
        <v>0</v>
      </c>
      <c r="M105" t="n">
        <v>0</v>
      </c>
      <c r="N105" t="n">
        <v>0</v>
      </c>
      <c r="O105" t="n">
        <v>1</v>
      </c>
      <c r="P105" t="n">
        <v>0</v>
      </c>
      <c r="Q105" t="n">
        <v>1</v>
      </c>
      <c r="R105" s="2" t="inlineStr">
        <is>
          <t>Vedtrappmossa</t>
        </is>
      </c>
      <c r="S105">
        <f>HYPERLINK("https://klasma.github.io/Logging_1737/artfynd/A 3404-2022 artfynd.xlsx", "A 3404-2022")</f>
        <v/>
      </c>
      <c r="T105">
        <f>HYPERLINK("https://klasma.github.io/Logging_1737/kartor/A 3404-2022 karta.png", "A 3404-2022")</f>
        <v/>
      </c>
      <c r="V105">
        <f>HYPERLINK("https://klasma.github.io/Logging_1737/klagomål/A 3404-2022 FSC-klagomål.docx", "A 3404-2022")</f>
        <v/>
      </c>
      <c r="W105">
        <f>HYPERLINK("https://klasma.github.io/Logging_1737/klagomålsmail/A 3404-2022 FSC-klagomål mail.docx", "A 3404-2022")</f>
        <v/>
      </c>
      <c r="X105">
        <f>HYPERLINK("https://klasma.github.io/Logging_1737/tillsyn/A 3404-2022 tillsynsbegäran.docx", "A 3404-2022")</f>
        <v/>
      </c>
      <c r="Y105">
        <f>HYPERLINK("https://klasma.github.io/Logging_1737/tillsynsmail/A 3404-2022 tillsynsbegäran mail.docx", "A 3404-2022")</f>
        <v/>
      </c>
    </row>
    <row r="106" ht="15" customHeight="1">
      <c r="A106" t="inlineStr">
        <is>
          <t>A 22174-2022</t>
        </is>
      </c>
      <c r="B106" s="1" t="n">
        <v>44712</v>
      </c>
      <c r="C106" s="1" t="n">
        <v>45472</v>
      </c>
      <c r="D106" t="inlineStr">
        <is>
          <t>VÄRMLANDS LÄN</t>
        </is>
      </c>
      <c r="E106" t="inlineStr">
        <is>
          <t>TORSBY</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23486-2022</t>
        </is>
      </c>
      <c r="B107" s="1" t="n">
        <v>44721</v>
      </c>
      <c r="C107" s="1" t="n">
        <v>45472</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Tallriska</t>
        </is>
      </c>
      <c r="S107">
        <f>HYPERLINK("https://klasma.github.io/Logging_1737/artfynd/A 23486-2022 artfynd.xlsx", "A 23486-2022")</f>
        <v/>
      </c>
      <c r="T107">
        <f>HYPERLINK("https://klasma.github.io/Logging_1737/kartor/A 23486-2022 karta.png", "A 23486-2022")</f>
        <v/>
      </c>
      <c r="V107">
        <f>HYPERLINK("https://klasma.github.io/Logging_1737/klagomål/A 23486-2022 FSC-klagomål.docx", "A 23486-2022")</f>
        <v/>
      </c>
      <c r="W107">
        <f>HYPERLINK("https://klasma.github.io/Logging_1737/klagomålsmail/A 23486-2022 FSC-klagomål mail.docx", "A 23486-2022")</f>
        <v/>
      </c>
      <c r="X107">
        <f>HYPERLINK("https://klasma.github.io/Logging_1737/tillsyn/A 23486-2022 tillsynsbegäran.docx", "A 23486-2022")</f>
        <v/>
      </c>
      <c r="Y107">
        <f>HYPERLINK("https://klasma.github.io/Logging_1737/tillsynsmail/A 23486-2022 tillsynsbegäran mail.docx", "A 23486-2022")</f>
        <v/>
      </c>
    </row>
    <row r="108" ht="15" customHeight="1">
      <c r="A108" t="inlineStr">
        <is>
          <t>A 25999-2022</t>
        </is>
      </c>
      <c r="B108" s="1" t="n">
        <v>44734</v>
      </c>
      <c r="C108" s="1" t="n">
        <v>45472</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45472</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45472</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45472</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45472</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45472</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45472</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45472</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45472</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45472</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45472</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45472</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33835-2023</t>
        </is>
      </c>
      <c r="B120" s="1" t="n">
        <v>45133</v>
      </c>
      <c r="C120" s="1" t="n">
        <v>45472</v>
      </c>
      <c r="D120" t="inlineStr">
        <is>
          <t>VÄRMLANDS LÄN</t>
        </is>
      </c>
      <c r="E120" t="inlineStr">
        <is>
          <t>TORSBY</t>
        </is>
      </c>
      <c r="F120" t="inlineStr">
        <is>
          <t>Bergvik skog väst AB</t>
        </is>
      </c>
      <c r="G120" t="n">
        <v>17.3</v>
      </c>
      <c r="H120" t="n">
        <v>1</v>
      </c>
      <c r="I120" t="n">
        <v>0</v>
      </c>
      <c r="J120" t="n">
        <v>0</v>
      </c>
      <c r="K120" t="n">
        <v>0</v>
      </c>
      <c r="L120" t="n">
        <v>0</v>
      </c>
      <c r="M120" t="n">
        <v>0</v>
      </c>
      <c r="N120" t="n">
        <v>0</v>
      </c>
      <c r="O120" t="n">
        <v>0</v>
      </c>
      <c r="P120" t="n">
        <v>0</v>
      </c>
      <c r="Q120" t="n">
        <v>1</v>
      </c>
      <c r="R120" s="2" t="inlineStr">
        <is>
          <t>Sparvuggla</t>
        </is>
      </c>
      <c r="S120">
        <f>HYPERLINK("https://klasma.github.io/Logging_1737/artfynd/A 33835-2023 artfynd.xlsx", "A 33835-2023")</f>
        <v/>
      </c>
      <c r="T120">
        <f>HYPERLINK("https://klasma.github.io/Logging_1737/kartor/A 33835-2023 karta.png", "A 33835-2023")</f>
        <v/>
      </c>
      <c r="V120">
        <f>HYPERLINK("https://klasma.github.io/Logging_1737/klagomål/A 33835-2023 FSC-klagomål.docx", "A 33835-2023")</f>
        <v/>
      </c>
      <c r="W120">
        <f>HYPERLINK("https://klasma.github.io/Logging_1737/klagomålsmail/A 33835-2023 FSC-klagomål mail.docx", "A 33835-2023")</f>
        <v/>
      </c>
      <c r="X120">
        <f>HYPERLINK("https://klasma.github.io/Logging_1737/tillsyn/A 33835-2023 tillsynsbegäran.docx", "A 33835-2023")</f>
        <v/>
      </c>
      <c r="Y120">
        <f>HYPERLINK("https://klasma.github.io/Logging_1737/tillsynsmail/A 33835-2023 tillsynsbegäran mail.docx", "A 33835-2023")</f>
        <v/>
      </c>
      <c r="Z120">
        <f>HYPERLINK("https://klasma.github.io/Logging_1737/fåglar/A 33835-2023 prioriterade fågelarter.docx", "A 33835-2023")</f>
        <v/>
      </c>
    </row>
    <row r="121" ht="15" customHeight="1">
      <c r="A121" t="inlineStr">
        <is>
          <t>A 35809-2023</t>
        </is>
      </c>
      <c r="B121" s="1" t="n">
        <v>45147</v>
      </c>
      <c r="C121" s="1" t="n">
        <v>45472</v>
      </c>
      <c r="D121" t="inlineStr">
        <is>
          <t>VÄRMLANDS LÄN</t>
        </is>
      </c>
      <c r="E121" t="inlineStr">
        <is>
          <t>TORSBY</t>
        </is>
      </c>
      <c r="F121" t="inlineStr">
        <is>
          <t>Övriga statliga verk och myndigheter</t>
        </is>
      </c>
      <c r="G121" t="n">
        <v>7.2</v>
      </c>
      <c r="H121" t="n">
        <v>1</v>
      </c>
      <c r="I121" t="n">
        <v>0</v>
      </c>
      <c r="J121" t="n">
        <v>0</v>
      </c>
      <c r="K121" t="n">
        <v>0</v>
      </c>
      <c r="L121" t="n">
        <v>0</v>
      </c>
      <c r="M121" t="n">
        <v>0</v>
      </c>
      <c r="N121" t="n">
        <v>0</v>
      </c>
      <c r="O121" t="n">
        <v>0</v>
      </c>
      <c r="P121" t="n">
        <v>0</v>
      </c>
      <c r="Q121" t="n">
        <v>1</v>
      </c>
      <c r="R121" s="2" t="inlineStr">
        <is>
          <t>Fläcknycklar</t>
        </is>
      </c>
      <c r="S121">
        <f>HYPERLINK("https://klasma.github.io/Logging_1737/artfynd/A 35809-2023 artfynd.xlsx", "A 35809-2023")</f>
        <v/>
      </c>
      <c r="T121">
        <f>HYPERLINK("https://klasma.github.io/Logging_1737/kartor/A 35809-2023 karta.png", "A 35809-2023")</f>
        <v/>
      </c>
      <c r="V121">
        <f>HYPERLINK("https://klasma.github.io/Logging_1737/klagomål/A 35809-2023 FSC-klagomål.docx", "A 35809-2023")</f>
        <v/>
      </c>
      <c r="W121">
        <f>HYPERLINK("https://klasma.github.io/Logging_1737/klagomålsmail/A 35809-2023 FSC-klagomål mail.docx", "A 35809-2023")</f>
        <v/>
      </c>
      <c r="X121">
        <f>HYPERLINK("https://klasma.github.io/Logging_1737/tillsyn/A 35809-2023 tillsynsbegäran.docx", "A 35809-2023")</f>
        <v/>
      </c>
      <c r="Y121">
        <f>HYPERLINK("https://klasma.github.io/Logging_1737/tillsynsmail/A 35809-2023 tillsynsbegäran mail.docx", "A 35809-2023")</f>
        <v/>
      </c>
    </row>
    <row r="122" ht="15" customHeight="1">
      <c r="A122" t="inlineStr">
        <is>
          <t>A 39681-2023</t>
        </is>
      </c>
      <c r="B122" s="1" t="n">
        <v>45167</v>
      </c>
      <c r="C122" s="1" t="n">
        <v>45472</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39983-2023</t>
        </is>
      </c>
      <c r="B123" s="1" t="n">
        <v>45168</v>
      </c>
      <c r="C123" s="1" t="n">
        <v>45472</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c r="Z123">
        <f>HYPERLINK("https://klasma.github.io/Logging_1737/fåglar/A 39983-2023 prioriterade fågelarter.docx", "A 39983-2023")</f>
        <v/>
      </c>
    </row>
    <row r="124" ht="15" customHeight="1">
      <c r="A124" t="inlineStr">
        <is>
          <t>A 46099-2023</t>
        </is>
      </c>
      <c r="B124" s="1" t="n">
        <v>45196</v>
      </c>
      <c r="C124" s="1" t="n">
        <v>45472</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45472</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45472</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45472</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45472</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45472</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45472</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18306-2024</t>
        </is>
      </c>
      <c r="B131" s="1" t="n">
        <v>45422</v>
      </c>
      <c r="C131" s="1" t="n">
        <v>45472</v>
      </c>
      <c r="D131" t="inlineStr">
        <is>
          <t>VÄRMLANDS LÄN</t>
        </is>
      </c>
      <c r="E131" t="inlineStr">
        <is>
          <t>TORSBY</t>
        </is>
      </c>
      <c r="G131" t="n">
        <v>5.5</v>
      </c>
      <c r="H131" t="n">
        <v>0</v>
      </c>
      <c r="I131" t="n">
        <v>0</v>
      </c>
      <c r="J131" t="n">
        <v>1</v>
      </c>
      <c r="K131" t="n">
        <v>0</v>
      </c>
      <c r="L131" t="n">
        <v>0</v>
      </c>
      <c r="M131" t="n">
        <v>0</v>
      </c>
      <c r="N131" t="n">
        <v>0</v>
      </c>
      <c r="O131" t="n">
        <v>1</v>
      </c>
      <c r="P131" t="n">
        <v>0</v>
      </c>
      <c r="Q131" t="n">
        <v>1</v>
      </c>
      <c r="R131" s="2" t="inlineStr">
        <is>
          <t>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19760-2024</t>
        </is>
      </c>
      <c r="B132" s="1" t="n">
        <v>45432</v>
      </c>
      <c r="C132" s="1" t="n">
        <v>45472</v>
      </c>
      <c r="D132" t="inlineStr">
        <is>
          <t>VÄRMLANDS LÄN</t>
        </is>
      </c>
      <c r="E132" t="inlineStr">
        <is>
          <t>TORSBY</t>
        </is>
      </c>
      <c r="F132" t="inlineStr">
        <is>
          <t>Bergvik skog väst AB</t>
        </is>
      </c>
      <c r="G132" t="n">
        <v>7.9</v>
      </c>
      <c r="H132" t="n">
        <v>1</v>
      </c>
      <c r="I132" t="n">
        <v>0</v>
      </c>
      <c r="J132" t="n">
        <v>1</v>
      </c>
      <c r="K132" t="n">
        <v>0</v>
      </c>
      <c r="L132" t="n">
        <v>0</v>
      </c>
      <c r="M132" t="n">
        <v>0</v>
      </c>
      <c r="N132" t="n">
        <v>0</v>
      </c>
      <c r="O132" t="n">
        <v>1</v>
      </c>
      <c r="P132" t="n">
        <v>0</v>
      </c>
      <c r="Q132" t="n">
        <v>1</v>
      </c>
      <c r="R132" s="2" t="inlineStr">
        <is>
          <t>Utter</t>
        </is>
      </c>
      <c r="S132">
        <f>HYPERLINK("https://klasma.github.io/Logging_1737/artfynd/A 19760-2024 artfynd.xlsx", "A 19760-2024")</f>
        <v/>
      </c>
      <c r="T132">
        <f>HYPERLINK("https://klasma.github.io/Logging_1737/kartor/A 19760-2024 karta.png", "A 19760-2024")</f>
        <v/>
      </c>
      <c r="V132">
        <f>HYPERLINK("https://klasma.github.io/Logging_1737/klagomål/A 19760-2024 FSC-klagomål.docx", "A 19760-2024")</f>
        <v/>
      </c>
      <c r="W132">
        <f>HYPERLINK("https://klasma.github.io/Logging_1737/klagomålsmail/A 19760-2024 FSC-klagomål mail.docx", "A 19760-2024")</f>
        <v/>
      </c>
      <c r="X132">
        <f>HYPERLINK("https://klasma.github.io/Logging_1737/tillsyn/A 19760-2024 tillsynsbegäran.docx", "A 19760-2024")</f>
        <v/>
      </c>
      <c r="Y132">
        <f>HYPERLINK("https://klasma.github.io/Logging_1737/tillsynsmail/A 19760-2024 tillsynsbegäran mail.docx", "A 19760-2024")</f>
        <v/>
      </c>
    </row>
    <row r="133" ht="15" customHeight="1">
      <c r="A133" t="inlineStr">
        <is>
          <t>A 25789-2024</t>
        </is>
      </c>
      <c r="B133" s="1" t="n">
        <v>45467</v>
      </c>
      <c r="C133" s="1" t="n">
        <v>45472</v>
      </c>
      <c r="D133" t="inlineStr">
        <is>
          <t>VÄRMLANDS LÄN</t>
        </is>
      </c>
      <c r="E133" t="inlineStr">
        <is>
          <t>TORSBY</t>
        </is>
      </c>
      <c r="F133" t="inlineStr">
        <is>
          <t>Bergvik skog väst AB</t>
        </is>
      </c>
      <c r="G133" t="n">
        <v>9</v>
      </c>
      <c r="H133" t="n">
        <v>1</v>
      </c>
      <c r="I133" t="n">
        <v>0</v>
      </c>
      <c r="J133" t="n">
        <v>1</v>
      </c>
      <c r="K133" t="n">
        <v>0</v>
      </c>
      <c r="L133" t="n">
        <v>0</v>
      </c>
      <c r="M133" t="n">
        <v>0</v>
      </c>
      <c r="N133" t="n">
        <v>0</v>
      </c>
      <c r="O133" t="n">
        <v>1</v>
      </c>
      <c r="P133" t="n">
        <v>0</v>
      </c>
      <c r="Q133" t="n">
        <v>1</v>
      </c>
      <c r="R133" s="2" t="inlineStr">
        <is>
          <t>Järpe</t>
        </is>
      </c>
      <c r="S133">
        <f>HYPERLINK("https://klasma.github.io/Logging_1737/artfynd/A 25789-2024 artfynd.xlsx", "A 25789-2024")</f>
        <v/>
      </c>
      <c r="T133">
        <f>HYPERLINK("https://klasma.github.io/Logging_1737/kartor/A 25789-2024 karta.png", "A 25789-2024")</f>
        <v/>
      </c>
      <c r="V133">
        <f>HYPERLINK("https://klasma.github.io/Logging_1737/klagomål/A 25789-2024 FSC-klagomål.docx", "A 25789-2024")</f>
        <v/>
      </c>
      <c r="W133">
        <f>HYPERLINK("https://klasma.github.io/Logging_1737/klagomålsmail/A 25789-2024 FSC-klagomål mail.docx", "A 25789-2024")</f>
        <v/>
      </c>
      <c r="X133">
        <f>HYPERLINK("https://klasma.github.io/Logging_1737/tillsyn/A 25789-2024 tillsynsbegäran.docx", "A 25789-2024")</f>
        <v/>
      </c>
      <c r="Y133">
        <f>HYPERLINK("https://klasma.github.io/Logging_1737/tillsynsmail/A 25789-2024 tillsynsbegäran mail.docx", "A 25789-2024")</f>
        <v/>
      </c>
      <c r="Z133">
        <f>HYPERLINK("https://klasma.github.io/Logging_1737/fåglar/A 25789-2024 prioriterade fågelarter.docx", "A 25789-2024")</f>
        <v/>
      </c>
    </row>
    <row r="134" ht="15" customHeight="1">
      <c r="A134" t="inlineStr">
        <is>
          <t>A 17808-2019</t>
        </is>
      </c>
      <c r="B134" s="1" t="n">
        <v>43556</v>
      </c>
      <c r="C134" s="1" t="n">
        <v>45472</v>
      </c>
      <c r="D134" t="inlineStr">
        <is>
          <t>VÄRMLANDS LÄN</t>
        </is>
      </c>
      <c r="E134" t="inlineStr">
        <is>
          <t>TORSBY</t>
        </is>
      </c>
      <c r="G134" t="n">
        <v>2.1</v>
      </c>
      <c r="H134" t="n">
        <v>0</v>
      </c>
      <c r="I134" t="n">
        <v>0</v>
      </c>
      <c r="J134" t="n">
        <v>0</v>
      </c>
      <c r="K134" t="n">
        <v>0</v>
      </c>
      <c r="L134" t="n">
        <v>0</v>
      </c>
      <c r="M134" t="n">
        <v>0</v>
      </c>
      <c r="N134" t="n">
        <v>0</v>
      </c>
      <c r="O134" t="n">
        <v>0</v>
      </c>
      <c r="P134" t="n">
        <v>0</v>
      </c>
      <c r="Q134" t="n">
        <v>0</v>
      </c>
      <c r="R134" s="2" t="inlineStr"/>
    </row>
    <row r="135" ht="15" customHeight="1">
      <c r="A135" t="inlineStr">
        <is>
          <t>A 17788-2019</t>
        </is>
      </c>
      <c r="B135" s="1" t="n">
        <v>43556</v>
      </c>
      <c r="C135" s="1" t="n">
        <v>45472</v>
      </c>
      <c r="D135" t="inlineStr">
        <is>
          <t>VÄRMLANDS LÄN</t>
        </is>
      </c>
      <c r="E135" t="inlineStr">
        <is>
          <t>TORSBY</t>
        </is>
      </c>
      <c r="G135" t="n">
        <v>2.3</v>
      </c>
      <c r="H135" t="n">
        <v>0</v>
      </c>
      <c r="I135" t="n">
        <v>0</v>
      </c>
      <c r="J135" t="n">
        <v>0</v>
      </c>
      <c r="K135" t="n">
        <v>0</v>
      </c>
      <c r="L135" t="n">
        <v>0</v>
      </c>
      <c r="M135" t="n">
        <v>0</v>
      </c>
      <c r="N135" t="n">
        <v>0</v>
      </c>
      <c r="O135" t="n">
        <v>0</v>
      </c>
      <c r="P135" t="n">
        <v>0</v>
      </c>
      <c r="Q135" t="n">
        <v>0</v>
      </c>
      <c r="R135" s="2" t="inlineStr"/>
    </row>
    <row r="136" ht="15" customHeight="1">
      <c r="A136" t="inlineStr">
        <is>
          <t>A 17957-2019</t>
        </is>
      </c>
      <c r="B136" s="1" t="n">
        <v>43557</v>
      </c>
      <c r="C136" s="1" t="n">
        <v>45472</v>
      </c>
      <c r="D136" t="inlineStr">
        <is>
          <t>VÄRMLANDS LÄN</t>
        </is>
      </c>
      <c r="E136" t="inlineStr">
        <is>
          <t>TORSBY</t>
        </is>
      </c>
      <c r="G136" t="n">
        <v>1.6</v>
      </c>
      <c r="H136" t="n">
        <v>0</v>
      </c>
      <c r="I136" t="n">
        <v>0</v>
      </c>
      <c r="J136" t="n">
        <v>0</v>
      </c>
      <c r="K136" t="n">
        <v>0</v>
      </c>
      <c r="L136" t="n">
        <v>0</v>
      </c>
      <c r="M136" t="n">
        <v>0</v>
      </c>
      <c r="N136" t="n">
        <v>0</v>
      </c>
      <c r="O136" t="n">
        <v>0</v>
      </c>
      <c r="P136" t="n">
        <v>0</v>
      </c>
      <c r="Q136" t="n">
        <v>0</v>
      </c>
      <c r="R136" s="2" t="inlineStr"/>
    </row>
    <row r="137" ht="15" customHeight="1">
      <c r="A137" t="inlineStr">
        <is>
          <t>A 17864-2019</t>
        </is>
      </c>
      <c r="B137" s="1" t="n">
        <v>43557</v>
      </c>
      <c r="C137" s="1" t="n">
        <v>45472</v>
      </c>
      <c r="D137" t="inlineStr">
        <is>
          <t>VÄRMLANDS LÄN</t>
        </is>
      </c>
      <c r="E137" t="inlineStr">
        <is>
          <t>TORSBY</t>
        </is>
      </c>
      <c r="G137" t="n">
        <v>1.4</v>
      </c>
      <c r="H137" t="n">
        <v>0</v>
      </c>
      <c r="I137" t="n">
        <v>0</v>
      </c>
      <c r="J137" t="n">
        <v>0</v>
      </c>
      <c r="K137" t="n">
        <v>0</v>
      </c>
      <c r="L137" t="n">
        <v>0</v>
      </c>
      <c r="M137" t="n">
        <v>0</v>
      </c>
      <c r="N137" t="n">
        <v>0</v>
      </c>
      <c r="O137" t="n">
        <v>0</v>
      </c>
      <c r="P137" t="n">
        <v>0</v>
      </c>
      <c r="Q137" t="n">
        <v>0</v>
      </c>
      <c r="R137" s="2" t="inlineStr"/>
    </row>
    <row r="138" ht="15" customHeight="1">
      <c r="A138" t="inlineStr">
        <is>
          <t>A 18551-2019</t>
        </is>
      </c>
      <c r="B138" s="1" t="n">
        <v>43559</v>
      </c>
      <c r="C138" s="1" t="n">
        <v>45472</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18947-2019</t>
        </is>
      </c>
      <c r="B139" s="1" t="n">
        <v>43563</v>
      </c>
      <c r="C139" s="1" t="n">
        <v>45472</v>
      </c>
      <c r="D139" t="inlineStr">
        <is>
          <t>VÄRMLANDS LÄN</t>
        </is>
      </c>
      <c r="E139" t="inlineStr">
        <is>
          <t>TORSBY</t>
        </is>
      </c>
      <c r="G139" t="n">
        <v>7.6</v>
      </c>
      <c r="H139" t="n">
        <v>0</v>
      </c>
      <c r="I139" t="n">
        <v>0</v>
      </c>
      <c r="J139" t="n">
        <v>0</v>
      </c>
      <c r="K139" t="n">
        <v>0</v>
      </c>
      <c r="L139" t="n">
        <v>0</v>
      </c>
      <c r="M139" t="n">
        <v>0</v>
      </c>
      <c r="N139" t="n">
        <v>0</v>
      </c>
      <c r="O139" t="n">
        <v>0</v>
      </c>
      <c r="P139" t="n">
        <v>0</v>
      </c>
      <c r="Q139" t="n">
        <v>0</v>
      </c>
      <c r="R139" s="2" t="inlineStr"/>
    </row>
    <row r="140" ht="15" customHeight="1">
      <c r="A140" t="inlineStr">
        <is>
          <t>A 19974-2019</t>
        </is>
      </c>
      <c r="B140" s="1" t="n">
        <v>43564</v>
      </c>
      <c r="C140" s="1" t="n">
        <v>45472</v>
      </c>
      <c r="D140" t="inlineStr">
        <is>
          <t>VÄRMLANDS LÄN</t>
        </is>
      </c>
      <c r="E140" t="inlineStr">
        <is>
          <t>TORSBY</t>
        </is>
      </c>
      <c r="G140" t="n">
        <v>5.1</v>
      </c>
      <c r="H140" t="n">
        <v>0</v>
      </c>
      <c r="I140" t="n">
        <v>0</v>
      </c>
      <c r="J140" t="n">
        <v>0</v>
      </c>
      <c r="K140" t="n">
        <v>0</v>
      </c>
      <c r="L140" t="n">
        <v>0</v>
      </c>
      <c r="M140" t="n">
        <v>0</v>
      </c>
      <c r="N140" t="n">
        <v>0</v>
      </c>
      <c r="O140" t="n">
        <v>0</v>
      </c>
      <c r="P140" t="n">
        <v>0</v>
      </c>
      <c r="Q140" t="n">
        <v>0</v>
      </c>
      <c r="R140" s="2" t="inlineStr"/>
    </row>
    <row r="141" ht="15" customHeight="1">
      <c r="A141" t="inlineStr">
        <is>
          <t>A 19125-2019</t>
        </is>
      </c>
      <c r="B141" s="1" t="n">
        <v>43564</v>
      </c>
      <c r="C141" s="1" t="n">
        <v>45472</v>
      </c>
      <c r="D141" t="inlineStr">
        <is>
          <t>VÄRMLANDS LÄN</t>
        </is>
      </c>
      <c r="E141" t="inlineStr">
        <is>
          <t>TORSBY</t>
        </is>
      </c>
      <c r="G141" t="n">
        <v>18.3</v>
      </c>
      <c r="H141" t="n">
        <v>0</v>
      </c>
      <c r="I141" t="n">
        <v>0</v>
      </c>
      <c r="J141" t="n">
        <v>0</v>
      </c>
      <c r="K141" t="n">
        <v>0</v>
      </c>
      <c r="L141" t="n">
        <v>0</v>
      </c>
      <c r="M141" t="n">
        <v>0</v>
      </c>
      <c r="N141" t="n">
        <v>0</v>
      </c>
      <c r="O141" t="n">
        <v>0</v>
      </c>
      <c r="P141" t="n">
        <v>0</v>
      </c>
      <c r="Q141" t="n">
        <v>0</v>
      </c>
      <c r="R141" s="2" t="inlineStr"/>
    </row>
    <row r="142" ht="15" customHeight="1">
      <c r="A142" t="inlineStr">
        <is>
          <t>A 19591-2019</t>
        </is>
      </c>
      <c r="B142" s="1" t="n">
        <v>43566</v>
      </c>
      <c r="C142" s="1" t="n">
        <v>45472</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20167-2019</t>
        </is>
      </c>
      <c r="B143" s="1" t="n">
        <v>43570</v>
      </c>
      <c r="C143" s="1" t="n">
        <v>45472</v>
      </c>
      <c r="D143" t="inlineStr">
        <is>
          <t>VÄRMLANDS LÄN</t>
        </is>
      </c>
      <c r="E143" t="inlineStr">
        <is>
          <t>TORSBY</t>
        </is>
      </c>
      <c r="G143" t="n">
        <v>5</v>
      </c>
      <c r="H143" t="n">
        <v>0</v>
      </c>
      <c r="I143" t="n">
        <v>0</v>
      </c>
      <c r="J143" t="n">
        <v>0</v>
      </c>
      <c r="K143" t="n">
        <v>0</v>
      </c>
      <c r="L143" t="n">
        <v>0</v>
      </c>
      <c r="M143" t="n">
        <v>0</v>
      </c>
      <c r="N143" t="n">
        <v>0</v>
      </c>
      <c r="O143" t="n">
        <v>0</v>
      </c>
      <c r="P143" t="n">
        <v>0</v>
      </c>
      <c r="Q143" t="n">
        <v>0</v>
      </c>
      <c r="R143" s="2" t="inlineStr"/>
    </row>
    <row r="144" ht="15" customHeight="1">
      <c r="A144" t="inlineStr">
        <is>
          <t>A 20190-2019</t>
        </is>
      </c>
      <c r="B144" s="1" t="n">
        <v>43570</v>
      </c>
      <c r="C144" s="1" t="n">
        <v>45472</v>
      </c>
      <c r="D144" t="inlineStr">
        <is>
          <t>VÄRMLANDS LÄN</t>
        </is>
      </c>
      <c r="E144" t="inlineStr">
        <is>
          <t>TORSBY</t>
        </is>
      </c>
      <c r="G144" t="n">
        <v>2.1</v>
      </c>
      <c r="H144" t="n">
        <v>0</v>
      </c>
      <c r="I144" t="n">
        <v>0</v>
      </c>
      <c r="J144" t="n">
        <v>0</v>
      </c>
      <c r="K144" t="n">
        <v>0</v>
      </c>
      <c r="L144" t="n">
        <v>0</v>
      </c>
      <c r="M144" t="n">
        <v>0</v>
      </c>
      <c r="N144" t="n">
        <v>0</v>
      </c>
      <c r="O144" t="n">
        <v>0</v>
      </c>
      <c r="P144" t="n">
        <v>0</v>
      </c>
      <c r="Q144" t="n">
        <v>0</v>
      </c>
      <c r="R144" s="2" t="inlineStr"/>
    </row>
    <row r="145" ht="15" customHeight="1">
      <c r="A145" t="inlineStr">
        <is>
          <t>A 20244-2019</t>
        </is>
      </c>
      <c r="B145" s="1" t="n">
        <v>43571</v>
      </c>
      <c r="C145" s="1" t="n">
        <v>45472</v>
      </c>
      <c r="D145" t="inlineStr">
        <is>
          <t>VÄRMLANDS LÄN</t>
        </is>
      </c>
      <c r="E145" t="inlineStr">
        <is>
          <t>TORSBY</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20616-2019</t>
        </is>
      </c>
      <c r="B146" s="1" t="n">
        <v>43572</v>
      </c>
      <c r="C146" s="1" t="n">
        <v>45472</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20468-2019</t>
        </is>
      </c>
      <c r="B147" s="1" t="n">
        <v>43572</v>
      </c>
      <c r="C147" s="1" t="n">
        <v>45472</v>
      </c>
      <c r="D147" t="inlineStr">
        <is>
          <t>VÄRMLANDS LÄN</t>
        </is>
      </c>
      <c r="E147" t="inlineStr">
        <is>
          <t>TORSBY</t>
        </is>
      </c>
      <c r="G147" t="n">
        <v>2.9</v>
      </c>
      <c r="H147" t="n">
        <v>0</v>
      </c>
      <c r="I147" t="n">
        <v>0</v>
      </c>
      <c r="J147" t="n">
        <v>0</v>
      </c>
      <c r="K147" t="n">
        <v>0</v>
      </c>
      <c r="L147" t="n">
        <v>0</v>
      </c>
      <c r="M147" t="n">
        <v>0</v>
      </c>
      <c r="N147" t="n">
        <v>0</v>
      </c>
      <c r="O147" t="n">
        <v>0</v>
      </c>
      <c r="P147" t="n">
        <v>0</v>
      </c>
      <c r="Q147" t="n">
        <v>0</v>
      </c>
      <c r="R147" s="2" t="inlineStr"/>
    </row>
    <row r="148" ht="15" customHeight="1">
      <c r="A148" t="inlineStr">
        <is>
          <t>A 21166-2019</t>
        </is>
      </c>
      <c r="B148" s="1" t="n">
        <v>43578</v>
      </c>
      <c r="C148" s="1" t="n">
        <v>45472</v>
      </c>
      <c r="D148" t="inlineStr">
        <is>
          <t>VÄRMLANDS LÄN</t>
        </is>
      </c>
      <c r="E148" t="inlineStr">
        <is>
          <t>TORSBY</t>
        </is>
      </c>
      <c r="G148" t="n">
        <v>3.4</v>
      </c>
      <c r="H148" t="n">
        <v>0</v>
      </c>
      <c r="I148" t="n">
        <v>0</v>
      </c>
      <c r="J148" t="n">
        <v>0</v>
      </c>
      <c r="K148" t="n">
        <v>0</v>
      </c>
      <c r="L148" t="n">
        <v>0</v>
      </c>
      <c r="M148" t="n">
        <v>0</v>
      </c>
      <c r="N148" t="n">
        <v>0</v>
      </c>
      <c r="O148" t="n">
        <v>0</v>
      </c>
      <c r="P148" t="n">
        <v>0</v>
      </c>
      <c r="Q148" t="n">
        <v>0</v>
      </c>
      <c r="R148" s="2" t="inlineStr"/>
    </row>
    <row r="149" ht="15" customHeight="1">
      <c r="A149" t="inlineStr">
        <is>
          <t>A 21387-2019</t>
        </is>
      </c>
      <c r="B149" s="1" t="n">
        <v>43580</v>
      </c>
      <c r="C149" s="1" t="n">
        <v>45472</v>
      </c>
      <c r="D149" t="inlineStr">
        <is>
          <t>VÄRMLANDS LÄN</t>
        </is>
      </c>
      <c r="E149" t="inlineStr">
        <is>
          <t>TORSBY</t>
        </is>
      </c>
      <c r="G149" t="n">
        <v>2.4</v>
      </c>
      <c r="H149" t="n">
        <v>0</v>
      </c>
      <c r="I149" t="n">
        <v>0</v>
      </c>
      <c r="J149" t="n">
        <v>0</v>
      </c>
      <c r="K149" t="n">
        <v>0</v>
      </c>
      <c r="L149" t="n">
        <v>0</v>
      </c>
      <c r="M149" t="n">
        <v>0</v>
      </c>
      <c r="N149" t="n">
        <v>0</v>
      </c>
      <c r="O149" t="n">
        <v>0</v>
      </c>
      <c r="P149" t="n">
        <v>0</v>
      </c>
      <c r="Q149" t="n">
        <v>0</v>
      </c>
      <c r="R149" s="2" t="inlineStr"/>
    </row>
    <row r="150" ht="15" customHeight="1">
      <c r="A150" t="inlineStr">
        <is>
          <t>A 21958-2019</t>
        </is>
      </c>
      <c r="B150" s="1" t="n">
        <v>43584</v>
      </c>
      <c r="C150" s="1" t="n">
        <v>45472</v>
      </c>
      <c r="D150" t="inlineStr">
        <is>
          <t>VÄRMLANDS LÄN</t>
        </is>
      </c>
      <c r="E150" t="inlineStr">
        <is>
          <t>TORSBY</t>
        </is>
      </c>
      <c r="G150" t="n">
        <v>3.5</v>
      </c>
      <c r="H150" t="n">
        <v>0</v>
      </c>
      <c r="I150" t="n">
        <v>0</v>
      </c>
      <c r="J150" t="n">
        <v>0</v>
      </c>
      <c r="K150" t="n">
        <v>0</v>
      </c>
      <c r="L150" t="n">
        <v>0</v>
      </c>
      <c r="M150" t="n">
        <v>0</v>
      </c>
      <c r="N150" t="n">
        <v>0</v>
      </c>
      <c r="O150" t="n">
        <v>0</v>
      </c>
      <c r="P150" t="n">
        <v>0</v>
      </c>
      <c r="Q150" t="n">
        <v>0</v>
      </c>
      <c r="R150" s="2" t="inlineStr"/>
    </row>
    <row r="151" ht="15" customHeight="1">
      <c r="A151" t="inlineStr">
        <is>
          <t>A 22252-2019</t>
        </is>
      </c>
      <c r="B151" s="1" t="n">
        <v>43585</v>
      </c>
      <c r="C151" s="1" t="n">
        <v>45472</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22158-2019</t>
        </is>
      </c>
      <c r="B152" s="1" t="n">
        <v>43585</v>
      </c>
      <c r="C152" s="1" t="n">
        <v>45472</v>
      </c>
      <c r="D152" t="inlineStr">
        <is>
          <t>VÄRMLANDS LÄN</t>
        </is>
      </c>
      <c r="E152" t="inlineStr">
        <is>
          <t>TORSBY</t>
        </is>
      </c>
      <c r="G152" t="n">
        <v>4.5</v>
      </c>
      <c r="H152" t="n">
        <v>0</v>
      </c>
      <c r="I152" t="n">
        <v>0</v>
      </c>
      <c r="J152" t="n">
        <v>0</v>
      </c>
      <c r="K152" t="n">
        <v>0</v>
      </c>
      <c r="L152" t="n">
        <v>0</v>
      </c>
      <c r="M152" t="n">
        <v>0</v>
      </c>
      <c r="N152" t="n">
        <v>0</v>
      </c>
      <c r="O152" t="n">
        <v>0</v>
      </c>
      <c r="P152" t="n">
        <v>0</v>
      </c>
      <c r="Q152" t="n">
        <v>0</v>
      </c>
      <c r="R152" s="2" t="inlineStr"/>
    </row>
    <row r="153" ht="15" customHeight="1">
      <c r="A153" t="inlineStr">
        <is>
          <t>A 22416-2019</t>
        </is>
      </c>
      <c r="B153" s="1" t="n">
        <v>43587</v>
      </c>
      <c r="C153" s="1" t="n">
        <v>45472</v>
      </c>
      <c r="D153" t="inlineStr">
        <is>
          <t>VÄRMLANDS LÄN</t>
        </is>
      </c>
      <c r="E153" t="inlineStr">
        <is>
          <t>TORSBY</t>
        </is>
      </c>
      <c r="G153" t="n">
        <v>1.9</v>
      </c>
      <c r="H153" t="n">
        <v>0</v>
      </c>
      <c r="I153" t="n">
        <v>0</v>
      </c>
      <c r="J153" t="n">
        <v>0</v>
      </c>
      <c r="K153" t="n">
        <v>0</v>
      </c>
      <c r="L153" t="n">
        <v>0</v>
      </c>
      <c r="M153" t="n">
        <v>0</v>
      </c>
      <c r="N153" t="n">
        <v>0</v>
      </c>
      <c r="O153" t="n">
        <v>0</v>
      </c>
      <c r="P153" t="n">
        <v>0</v>
      </c>
      <c r="Q153" t="n">
        <v>0</v>
      </c>
      <c r="R153" s="2" t="inlineStr"/>
    </row>
    <row r="154" ht="15" customHeight="1">
      <c r="A154" t="inlineStr">
        <is>
          <t>A 22351-2019</t>
        </is>
      </c>
      <c r="B154" s="1" t="n">
        <v>43587</v>
      </c>
      <c r="C154" s="1" t="n">
        <v>45472</v>
      </c>
      <c r="D154" t="inlineStr">
        <is>
          <t>VÄRMLANDS LÄN</t>
        </is>
      </c>
      <c r="E154" t="inlineStr">
        <is>
          <t>TORSBY</t>
        </is>
      </c>
      <c r="G154" t="n">
        <v>4.3</v>
      </c>
      <c r="H154" t="n">
        <v>0</v>
      </c>
      <c r="I154" t="n">
        <v>0</v>
      </c>
      <c r="J154" t="n">
        <v>0</v>
      </c>
      <c r="K154" t="n">
        <v>0</v>
      </c>
      <c r="L154" t="n">
        <v>0</v>
      </c>
      <c r="M154" t="n">
        <v>0</v>
      </c>
      <c r="N154" t="n">
        <v>0</v>
      </c>
      <c r="O154" t="n">
        <v>0</v>
      </c>
      <c r="P154" t="n">
        <v>0</v>
      </c>
      <c r="Q154" t="n">
        <v>0</v>
      </c>
      <c r="R154" s="2" t="inlineStr"/>
    </row>
    <row r="155" ht="15" customHeight="1">
      <c r="A155" t="inlineStr">
        <is>
          <t>A 22692-2019</t>
        </is>
      </c>
      <c r="B155" s="1" t="n">
        <v>43588</v>
      </c>
      <c r="C155" s="1" t="n">
        <v>45472</v>
      </c>
      <c r="D155" t="inlineStr">
        <is>
          <t>VÄRMLANDS LÄN</t>
        </is>
      </c>
      <c r="E155" t="inlineStr">
        <is>
          <t>TORSBY</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22717-2019</t>
        </is>
      </c>
      <c r="B156" s="1" t="n">
        <v>43588</v>
      </c>
      <c r="C156" s="1" t="n">
        <v>45472</v>
      </c>
      <c r="D156" t="inlineStr">
        <is>
          <t>VÄRMLANDS LÄN</t>
        </is>
      </c>
      <c r="E156" t="inlineStr">
        <is>
          <t>TORSBY</t>
        </is>
      </c>
      <c r="G156" t="n">
        <v>8</v>
      </c>
      <c r="H156" t="n">
        <v>0</v>
      </c>
      <c r="I156" t="n">
        <v>0</v>
      </c>
      <c r="J156" t="n">
        <v>0</v>
      </c>
      <c r="K156" t="n">
        <v>0</v>
      </c>
      <c r="L156" t="n">
        <v>0</v>
      </c>
      <c r="M156" t="n">
        <v>0</v>
      </c>
      <c r="N156" t="n">
        <v>0</v>
      </c>
      <c r="O156" t="n">
        <v>0</v>
      </c>
      <c r="P156" t="n">
        <v>0</v>
      </c>
      <c r="Q156" t="n">
        <v>0</v>
      </c>
      <c r="R156" s="2" t="inlineStr"/>
    </row>
    <row r="157" ht="15" customHeight="1">
      <c r="A157" t="inlineStr">
        <is>
          <t>A 23412-2019</t>
        </is>
      </c>
      <c r="B157" s="1" t="n">
        <v>43593</v>
      </c>
      <c r="C157" s="1" t="n">
        <v>45472</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23892-2019</t>
        </is>
      </c>
      <c r="B158" s="1" t="n">
        <v>43595</v>
      </c>
      <c r="C158" s="1" t="n">
        <v>45472</v>
      </c>
      <c r="D158" t="inlineStr">
        <is>
          <t>VÄRMLANDS LÄN</t>
        </is>
      </c>
      <c r="E158" t="inlineStr">
        <is>
          <t>TORSBY</t>
        </is>
      </c>
      <c r="G158" t="n">
        <v>1.8</v>
      </c>
      <c r="H158" t="n">
        <v>0</v>
      </c>
      <c r="I158" t="n">
        <v>0</v>
      </c>
      <c r="J158" t="n">
        <v>0</v>
      </c>
      <c r="K158" t="n">
        <v>0</v>
      </c>
      <c r="L158" t="n">
        <v>0</v>
      </c>
      <c r="M158" t="n">
        <v>0</v>
      </c>
      <c r="N158" t="n">
        <v>0</v>
      </c>
      <c r="O158" t="n">
        <v>0</v>
      </c>
      <c r="P158" t="n">
        <v>0</v>
      </c>
      <c r="Q158" t="n">
        <v>0</v>
      </c>
      <c r="R158" s="2" t="inlineStr"/>
    </row>
    <row r="159" ht="15" customHeight="1">
      <c r="A159" t="inlineStr">
        <is>
          <t>A 23771-2019</t>
        </is>
      </c>
      <c r="B159" s="1" t="n">
        <v>43595</v>
      </c>
      <c r="C159" s="1" t="n">
        <v>45472</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24667-2019</t>
        </is>
      </c>
      <c r="B160" s="1" t="n">
        <v>43599</v>
      </c>
      <c r="C160" s="1" t="n">
        <v>45472</v>
      </c>
      <c r="D160" t="inlineStr">
        <is>
          <t>VÄRMLANDS LÄN</t>
        </is>
      </c>
      <c r="E160" t="inlineStr">
        <is>
          <t>TORSBY</t>
        </is>
      </c>
      <c r="G160" t="n">
        <v>6.7</v>
      </c>
      <c r="H160" t="n">
        <v>0</v>
      </c>
      <c r="I160" t="n">
        <v>0</v>
      </c>
      <c r="J160" t="n">
        <v>0</v>
      </c>
      <c r="K160" t="n">
        <v>0</v>
      </c>
      <c r="L160" t="n">
        <v>0</v>
      </c>
      <c r="M160" t="n">
        <v>0</v>
      </c>
      <c r="N160" t="n">
        <v>0</v>
      </c>
      <c r="O160" t="n">
        <v>0</v>
      </c>
      <c r="P160" t="n">
        <v>0</v>
      </c>
      <c r="Q160" t="n">
        <v>0</v>
      </c>
      <c r="R160" s="2" t="inlineStr"/>
    </row>
    <row r="161" ht="15" customHeight="1">
      <c r="A161" t="inlineStr">
        <is>
          <t>A 24703-2019</t>
        </is>
      </c>
      <c r="B161" s="1" t="n">
        <v>43601</v>
      </c>
      <c r="C161" s="1" t="n">
        <v>45472</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26493-2019</t>
        </is>
      </c>
      <c r="B162" s="1" t="n">
        <v>43612</v>
      </c>
      <c r="C162" s="1" t="n">
        <v>45472</v>
      </c>
      <c r="D162" t="inlineStr">
        <is>
          <t>VÄRMLANDS LÄN</t>
        </is>
      </c>
      <c r="E162" t="inlineStr">
        <is>
          <t>TORSBY</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27907-2019</t>
        </is>
      </c>
      <c r="B163" s="1" t="n">
        <v>43612</v>
      </c>
      <c r="C163" s="1" t="n">
        <v>45472</v>
      </c>
      <c r="D163" t="inlineStr">
        <is>
          <t>VÄRMLANDS LÄN</t>
        </is>
      </c>
      <c r="E163" t="inlineStr">
        <is>
          <t>TORSBY</t>
        </is>
      </c>
      <c r="G163" t="n">
        <v>7.5</v>
      </c>
      <c r="H163" t="n">
        <v>0</v>
      </c>
      <c r="I163" t="n">
        <v>0</v>
      </c>
      <c r="J163" t="n">
        <v>0</v>
      </c>
      <c r="K163" t="n">
        <v>0</v>
      </c>
      <c r="L163" t="n">
        <v>0</v>
      </c>
      <c r="M163" t="n">
        <v>0</v>
      </c>
      <c r="N163" t="n">
        <v>0</v>
      </c>
      <c r="O163" t="n">
        <v>0</v>
      </c>
      <c r="P163" t="n">
        <v>0</v>
      </c>
      <c r="Q163" t="n">
        <v>0</v>
      </c>
      <c r="R163" s="2" t="inlineStr"/>
    </row>
    <row r="164" ht="15" customHeight="1">
      <c r="A164" t="inlineStr">
        <is>
          <t>A 26783-2019</t>
        </is>
      </c>
      <c r="B164" s="1" t="n">
        <v>43613</v>
      </c>
      <c r="C164" s="1" t="n">
        <v>45472</v>
      </c>
      <c r="D164" t="inlineStr">
        <is>
          <t>VÄRMLANDS LÄN</t>
        </is>
      </c>
      <c r="E164" t="inlineStr">
        <is>
          <t>TORSBY</t>
        </is>
      </c>
      <c r="G164" t="n">
        <v>0.6</v>
      </c>
      <c r="H164" t="n">
        <v>0</v>
      </c>
      <c r="I164" t="n">
        <v>0</v>
      </c>
      <c r="J164" t="n">
        <v>0</v>
      </c>
      <c r="K164" t="n">
        <v>0</v>
      </c>
      <c r="L164" t="n">
        <v>0</v>
      </c>
      <c r="M164" t="n">
        <v>0</v>
      </c>
      <c r="N164" t="n">
        <v>0</v>
      </c>
      <c r="O164" t="n">
        <v>0</v>
      </c>
      <c r="P164" t="n">
        <v>0</v>
      </c>
      <c r="Q164" t="n">
        <v>0</v>
      </c>
      <c r="R164" s="2" t="inlineStr"/>
    </row>
    <row r="165" ht="15" customHeight="1">
      <c r="A165" t="inlineStr">
        <is>
          <t>A 27711-2019</t>
        </is>
      </c>
      <c r="B165" s="1" t="n">
        <v>43619</v>
      </c>
      <c r="C165" s="1" t="n">
        <v>45472</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27682-2019</t>
        </is>
      </c>
      <c r="B166" s="1" t="n">
        <v>43619</v>
      </c>
      <c r="C166" s="1" t="n">
        <v>45472</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28975-2019</t>
        </is>
      </c>
      <c r="B167" s="1" t="n">
        <v>43619</v>
      </c>
      <c r="C167" s="1" t="n">
        <v>45472</v>
      </c>
      <c r="D167" t="inlineStr">
        <is>
          <t>VÄRMLANDS LÄN</t>
        </is>
      </c>
      <c r="E167" t="inlineStr">
        <is>
          <t>TORSBY</t>
        </is>
      </c>
      <c r="G167" t="n">
        <v>6.5</v>
      </c>
      <c r="H167" t="n">
        <v>0</v>
      </c>
      <c r="I167" t="n">
        <v>0</v>
      </c>
      <c r="J167" t="n">
        <v>0</v>
      </c>
      <c r="K167" t="n">
        <v>0</v>
      </c>
      <c r="L167" t="n">
        <v>0</v>
      </c>
      <c r="M167" t="n">
        <v>0</v>
      </c>
      <c r="N167" t="n">
        <v>0</v>
      </c>
      <c r="O167" t="n">
        <v>0</v>
      </c>
      <c r="P167" t="n">
        <v>0</v>
      </c>
      <c r="Q167" t="n">
        <v>0</v>
      </c>
      <c r="R167" s="2" t="inlineStr"/>
    </row>
    <row r="168" ht="15" customHeight="1">
      <c r="A168" t="inlineStr">
        <is>
          <t>A 28487-2019</t>
        </is>
      </c>
      <c r="B168" s="1" t="n">
        <v>43621</v>
      </c>
      <c r="C168" s="1" t="n">
        <v>45472</v>
      </c>
      <c r="D168" t="inlineStr">
        <is>
          <t>VÄRMLANDS LÄN</t>
        </is>
      </c>
      <c r="E168" t="inlineStr">
        <is>
          <t>TORSBY</t>
        </is>
      </c>
      <c r="G168" t="n">
        <v>1.6</v>
      </c>
      <c r="H168" t="n">
        <v>0</v>
      </c>
      <c r="I168" t="n">
        <v>0</v>
      </c>
      <c r="J168" t="n">
        <v>0</v>
      </c>
      <c r="K168" t="n">
        <v>0</v>
      </c>
      <c r="L168" t="n">
        <v>0</v>
      </c>
      <c r="M168" t="n">
        <v>0</v>
      </c>
      <c r="N168" t="n">
        <v>0</v>
      </c>
      <c r="O168" t="n">
        <v>0</v>
      </c>
      <c r="P168" t="n">
        <v>0</v>
      </c>
      <c r="Q168" t="n">
        <v>0</v>
      </c>
      <c r="R168" s="2" t="inlineStr"/>
    </row>
    <row r="169" ht="15" customHeight="1">
      <c r="A169" t="inlineStr">
        <is>
          <t>A 28653-2019</t>
        </is>
      </c>
      <c r="B169" s="1" t="n">
        <v>43627</v>
      </c>
      <c r="C169" s="1" t="n">
        <v>45472</v>
      </c>
      <c r="D169" t="inlineStr">
        <is>
          <t>VÄRMLANDS LÄN</t>
        </is>
      </c>
      <c r="E169" t="inlineStr">
        <is>
          <t>TORSBY</t>
        </is>
      </c>
      <c r="G169" t="n">
        <v>5.2</v>
      </c>
      <c r="H169" t="n">
        <v>0</v>
      </c>
      <c r="I169" t="n">
        <v>0</v>
      </c>
      <c r="J169" t="n">
        <v>0</v>
      </c>
      <c r="K169" t="n">
        <v>0</v>
      </c>
      <c r="L169" t="n">
        <v>0</v>
      </c>
      <c r="M169" t="n">
        <v>0</v>
      </c>
      <c r="N169" t="n">
        <v>0</v>
      </c>
      <c r="O169" t="n">
        <v>0</v>
      </c>
      <c r="P169" t="n">
        <v>0</v>
      </c>
      <c r="Q169" t="n">
        <v>0</v>
      </c>
      <c r="R169" s="2" t="inlineStr"/>
    </row>
    <row r="170" ht="15" customHeight="1">
      <c r="A170" t="inlineStr">
        <is>
          <t>A 28818-2019</t>
        </is>
      </c>
      <c r="B170" s="1" t="n">
        <v>43627</v>
      </c>
      <c r="C170" s="1" t="n">
        <v>45472</v>
      </c>
      <c r="D170" t="inlineStr">
        <is>
          <t>VÄRMLANDS LÄN</t>
        </is>
      </c>
      <c r="E170" t="inlineStr">
        <is>
          <t>TORSBY</t>
        </is>
      </c>
      <c r="F170" t="inlineStr">
        <is>
          <t>Bergvik skog väst AB</t>
        </is>
      </c>
      <c r="G170" t="n">
        <v>58.6</v>
      </c>
      <c r="H170" t="n">
        <v>0</v>
      </c>
      <c r="I170" t="n">
        <v>0</v>
      </c>
      <c r="J170" t="n">
        <v>0</v>
      </c>
      <c r="K170" t="n">
        <v>0</v>
      </c>
      <c r="L170" t="n">
        <v>0</v>
      </c>
      <c r="M170" t="n">
        <v>0</v>
      </c>
      <c r="N170" t="n">
        <v>0</v>
      </c>
      <c r="O170" t="n">
        <v>0</v>
      </c>
      <c r="P170" t="n">
        <v>0</v>
      </c>
      <c r="Q170" t="n">
        <v>0</v>
      </c>
      <c r="R170" s="2" t="inlineStr"/>
    </row>
    <row r="171" ht="15" customHeight="1">
      <c r="A171" t="inlineStr">
        <is>
          <t>A 28889-2019</t>
        </is>
      </c>
      <c r="B171" s="1" t="n">
        <v>43628</v>
      </c>
      <c r="C171" s="1" t="n">
        <v>45472</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29436-2019</t>
        </is>
      </c>
      <c r="B172" s="1" t="n">
        <v>43629</v>
      </c>
      <c r="C172" s="1" t="n">
        <v>45472</v>
      </c>
      <c r="D172" t="inlineStr">
        <is>
          <t>VÄRMLANDS LÄN</t>
        </is>
      </c>
      <c r="E172" t="inlineStr">
        <is>
          <t>TORSBY</t>
        </is>
      </c>
      <c r="F172" t="inlineStr">
        <is>
          <t>Bergvik skog väst AB</t>
        </is>
      </c>
      <c r="G172" t="n">
        <v>33.7</v>
      </c>
      <c r="H172" t="n">
        <v>0</v>
      </c>
      <c r="I172" t="n">
        <v>0</v>
      </c>
      <c r="J172" t="n">
        <v>0</v>
      </c>
      <c r="K172" t="n">
        <v>0</v>
      </c>
      <c r="L172" t="n">
        <v>0</v>
      </c>
      <c r="M172" t="n">
        <v>0</v>
      </c>
      <c r="N172" t="n">
        <v>0</v>
      </c>
      <c r="O172" t="n">
        <v>0</v>
      </c>
      <c r="P172" t="n">
        <v>0</v>
      </c>
      <c r="Q172" t="n">
        <v>0</v>
      </c>
      <c r="R172" s="2" t="inlineStr"/>
    </row>
    <row r="173" ht="15" customHeight="1">
      <c r="A173" t="inlineStr">
        <is>
          <t>A 30031-2019</t>
        </is>
      </c>
      <c r="B173" s="1" t="n">
        <v>43633</v>
      </c>
      <c r="C173" s="1" t="n">
        <v>45472</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30049-2019</t>
        </is>
      </c>
      <c r="B174" s="1" t="n">
        <v>43633</v>
      </c>
      <c r="C174" s="1" t="n">
        <v>45472</v>
      </c>
      <c r="D174" t="inlineStr">
        <is>
          <t>VÄRMLANDS LÄN</t>
        </is>
      </c>
      <c r="E174" t="inlineStr">
        <is>
          <t>TORSBY</t>
        </is>
      </c>
      <c r="G174" t="n">
        <v>7.1</v>
      </c>
      <c r="H174" t="n">
        <v>0</v>
      </c>
      <c r="I174" t="n">
        <v>0</v>
      </c>
      <c r="J174" t="n">
        <v>0</v>
      </c>
      <c r="K174" t="n">
        <v>0</v>
      </c>
      <c r="L174" t="n">
        <v>0</v>
      </c>
      <c r="M174" t="n">
        <v>0</v>
      </c>
      <c r="N174" t="n">
        <v>0</v>
      </c>
      <c r="O174" t="n">
        <v>0</v>
      </c>
      <c r="P174" t="n">
        <v>0</v>
      </c>
      <c r="Q174" t="n">
        <v>0</v>
      </c>
      <c r="R174" s="2" t="inlineStr"/>
    </row>
    <row r="175" ht="15" customHeight="1">
      <c r="A175" t="inlineStr">
        <is>
          <t>A 29984-2019</t>
        </is>
      </c>
      <c r="B175" s="1" t="n">
        <v>43633</v>
      </c>
      <c r="C175" s="1" t="n">
        <v>45472</v>
      </c>
      <c r="D175" t="inlineStr">
        <is>
          <t>VÄRMLANDS LÄN</t>
        </is>
      </c>
      <c r="E175" t="inlineStr">
        <is>
          <t>TORSBY</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30158-2019</t>
        </is>
      </c>
      <c r="B176" s="1" t="n">
        <v>43634</v>
      </c>
      <c r="C176" s="1" t="n">
        <v>45472</v>
      </c>
      <c r="D176" t="inlineStr">
        <is>
          <t>VÄRMLANDS LÄN</t>
        </is>
      </c>
      <c r="E176" t="inlineStr">
        <is>
          <t>TORSBY</t>
        </is>
      </c>
      <c r="G176" t="n">
        <v>3.3</v>
      </c>
      <c r="H176" t="n">
        <v>0</v>
      </c>
      <c r="I176" t="n">
        <v>0</v>
      </c>
      <c r="J176" t="n">
        <v>0</v>
      </c>
      <c r="K176" t="n">
        <v>0</v>
      </c>
      <c r="L176" t="n">
        <v>0</v>
      </c>
      <c r="M176" t="n">
        <v>0</v>
      </c>
      <c r="N176" t="n">
        <v>0</v>
      </c>
      <c r="O176" t="n">
        <v>0</v>
      </c>
      <c r="P176" t="n">
        <v>0</v>
      </c>
      <c r="Q176" t="n">
        <v>0</v>
      </c>
      <c r="R176" s="2" t="inlineStr"/>
    </row>
    <row r="177" ht="15" customHeight="1">
      <c r="A177" t="inlineStr">
        <is>
          <t>A 30596-2019</t>
        </is>
      </c>
      <c r="B177" s="1" t="n">
        <v>43635</v>
      </c>
      <c r="C177" s="1" t="n">
        <v>45472</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30860-2019</t>
        </is>
      </c>
      <c r="B178" s="1" t="n">
        <v>43636</v>
      </c>
      <c r="C178" s="1" t="n">
        <v>45472</v>
      </c>
      <c r="D178" t="inlineStr">
        <is>
          <t>VÄRMLANDS LÄN</t>
        </is>
      </c>
      <c r="E178" t="inlineStr">
        <is>
          <t>TORSBY</t>
        </is>
      </c>
      <c r="G178" t="n">
        <v>11.7</v>
      </c>
      <c r="H178" t="n">
        <v>0</v>
      </c>
      <c r="I178" t="n">
        <v>0</v>
      </c>
      <c r="J178" t="n">
        <v>0</v>
      </c>
      <c r="K178" t="n">
        <v>0</v>
      </c>
      <c r="L178" t="n">
        <v>0</v>
      </c>
      <c r="M178" t="n">
        <v>0</v>
      </c>
      <c r="N178" t="n">
        <v>0</v>
      </c>
      <c r="O178" t="n">
        <v>0</v>
      </c>
      <c r="P178" t="n">
        <v>0</v>
      </c>
      <c r="Q178" t="n">
        <v>0</v>
      </c>
      <c r="R178" s="2" t="inlineStr"/>
    </row>
    <row r="179" ht="15" customHeight="1">
      <c r="A179" t="inlineStr">
        <is>
          <t>A 31109-2019</t>
        </is>
      </c>
      <c r="B179" s="1" t="n">
        <v>43640</v>
      </c>
      <c r="C179" s="1" t="n">
        <v>45472</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31010-2019</t>
        </is>
      </c>
      <c r="B180" s="1" t="n">
        <v>43640</v>
      </c>
      <c r="C180" s="1" t="n">
        <v>45472</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31138-2019</t>
        </is>
      </c>
      <c r="B181" s="1" t="n">
        <v>43640</v>
      </c>
      <c r="C181" s="1" t="n">
        <v>45472</v>
      </c>
      <c r="D181" t="inlineStr">
        <is>
          <t>VÄRMLANDS LÄN</t>
        </is>
      </c>
      <c r="E181" t="inlineStr">
        <is>
          <t>TORSBY</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31543-2019</t>
        </is>
      </c>
      <c r="B182" s="1" t="n">
        <v>43641</v>
      </c>
      <c r="C182" s="1" t="n">
        <v>45472</v>
      </c>
      <c r="D182" t="inlineStr">
        <is>
          <t>VÄRMLANDS LÄN</t>
        </is>
      </c>
      <c r="E182" t="inlineStr">
        <is>
          <t>TORSBY</t>
        </is>
      </c>
      <c r="G182" t="n">
        <v>6</v>
      </c>
      <c r="H182" t="n">
        <v>0</v>
      </c>
      <c r="I182" t="n">
        <v>0</v>
      </c>
      <c r="J182" t="n">
        <v>0</v>
      </c>
      <c r="K182" t="n">
        <v>0</v>
      </c>
      <c r="L182" t="n">
        <v>0</v>
      </c>
      <c r="M182" t="n">
        <v>0</v>
      </c>
      <c r="N182" t="n">
        <v>0</v>
      </c>
      <c r="O182" t="n">
        <v>0</v>
      </c>
      <c r="P182" t="n">
        <v>0</v>
      </c>
      <c r="Q182" t="n">
        <v>0</v>
      </c>
      <c r="R182" s="2" t="inlineStr"/>
    </row>
    <row r="183" ht="15" customHeight="1">
      <c r="A183" t="inlineStr">
        <is>
          <t>A 31930-2019</t>
        </is>
      </c>
      <c r="B183" s="1" t="n">
        <v>43642</v>
      </c>
      <c r="C183" s="1" t="n">
        <v>45472</v>
      </c>
      <c r="D183" t="inlineStr">
        <is>
          <t>VÄRMLANDS LÄN</t>
        </is>
      </c>
      <c r="E183" t="inlineStr">
        <is>
          <t>TORSBY</t>
        </is>
      </c>
      <c r="G183" t="n">
        <v>1.1</v>
      </c>
      <c r="H183" t="n">
        <v>0</v>
      </c>
      <c r="I183" t="n">
        <v>0</v>
      </c>
      <c r="J183" t="n">
        <v>0</v>
      </c>
      <c r="K183" t="n">
        <v>0</v>
      </c>
      <c r="L183" t="n">
        <v>0</v>
      </c>
      <c r="M183" t="n">
        <v>0</v>
      </c>
      <c r="N183" t="n">
        <v>0</v>
      </c>
      <c r="O183" t="n">
        <v>0</v>
      </c>
      <c r="P183" t="n">
        <v>0</v>
      </c>
      <c r="Q183" t="n">
        <v>0</v>
      </c>
      <c r="R183" s="2" t="inlineStr"/>
    </row>
    <row r="184" ht="15" customHeight="1">
      <c r="A184" t="inlineStr">
        <is>
          <t>A 32170-2019</t>
        </is>
      </c>
      <c r="B184" s="1" t="n">
        <v>43643</v>
      </c>
      <c r="C184" s="1" t="n">
        <v>45472</v>
      </c>
      <c r="D184" t="inlineStr">
        <is>
          <t>VÄRMLANDS LÄN</t>
        </is>
      </c>
      <c r="E184" t="inlineStr">
        <is>
          <t>TORSBY</t>
        </is>
      </c>
      <c r="G184" t="n">
        <v>4.6</v>
      </c>
      <c r="H184" t="n">
        <v>0</v>
      </c>
      <c r="I184" t="n">
        <v>0</v>
      </c>
      <c r="J184" t="n">
        <v>0</v>
      </c>
      <c r="K184" t="n">
        <v>0</v>
      </c>
      <c r="L184" t="n">
        <v>0</v>
      </c>
      <c r="M184" t="n">
        <v>0</v>
      </c>
      <c r="N184" t="n">
        <v>0</v>
      </c>
      <c r="O184" t="n">
        <v>0</v>
      </c>
      <c r="P184" t="n">
        <v>0</v>
      </c>
      <c r="Q184" t="n">
        <v>0</v>
      </c>
      <c r="R184" s="2" t="inlineStr"/>
    </row>
    <row r="185" ht="15" customHeight="1">
      <c r="A185" t="inlineStr">
        <is>
          <t>A 32443-2019</t>
        </is>
      </c>
      <c r="B185" s="1" t="n">
        <v>43644</v>
      </c>
      <c r="C185" s="1" t="n">
        <v>45472</v>
      </c>
      <c r="D185" t="inlineStr">
        <is>
          <t>VÄRMLANDS LÄN</t>
        </is>
      </c>
      <c r="E185" t="inlineStr">
        <is>
          <t>TORSBY</t>
        </is>
      </c>
      <c r="G185" t="n">
        <v>1</v>
      </c>
      <c r="H185" t="n">
        <v>0</v>
      </c>
      <c r="I185" t="n">
        <v>0</v>
      </c>
      <c r="J185" t="n">
        <v>0</v>
      </c>
      <c r="K185" t="n">
        <v>0</v>
      </c>
      <c r="L185" t="n">
        <v>0</v>
      </c>
      <c r="M185" t="n">
        <v>0</v>
      </c>
      <c r="N185" t="n">
        <v>0</v>
      </c>
      <c r="O185" t="n">
        <v>0</v>
      </c>
      <c r="P185" t="n">
        <v>0</v>
      </c>
      <c r="Q185" t="n">
        <v>0</v>
      </c>
      <c r="R185" s="2" t="inlineStr"/>
    </row>
    <row r="186" ht="15" customHeight="1">
      <c r="A186" t="inlineStr">
        <is>
          <t>A 32298-2019</t>
        </is>
      </c>
      <c r="B186" s="1" t="n">
        <v>43644</v>
      </c>
      <c r="C186" s="1" t="n">
        <v>45472</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32468-2019</t>
        </is>
      </c>
      <c r="B187" s="1" t="n">
        <v>43644</v>
      </c>
      <c r="C187" s="1" t="n">
        <v>45472</v>
      </c>
      <c r="D187" t="inlineStr">
        <is>
          <t>VÄRMLANDS LÄN</t>
        </is>
      </c>
      <c r="E187" t="inlineStr">
        <is>
          <t>TORSBY</t>
        </is>
      </c>
      <c r="G187" t="n">
        <v>4.7</v>
      </c>
      <c r="H187" t="n">
        <v>0</v>
      </c>
      <c r="I187" t="n">
        <v>0</v>
      </c>
      <c r="J187" t="n">
        <v>0</v>
      </c>
      <c r="K187" t="n">
        <v>0</v>
      </c>
      <c r="L187" t="n">
        <v>0</v>
      </c>
      <c r="M187" t="n">
        <v>0</v>
      </c>
      <c r="N187" t="n">
        <v>0</v>
      </c>
      <c r="O187" t="n">
        <v>0</v>
      </c>
      <c r="P187" t="n">
        <v>0</v>
      </c>
      <c r="Q187" t="n">
        <v>0</v>
      </c>
      <c r="R187" s="2" t="inlineStr"/>
    </row>
    <row r="188" ht="15" customHeight="1">
      <c r="A188" t="inlineStr">
        <is>
          <t>A 32444-2019</t>
        </is>
      </c>
      <c r="B188" s="1" t="n">
        <v>43644</v>
      </c>
      <c r="C188" s="1" t="n">
        <v>45472</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33918-2019</t>
        </is>
      </c>
      <c r="B189" s="1" t="n">
        <v>43654</v>
      </c>
      <c r="C189" s="1" t="n">
        <v>45472</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35505-2019</t>
        </is>
      </c>
      <c r="B190" s="1" t="n">
        <v>43654</v>
      </c>
      <c r="C190" s="1" t="n">
        <v>45472</v>
      </c>
      <c r="D190" t="inlineStr">
        <is>
          <t>VÄRMLANDS LÄN</t>
        </is>
      </c>
      <c r="E190" t="inlineStr">
        <is>
          <t>TORSBY</t>
        </is>
      </c>
      <c r="G190" t="n">
        <v>0.8</v>
      </c>
      <c r="H190" t="n">
        <v>0</v>
      </c>
      <c r="I190" t="n">
        <v>0</v>
      </c>
      <c r="J190" t="n">
        <v>0</v>
      </c>
      <c r="K190" t="n">
        <v>0</v>
      </c>
      <c r="L190" t="n">
        <v>0</v>
      </c>
      <c r="M190" t="n">
        <v>0</v>
      </c>
      <c r="N190" t="n">
        <v>0</v>
      </c>
      <c r="O190" t="n">
        <v>0</v>
      </c>
      <c r="P190" t="n">
        <v>0</v>
      </c>
      <c r="Q190" t="n">
        <v>0</v>
      </c>
      <c r="R190" s="2" t="inlineStr"/>
    </row>
    <row r="191" ht="15" customHeight="1">
      <c r="A191" t="inlineStr">
        <is>
          <t>A 35788-2019</t>
        </is>
      </c>
      <c r="B191" s="1" t="n">
        <v>43656</v>
      </c>
      <c r="C191" s="1" t="n">
        <v>45472</v>
      </c>
      <c r="D191" t="inlineStr">
        <is>
          <t>VÄRMLANDS LÄN</t>
        </is>
      </c>
      <c r="E191" t="inlineStr">
        <is>
          <t>TORSBY</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34541-2019</t>
        </is>
      </c>
      <c r="B192" s="1" t="n">
        <v>43657</v>
      </c>
      <c r="C192" s="1" t="n">
        <v>45472</v>
      </c>
      <c r="D192" t="inlineStr">
        <is>
          <t>VÄRMLANDS LÄN</t>
        </is>
      </c>
      <c r="E192" t="inlineStr">
        <is>
          <t>TORSBY</t>
        </is>
      </c>
      <c r="G192" t="n">
        <v>5.7</v>
      </c>
      <c r="H192" t="n">
        <v>0</v>
      </c>
      <c r="I192" t="n">
        <v>0</v>
      </c>
      <c r="J192" t="n">
        <v>0</v>
      </c>
      <c r="K192" t="n">
        <v>0</v>
      </c>
      <c r="L192" t="n">
        <v>0</v>
      </c>
      <c r="M192" t="n">
        <v>0</v>
      </c>
      <c r="N192" t="n">
        <v>0</v>
      </c>
      <c r="O192" t="n">
        <v>0</v>
      </c>
      <c r="P192" t="n">
        <v>0</v>
      </c>
      <c r="Q192" t="n">
        <v>0</v>
      </c>
      <c r="R192" s="2" t="inlineStr"/>
    </row>
    <row r="193" ht="15" customHeight="1">
      <c r="A193" t="inlineStr">
        <is>
          <t>A 36480-2019</t>
        </is>
      </c>
      <c r="B193" s="1" t="n">
        <v>43668</v>
      </c>
      <c r="C193" s="1" t="n">
        <v>45472</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38010-2019</t>
        </is>
      </c>
      <c r="B194" s="1" t="n">
        <v>43669</v>
      </c>
      <c r="C194" s="1" t="n">
        <v>45472</v>
      </c>
      <c r="D194" t="inlineStr">
        <is>
          <t>VÄRMLANDS LÄN</t>
        </is>
      </c>
      <c r="E194" t="inlineStr">
        <is>
          <t>TORSBY</t>
        </is>
      </c>
      <c r="G194" t="n">
        <v>6.2</v>
      </c>
      <c r="H194" t="n">
        <v>0</v>
      </c>
      <c r="I194" t="n">
        <v>0</v>
      </c>
      <c r="J194" t="n">
        <v>0</v>
      </c>
      <c r="K194" t="n">
        <v>0</v>
      </c>
      <c r="L194" t="n">
        <v>0</v>
      </c>
      <c r="M194" t="n">
        <v>0</v>
      </c>
      <c r="N194" t="n">
        <v>0</v>
      </c>
      <c r="O194" t="n">
        <v>0</v>
      </c>
      <c r="P194" t="n">
        <v>0</v>
      </c>
      <c r="Q194" t="n">
        <v>0</v>
      </c>
      <c r="R194" s="2" t="inlineStr"/>
    </row>
    <row r="195" ht="15" customHeight="1">
      <c r="A195" t="inlineStr">
        <is>
          <t>A 38003-2019</t>
        </is>
      </c>
      <c r="B195" s="1" t="n">
        <v>43669</v>
      </c>
      <c r="C195" s="1" t="n">
        <v>45472</v>
      </c>
      <c r="D195" t="inlineStr">
        <is>
          <t>VÄRMLANDS LÄN</t>
        </is>
      </c>
      <c r="E195" t="inlineStr">
        <is>
          <t>TORSBY</t>
        </is>
      </c>
      <c r="G195" t="n">
        <v>3.1</v>
      </c>
      <c r="H195" t="n">
        <v>0</v>
      </c>
      <c r="I195" t="n">
        <v>0</v>
      </c>
      <c r="J195" t="n">
        <v>0</v>
      </c>
      <c r="K195" t="n">
        <v>0</v>
      </c>
      <c r="L195" t="n">
        <v>0</v>
      </c>
      <c r="M195" t="n">
        <v>0</v>
      </c>
      <c r="N195" t="n">
        <v>0</v>
      </c>
      <c r="O195" t="n">
        <v>0</v>
      </c>
      <c r="P195" t="n">
        <v>0</v>
      </c>
      <c r="Q195" t="n">
        <v>0</v>
      </c>
      <c r="R195" s="2" t="inlineStr"/>
    </row>
    <row r="196" ht="15" customHeight="1">
      <c r="A196" t="inlineStr">
        <is>
          <t>A 36712-2019</t>
        </is>
      </c>
      <c r="B196" s="1" t="n">
        <v>43669</v>
      </c>
      <c r="C196" s="1" t="n">
        <v>45472</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36682-2019</t>
        </is>
      </c>
      <c r="B197" s="1" t="n">
        <v>43670</v>
      </c>
      <c r="C197" s="1" t="n">
        <v>45472</v>
      </c>
      <c r="D197" t="inlineStr">
        <is>
          <t>VÄRMLANDS LÄN</t>
        </is>
      </c>
      <c r="E197" t="inlineStr">
        <is>
          <t>TORSBY</t>
        </is>
      </c>
      <c r="G197" t="n">
        <v>8.1</v>
      </c>
      <c r="H197" t="n">
        <v>0</v>
      </c>
      <c r="I197" t="n">
        <v>0</v>
      </c>
      <c r="J197" t="n">
        <v>0</v>
      </c>
      <c r="K197" t="n">
        <v>0</v>
      </c>
      <c r="L197" t="n">
        <v>0</v>
      </c>
      <c r="M197" t="n">
        <v>0</v>
      </c>
      <c r="N197" t="n">
        <v>0</v>
      </c>
      <c r="O197" t="n">
        <v>0</v>
      </c>
      <c r="P197" t="n">
        <v>0</v>
      </c>
      <c r="Q197" t="n">
        <v>0</v>
      </c>
      <c r="R197" s="2" t="inlineStr"/>
    </row>
    <row r="198" ht="15" customHeight="1">
      <c r="A198" t="inlineStr">
        <is>
          <t>A 36734-2019</t>
        </is>
      </c>
      <c r="B198" s="1" t="n">
        <v>43672</v>
      </c>
      <c r="C198" s="1" t="n">
        <v>45472</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36820-2019</t>
        </is>
      </c>
      <c r="B199" s="1" t="n">
        <v>43673</v>
      </c>
      <c r="C199" s="1" t="n">
        <v>45472</v>
      </c>
      <c r="D199" t="inlineStr">
        <is>
          <t>VÄRMLANDS LÄN</t>
        </is>
      </c>
      <c r="E199" t="inlineStr">
        <is>
          <t>TORSBY</t>
        </is>
      </c>
      <c r="G199" t="n">
        <v>0.2</v>
      </c>
      <c r="H199" t="n">
        <v>0</v>
      </c>
      <c r="I199" t="n">
        <v>0</v>
      </c>
      <c r="J199" t="n">
        <v>0</v>
      </c>
      <c r="K199" t="n">
        <v>0</v>
      </c>
      <c r="L199" t="n">
        <v>0</v>
      </c>
      <c r="M199" t="n">
        <v>0</v>
      </c>
      <c r="N199" t="n">
        <v>0</v>
      </c>
      <c r="O199" t="n">
        <v>0</v>
      </c>
      <c r="P199" t="n">
        <v>0</v>
      </c>
      <c r="Q199" t="n">
        <v>0</v>
      </c>
      <c r="R199" s="2" t="inlineStr"/>
    </row>
    <row r="200" ht="15" customHeight="1">
      <c r="A200" t="inlineStr">
        <is>
          <t>A 37005-2019</t>
        </is>
      </c>
      <c r="B200" s="1" t="n">
        <v>43676</v>
      </c>
      <c r="C200" s="1" t="n">
        <v>45472</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37719-2019</t>
        </is>
      </c>
      <c r="B201" s="1" t="n">
        <v>43682</v>
      </c>
      <c r="C201" s="1" t="n">
        <v>45472</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38068-2019</t>
        </is>
      </c>
      <c r="B202" s="1" t="n">
        <v>43683</v>
      </c>
      <c r="C202" s="1" t="n">
        <v>45472</v>
      </c>
      <c r="D202" t="inlineStr">
        <is>
          <t>VÄRMLANDS LÄN</t>
        </is>
      </c>
      <c r="E202" t="inlineStr">
        <is>
          <t>TORSBY</t>
        </is>
      </c>
      <c r="G202" t="n">
        <v>2.7</v>
      </c>
      <c r="H202" t="n">
        <v>0</v>
      </c>
      <c r="I202" t="n">
        <v>0</v>
      </c>
      <c r="J202" t="n">
        <v>0</v>
      </c>
      <c r="K202" t="n">
        <v>0</v>
      </c>
      <c r="L202" t="n">
        <v>0</v>
      </c>
      <c r="M202" t="n">
        <v>0</v>
      </c>
      <c r="N202" t="n">
        <v>0</v>
      </c>
      <c r="O202" t="n">
        <v>0</v>
      </c>
      <c r="P202" t="n">
        <v>0</v>
      </c>
      <c r="Q202" t="n">
        <v>0</v>
      </c>
      <c r="R202" s="2" t="inlineStr"/>
    </row>
    <row r="203" ht="15" customHeight="1">
      <c r="A203" t="inlineStr">
        <is>
          <t>A 38265-2019</t>
        </is>
      </c>
      <c r="B203" s="1" t="n">
        <v>43684</v>
      </c>
      <c r="C203" s="1" t="n">
        <v>45472</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39213-2019</t>
        </is>
      </c>
      <c r="B204" s="1" t="n">
        <v>43690</v>
      </c>
      <c r="C204" s="1" t="n">
        <v>45472</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40632-2019</t>
        </is>
      </c>
      <c r="B205" s="1" t="n">
        <v>43696</v>
      </c>
      <c r="C205" s="1" t="n">
        <v>45472</v>
      </c>
      <c r="D205" t="inlineStr">
        <is>
          <t>VÄRMLANDS LÄN</t>
        </is>
      </c>
      <c r="E205" t="inlineStr">
        <is>
          <t>TORSBY</t>
        </is>
      </c>
      <c r="G205" t="n">
        <v>4.2</v>
      </c>
      <c r="H205" t="n">
        <v>0</v>
      </c>
      <c r="I205" t="n">
        <v>0</v>
      </c>
      <c r="J205" t="n">
        <v>0</v>
      </c>
      <c r="K205" t="n">
        <v>0</v>
      </c>
      <c r="L205" t="n">
        <v>0</v>
      </c>
      <c r="M205" t="n">
        <v>0</v>
      </c>
      <c r="N205" t="n">
        <v>0</v>
      </c>
      <c r="O205" t="n">
        <v>0</v>
      </c>
      <c r="P205" t="n">
        <v>0</v>
      </c>
      <c r="Q205" t="n">
        <v>0</v>
      </c>
      <c r="R205" s="2" t="inlineStr"/>
    </row>
    <row r="206" ht="15" customHeight="1">
      <c r="A206" t="inlineStr">
        <is>
          <t>A 40589-2019</t>
        </is>
      </c>
      <c r="B206" s="1" t="n">
        <v>43696</v>
      </c>
      <c r="C206" s="1" t="n">
        <v>45472</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40810-2019</t>
        </is>
      </c>
      <c r="B207" s="1" t="n">
        <v>43697</v>
      </c>
      <c r="C207" s="1" t="n">
        <v>45472</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41698-2019</t>
        </is>
      </c>
      <c r="B208" s="1" t="n">
        <v>43697</v>
      </c>
      <c r="C208" s="1" t="n">
        <v>45472</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42441-2019</t>
        </is>
      </c>
      <c r="B209" s="1" t="n">
        <v>43697</v>
      </c>
      <c r="C209" s="1" t="n">
        <v>45472</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41436-2019</t>
        </is>
      </c>
      <c r="B210" s="1" t="n">
        <v>43698</v>
      </c>
      <c r="C210" s="1" t="n">
        <v>45472</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41435-2019</t>
        </is>
      </c>
      <c r="B211" s="1" t="n">
        <v>43698</v>
      </c>
      <c r="C211" s="1" t="n">
        <v>45472</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41438-2019</t>
        </is>
      </c>
      <c r="B212" s="1" t="n">
        <v>43698</v>
      </c>
      <c r="C212" s="1" t="n">
        <v>45472</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41621-2019</t>
        </is>
      </c>
      <c r="B213" s="1" t="n">
        <v>43699</v>
      </c>
      <c r="C213" s="1" t="n">
        <v>45472</v>
      </c>
      <c r="D213" t="inlineStr">
        <is>
          <t>VÄRMLANDS LÄN</t>
        </is>
      </c>
      <c r="E213" t="inlineStr">
        <is>
          <t>TORSBY</t>
        </is>
      </c>
      <c r="G213" t="n">
        <v>4.2</v>
      </c>
      <c r="H213" t="n">
        <v>0</v>
      </c>
      <c r="I213" t="n">
        <v>0</v>
      </c>
      <c r="J213" t="n">
        <v>0</v>
      </c>
      <c r="K213" t="n">
        <v>0</v>
      </c>
      <c r="L213" t="n">
        <v>0</v>
      </c>
      <c r="M213" t="n">
        <v>0</v>
      </c>
      <c r="N213" t="n">
        <v>0</v>
      </c>
      <c r="O213" t="n">
        <v>0</v>
      </c>
      <c r="P213" t="n">
        <v>0</v>
      </c>
      <c r="Q213" t="n">
        <v>0</v>
      </c>
      <c r="R213" s="2" t="inlineStr"/>
    </row>
    <row r="214" ht="15" customHeight="1">
      <c r="A214" t="inlineStr">
        <is>
          <t>A 42230-2019</t>
        </is>
      </c>
      <c r="B214" s="1" t="n">
        <v>43703</v>
      </c>
      <c r="C214" s="1" t="n">
        <v>45472</v>
      </c>
      <c r="D214" t="inlineStr">
        <is>
          <t>VÄRMLANDS LÄN</t>
        </is>
      </c>
      <c r="E214" t="inlineStr">
        <is>
          <t>TORSBY</t>
        </is>
      </c>
      <c r="G214" t="n">
        <v>1.9</v>
      </c>
      <c r="H214" t="n">
        <v>0</v>
      </c>
      <c r="I214" t="n">
        <v>0</v>
      </c>
      <c r="J214" t="n">
        <v>0</v>
      </c>
      <c r="K214" t="n">
        <v>0</v>
      </c>
      <c r="L214" t="n">
        <v>0</v>
      </c>
      <c r="M214" t="n">
        <v>0</v>
      </c>
      <c r="N214" t="n">
        <v>0</v>
      </c>
      <c r="O214" t="n">
        <v>0</v>
      </c>
      <c r="P214" t="n">
        <v>0</v>
      </c>
      <c r="Q214" t="n">
        <v>0</v>
      </c>
      <c r="R214" s="2" t="inlineStr"/>
    </row>
    <row r="215" ht="15" customHeight="1">
      <c r="A215" t="inlineStr">
        <is>
          <t>A 43273-2019</t>
        </is>
      </c>
      <c r="B215" s="1" t="n">
        <v>43704</v>
      </c>
      <c r="C215" s="1" t="n">
        <v>45472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43897-2019</t>
        </is>
      </c>
      <c r="B216" s="1" t="n">
        <v>43707</v>
      </c>
      <c r="C216" s="1" t="n">
        <v>45472</v>
      </c>
      <c r="D216" t="inlineStr">
        <is>
          <t>VÄRMLANDS LÄN</t>
        </is>
      </c>
      <c r="E216" t="inlineStr">
        <is>
          <t>TORSBY</t>
        </is>
      </c>
      <c r="G216" t="n">
        <v>3.2</v>
      </c>
      <c r="H216" t="n">
        <v>0</v>
      </c>
      <c r="I216" t="n">
        <v>0</v>
      </c>
      <c r="J216" t="n">
        <v>0</v>
      </c>
      <c r="K216" t="n">
        <v>0</v>
      </c>
      <c r="L216" t="n">
        <v>0</v>
      </c>
      <c r="M216" t="n">
        <v>0</v>
      </c>
      <c r="N216" t="n">
        <v>0</v>
      </c>
      <c r="O216" t="n">
        <v>0</v>
      </c>
      <c r="P216" t="n">
        <v>0</v>
      </c>
      <c r="Q216" t="n">
        <v>0</v>
      </c>
      <c r="R216" s="2" t="inlineStr"/>
    </row>
    <row r="217" ht="15" customHeight="1">
      <c r="A217" t="inlineStr">
        <is>
          <t>A 44832-2019</t>
        </is>
      </c>
      <c r="B217" s="1" t="n">
        <v>43707</v>
      </c>
      <c r="C217" s="1" t="n">
        <v>45472</v>
      </c>
      <c r="D217" t="inlineStr">
        <is>
          <t>VÄRMLANDS LÄN</t>
        </is>
      </c>
      <c r="E217" t="inlineStr">
        <is>
          <t>TORSBY</t>
        </is>
      </c>
      <c r="G217" t="n">
        <v>27.1</v>
      </c>
      <c r="H217" t="n">
        <v>0</v>
      </c>
      <c r="I217" t="n">
        <v>0</v>
      </c>
      <c r="J217" t="n">
        <v>0</v>
      </c>
      <c r="K217" t="n">
        <v>0</v>
      </c>
      <c r="L217" t="n">
        <v>0</v>
      </c>
      <c r="M217" t="n">
        <v>0</v>
      </c>
      <c r="N217" t="n">
        <v>0</v>
      </c>
      <c r="O217" t="n">
        <v>0</v>
      </c>
      <c r="P217" t="n">
        <v>0</v>
      </c>
      <c r="Q217" t="n">
        <v>0</v>
      </c>
      <c r="R217" s="2" t="inlineStr"/>
    </row>
    <row r="218" ht="15" customHeight="1">
      <c r="A218" t="inlineStr">
        <is>
          <t>A 44708-2019</t>
        </is>
      </c>
      <c r="B218" s="1" t="n">
        <v>43712</v>
      </c>
      <c r="C218" s="1" t="n">
        <v>45472</v>
      </c>
      <c r="D218" t="inlineStr">
        <is>
          <t>VÄRMLANDS LÄN</t>
        </is>
      </c>
      <c r="E218" t="inlineStr">
        <is>
          <t>TORSBY</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44706-2019</t>
        </is>
      </c>
      <c r="B219" s="1" t="n">
        <v>43712</v>
      </c>
      <c r="C219" s="1" t="n">
        <v>45472</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45053-2019</t>
        </is>
      </c>
      <c r="B220" s="1" t="n">
        <v>43713</v>
      </c>
      <c r="C220" s="1" t="n">
        <v>45472</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45083-2019</t>
        </is>
      </c>
      <c r="B221" s="1" t="n">
        <v>43713</v>
      </c>
      <c r="C221" s="1" t="n">
        <v>45472</v>
      </c>
      <c r="D221" t="inlineStr">
        <is>
          <t>VÄRMLANDS LÄN</t>
        </is>
      </c>
      <c r="E221" t="inlineStr">
        <is>
          <t>TORSBY</t>
        </is>
      </c>
      <c r="F221" t="inlineStr">
        <is>
          <t>Bergvik skog väst AB</t>
        </is>
      </c>
      <c r="G221" t="n">
        <v>37.8</v>
      </c>
      <c r="H221" t="n">
        <v>0</v>
      </c>
      <c r="I221" t="n">
        <v>0</v>
      </c>
      <c r="J221" t="n">
        <v>0</v>
      </c>
      <c r="K221" t="n">
        <v>0</v>
      </c>
      <c r="L221" t="n">
        <v>0</v>
      </c>
      <c r="M221" t="n">
        <v>0</v>
      </c>
      <c r="N221" t="n">
        <v>0</v>
      </c>
      <c r="O221" t="n">
        <v>0</v>
      </c>
      <c r="P221" t="n">
        <v>0</v>
      </c>
      <c r="Q221" t="n">
        <v>0</v>
      </c>
      <c r="R221" s="2" t="inlineStr"/>
    </row>
    <row r="222" ht="15" customHeight="1">
      <c r="A222" t="inlineStr">
        <is>
          <t>A 45189-2019</t>
        </is>
      </c>
      <c r="B222" s="1" t="n">
        <v>43713</v>
      </c>
      <c r="C222" s="1" t="n">
        <v>45472</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45068-2019</t>
        </is>
      </c>
      <c r="B223" s="1" t="n">
        <v>43713</v>
      </c>
      <c r="C223" s="1" t="n">
        <v>45472</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45891-2019</t>
        </is>
      </c>
      <c r="B224" s="1" t="n">
        <v>43717</v>
      </c>
      <c r="C224" s="1" t="n">
        <v>45472</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46738-2019</t>
        </is>
      </c>
      <c r="B225" s="1" t="n">
        <v>43719</v>
      </c>
      <c r="C225" s="1" t="n">
        <v>45472</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46743-2019</t>
        </is>
      </c>
      <c r="B226" s="1" t="n">
        <v>43719</v>
      </c>
      <c r="C226" s="1" t="n">
        <v>45472</v>
      </c>
      <c r="D226" t="inlineStr">
        <is>
          <t>VÄRMLANDS LÄN</t>
        </is>
      </c>
      <c r="E226" t="inlineStr">
        <is>
          <t>TORSBY</t>
        </is>
      </c>
      <c r="G226" t="n">
        <v>7</v>
      </c>
      <c r="H226" t="n">
        <v>0</v>
      </c>
      <c r="I226" t="n">
        <v>0</v>
      </c>
      <c r="J226" t="n">
        <v>0</v>
      </c>
      <c r="K226" t="n">
        <v>0</v>
      </c>
      <c r="L226" t="n">
        <v>0</v>
      </c>
      <c r="M226" t="n">
        <v>0</v>
      </c>
      <c r="N226" t="n">
        <v>0</v>
      </c>
      <c r="O226" t="n">
        <v>0</v>
      </c>
      <c r="P226" t="n">
        <v>0</v>
      </c>
      <c r="Q226" t="n">
        <v>0</v>
      </c>
      <c r="R226" s="2" t="inlineStr"/>
    </row>
    <row r="227" ht="15" customHeight="1">
      <c r="A227" t="inlineStr">
        <is>
          <t>A 47114-2019</t>
        </is>
      </c>
      <c r="B227" s="1" t="n">
        <v>43720</v>
      </c>
      <c r="C227" s="1" t="n">
        <v>45472</v>
      </c>
      <c r="D227" t="inlineStr">
        <is>
          <t>VÄRMLANDS LÄN</t>
        </is>
      </c>
      <c r="E227" t="inlineStr">
        <is>
          <t>TORSBY</t>
        </is>
      </c>
      <c r="G227" t="n">
        <v>2.2</v>
      </c>
      <c r="H227" t="n">
        <v>0</v>
      </c>
      <c r="I227" t="n">
        <v>0</v>
      </c>
      <c r="J227" t="n">
        <v>0</v>
      </c>
      <c r="K227" t="n">
        <v>0</v>
      </c>
      <c r="L227" t="n">
        <v>0</v>
      </c>
      <c r="M227" t="n">
        <v>0</v>
      </c>
      <c r="N227" t="n">
        <v>0</v>
      </c>
      <c r="O227" t="n">
        <v>0</v>
      </c>
      <c r="P227" t="n">
        <v>0</v>
      </c>
      <c r="Q227" t="n">
        <v>0</v>
      </c>
      <c r="R227" s="2" t="inlineStr"/>
    </row>
    <row r="228" ht="15" customHeight="1">
      <c r="A228" t="inlineStr">
        <is>
          <t>A 47214-2019</t>
        </is>
      </c>
      <c r="B228" s="1" t="n">
        <v>43721</v>
      </c>
      <c r="C228" s="1" t="n">
        <v>45472</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47137-2019</t>
        </is>
      </c>
      <c r="B229" s="1" t="n">
        <v>43721</v>
      </c>
      <c r="C229" s="1" t="n">
        <v>45472</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47316-2019</t>
        </is>
      </c>
      <c r="B230" s="1" t="n">
        <v>43721</v>
      </c>
      <c r="C230" s="1" t="n">
        <v>45472</v>
      </c>
      <c r="D230" t="inlineStr">
        <is>
          <t>VÄRMLANDS LÄN</t>
        </is>
      </c>
      <c r="E230" t="inlineStr">
        <is>
          <t>TORSBY</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47608-2019</t>
        </is>
      </c>
      <c r="B231" s="1" t="n">
        <v>43724</v>
      </c>
      <c r="C231" s="1" t="n">
        <v>45472</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47772-2019</t>
        </is>
      </c>
      <c r="B232" s="1" t="n">
        <v>43724</v>
      </c>
      <c r="C232" s="1" t="n">
        <v>45472</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47648-2019</t>
        </is>
      </c>
      <c r="B233" s="1" t="n">
        <v>43724</v>
      </c>
      <c r="C233" s="1" t="n">
        <v>45472</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47502-2019</t>
        </is>
      </c>
      <c r="B234" s="1" t="n">
        <v>43724</v>
      </c>
      <c r="C234" s="1" t="n">
        <v>45472</v>
      </c>
      <c r="D234" t="inlineStr">
        <is>
          <t>VÄRMLANDS LÄN</t>
        </is>
      </c>
      <c r="E234" t="inlineStr">
        <is>
          <t>TORSBY</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47869-2019</t>
        </is>
      </c>
      <c r="B235" s="1" t="n">
        <v>43725</v>
      </c>
      <c r="C235" s="1" t="n">
        <v>45472</v>
      </c>
      <c r="D235" t="inlineStr">
        <is>
          <t>VÄRMLANDS LÄN</t>
        </is>
      </c>
      <c r="E235" t="inlineStr">
        <is>
          <t>TORSBY</t>
        </is>
      </c>
      <c r="G235" t="n">
        <v>4.7</v>
      </c>
      <c r="H235" t="n">
        <v>0</v>
      </c>
      <c r="I235" t="n">
        <v>0</v>
      </c>
      <c r="J235" t="n">
        <v>0</v>
      </c>
      <c r="K235" t="n">
        <v>0</v>
      </c>
      <c r="L235" t="n">
        <v>0</v>
      </c>
      <c r="M235" t="n">
        <v>0</v>
      </c>
      <c r="N235" t="n">
        <v>0</v>
      </c>
      <c r="O235" t="n">
        <v>0</v>
      </c>
      <c r="P235" t="n">
        <v>0</v>
      </c>
      <c r="Q235" t="n">
        <v>0</v>
      </c>
      <c r="R235" s="2" t="inlineStr"/>
    </row>
    <row r="236" ht="15" customHeight="1">
      <c r="A236" t="inlineStr">
        <is>
          <t>A 47979-2019</t>
        </is>
      </c>
      <c r="B236" s="1" t="n">
        <v>43725</v>
      </c>
      <c r="C236" s="1" t="n">
        <v>45472</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48040-2019</t>
        </is>
      </c>
      <c r="B237" s="1" t="n">
        <v>43725</v>
      </c>
      <c r="C237" s="1" t="n">
        <v>45472</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48346-2019</t>
        </is>
      </c>
      <c r="B238" s="1" t="n">
        <v>43726</v>
      </c>
      <c r="C238" s="1" t="n">
        <v>45472</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48366-2019</t>
        </is>
      </c>
      <c r="B239" s="1" t="n">
        <v>43726</v>
      </c>
      <c r="C239" s="1" t="n">
        <v>45472</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49550-2019</t>
        </is>
      </c>
      <c r="B240" s="1" t="n">
        <v>43727</v>
      </c>
      <c r="C240" s="1" t="n">
        <v>45472</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51497-2019</t>
        </is>
      </c>
      <c r="B241" s="1" t="n">
        <v>43734</v>
      </c>
      <c r="C241" s="1" t="n">
        <v>45472</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50428-2019</t>
        </is>
      </c>
      <c r="B242" s="1" t="n">
        <v>43735</v>
      </c>
      <c r="C242" s="1" t="n">
        <v>45472</v>
      </c>
      <c r="D242" t="inlineStr">
        <is>
          <t>VÄRMLANDS LÄN</t>
        </is>
      </c>
      <c r="E242" t="inlineStr">
        <is>
          <t>TORSBY</t>
        </is>
      </c>
      <c r="G242" t="n">
        <v>0.4</v>
      </c>
      <c r="H242" t="n">
        <v>0</v>
      </c>
      <c r="I242" t="n">
        <v>0</v>
      </c>
      <c r="J242" t="n">
        <v>0</v>
      </c>
      <c r="K242" t="n">
        <v>0</v>
      </c>
      <c r="L242" t="n">
        <v>0</v>
      </c>
      <c r="M242" t="n">
        <v>0</v>
      </c>
      <c r="N242" t="n">
        <v>0</v>
      </c>
      <c r="O242" t="n">
        <v>0</v>
      </c>
      <c r="P242" t="n">
        <v>0</v>
      </c>
      <c r="Q242" t="n">
        <v>0</v>
      </c>
      <c r="R242" s="2" t="inlineStr"/>
    </row>
    <row r="243" ht="15" customHeight="1">
      <c r="A243" t="inlineStr">
        <is>
          <t>A 52319-2019</t>
        </is>
      </c>
      <c r="B243" s="1" t="n">
        <v>43735</v>
      </c>
      <c r="C243" s="1" t="n">
        <v>45472</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52326-2019</t>
        </is>
      </c>
      <c r="B244" s="1" t="n">
        <v>43735</v>
      </c>
      <c r="C244" s="1" t="n">
        <v>45472</v>
      </c>
      <c r="D244" t="inlineStr">
        <is>
          <t>VÄRMLANDS LÄN</t>
        </is>
      </c>
      <c r="E244" t="inlineStr">
        <is>
          <t>TORSBY</t>
        </is>
      </c>
      <c r="G244" t="n">
        <v>6.2</v>
      </c>
      <c r="H244" t="n">
        <v>0</v>
      </c>
      <c r="I244" t="n">
        <v>0</v>
      </c>
      <c r="J244" t="n">
        <v>0</v>
      </c>
      <c r="K244" t="n">
        <v>0</v>
      </c>
      <c r="L244" t="n">
        <v>0</v>
      </c>
      <c r="M244" t="n">
        <v>0</v>
      </c>
      <c r="N244" t="n">
        <v>0</v>
      </c>
      <c r="O244" t="n">
        <v>0</v>
      </c>
      <c r="P244" t="n">
        <v>0</v>
      </c>
      <c r="Q244" t="n">
        <v>0</v>
      </c>
      <c r="R244" s="2" t="inlineStr"/>
    </row>
    <row r="245" ht="15" customHeight="1">
      <c r="A245" t="inlineStr">
        <is>
          <t>A 52317-2019</t>
        </is>
      </c>
      <c r="B245" s="1" t="n">
        <v>43735</v>
      </c>
      <c r="C245" s="1" t="n">
        <v>45472</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51254-2019</t>
        </is>
      </c>
      <c r="B246" s="1" t="n">
        <v>43739</v>
      </c>
      <c r="C246" s="1" t="n">
        <v>45472</v>
      </c>
      <c r="D246" t="inlineStr">
        <is>
          <t>VÄRMLANDS LÄN</t>
        </is>
      </c>
      <c r="E246" t="inlineStr">
        <is>
          <t>TORSBY</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52186-2019</t>
        </is>
      </c>
      <c r="B247" s="1" t="n">
        <v>43742</v>
      </c>
      <c r="C247" s="1" t="n">
        <v>45472</v>
      </c>
      <c r="D247" t="inlineStr">
        <is>
          <t>VÄRMLANDS LÄN</t>
        </is>
      </c>
      <c r="E247" t="inlineStr">
        <is>
          <t>TORSBY</t>
        </is>
      </c>
      <c r="G247" t="n">
        <v>3.6</v>
      </c>
      <c r="H247" t="n">
        <v>0</v>
      </c>
      <c r="I247" t="n">
        <v>0</v>
      </c>
      <c r="J247" t="n">
        <v>0</v>
      </c>
      <c r="K247" t="n">
        <v>0</v>
      </c>
      <c r="L247" t="n">
        <v>0</v>
      </c>
      <c r="M247" t="n">
        <v>0</v>
      </c>
      <c r="N247" t="n">
        <v>0</v>
      </c>
      <c r="O247" t="n">
        <v>0</v>
      </c>
      <c r="P247" t="n">
        <v>0</v>
      </c>
      <c r="Q247" t="n">
        <v>0</v>
      </c>
      <c r="R247" s="2" t="inlineStr"/>
    </row>
    <row r="248" ht="15" customHeight="1">
      <c r="A248" t="inlineStr">
        <is>
          <t>A 52311-2019</t>
        </is>
      </c>
      <c r="B248" s="1" t="n">
        <v>43745</v>
      </c>
      <c r="C248" s="1" t="n">
        <v>45472</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52674-2019</t>
        </is>
      </c>
      <c r="B249" s="1" t="n">
        <v>43746</v>
      </c>
      <c r="C249" s="1" t="n">
        <v>45472</v>
      </c>
      <c r="D249" t="inlineStr">
        <is>
          <t>VÄRMLANDS LÄN</t>
        </is>
      </c>
      <c r="E249" t="inlineStr">
        <is>
          <t>TORSBY</t>
        </is>
      </c>
      <c r="F249" t="inlineStr">
        <is>
          <t>Bergvik skog väst AB</t>
        </is>
      </c>
      <c r="G249" t="n">
        <v>26.4</v>
      </c>
      <c r="H249" t="n">
        <v>0</v>
      </c>
      <c r="I249" t="n">
        <v>0</v>
      </c>
      <c r="J249" t="n">
        <v>0</v>
      </c>
      <c r="K249" t="n">
        <v>0</v>
      </c>
      <c r="L249" t="n">
        <v>0</v>
      </c>
      <c r="M249" t="n">
        <v>0</v>
      </c>
      <c r="N249" t="n">
        <v>0</v>
      </c>
      <c r="O249" t="n">
        <v>0</v>
      </c>
      <c r="P249" t="n">
        <v>0</v>
      </c>
      <c r="Q249" t="n">
        <v>0</v>
      </c>
      <c r="R249" s="2" t="inlineStr"/>
    </row>
    <row r="250" ht="15" customHeight="1">
      <c r="A250" t="inlineStr">
        <is>
          <t>A 52885-2019</t>
        </is>
      </c>
      <c r="B250" s="1" t="n">
        <v>43746</v>
      </c>
      <c r="C250" s="1" t="n">
        <v>45472</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53271-2019</t>
        </is>
      </c>
      <c r="B251" s="1" t="n">
        <v>43748</v>
      </c>
      <c r="C251" s="1" t="n">
        <v>45472</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54764-2019</t>
        </is>
      </c>
      <c r="B252" s="1" t="n">
        <v>43748</v>
      </c>
      <c r="C252" s="1" t="n">
        <v>45472</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53635-2019</t>
        </is>
      </c>
      <c r="B253" s="1" t="n">
        <v>43749</v>
      </c>
      <c r="C253" s="1" t="n">
        <v>45472</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53746-2019</t>
        </is>
      </c>
      <c r="B254" s="1" t="n">
        <v>43749</v>
      </c>
      <c r="C254" s="1" t="n">
        <v>45472</v>
      </c>
      <c r="D254" t="inlineStr">
        <is>
          <t>VÄRMLANDS LÄN</t>
        </is>
      </c>
      <c r="E254" t="inlineStr">
        <is>
          <t>TORSBY</t>
        </is>
      </c>
      <c r="G254" t="n">
        <v>0.3</v>
      </c>
      <c r="H254" t="n">
        <v>0</v>
      </c>
      <c r="I254" t="n">
        <v>0</v>
      </c>
      <c r="J254" t="n">
        <v>0</v>
      </c>
      <c r="K254" t="n">
        <v>0</v>
      </c>
      <c r="L254" t="n">
        <v>0</v>
      </c>
      <c r="M254" t="n">
        <v>0</v>
      </c>
      <c r="N254" t="n">
        <v>0</v>
      </c>
      <c r="O254" t="n">
        <v>0</v>
      </c>
      <c r="P254" t="n">
        <v>0</v>
      </c>
      <c r="Q254" t="n">
        <v>0</v>
      </c>
      <c r="R254" s="2" t="inlineStr"/>
    </row>
    <row r="255" ht="15" customHeight="1">
      <c r="A255" t="inlineStr">
        <is>
          <t>A 53744-2019</t>
        </is>
      </c>
      <c r="B255" s="1" t="n">
        <v>43749</v>
      </c>
      <c r="C255" s="1" t="n">
        <v>45472</v>
      </c>
      <c r="D255" t="inlineStr">
        <is>
          <t>VÄRMLANDS LÄN</t>
        </is>
      </c>
      <c r="E255" t="inlineStr">
        <is>
          <t>TORSBY</t>
        </is>
      </c>
      <c r="G255" t="n">
        <v>0.4</v>
      </c>
      <c r="H255" t="n">
        <v>0</v>
      </c>
      <c r="I255" t="n">
        <v>0</v>
      </c>
      <c r="J255" t="n">
        <v>0</v>
      </c>
      <c r="K255" t="n">
        <v>0</v>
      </c>
      <c r="L255" t="n">
        <v>0</v>
      </c>
      <c r="M255" t="n">
        <v>0</v>
      </c>
      <c r="N255" t="n">
        <v>0</v>
      </c>
      <c r="O255" t="n">
        <v>0</v>
      </c>
      <c r="P255" t="n">
        <v>0</v>
      </c>
      <c r="Q255" t="n">
        <v>0</v>
      </c>
      <c r="R255" s="2" t="inlineStr"/>
    </row>
    <row r="256" ht="15" customHeight="1">
      <c r="A256" t="inlineStr">
        <is>
          <t>A 54437-2019</t>
        </is>
      </c>
      <c r="B256" s="1" t="n">
        <v>43754</v>
      </c>
      <c r="C256" s="1" t="n">
        <v>45472</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56256-2019</t>
        </is>
      </c>
      <c r="B257" s="1" t="n">
        <v>43756</v>
      </c>
      <c r="C257" s="1" t="n">
        <v>45472</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55988-2019</t>
        </is>
      </c>
      <c r="B258" s="1" t="n">
        <v>43759</v>
      </c>
      <c r="C258" s="1" t="n">
        <v>45472</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56704-2019</t>
        </is>
      </c>
      <c r="B259" s="1" t="n">
        <v>43759</v>
      </c>
      <c r="C259" s="1" t="n">
        <v>45472</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55927-2019</t>
        </is>
      </c>
      <c r="B260" s="1" t="n">
        <v>43761</v>
      </c>
      <c r="C260" s="1" t="n">
        <v>45472</v>
      </c>
      <c r="D260" t="inlineStr">
        <is>
          <t>VÄRMLANDS LÄN</t>
        </is>
      </c>
      <c r="E260" t="inlineStr">
        <is>
          <t>TORSBY</t>
        </is>
      </c>
      <c r="G260" t="n">
        <v>2.8</v>
      </c>
      <c r="H260" t="n">
        <v>0</v>
      </c>
      <c r="I260" t="n">
        <v>0</v>
      </c>
      <c r="J260" t="n">
        <v>0</v>
      </c>
      <c r="K260" t="n">
        <v>0</v>
      </c>
      <c r="L260" t="n">
        <v>0</v>
      </c>
      <c r="M260" t="n">
        <v>0</v>
      </c>
      <c r="N260" t="n">
        <v>0</v>
      </c>
      <c r="O260" t="n">
        <v>0</v>
      </c>
      <c r="P260" t="n">
        <v>0</v>
      </c>
      <c r="Q260" t="n">
        <v>0</v>
      </c>
      <c r="R260" s="2" t="inlineStr"/>
    </row>
    <row r="261" ht="15" customHeight="1">
      <c r="A261" t="inlineStr">
        <is>
          <t>A 56021-2019</t>
        </is>
      </c>
      <c r="B261" s="1" t="n">
        <v>43761</v>
      </c>
      <c r="C261" s="1" t="n">
        <v>45472</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56305-2019</t>
        </is>
      </c>
      <c r="B262" s="1" t="n">
        <v>43762</v>
      </c>
      <c r="C262" s="1" t="n">
        <v>45472</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56594-2019</t>
        </is>
      </c>
      <c r="B263" s="1" t="n">
        <v>43763</v>
      </c>
      <c r="C263" s="1" t="n">
        <v>45472</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56633-2019</t>
        </is>
      </c>
      <c r="B264" s="1" t="n">
        <v>43763</v>
      </c>
      <c r="C264" s="1" t="n">
        <v>45472</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56824-2019</t>
        </is>
      </c>
      <c r="B265" s="1" t="n">
        <v>43764</v>
      </c>
      <c r="C265" s="1" t="n">
        <v>45472</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56935-2019</t>
        </is>
      </c>
      <c r="B266" s="1" t="n">
        <v>43766</v>
      </c>
      <c r="C266" s="1" t="n">
        <v>45472</v>
      </c>
      <c r="D266" t="inlineStr">
        <is>
          <t>VÄRMLANDS LÄN</t>
        </is>
      </c>
      <c r="E266" t="inlineStr">
        <is>
          <t>TORSBY</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57399-2019</t>
        </is>
      </c>
      <c r="B267" s="1" t="n">
        <v>43767</v>
      </c>
      <c r="C267" s="1" t="n">
        <v>45472</v>
      </c>
      <c r="D267" t="inlineStr">
        <is>
          <t>VÄRMLANDS LÄN</t>
        </is>
      </c>
      <c r="E267" t="inlineStr">
        <is>
          <t>TORSBY</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57251-2019</t>
        </is>
      </c>
      <c r="B268" s="1" t="n">
        <v>43767</v>
      </c>
      <c r="C268" s="1" t="n">
        <v>45472</v>
      </c>
      <c r="D268" t="inlineStr">
        <is>
          <t>VÄRMLANDS LÄN</t>
        </is>
      </c>
      <c r="E268" t="inlineStr">
        <is>
          <t>TORSBY</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57301-2019</t>
        </is>
      </c>
      <c r="B269" s="1" t="n">
        <v>43767</v>
      </c>
      <c r="C269" s="1" t="n">
        <v>45472</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57268-2019</t>
        </is>
      </c>
      <c r="B270" s="1" t="n">
        <v>43767</v>
      </c>
      <c r="C270" s="1" t="n">
        <v>45472</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58530-2019</t>
        </is>
      </c>
      <c r="B271" s="1" t="n">
        <v>43767</v>
      </c>
      <c r="C271" s="1" t="n">
        <v>45472</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57223-2019</t>
        </is>
      </c>
      <c r="B272" s="1" t="n">
        <v>43767</v>
      </c>
      <c r="C272" s="1" t="n">
        <v>45472</v>
      </c>
      <c r="D272" t="inlineStr">
        <is>
          <t>VÄRMLANDS LÄN</t>
        </is>
      </c>
      <c r="E272" t="inlineStr">
        <is>
          <t>TORSBY</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57566-2019</t>
        </is>
      </c>
      <c r="B273" s="1" t="n">
        <v>43768</v>
      </c>
      <c r="C273" s="1" t="n">
        <v>45472</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57704-2019</t>
        </is>
      </c>
      <c r="B274" s="1" t="n">
        <v>43768</v>
      </c>
      <c r="C274" s="1" t="n">
        <v>45472</v>
      </c>
      <c r="D274" t="inlineStr">
        <is>
          <t>VÄRMLANDS LÄN</t>
        </is>
      </c>
      <c r="E274" t="inlineStr">
        <is>
          <t>TORSBY</t>
        </is>
      </c>
      <c r="F274" t="inlineStr">
        <is>
          <t>Kommuner</t>
        </is>
      </c>
      <c r="G274" t="n">
        <v>0.9</v>
      </c>
      <c r="H274" t="n">
        <v>0</v>
      </c>
      <c r="I274" t="n">
        <v>0</v>
      </c>
      <c r="J274" t="n">
        <v>0</v>
      </c>
      <c r="K274" t="n">
        <v>0</v>
      </c>
      <c r="L274" t="n">
        <v>0</v>
      </c>
      <c r="M274" t="n">
        <v>0</v>
      </c>
      <c r="N274" t="n">
        <v>0</v>
      </c>
      <c r="O274" t="n">
        <v>0</v>
      </c>
      <c r="P274" t="n">
        <v>0</v>
      </c>
      <c r="Q274" t="n">
        <v>0</v>
      </c>
      <c r="R274" s="2" t="inlineStr"/>
    </row>
    <row r="275" ht="15" customHeight="1">
      <c r="A275" t="inlineStr">
        <is>
          <t>A 57565-2019</t>
        </is>
      </c>
      <c r="B275" s="1" t="n">
        <v>43768</v>
      </c>
      <c r="C275" s="1" t="n">
        <v>45472</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58004-2019</t>
        </is>
      </c>
      <c r="B276" s="1" t="n">
        <v>43769</v>
      </c>
      <c r="C276" s="1" t="n">
        <v>45472</v>
      </c>
      <c r="D276" t="inlineStr">
        <is>
          <t>VÄRMLANDS LÄN</t>
        </is>
      </c>
      <c r="E276" t="inlineStr">
        <is>
          <t>TORSBY</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58678-2019</t>
        </is>
      </c>
      <c r="B277" s="1" t="n">
        <v>43773</v>
      </c>
      <c r="C277" s="1" t="n">
        <v>45472</v>
      </c>
      <c r="D277" t="inlineStr">
        <is>
          <t>VÄRMLANDS LÄN</t>
        </is>
      </c>
      <c r="E277" t="inlineStr">
        <is>
          <t>TORSBY</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59127-2019</t>
        </is>
      </c>
      <c r="B278" s="1" t="n">
        <v>43775</v>
      </c>
      <c r="C278" s="1" t="n">
        <v>45472</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59593-2019</t>
        </is>
      </c>
      <c r="B279" s="1" t="n">
        <v>43776</v>
      </c>
      <c r="C279" s="1" t="n">
        <v>45472</v>
      </c>
      <c r="D279" t="inlineStr">
        <is>
          <t>VÄRMLANDS LÄN</t>
        </is>
      </c>
      <c r="E279" t="inlineStr">
        <is>
          <t>TORSBY</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60545-2019</t>
        </is>
      </c>
      <c r="B280" s="1" t="n">
        <v>43781</v>
      </c>
      <c r="C280" s="1" t="n">
        <v>45472</v>
      </c>
      <c r="D280" t="inlineStr">
        <is>
          <t>VÄRMLANDS LÄN</t>
        </is>
      </c>
      <c r="E280" t="inlineStr">
        <is>
          <t>TORSBY</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61074-2019</t>
        </is>
      </c>
      <c r="B281" s="1" t="n">
        <v>43782</v>
      </c>
      <c r="C281" s="1" t="n">
        <v>45472</v>
      </c>
      <c r="D281" t="inlineStr">
        <is>
          <t>VÄRMLANDS LÄN</t>
        </is>
      </c>
      <c r="E281" t="inlineStr">
        <is>
          <t>TORSBY</t>
        </is>
      </c>
      <c r="G281" t="n">
        <v>6.4</v>
      </c>
      <c r="H281" t="n">
        <v>0</v>
      </c>
      <c r="I281" t="n">
        <v>0</v>
      </c>
      <c r="J281" t="n">
        <v>0</v>
      </c>
      <c r="K281" t="n">
        <v>0</v>
      </c>
      <c r="L281" t="n">
        <v>0</v>
      </c>
      <c r="M281" t="n">
        <v>0</v>
      </c>
      <c r="N281" t="n">
        <v>0</v>
      </c>
      <c r="O281" t="n">
        <v>0</v>
      </c>
      <c r="P281" t="n">
        <v>0</v>
      </c>
      <c r="Q281" t="n">
        <v>0</v>
      </c>
      <c r="R281" s="2" t="inlineStr"/>
    </row>
    <row r="282" ht="15" customHeight="1">
      <c r="A282" t="inlineStr">
        <is>
          <t>A 62050-2019</t>
        </is>
      </c>
      <c r="B282" s="1" t="n">
        <v>43787</v>
      </c>
      <c r="C282" s="1" t="n">
        <v>45472</v>
      </c>
      <c r="D282" t="inlineStr">
        <is>
          <t>VÄRMLANDS LÄN</t>
        </is>
      </c>
      <c r="E282" t="inlineStr">
        <is>
          <t>TORSBY</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61958-2019</t>
        </is>
      </c>
      <c r="B283" s="1" t="n">
        <v>43787</v>
      </c>
      <c r="C283" s="1" t="n">
        <v>45472</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62255-2019</t>
        </is>
      </c>
      <c r="B284" s="1" t="n">
        <v>43788</v>
      </c>
      <c r="C284" s="1" t="n">
        <v>45472</v>
      </c>
      <c r="D284" t="inlineStr">
        <is>
          <t>VÄRMLANDS LÄN</t>
        </is>
      </c>
      <c r="E284" t="inlineStr">
        <is>
          <t>TORSBY</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62286-2019</t>
        </is>
      </c>
      <c r="B285" s="1" t="n">
        <v>43788</v>
      </c>
      <c r="C285" s="1" t="n">
        <v>45472</v>
      </c>
      <c r="D285" t="inlineStr">
        <is>
          <t>VÄRMLANDS LÄN</t>
        </is>
      </c>
      <c r="E285" t="inlineStr">
        <is>
          <t>TORSBY</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63743-2019</t>
        </is>
      </c>
      <c r="B286" s="1" t="n">
        <v>43795</v>
      </c>
      <c r="C286" s="1" t="n">
        <v>45472</v>
      </c>
      <c r="D286" t="inlineStr">
        <is>
          <t>VÄRMLANDS LÄN</t>
        </is>
      </c>
      <c r="E286" t="inlineStr">
        <is>
          <t>TORSBY</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64114-2019</t>
        </is>
      </c>
      <c r="B287" s="1" t="n">
        <v>43796</v>
      </c>
      <c r="C287" s="1" t="n">
        <v>45472</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64444-2019</t>
        </is>
      </c>
      <c r="B288" s="1" t="n">
        <v>43797</v>
      </c>
      <c r="C288" s="1" t="n">
        <v>45472</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65187-2019</t>
        </is>
      </c>
      <c r="B289" s="1" t="n">
        <v>43797</v>
      </c>
      <c r="C289" s="1" t="n">
        <v>45472</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65243-2019</t>
        </is>
      </c>
      <c r="B290" s="1" t="n">
        <v>43797</v>
      </c>
      <c r="C290" s="1" t="n">
        <v>45472</v>
      </c>
      <c r="D290" t="inlineStr">
        <is>
          <t>VÄRMLANDS LÄN</t>
        </is>
      </c>
      <c r="E290" t="inlineStr">
        <is>
          <t>TORSBY</t>
        </is>
      </c>
      <c r="F290" t="inlineStr">
        <is>
          <t>Övriga statliga verk och myndigheter</t>
        </is>
      </c>
      <c r="G290" t="n">
        <v>20.3</v>
      </c>
      <c r="H290" t="n">
        <v>0</v>
      </c>
      <c r="I290" t="n">
        <v>0</v>
      </c>
      <c r="J290" t="n">
        <v>0</v>
      </c>
      <c r="K290" t="n">
        <v>0</v>
      </c>
      <c r="L290" t="n">
        <v>0</v>
      </c>
      <c r="M290" t="n">
        <v>0</v>
      </c>
      <c r="N290" t="n">
        <v>0</v>
      </c>
      <c r="O290" t="n">
        <v>0</v>
      </c>
      <c r="P290" t="n">
        <v>0</v>
      </c>
      <c r="Q290" t="n">
        <v>0</v>
      </c>
      <c r="R290" s="2" t="inlineStr"/>
    </row>
    <row r="291" ht="15" customHeight="1">
      <c r="A291" t="inlineStr">
        <is>
          <t>A 64803-2019</t>
        </is>
      </c>
      <c r="B291" s="1" t="n">
        <v>43801</v>
      </c>
      <c r="C291" s="1" t="n">
        <v>45472</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65132-2019</t>
        </is>
      </c>
      <c r="B292" s="1" t="n">
        <v>43802</v>
      </c>
      <c r="C292" s="1" t="n">
        <v>45472</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65076-2019</t>
        </is>
      </c>
      <c r="B293" s="1" t="n">
        <v>43802</v>
      </c>
      <c r="C293" s="1" t="n">
        <v>45472</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65465-2019</t>
        </is>
      </c>
      <c r="B294" s="1" t="n">
        <v>43803</v>
      </c>
      <c r="C294" s="1" t="n">
        <v>45472</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65914-2019</t>
        </is>
      </c>
      <c r="B295" s="1" t="n">
        <v>43805</v>
      </c>
      <c r="C295" s="1" t="n">
        <v>45472</v>
      </c>
      <c r="D295" t="inlineStr">
        <is>
          <t>VÄRMLANDS LÄN</t>
        </is>
      </c>
      <c r="E295" t="inlineStr">
        <is>
          <t>TORSBY</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67527-2019</t>
        </is>
      </c>
      <c r="B296" s="1" t="n">
        <v>43808</v>
      </c>
      <c r="C296" s="1" t="n">
        <v>45472</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66690-2019</t>
        </is>
      </c>
      <c r="B297" s="1" t="n">
        <v>43809</v>
      </c>
      <c r="C297" s="1" t="n">
        <v>45472</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66689-2019</t>
        </is>
      </c>
      <c r="B298" s="1" t="n">
        <v>43809</v>
      </c>
      <c r="C298" s="1" t="n">
        <v>45472</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67686-2019</t>
        </is>
      </c>
      <c r="B299" s="1" t="n">
        <v>43809</v>
      </c>
      <c r="C299" s="1" t="n">
        <v>45472</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66688-2019</t>
        </is>
      </c>
      <c r="B300" s="1" t="n">
        <v>43809</v>
      </c>
      <c r="C300" s="1" t="n">
        <v>45472</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67690-2019</t>
        </is>
      </c>
      <c r="B301" s="1" t="n">
        <v>43809</v>
      </c>
      <c r="C301" s="1" t="n">
        <v>45472</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67671-2019</t>
        </is>
      </c>
      <c r="B302" s="1" t="n">
        <v>43810</v>
      </c>
      <c r="C302" s="1" t="n">
        <v>45472</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67728-2019</t>
        </is>
      </c>
      <c r="B303" s="1" t="n">
        <v>43815</v>
      </c>
      <c r="C303" s="1" t="n">
        <v>45472</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68354-2019</t>
        </is>
      </c>
      <c r="B304" s="1" t="n">
        <v>43818</v>
      </c>
      <c r="C304" s="1" t="n">
        <v>45472</v>
      </c>
      <c r="D304" t="inlineStr">
        <is>
          <t>VÄRMLANDS LÄN</t>
        </is>
      </c>
      <c r="E304" t="inlineStr">
        <is>
          <t>TORSBY</t>
        </is>
      </c>
      <c r="G304" t="n">
        <v>61.1</v>
      </c>
      <c r="H304" t="n">
        <v>0</v>
      </c>
      <c r="I304" t="n">
        <v>0</v>
      </c>
      <c r="J304" t="n">
        <v>0</v>
      </c>
      <c r="K304" t="n">
        <v>0</v>
      </c>
      <c r="L304" t="n">
        <v>0</v>
      </c>
      <c r="M304" t="n">
        <v>0</v>
      </c>
      <c r="N304" t="n">
        <v>0</v>
      </c>
      <c r="O304" t="n">
        <v>0</v>
      </c>
      <c r="P304" t="n">
        <v>0</v>
      </c>
      <c r="Q304" t="n">
        <v>0</v>
      </c>
      <c r="R304" s="2" t="inlineStr"/>
    </row>
    <row r="305" ht="15" customHeight="1">
      <c r="A305" t="inlineStr">
        <is>
          <t>A 68360-2019</t>
        </is>
      </c>
      <c r="B305" s="1" t="n">
        <v>43818</v>
      </c>
      <c r="C305" s="1" t="n">
        <v>45472</v>
      </c>
      <c r="D305" t="inlineStr">
        <is>
          <t>VÄRMLANDS LÄN</t>
        </is>
      </c>
      <c r="E305" t="inlineStr">
        <is>
          <t>TORSBY</t>
        </is>
      </c>
      <c r="G305" t="n">
        <v>9</v>
      </c>
      <c r="H305" t="n">
        <v>0</v>
      </c>
      <c r="I305" t="n">
        <v>0</v>
      </c>
      <c r="J305" t="n">
        <v>0</v>
      </c>
      <c r="K305" t="n">
        <v>0</v>
      </c>
      <c r="L305" t="n">
        <v>0</v>
      </c>
      <c r="M305" t="n">
        <v>0</v>
      </c>
      <c r="N305" t="n">
        <v>0</v>
      </c>
      <c r="O305" t="n">
        <v>0</v>
      </c>
      <c r="P305" t="n">
        <v>0</v>
      </c>
      <c r="Q305" t="n">
        <v>0</v>
      </c>
      <c r="R305" s="2" t="inlineStr"/>
    </row>
    <row r="306" ht="15" customHeight="1">
      <c r="A306" t="inlineStr">
        <is>
          <t>A 68553-2019</t>
        </is>
      </c>
      <c r="B306" s="1" t="n">
        <v>43818</v>
      </c>
      <c r="C306" s="1" t="n">
        <v>45472</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140-2020</t>
        </is>
      </c>
      <c r="B307" s="1" t="n">
        <v>43833</v>
      </c>
      <c r="C307" s="1" t="n">
        <v>45472</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338-2020</t>
        </is>
      </c>
      <c r="B308" s="1" t="n">
        <v>43837</v>
      </c>
      <c r="C308" s="1" t="n">
        <v>45472</v>
      </c>
      <c r="D308" t="inlineStr">
        <is>
          <t>VÄRMLANDS LÄN</t>
        </is>
      </c>
      <c r="E308" t="inlineStr">
        <is>
          <t>TORSBY</t>
        </is>
      </c>
      <c r="G308" t="n">
        <v>3.2</v>
      </c>
      <c r="H308" t="n">
        <v>0</v>
      </c>
      <c r="I308" t="n">
        <v>0</v>
      </c>
      <c r="J308" t="n">
        <v>0</v>
      </c>
      <c r="K308" t="n">
        <v>0</v>
      </c>
      <c r="L308" t="n">
        <v>0</v>
      </c>
      <c r="M308" t="n">
        <v>0</v>
      </c>
      <c r="N308" t="n">
        <v>0</v>
      </c>
      <c r="O308" t="n">
        <v>0</v>
      </c>
      <c r="P308" t="n">
        <v>0</v>
      </c>
      <c r="Q308" t="n">
        <v>0</v>
      </c>
      <c r="R308" s="2" t="inlineStr"/>
    </row>
    <row r="309" ht="15" customHeight="1">
      <c r="A309" t="inlineStr">
        <is>
          <t>A 388-2020</t>
        </is>
      </c>
      <c r="B309" s="1" t="n">
        <v>43837</v>
      </c>
      <c r="C309" s="1" t="n">
        <v>45472</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3263-2020</t>
        </is>
      </c>
      <c r="B310" s="1" t="n">
        <v>43844</v>
      </c>
      <c r="C310" s="1" t="n">
        <v>45472</v>
      </c>
      <c r="D310" t="inlineStr">
        <is>
          <t>VÄRMLANDS LÄN</t>
        </is>
      </c>
      <c r="E310" t="inlineStr">
        <is>
          <t>TORSBY</t>
        </is>
      </c>
      <c r="G310" t="n">
        <v>14.7</v>
      </c>
      <c r="H310" t="n">
        <v>0</v>
      </c>
      <c r="I310" t="n">
        <v>0</v>
      </c>
      <c r="J310" t="n">
        <v>0</v>
      </c>
      <c r="K310" t="n">
        <v>0</v>
      </c>
      <c r="L310" t="n">
        <v>0</v>
      </c>
      <c r="M310" t="n">
        <v>0</v>
      </c>
      <c r="N310" t="n">
        <v>0</v>
      </c>
      <c r="O310" t="n">
        <v>0</v>
      </c>
      <c r="P310" t="n">
        <v>0</v>
      </c>
      <c r="Q310" t="n">
        <v>0</v>
      </c>
      <c r="R310" s="2" t="inlineStr"/>
    </row>
    <row r="311" ht="15" customHeight="1">
      <c r="A311" t="inlineStr">
        <is>
          <t>A 3172-2020</t>
        </is>
      </c>
      <c r="B311" s="1" t="n">
        <v>43844</v>
      </c>
      <c r="C311" s="1" t="n">
        <v>45472</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2082-2020</t>
        </is>
      </c>
      <c r="B312" s="1" t="n">
        <v>43845</v>
      </c>
      <c r="C312" s="1" t="n">
        <v>45472</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1875-2020</t>
        </is>
      </c>
      <c r="B313" s="1" t="n">
        <v>43845</v>
      </c>
      <c r="C313" s="1" t="n">
        <v>45472</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2068-2020</t>
        </is>
      </c>
      <c r="B314" s="1" t="n">
        <v>43845</v>
      </c>
      <c r="C314" s="1" t="n">
        <v>45472</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4017-2020</t>
        </is>
      </c>
      <c r="B315" s="1" t="n">
        <v>43846</v>
      </c>
      <c r="C315" s="1" t="n">
        <v>45472</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4753-2020</t>
        </is>
      </c>
      <c r="B316" s="1" t="n">
        <v>43859</v>
      </c>
      <c r="C316" s="1" t="n">
        <v>45472</v>
      </c>
      <c r="D316" t="inlineStr">
        <is>
          <t>VÄRMLANDS LÄN</t>
        </is>
      </c>
      <c r="E316" t="inlineStr">
        <is>
          <t>TORSBY</t>
        </is>
      </c>
      <c r="G316" t="n">
        <v>4.5</v>
      </c>
      <c r="H316" t="n">
        <v>0</v>
      </c>
      <c r="I316" t="n">
        <v>0</v>
      </c>
      <c r="J316" t="n">
        <v>0</v>
      </c>
      <c r="K316" t="n">
        <v>0</v>
      </c>
      <c r="L316" t="n">
        <v>0</v>
      </c>
      <c r="M316" t="n">
        <v>0</v>
      </c>
      <c r="N316" t="n">
        <v>0</v>
      </c>
      <c r="O316" t="n">
        <v>0</v>
      </c>
      <c r="P316" t="n">
        <v>0</v>
      </c>
      <c r="Q316" t="n">
        <v>0</v>
      </c>
      <c r="R316" s="2" t="inlineStr"/>
    </row>
    <row r="317" ht="15" customHeight="1">
      <c r="A317" t="inlineStr">
        <is>
          <t>A 5180-2020</t>
        </is>
      </c>
      <c r="B317" s="1" t="n">
        <v>43860</v>
      </c>
      <c r="C317" s="1" t="n">
        <v>45472</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5426-2020</t>
        </is>
      </c>
      <c r="B318" s="1" t="n">
        <v>43861</v>
      </c>
      <c r="C318" s="1" t="n">
        <v>45472</v>
      </c>
      <c r="D318" t="inlineStr">
        <is>
          <t>VÄRMLANDS LÄN</t>
        </is>
      </c>
      <c r="E318" t="inlineStr">
        <is>
          <t>TORSBY</t>
        </is>
      </c>
      <c r="G318" t="n">
        <v>7.2</v>
      </c>
      <c r="H318" t="n">
        <v>0</v>
      </c>
      <c r="I318" t="n">
        <v>0</v>
      </c>
      <c r="J318" t="n">
        <v>0</v>
      </c>
      <c r="K318" t="n">
        <v>0</v>
      </c>
      <c r="L318" t="n">
        <v>0</v>
      </c>
      <c r="M318" t="n">
        <v>0</v>
      </c>
      <c r="N318" t="n">
        <v>0</v>
      </c>
      <c r="O318" t="n">
        <v>0</v>
      </c>
      <c r="P318" t="n">
        <v>0</v>
      </c>
      <c r="Q318" t="n">
        <v>0</v>
      </c>
      <c r="R318" s="2" t="inlineStr"/>
    </row>
    <row r="319" ht="15" customHeight="1">
      <c r="A319" t="inlineStr">
        <is>
          <t>A 5425-2020</t>
        </is>
      </c>
      <c r="B319" s="1" t="n">
        <v>43861</v>
      </c>
      <c r="C319" s="1" t="n">
        <v>45472</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5427-2020</t>
        </is>
      </c>
      <c r="B320" s="1" t="n">
        <v>43861</v>
      </c>
      <c r="C320" s="1" t="n">
        <v>45472</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7000-2020</t>
        </is>
      </c>
      <c r="B321" s="1" t="n">
        <v>43868</v>
      </c>
      <c r="C321" s="1" t="n">
        <v>45472</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6862-2020</t>
        </is>
      </c>
      <c r="B322" s="1" t="n">
        <v>43868</v>
      </c>
      <c r="C322" s="1" t="n">
        <v>45472</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7153-2020</t>
        </is>
      </c>
      <c r="B323" s="1" t="n">
        <v>43870</v>
      </c>
      <c r="C323" s="1" t="n">
        <v>45472</v>
      </c>
      <c r="D323" t="inlineStr">
        <is>
          <t>VÄRMLANDS LÄN</t>
        </is>
      </c>
      <c r="E323" t="inlineStr">
        <is>
          <t>TORSBY</t>
        </is>
      </c>
      <c r="G323" t="n">
        <v>2.5</v>
      </c>
      <c r="H323" t="n">
        <v>0</v>
      </c>
      <c r="I323" t="n">
        <v>0</v>
      </c>
      <c r="J323" t="n">
        <v>0</v>
      </c>
      <c r="K323" t="n">
        <v>0</v>
      </c>
      <c r="L323" t="n">
        <v>0</v>
      </c>
      <c r="M323" t="n">
        <v>0</v>
      </c>
      <c r="N323" t="n">
        <v>0</v>
      </c>
      <c r="O323" t="n">
        <v>0</v>
      </c>
      <c r="P323" t="n">
        <v>0</v>
      </c>
      <c r="Q323" t="n">
        <v>0</v>
      </c>
      <c r="R323" s="2" t="inlineStr"/>
    </row>
    <row r="324" ht="15" customHeight="1">
      <c r="A324" t="inlineStr">
        <is>
          <t>A 7279-2020</t>
        </is>
      </c>
      <c r="B324" s="1" t="n">
        <v>43871</v>
      </c>
      <c r="C324" s="1" t="n">
        <v>45472</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7526-2020</t>
        </is>
      </c>
      <c r="B325" s="1" t="n">
        <v>43871</v>
      </c>
      <c r="C325" s="1" t="n">
        <v>45472</v>
      </c>
      <c r="D325" t="inlineStr">
        <is>
          <t>VÄRMLANDS LÄN</t>
        </is>
      </c>
      <c r="E325" t="inlineStr">
        <is>
          <t>TORSBY</t>
        </is>
      </c>
      <c r="G325" t="n">
        <v>11.8</v>
      </c>
      <c r="H325" t="n">
        <v>0</v>
      </c>
      <c r="I325" t="n">
        <v>0</v>
      </c>
      <c r="J325" t="n">
        <v>0</v>
      </c>
      <c r="K325" t="n">
        <v>0</v>
      </c>
      <c r="L325" t="n">
        <v>0</v>
      </c>
      <c r="M325" t="n">
        <v>0</v>
      </c>
      <c r="N325" t="n">
        <v>0</v>
      </c>
      <c r="O325" t="n">
        <v>0</v>
      </c>
      <c r="P325" t="n">
        <v>0</v>
      </c>
      <c r="Q325" t="n">
        <v>0</v>
      </c>
      <c r="R325" s="2" t="inlineStr"/>
    </row>
    <row r="326" ht="15" customHeight="1">
      <c r="A326" t="inlineStr">
        <is>
          <t>A 7582-2020</t>
        </is>
      </c>
      <c r="B326" s="1" t="n">
        <v>43871</v>
      </c>
      <c r="C326" s="1" t="n">
        <v>45472</v>
      </c>
      <c r="D326" t="inlineStr">
        <is>
          <t>VÄRMLANDS LÄN</t>
        </is>
      </c>
      <c r="E326" t="inlineStr">
        <is>
          <t>TORSBY</t>
        </is>
      </c>
      <c r="G326" t="n">
        <v>7.4</v>
      </c>
      <c r="H326" t="n">
        <v>0</v>
      </c>
      <c r="I326" t="n">
        <v>0</v>
      </c>
      <c r="J326" t="n">
        <v>0</v>
      </c>
      <c r="K326" t="n">
        <v>0</v>
      </c>
      <c r="L326" t="n">
        <v>0</v>
      </c>
      <c r="M326" t="n">
        <v>0</v>
      </c>
      <c r="N326" t="n">
        <v>0</v>
      </c>
      <c r="O326" t="n">
        <v>0</v>
      </c>
      <c r="P326" t="n">
        <v>0</v>
      </c>
      <c r="Q326" t="n">
        <v>0</v>
      </c>
      <c r="R326" s="2" t="inlineStr"/>
    </row>
    <row r="327" ht="15" customHeight="1">
      <c r="A327" t="inlineStr">
        <is>
          <t>A 7749-2020</t>
        </is>
      </c>
      <c r="B327" s="1" t="n">
        <v>43872</v>
      </c>
      <c r="C327" s="1" t="n">
        <v>45472</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7856-2020</t>
        </is>
      </c>
      <c r="B328" s="1" t="n">
        <v>43873</v>
      </c>
      <c r="C328" s="1" t="n">
        <v>45472</v>
      </c>
      <c r="D328" t="inlineStr">
        <is>
          <t>VÄRMLANDS LÄN</t>
        </is>
      </c>
      <c r="E328" t="inlineStr">
        <is>
          <t>TORSBY</t>
        </is>
      </c>
      <c r="G328" t="n">
        <v>4.5</v>
      </c>
      <c r="H328" t="n">
        <v>0</v>
      </c>
      <c r="I328" t="n">
        <v>0</v>
      </c>
      <c r="J328" t="n">
        <v>0</v>
      </c>
      <c r="K328" t="n">
        <v>0</v>
      </c>
      <c r="L328" t="n">
        <v>0</v>
      </c>
      <c r="M328" t="n">
        <v>0</v>
      </c>
      <c r="N328" t="n">
        <v>0</v>
      </c>
      <c r="O328" t="n">
        <v>0</v>
      </c>
      <c r="P328" t="n">
        <v>0</v>
      </c>
      <c r="Q328" t="n">
        <v>0</v>
      </c>
      <c r="R328" s="2" t="inlineStr"/>
    </row>
    <row r="329" ht="15" customHeight="1">
      <c r="A329" t="inlineStr">
        <is>
          <t>A 8631-2020</t>
        </is>
      </c>
      <c r="B329" s="1" t="n">
        <v>43874</v>
      </c>
      <c r="C329" s="1" t="n">
        <v>45472</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8899-2020</t>
        </is>
      </c>
      <c r="B330" s="1" t="n">
        <v>43878</v>
      </c>
      <c r="C330" s="1" t="n">
        <v>45472</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9192-2020</t>
        </is>
      </c>
      <c r="B331" s="1" t="n">
        <v>43879</v>
      </c>
      <c r="C331" s="1" t="n">
        <v>45472</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9766-2020</t>
        </is>
      </c>
      <c r="B332" s="1" t="n">
        <v>43879</v>
      </c>
      <c r="C332" s="1" t="n">
        <v>45472</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9760-2020</t>
        </is>
      </c>
      <c r="B333" s="1" t="n">
        <v>43879</v>
      </c>
      <c r="C333" s="1" t="n">
        <v>45472</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9600-2020</t>
        </is>
      </c>
      <c r="B334" s="1" t="n">
        <v>43881</v>
      </c>
      <c r="C334" s="1" t="n">
        <v>45472</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10899-2020</t>
        </is>
      </c>
      <c r="B335" s="1" t="n">
        <v>43885</v>
      </c>
      <c r="C335" s="1" t="n">
        <v>45472</v>
      </c>
      <c r="D335" t="inlineStr">
        <is>
          <t>VÄRMLANDS LÄN</t>
        </is>
      </c>
      <c r="E335" t="inlineStr">
        <is>
          <t>TORSBY</t>
        </is>
      </c>
      <c r="G335" t="n">
        <v>7.4</v>
      </c>
      <c r="H335" t="n">
        <v>0</v>
      </c>
      <c r="I335" t="n">
        <v>0</v>
      </c>
      <c r="J335" t="n">
        <v>0</v>
      </c>
      <c r="K335" t="n">
        <v>0</v>
      </c>
      <c r="L335" t="n">
        <v>0</v>
      </c>
      <c r="M335" t="n">
        <v>0</v>
      </c>
      <c r="N335" t="n">
        <v>0</v>
      </c>
      <c r="O335" t="n">
        <v>0</v>
      </c>
      <c r="P335" t="n">
        <v>0</v>
      </c>
      <c r="Q335" t="n">
        <v>0</v>
      </c>
      <c r="R335" s="2" t="inlineStr"/>
    </row>
    <row r="336" ht="15" customHeight="1">
      <c r="A336" t="inlineStr">
        <is>
          <t>A 10422-2020</t>
        </is>
      </c>
      <c r="B336" s="1" t="n">
        <v>43886</v>
      </c>
      <c r="C336" s="1" t="n">
        <v>45472</v>
      </c>
      <c r="D336" t="inlineStr">
        <is>
          <t>VÄRMLANDS LÄN</t>
        </is>
      </c>
      <c r="E336" t="inlineStr">
        <is>
          <t>TORSBY</t>
        </is>
      </c>
      <c r="G336" t="n">
        <v>3.4</v>
      </c>
      <c r="H336" t="n">
        <v>0</v>
      </c>
      <c r="I336" t="n">
        <v>0</v>
      </c>
      <c r="J336" t="n">
        <v>0</v>
      </c>
      <c r="K336" t="n">
        <v>0</v>
      </c>
      <c r="L336" t="n">
        <v>0</v>
      </c>
      <c r="M336" t="n">
        <v>0</v>
      </c>
      <c r="N336" t="n">
        <v>0</v>
      </c>
      <c r="O336" t="n">
        <v>0</v>
      </c>
      <c r="P336" t="n">
        <v>0</v>
      </c>
      <c r="Q336" t="n">
        <v>0</v>
      </c>
      <c r="R336" s="2" t="inlineStr"/>
    </row>
    <row r="337" ht="15" customHeight="1">
      <c r="A337" t="inlineStr">
        <is>
          <t>A 10449-2020</t>
        </is>
      </c>
      <c r="B337" s="1" t="n">
        <v>43886</v>
      </c>
      <c r="C337" s="1" t="n">
        <v>45472</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11213-2020</t>
        </is>
      </c>
      <c r="B338" s="1" t="n">
        <v>43892</v>
      </c>
      <c r="C338" s="1" t="n">
        <v>45472</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12428-2020</t>
        </is>
      </c>
      <c r="B339" s="1" t="n">
        <v>43896</v>
      </c>
      <c r="C339" s="1" t="n">
        <v>45472</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12855-2020</t>
        </is>
      </c>
      <c r="B340" s="1" t="n">
        <v>43899</v>
      </c>
      <c r="C340" s="1" t="n">
        <v>45472</v>
      </c>
      <c r="D340" t="inlineStr">
        <is>
          <t>VÄRMLANDS LÄN</t>
        </is>
      </c>
      <c r="E340" t="inlineStr">
        <is>
          <t>TORSBY</t>
        </is>
      </c>
      <c r="G340" t="n">
        <v>5.9</v>
      </c>
      <c r="H340" t="n">
        <v>0</v>
      </c>
      <c r="I340" t="n">
        <v>0</v>
      </c>
      <c r="J340" t="n">
        <v>0</v>
      </c>
      <c r="K340" t="n">
        <v>0</v>
      </c>
      <c r="L340" t="n">
        <v>0</v>
      </c>
      <c r="M340" t="n">
        <v>0</v>
      </c>
      <c r="N340" t="n">
        <v>0</v>
      </c>
      <c r="O340" t="n">
        <v>0</v>
      </c>
      <c r="P340" t="n">
        <v>0</v>
      </c>
      <c r="Q340" t="n">
        <v>0</v>
      </c>
      <c r="R340" s="2" t="inlineStr"/>
    </row>
    <row r="341" ht="15" customHeight="1">
      <c r="A341" t="inlineStr">
        <is>
          <t>A 12881-2020</t>
        </is>
      </c>
      <c r="B341" s="1" t="n">
        <v>43900</v>
      </c>
      <c r="C341" s="1" t="n">
        <v>45472</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14246-2020</t>
        </is>
      </c>
      <c r="B342" s="1" t="n">
        <v>43900</v>
      </c>
      <c r="C342" s="1" t="n">
        <v>45472</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13153-2020</t>
        </is>
      </c>
      <c r="B343" s="1" t="n">
        <v>43901</v>
      </c>
      <c r="C343" s="1" t="n">
        <v>45472</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13250-2020</t>
        </is>
      </c>
      <c r="B344" s="1" t="n">
        <v>43901</v>
      </c>
      <c r="C344" s="1" t="n">
        <v>45472</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14695-2020</t>
        </is>
      </c>
      <c r="B345" s="1" t="n">
        <v>43903</v>
      </c>
      <c r="C345" s="1" t="n">
        <v>45472</v>
      </c>
      <c r="D345" t="inlineStr">
        <is>
          <t>VÄRMLANDS LÄN</t>
        </is>
      </c>
      <c r="E345" t="inlineStr">
        <is>
          <t>TORSBY</t>
        </is>
      </c>
      <c r="G345" t="n">
        <v>8</v>
      </c>
      <c r="H345" t="n">
        <v>0</v>
      </c>
      <c r="I345" t="n">
        <v>0</v>
      </c>
      <c r="J345" t="n">
        <v>0</v>
      </c>
      <c r="K345" t="n">
        <v>0</v>
      </c>
      <c r="L345" t="n">
        <v>0</v>
      </c>
      <c r="M345" t="n">
        <v>0</v>
      </c>
      <c r="N345" t="n">
        <v>0</v>
      </c>
      <c r="O345" t="n">
        <v>0</v>
      </c>
      <c r="P345" t="n">
        <v>0</v>
      </c>
      <c r="Q345" t="n">
        <v>0</v>
      </c>
      <c r="R345" s="2" t="inlineStr"/>
    </row>
    <row r="346" ht="15" customHeight="1">
      <c r="A346" t="inlineStr">
        <is>
          <t>A 14693-2020</t>
        </is>
      </c>
      <c r="B346" s="1" t="n">
        <v>43903</v>
      </c>
      <c r="C346" s="1" t="n">
        <v>45472</v>
      </c>
      <c r="D346" t="inlineStr">
        <is>
          <t>VÄRMLANDS LÄN</t>
        </is>
      </c>
      <c r="E346" t="inlineStr">
        <is>
          <t>TORSBY</t>
        </is>
      </c>
      <c r="G346" t="n">
        <v>2.9</v>
      </c>
      <c r="H346" t="n">
        <v>0</v>
      </c>
      <c r="I346" t="n">
        <v>0</v>
      </c>
      <c r="J346" t="n">
        <v>0</v>
      </c>
      <c r="K346" t="n">
        <v>0</v>
      </c>
      <c r="L346" t="n">
        <v>0</v>
      </c>
      <c r="M346" t="n">
        <v>0</v>
      </c>
      <c r="N346" t="n">
        <v>0</v>
      </c>
      <c r="O346" t="n">
        <v>0</v>
      </c>
      <c r="P346" t="n">
        <v>0</v>
      </c>
      <c r="Q346" t="n">
        <v>0</v>
      </c>
      <c r="R346" s="2" t="inlineStr"/>
    </row>
    <row r="347" ht="15" customHeight="1">
      <c r="A347" t="inlineStr">
        <is>
          <t>A 14962-2020</t>
        </is>
      </c>
      <c r="B347" s="1" t="n">
        <v>43907</v>
      </c>
      <c r="C347" s="1" t="n">
        <v>45472</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14968-2020</t>
        </is>
      </c>
      <c r="B348" s="1" t="n">
        <v>43907</v>
      </c>
      <c r="C348" s="1" t="n">
        <v>45472</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14702-2020</t>
        </is>
      </c>
      <c r="B349" s="1" t="n">
        <v>43909</v>
      </c>
      <c r="C349" s="1" t="n">
        <v>45472</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14694-2020</t>
        </is>
      </c>
      <c r="B350" s="1" t="n">
        <v>43909</v>
      </c>
      <c r="C350" s="1" t="n">
        <v>45472</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14851-2020</t>
        </is>
      </c>
      <c r="B351" s="1" t="n">
        <v>43909</v>
      </c>
      <c r="C351" s="1" t="n">
        <v>45472</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15161-2020</t>
        </is>
      </c>
      <c r="B352" s="1" t="n">
        <v>43912</v>
      </c>
      <c r="C352" s="1" t="n">
        <v>45472</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15280-2020</t>
        </is>
      </c>
      <c r="B353" s="1" t="n">
        <v>43913</v>
      </c>
      <c r="C353" s="1" t="n">
        <v>45472</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15589-2020</t>
        </is>
      </c>
      <c r="B354" s="1" t="n">
        <v>43914</v>
      </c>
      <c r="C354" s="1" t="n">
        <v>45472</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15701-2020</t>
        </is>
      </c>
      <c r="B355" s="1" t="n">
        <v>43915</v>
      </c>
      <c r="C355" s="1" t="n">
        <v>45472</v>
      </c>
      <c r="D355" t="inlineStr">
        <is>
          <t>VÄRMLANDS LÄN</t>
        </is>
      </c>
      <c r="E355" t="inlineStr">
        <is>
          <t>TORSBY</t>
        </is>
      </c>
      <c r="G355" t="n">
        <v>2.9</v>
      </c>
      <c r="H355" t="n">
        <v>0</v>
      </c>
      <c r="I355" t="n">
        <v>0</v>
      </c>
      <c r="J355" t="n">
        <v>0</v>
      </c>
      <c r="K355" t="n">
        <v>0</v>
      </c>
      <c r="L355" t="n">
        <v>0</v>
      </c>
      <c r="M355" t="n">
        <v>0</v>
      </c>
      <c r="N355" t="n">
        <v>0</v>
      </c>
      <c r="O355" t="n">
        <v>0</v>
      </c>
      <c r="P355" t="n">
        <v>0</v>
      </c>
      <c r="Q355" t="n">
        <v>0</v>
      </c>
      <c r="R355" s="2" t="inlineStr"/>
    </row>
    <row r="356" ht="15" customHeight="1">
      <c r="A356" t="inlineStr">
        <is>
          <t>A 15768-2020</t>
        </is>
      </c>
      <c r="B356" s="1" t="n">
        <v>43915</v>
      </c>
      <c r="C356" s="1" t="n">
        <v>45472</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16101-2020</t>
        </is>
      </c>
      <c r="B357" s="1" t="n">
        <v>43916</v>
      </c>
      <c r="C357" s="1" t="n">
        <v>45472</v>
      </c>
      <c r="D357" t="inlineStr">
        <is>
          <t>VÄRMLANDS LÄN</t>
        </is>
      </c>
      <c r="E357" t="inlineStr">
        <is>
          <t>TORSBY</t>
        </is>
      </c>
      <c r="G357" t="n">
        <v>14.6</v>
      </c>
      <c r="H357" t="n">
        <v>0</v>
      </c>
      <c r="I357" t="n">
        <v>0</v>
      </c>
      <c r="J357" t="n">
        <v>0</v>
      </c>
      <c r="K357" t="n">
        <v>0</v>
      </c>
      <c r="L357" t="n">
        <v>0</v>
      </c>
      <c r="M357" t="n">
        <v>0</v>
      </c>
      <c r="N357" t="n">
        <v>0</v>
      </c>
      <c r="O357" t="n">
        <v>0</v>
      </c>
      <c r="P357" t="n">
        <v>0</v>
      </c>
      <c r="Q357" t="n">
        <v>0</v>
      </c>
      <c r="R357" s="2" t="inlineStr"/>
    </row>
    <row r="358" ht="15" customHeight="1">
      <c r="A358" t="inlineStr">
        <is>
          <t>A 16364-2020</t>
        </is>
      </c>
      <c r="B358" s="1" t="n">
        <v>43917</v>
      </c>
      <c r="C358" s="1" t="n">
        <v>45472</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16437-2020</t>
        </is>
      </c>
      <c r="B359" s="1" t="n">
        <v>43919</v>
      </c>
      <c r="C359" s="1" t="n">
        <v>45472</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17021-2020</t>
        </is>
      </c>
      <c r="B360" s="1" t="n">
        <v>43921</v>
      </c>
      <c r="C360" s="1" t="n">
        <v>45472</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16999-2020</t>
        </is>
      </c>
      <c r="B361" s="1" t="n">
        <v>43921</v>
      </c>
      <c r="C361" s="1" t="n">
        <v>45472</v>
      </c>
      <c r="D361" t="inlineStr">
        <is>
          <t>VÄRMLANDS LÄN</t>
        </is>
      </c>
      <c r="E361" t="inlineStr">
        <is>
          <t>TORSBY</t>
        </is>
      </c>
      <c r="G361" t="n">
        <v>6.6</v>
      </c>
      <c r="H361" t="n">
        <v>0</v>
      </c>
      <c r="I361" t="n">
        <v>0</v>
      </c>
      <c r="J361" t="n">
        <v>0</v>
      </c>
      <c r="K361" t="n">
        <v>0</v>
      </c>
      <c r="L361" t="n">
        <v>0</v>
      </c>
      <c r="M361" t="n">
        <v>0</v>
      </c>
      <c r="N361" t="n">
        <v>0</v>
      </c>
      <c r="O361" t="n">
        <v>0</v>
      </c>
      <c r="P361" t="n">
        <v>0</v>
      </c>
      <c r="Q361" t="n">
        <v>0</v>
      </c>
      <c r="R361" s="2" t="inlineStr"/>
    </row>
    <row r="362" ht="15" customHeight="1">
      <c r="A362" t="inlineStr">
        <is>
          <t>A 17009-2020</t>
        </is>
      </c>
      <c r="B362" s="1" t="n">
        <v>43921</v>
      </c>
      <c r="C362" s="1" t="n">
        <v>45472</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18155-2020</t>
        </is>
      </c>
      <c r="B363" s="1" t="n">
        <v>43927</v>
      </c>
      <c r="C363" s="1" t="n">
        <v>45472</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18641-2020</t>
        </is>
      </c>
      <c r="B364" s="1" t="n">
        <v>43928</v>
      </c>
      <c r="C364" s="1" t="n">
        <v>45472</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18769-2020</t>
        </is>
      </c>
      <c r="B365" s="1" t="n">
        <v>43930</v>
      </c>
      <c r="C365" s="1" t="n">
        <v>45472</v>
      </c>
      <c r="D365" t="inlineStr">
        <is>
          <t>VÄRMLANDS LÄN</t>
        </is>
      </c>
      <c r="E365" t="inlineStr">
        <is>
          <t>TORSBY</t>
        </is>
      </c>
      <c r="G365" t="n">
        <v>5.2</v>
      </c>
      <c r="H365" t="n">
        <v>0</v>
      </c>
      <c r="I365" t="n">
        <v>0</v>
      </c>
      <c r="J365" t="n">
        <v>0</v>
      </c>
      <c r="K365" t="n">
        <v>0</v>
      </c>
      <c r="L365" t="n">
        <v>0</v>
      </c>
      <c r="M365" t="n">
        <v>0</v>
      </c>
      <c r="N365" t="n">
        <v>0</v>
      </c>
      <c r="O365" t="n">
        <v>0</v>
      </c>
      <c r="P365" t="n">
        <v>0</v>
      </c>
      <c r="Q365" t="n">
        <v>0</v>
      </c>
      <c r="R365" s="2" t="inlineStr"/>
    </row>
    <row r="366" ht="15" customHeight="1">
      <c r="A366" t="inlineStr">
        <is>
          <t>A 18770-2020</t>
        </is>
      </c>
      <c r="B366" s="1" t="n">
        <v>43930</v>
      </c>
      <c r="C366" s="1" t="n">
        <v>45472</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18972-2020</t>
        </is>
      </c>
      <c r="B367" s="1" t="n">
        <v>43935</v>
      </c>
      <c r="C367" s="1" t="n">
        <v>45472</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19032-2020</t>
        </is>
      </c>
      <c r="B368" s="1" t="n">
        <v>43936</v>
      </c>
      <c r="C368" s="1" t="n">
        <v>45472</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19181-2020</t>
        </is>
      </c>
      <c r="B369" s="1" t="n">
        <v>43937</v>
      </c>
      <c r="C369" s="1" t="n">
        <v>45472</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19384-2020</t>
        </is>
      </c>
      <c r="B370" s="1" t="n">
        <v>43938</v>
      </c>
      <c r="C370" s="1" t="n">
        <v>45472</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19963-2020</t>
        </is>
      </c>
      <c r="B371" s="1" t="n">
        <v>43941</v>
      </c>
      <c r="C371" s="1" t="n">
        <v>45472</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20025-2020</t>
        </is>
      </c>
      <c r="B372" s="1" t="n">
        <v>43943</v>
      </c>
      <c r="C372" s="1" t="n">
        <v>45472</v>
      </c>
      <c r="D372" t="inlineStr">
        <is>
          <t>VÄRMLANDS LÄN</t>
        </is>
      </c>
      <c r="E372" t="inlineStr">
        <is>
          <t>TORSBY</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20280-2020</t>
        </is>
      </c>
      <c r="B373" s="1" t="n">
        <v>43945</v>
      </c>
      <c r="C373" s="1" t="n">
        <v>45472</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20464-2020</t>
        </is>
      </c>
      <c r="B374" s="1" t="n">
        <v>43948</v>
      </c>
      <c r="C374" s="1" t="n">
        <v>45472</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21099-2020</t>
        </is>
      </c>
      <c r="B375" s="1" t="n">
        <v>43951</v>
      </c>
      <c r="C375" s="1" t="n">
        <v>45472</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21335-2020</t>
        </is>
      </c>
      <c r="B376" s="1" t="n">
        <v>43951</v>
      </c>
      <c r="C376" s="1" t="n">
        <v>45472</v>
      </c>
      <c r="D376" t="inlineStr">
        <is>
          <t>VÄRMLANDS LÄN</t>
        </is>
      </c>
      <c r="E376" t="inlineStr">
        <is>
          <t>TORSBY</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21369-2020</t>
        </is>
      </c>
      <c r="B377" s="1" t="n">
        <v>43951</v>
      </c>
      <c r="C377" s="1" t="n">
        <v>45472</v>
      </c>
      <c r="D377" t="inlineStr">
        <is>
          <t>VÄRMLANDS LÄN</t>
        </is>
      </c>
      <c r="E377" t="inlineStr">
        <is>
          <t>TORSBY</t>
        </is>
      </c>
      <c r="F377" t="inlineStr">
        <is>
          <t>Övriga Aktiebolag</t>
        </is>
      </c>
      <c r="G377" t="n">
        <v>3.5</v>
      </c>
      <c r="H377" t="n">
        <v>0</v>
      </c>
      <c r="I377" t="n">
        <v>0</v>
      </c>
      <c r="J377" t="n">
        <v>0</v>
      </c>
      <c r="K377" t="n">
        <v>0</v>
      </c>
      <c r="L377" t="n">
        <v>0</v>
      </c>
      <c r="M377" t="n">
        <v>0</v>
      </c>
      <c r="N377" t="n">
        <v>0</v>
      </c>
      <c r="O377" t="n">
        <v>0</v>
      </c>
      <c r="P377" t="n">
        <v>0</v>
      </c>
      <c r="Q377" t="n">
        <v>0</v>
      </c>
      <c r="R377" s="2" t="inlineStr"/>
    </row>
    <row r="378" ht="15" customHeight="1">
      <c r="A378" t="inlineStr">
        <is>
          <t>A 21045-2020</t>
        </is>
      </c>
      <c r="B378" s="1" t="n">
        <v>43951</v>
      </c>
      <c r="C378" s="1" t="n">
        <v>45472</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21347-2020</t>
        </is>
      </c>
      <c r="B379" s="1" t="n">
        <v>43951</v>
      </c>
      <c r="C379" s="1" t="n">
        <v>45472</v>
      </c>
      <c r="D379" t="inlineStr">
        <is>
          <t>VÄRMLANDS LÄN</t>
        </is>
      </c>
      <c r="E379" t="inlineStr">
        <is>
          <t>TORSBY</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21900-2020</t>
        </is>
      </c>
      <c r="B380" s="1" t="n">
        <v>43955</v>
      </c>
      <c r="C380" s="1" t="n">
        <v>45472</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21672-2020</t>
        </is>
      </c>
      <c r="B381" s="1" t="n">
        <v>43957</v>
      </c>
      <c r="C381" s="1" t="n">
        <v>45472</v>
      </c>
      <c r="D381" t="inlineStr">
        <is>
          <t>VÄRMLANDS LÄN</t>
        </is>
      </c>
      <c r="E381" t="inlineStr">
        <is>
          <t>TORSBY</t>
        </is>
      </c>
      <c r="F381" t="inlineStr">
        <is>
          <t>Bergvik skog väst AB</t>
        </is>
      </c>
      <c r="G381" t="n">
        <v>44.1</v>
      </c>
      <c r="H381" t="n">
        <v>0</v>
      </c>
      <c r="I381" t="n">
        <v>0</v>
      </c>
      <c r="J381" t="n">
        <v>0</v>
      </c>
      <c r="K381" t="n">
        <v>0</v>
      </c>
      <c r="L381" t="n">
        <v>0</v>
      </c>
      <c r="M381" t="n">
        <v>0</v>
      </c>
      <c r="N381" t="n">
        <v>0</v>
      </c>
      <c r="O381" t="n">
        <v>0</v>
      </c>
      <c r="P381" t="n">
        <v>0</v>
      </c>
      <c r="Q381" t="n">
        <v>0</v>
      </c>
      <c r="R381" s="2" t="inlineStr"/>
    </row>
    <row r="382" ht="15" customHeight="1">
      <c r="A382" t="inlineStr">
        <is>
          <t>A 22194-2020</t>
        </is>
      </c>
      <c r="B382" s="1" t="n">
        <v>43962</v>
      </c>
      <c r="C382" s="1" t="n">
        <v>45472</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22209-2020</t>
        </is>
      </c>
      <c r="B383" s="1" t="n">
        <v>43962</v>
      </c>
      <c r="C383" s="1" t="n">
        <v>45472</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25518-2020</t>
        </is>
      </c>
      <c r="B384" s="1" t="n">
        <v>43983</v>
      </c>
      <c r="C384" s="1" t="n">
        <v>45472</v>
      </c>
      <c r="D384" t="inlineStr">
        <is>
          <t>VÄRMLANDS LÄN</t>
        </is>
      </c>
      <c r="E384" t="inlineStr">
        <is>
          <t>TORSBY</t>
        </is>
      </c>
      <c r="G384" t="n">
        <v>0.2</v>
      </c>
      <c r="H384" t="n">
        <v>0</v>
      </c>
      <c r="I384" t="n">
        <v>0</v>
      </c>
      <c r="J384" t="n">
        <v>0</v>
      </c>
      <c r="K384" t="n">
        <v>0</v>
      </c>
      <c r="L384" t="n">
        <v>0</v>
      </c>
      <c r="M384" t="n">
        <v>0</v>
      </c>
      <c r="N384" t="n">
        <v>0</v>
      </c>
      <c r="O384" t="n">
        <v>0</v>
      </c>
      <c r="P384" t="n">
        <v>0</v>
      </c>
      <c r="Q384" t="n">
        <v>0</v>
      </c>
      <c r="R384" s="2" t="inlineStr"/>
    </row>
    <row r="385" ht="15" customHeight="1">
      <c r="A385" t="inlineStr">
        <is>
          <t>A 26915-2020</t>
        </is>
      </c>
      <c r="B385" s="1" t="n">
        <v>43986</v>
      </c>
      <c r="C385" s="1" t="n">
        <v>45472</v>
      </c>
      <c r="D385" t="inlineStr">
        <is>
          <t>VÄRMLANDS LÄN</t>
        </is>
      </c>
      <c r="E385" t="inlineStr">
        <is>
          <t>TORSBY</t>
        </is>
      </c>
      <c r="G385" t="n">
        <v>0.5</v>
      </c>
      <c r="H385" t="n">
        <v>0</v>
      </c>
      <c r="I385" t="n">
        <v>0</v>
      </c>
      <c r="J385" t="n">
        <v>0</v>
      </c>
      <c r="K385" t="n">
        <v>0</v>
      </c>
      <c r="L385" t="n">
        <v>0</v>
      </c>
      <c r="M385" t="n">
        <v>0</v>
      </c>
      <c r="N385" t="n">
        <v>0</v>
      </c>
      <c r="O385" t="n">
        <v>0</v>
      </c>
      <c r="P385" t="n">
        <v>0</v>
      </c>
      <c r="Q385" t="n">
        <v>0</v>
      </c>
      <c r="R385" s="2" t="inlineStr"/>
    </row>
    <row r="386" ht="15" customHeight="1">
      <c r="A386" t="inlineStr">
        <is>
          <t>A 26926-2020</t>
        </is>
      </c>
      <c r="B386" s="1" t="n">
        <v>43986</v>
      </c>
      <c r="C386" s="1" t="n">
        <v>45472</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26919-2020</t>
        </is>
      </c>
      <c r="B387" s="1" t="n">
        <v>43986</v>
      </c>
      <c r="C387" s="1" t="n">
        <v>45472</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26666-2020</t>
        </is>
      </c>
      <c r="B388" s="1" t="n">
        <v>43989</v>
      </c>
      <c r="C388" s="1" t="n">
        <v>45472</v>
      </c>
      <c r="D388" t="inlineStr">
        <is>
          <t>VÄRMLANDS LÄN</t>
        </is>
      </c>
      <c r="E388" t="inlineStr">
        <is>
          <t>TORSBY</t>
        </is>
      </c>
      <c r="G388" t="n">
        <v>8.4</v>
      </c>
      <c r="H388" t="n">
        <v>0</v>
      </c>
      <c r="I388" t="n">
        <v>0</v>
      </c>
      <c r="J388" t="n">
        <v>0</v>
      </c>
      <c r="K388" t="n">
        <v>0</v>
      </c>
      <c r="L388" t="n">
        <v>0</v>
      </c>
      <c r="M388" t="n">
        <v>0</v>
      </c>
      <c r="N388" t="n">
        <v>0</v>
      </c>
      <c r="O388" t="n">
        <v>0</v>
      </c>
      <c r="P388" t="n">
        <v>0</v>
      </c>
      <c r="Q388" t="n">
        <v>0</v>
      </c>
      <c r="R388" s="2" t="inlineStr"/>
    </row>
    <row r="389" ht="15" customHeight="1">
      <c r="A389" t="inlineStr">
        <is>
          <t>A 27339-2020</t>
        </is>
      </c>
      <c r="B389" s="1" t="n">
        <v>43990</v>
      </c>
      <c r="C389" s="1" t="n">
        <v>45472</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27009-2020</t>
        </is>
      </c>
      <c r="B390" s="1" t="n">
        <v>43991</v>
      </c>
      <c r="C390" s="1" t="n">
        <v>45472</v>
      </c>
      <c r="D390" t="inlineStr">
        <is>
          <t>VÄRMLANDS LÄN</t>
        </is>
      </c>
      <c r="E390" t="inlineStr">
        <is>
          <t>TORSBY</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28397-2020</t>
        </is>
      </c>
      <c r="B391" s="1" t="n">
        <v>43998</v>
      </c>
      <c r="C391" s="1" t="n">
        <v>45472</v>
      </c>
      <c r="D391" t="inlineStr">
        <is>
          <t>VÄRMLANDS LÄN</t>
        </is>
      </c>
      <c r="E391" t="inlineStr">
        <is>
          <t>TORSBY</t>
        </is>
      </c>
      <c r="G391" t="n">
        <v>7.3</v>
      </c>
      <c r="H391" t="n">
        <v>0</v>
      </c>
      <c r="I391" t="n">
        <v>0</v>
      </c>
      <c r="J391" t="n">
        <v>0</v>
      </c>
      <c r="K391" t="n">
        <v>0</v>
      </c>
      <c r="L391" t="n">
        <v>0</v>
      </c>
      <c r="M391" t="n">
        <v>0</v>
      </c>
      <c r="N391" t="n">
        <v>0</v>
      </c>
      <c r="O391" t="n">
        <v>0</v>
      </c>
      <c r="P391" t="n">
        <v>0</v>
      </c>
      <c r="Q391" t="n">
        <v>0</v>
      </c>
      <c r="R391" s="2" t="inlineStr"/>
    </row>
    <row r="392" ht="15" customHeight="1">
      <c r="A392" t="inlineStr">
        <is>
          <t>A 28416-2020</t>
        </is>
      </c>
      <c r="B392" s="1" t="n">
        <v>43998</v>
      </c>
      <c r="C392" s="1" t="n">
        <v>45472</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28703-2020</t>
        </is>
      </c>
      <c r="B393" s="1" t="n">
        <v>43999</v>
      </c>
      <c r="C393" s="1" t="n">
        <v>45472</v>
      </c>
      <c r="D393" t="inlineStr">
        <is>
          <t>VÄRMLANDS LÄN</t>
        </is>
      </c>
      <c r="E393" t="inlineStr">
        <is>
          <t>TORSBY</t>
        </is>
      </c>
      <c r="G393" t="n">
        <v>4.3</v>
      </c>
      <c r="H393" t="n">
        <v>0</v>
      </c>
      <c r="I393" t="n">
        <v>0</v>
      </c>
      <c r="J393" t="n">
        <v>0</v>
      </c>
      <c r="K393" t="n">
        <v>0</v>
      </c>
      <c r="L393" t="n">
        <v>0</v>
      </c>
      <c r="M393" t="n">
        <v>0</v>
      </c>
      <c r="N393" t="n">
        <v>0</v>
      </c>
      <c r="O393" t="n">
        <v>0</v>
      </c>
      <c r="P393" t="n">
        <v>0</v>
      </c>
      <c r="Q393" t="n">
        <v>0</v>
      </c>
      <c r="R393" s="2" t="inlineStr"/>
    </row>
    <row r="394" ht="15" customHeight="1">
      <c r="A394" t="inlineStr">
        <is>
          <t>A 28849-2020</t>
        </is>
      </c>
      <c r="B394" s="1" t="n">
        <v>44000</v>
      </c>
      <c r="C394" s="1" t="n">
        <v>45472</v>
      </c>
      <c r="D394" t="inlineStr">
        <is>
          <t>VÄRMLANDS LÄN</t>
        </is>
      </c>
      <c r="E394" t="inlineStr">
        <is>
          <t>TORSBY</t>
        </is>
      </c>
      <c r="G394" t="n">
        <v>10.9</v>
      </c>
      <c r="H394" t="n">
        <v>0</v>
      </c>
      <c r="I394" t="n">
        <v>0</v>
      </c>
      <c r="J394" t="n">
        <v>0</v>
      </c>
      <c r="K394" t="n">
        <v>0</v>
      </c>
      <c r="L394" t="n">
        <v>0</v>
      </c>
      <c r="M394" t="n">
        <v>0</v>
      </c>
      <c r="N394" t="n">
        <v>0</v>
      </c>
      <c r="O394" t="n">
        <v>0</v>
      </c>
      <c r="P394" t="n">
        <v>0</v>
      </c>
      <c r="Q394" t="n">
        <v>0</v>
      </c>
      <c r="R394" s="2" t="inlineStr"/>
    </row>
    <row r="395" ht="15" customHeight="1">
      <c r="A395" t="inlineStr">
        <is>
          <t>A 28897-2020</t>
        </is>
      </c>
      <c r="B395" s="1" t="n">
        <v>44000</v>
      </c>
      <c r="C395" s="1" t="n">
        <v>45472</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28911-2020</t>
        </is>
      </c>
      <c r="B396" s="1" t="n">
        <v>44000</v>
      </c>
      <c r="C396" s="1" t="n">
        <v>45472</v>
      </c>
      <c r="D396" t="inlineStr">
        <is>
          <t>VÄRMLANDS LÄN</t>
        </is>
      </c>
      <c r="E396" t="inlineStr">
        <is>
          <t>TORSBY</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28976-2020</t>
        </is>
      </c>
      <c r="B397" s="1" t="n">
        <v>44000</v>
      </c>
      <c r="C397" s="1" t="n">
        <v>45472</v>
      </c>
      <c r="D397" t="inlineStr">
        <is>
          <t>VÄRMLANDS LÄN</t>
        </is>
      </c>
      <c r="E397" t="inlineStr">
        <is>
          <t>TORSBY</t>
        </is>
      </c>
      <c r="G397" t="n">
        <v>2.2</v>
      </c>
      <c r="H397" t="n">
        <v>0</v>
      </c>
      <c r="I397" t="n">
        <v>0</v>
      </c>
      <c r="J397" t="n">
        <v>0</v>
      </c>
      <c r="K397" t="n">
        <v>0</v>
      </c>
      <c r="L397" t="n">
        <v>0</v>
      </c>
      <c r="M397" t="n">
        <v>0</v>
      </c>
      <c r="N397" t="n">
        <v>0</v>
      </c>
      <c r="O397" t="n">
        <v>0</v>
      </c>
      <c r="P397" t="n">
        <v>0</v>
      </c>
      <c r="Q397" t="n">
        <v>0</v>
      </c>
      <c r="R397" s="2" t="inlineStr"/>
    </row>
    <row r="398" ht="15" customHeight="1">
      <c r="A398" t="inlineStr">
        <is>
          <t>A 28987-2020</t>
        </is>
      </c>
      <c r="B398" s="1" t="n">
        <v>44000</v>
      </c>
      <c r="C398" s="1" t="n">
        <v>45472</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29970-2020</t>
        </is>
      </c>
      <c r="B399" s="1" t="n">
        <v>44006</v>
      </c>
      <c r="C399" s="1" t="n">
        <v>45472</v>
      </c>
      <c r="D399" t="inlineStr">
        <is>
          <t>VÄRMLANDS LÄN</t>
        </is>
      </c>
      <c r="E399" t="inlineStr">
        <is>
          <t>TORSBY</t>
        </is>
      </c>
      <c r="F399" t="inlineStr">
        <is>
          <t>Bergvik skog väst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30572-2020</t>
        </is>
      </c>
      <c r="B400" s="1" t="n">
        <v>44008</v>
      </c>
      <c r="C400" s="1" t="n">
        <v>45472</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30996-2020</t>
        </is>
      </c>
      <c r="B401" s="1" t="n">
        <v>44011</v>
      </c>
      <c r="C401" s="1" t="n">
        <v>45472</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30930-2020</t>
        </is>
      </c>
      <c r="B402" s="1" t="n">
        <v>44011</v>
      </c>
      <c r="C402" s="1" t="n">
        <v>45472</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31298-2020</t>
        </is>
      </c>
      <c r="B403" s="1" t="n">
        <v>44012</v>
      </c>
      <c r="C403" s="1" t="n">
        <v>45472</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31436-2020</t>
        </is>
      </c>
      <c r="B404" s="1" t="n">
        <v>44013</v>
      </c>
      <c r="C404" s="1" t="n">
        <v>45472</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31577-2020</t>
        </is>
      </c>
      <c r="B405" s="1" t="n">
        <v>44013</v>
      </c>
      <c r="C405" s="1" t="n">
        <v>45472</v>
      </c>
      <c r="D405" t="inlineStr">
        <is>
          <t>VÄRMLANDS LÄN</t>
        </is>
      </c>
      <c r="E405" t="inlineStr">
        <is>
          <t>TORSBY</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31759-2020</t>
        </is>
      </c>
      <c r="B406" s="1" t="n">
        <v>44014</v>
      </c>
      <c r="C406" s="1" t="n">
        <v>45472</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32122-2020</t>
        </is>
      </c>
      <c r="B407" s="1" t="n">
        <v>44015</v>
      </c>
      <c r="C407" s="1" t="n">
        <v>45472</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32623-2020</t>
        </is>
      </c>
      <c r="B408" s="1" t="n">
        <v>44019</v>
      </c>
      <c r="C408" s="1" t="n">
        <v>45472</v>
      </c>
      <c r="D408" t="inlineStr">
        <is>
          <t>VÄRMLANDS LÄN</t>
        </is>
      </c>
      <c r="E408" t="inlineStr">
        <is>
          <t>TORSBY</t>
        </is>
      </c>
      <c r="F408" t="inlineStr">
        <is>
          <t>Kommuner</t>
        </is>
      </c>
      <c r="G408" t="n">
        <v>13.9</v>
      </c>
      <c r="H408" t="n">
        <v>0</v>
      </c>
      <c r="I408" t="n">
        <v>0</v>
      </c>
      <c r="J408" t="n">
        <v>0</v>
      </c>
      <c r="K408" t="n">
        <v>0</v>
      </c>
      <c r="L408" t="n">
        <v>0</v>
      </c>
      <c r="M408" t="n">
        <v>0</v>
      </c>
      <c r="N408" t="n">
        <v>0</v>
      </c>
      <c r="O408" t="n">
        <v>0</v>
      </c>
      <c r="P408" t="n">
        <v>0</v>
      </c>
      <c r="Q408" t="n">
        <v>0</v>
      </c>
      <c r="R408" s="2" t="inlineStr"/>
    </row>
    <row r="409" ht="15" customHeight="1">
      <c r="A409" t="inlineStr">
        <is>
          <t>A 32651-2020</t>
        </is>
      </c>
      <c r="B409" s="1" t="n">
        <v>44019</v>
      </c>
      <c r="C409" s="1" t="n">
        <v>45472</v>
      </c>
      <c r="D409" t="inlineStr">
        <is>
          <t>VÄRMLANDS LÄN</t>
        </is>
      </c>
      <c r="E409" t="inlineStr">
        <is>
          <t>TORSBY</t>
        </is>
      </c>
      <c r="F409" t="inlineStr">
        <is>
          <t>Kommuner</t>
        </is>
      </c>
      <c r="G409" t="n">
        <v>8.6</v>
      </c>
      <c r="H409" t="n">
        <v>0</v>
      </c>
      <c r="I409" t="n">
        <v>0</v>
      </c>
      <c r="J409" t="n">
        <v>0</v>
      </c>
      <c r="K409" t="n">
        <v>0</v>
      </c>
      <c r="L409" t="n">
        <v>0</v>
      </c>
      <c r="M409" t="n">
        <v>0</v>
      </c>
      <c r="N409" t="n">
        <v>0</v>
      </c>
      <c r="O409" t="n">
        <v>0</v>
      </c>
      <c r="P409" t="n">
        <v>0</v>
      </c>
      <c r="Q409" t="n">
        <v>0</v>
      </c>
      <c r="R409" s="2" t="inlineStr"/>
    </row>
    <row r="410" ht="15" customHeight="1">
      <c r="A410" t="inlineStr">
        <is>
          <t>A 33124-2020</t>
        </is>
      </c>
      <c r="B410" s="1" t="n">
        <v>44021</v>
      </c>
      <c r="C410" s="1" t="n">
        <v>45472</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33095-2020</t>
        </is>
      </c>
      <c r="B411" s="1" t="n">
        <v>44021</v>
      </c>
      <c r="C411" s="1" t="n">
        <v>45472</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33126-2020</t>
        </is>
      </c>
      <c r="B412" s="1" t="n">
        <v>44021</v>
      </c>
      <c r="C412" s="1" t="n">
        <v>45472</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33691-2020</t>
        </is>
      </c>
      <c r="B413" s="1" t="n">
        <v>44022</v>
      </c>
      <c r="C413" s="1" t="n">
        <v>45472</v>
      </c>
      <c r="D413" t="inlineStr">
        <is>
          <t>VÄRMLANDS LÄN</t>
        </is>
      </c>
      <c r="E413" t="inlineStr">
        <is>
          <t>TORSBY</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34901-2020</t>
        </is>
      </c>
      <c r="B414" s="1" t="n">
        <v>44022</v>
      </c>
      <c r="C414" s="1" t="n">
        <v>45472</v>
      </c>
      <c r="D414" t="inlineStr">
        <is>
          <t>VÄRMLANDS LÄN</t>
        </is>
      </c>
      <c r="E414" t="inlineStr">
        <is>
          <t>TORSBY</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33908-2020</t>
        </is>
      </c>
      <c r="B415" s="1" t="n">
        <v>44027</v>
      </c>
      <c r="C415" s="1" t="n">
        <v>45472</v>
      </c>
      <c r="D415" t="inlineStr">
        <is>
          <t>VÄRMLANDS LÄN</t>
        </is>
      </c>
      <c r="E415" t="inlineStr">
        <is>
          <t>TORSBY</t>
        </is>
      </c>
      <c r="G415" t="n">
        <v>3.6</v>
      </c>
      <c r="H415" t="n">
        <v>0</v>
      </c>
      <c r="I415" t="n">
        <v>0</v>
      </c>
      <c r="J415" t="n">
        <v>0</v>
      </c>
      <c r="K415" t="n">
        <v>0</v>
      </c>
      <c r="L415" t="n">
        <v>0</v>
      </c>
      <c r="M415" t="n">
        <v>0</v>
      </c>
      <c r="N415" t="n">
        <v>0</v>
      </c>
      <c r="O415" t="n">
        <v>0</v>
      </c>
      <c r="P415" t="n">
        <v>0</v>
      </c>
      <c r="Q415" t="n">
        <v>0</v>
      </c>
      <c r="R415" s="2" t="inlineStr"/>
    </row>
    <row r="416" ht="15" customHeight="1">
      <c r="A416" t="inlineStr">
        <is>
          <t>A 33864-2020</t>
        </is>
      </c>
      <c r="B416" s="1" t="n">
        <v>44027</v>
      </c>
      <c r="C416" s="1" t="n">
        <v>45472</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34118-2020</t>
        </is>
      </c>
      <c r="B417" s="1" t="n">
        <v>44028</v>
      </c>
      <c r="C417" s="1" t="n">
        <v>45472</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34247-2020</t>
        </is>
      </c>
      <c r="B418" s="1" t="n">
        <v>44029</v>
      </c>
      <c r="C418" s="1" t="n">
        <v>45472</v>
      </c>
      <c r="D418" t="inlineStr">
        <is>
          <t>VÄRMLANDS LÄN</t>
        </is>
      </c>
      <c r="E418" t="inlineStr">
        <is>
          <t>TORSBY</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35132-2020</t>
        </is>
      </c>
      <c r="B419" s="1" t="n">
        <v>44040</v>
      </c>
      <c r="C419" s="1" t="n">
        <v>45472</v>
      </c>
      <c r="D419" t="inlineStr">
        <is>
          <t>VÄRMLANDS LÄN</t>
        </is>
      </c>
      <c r="E419" t="inlineStr">
        <is>
          <t>TORSBY</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35174-2020</t>
        </is>
      </c>
      <c r="B420" s="1" t="n">
        <v>44040</v>
      </c>
      <c r="C420" s="1" t="n">
        <v>45472</v>
      </c>
      <c r="D420" t="inlineStr">
        <is>
          <t>VÄRMLANDS LÄN</t>
        </is>
      </c>
      <c r="E420" t="inlineStr">
        <is>
          <t>TORSBY</t>
        </is>
      </c>
      <c r="F420" t="inlineStr">
        <is>
          <t>Kommuner</t>
        </is>
      </c>
      <c r="G420" t="n">
        <v>5.3</v>
      </c>
      <c r="H420" t="n">
        <v>0</v>
      </c>
      <c r="I420" t="n">
        <v>0</v>
      </c>
      <c r="J420" t="n">
        <v>0</v>
      </c>
      <c r="K420" t="n">
        <v>0</v>
      </c>
      <c r="L420" t="n">
        <v>0</v>
      </c>
      <c r="M420" t="n">
        <v>0</v>
      </c>
      <c r="N420" t="n">
        <v>0</v>
      </c>
      <c r="O420" t="n">
        <v>0</v>
      </c>
      <c r="P420" t="n">
        <v>0</v>
      </c>
      <c r="Q420" t="n">
        <v>0</v>
      </c>
      <c r="R420" s="2" t="inlineStr"/>
    </row>
    <row r="421" ht="15" customHeight="1">
      <c r="A421" t="inlineStr">
        <is>
          <t>A 35500-2020</t>
        </is>
      </c>
      <c r="B421" s="1" t="n">
        <v>44043</v>
      </c>
      <c r="C421" s="1" t="n">
        <v>45472</v>
      </c>
      <c r="D421" t="inlineStr">
        <is>
          <t>VÄRMLANDS LÄN</t>
        </is>
      </c>
      <c r="E421" t="inlineStr">
        <is>
          <t>TORSBY</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35778-2020</t>
        </is>
      </c>
      <c r="B422" s="1" t="n">
        <v>44046</v>
      </c>
      <c r="C422" s="1" t="n">
        <v>45472</v>
      </c>
      <c r="D422" t="inlineStr">
        <is>
          <t>VÄRMLANDS LÄN</t>
        </is>
      </c>
      <c r="E422" t="inlineStr">
        <is>
          <t>TORSBY</t>
        </is>
      </c>
      <c r="G422" t="n">
        <v>10.2</v>
      </c>
      <c r="H422" t="n">
        <v>0</v>
      </c>
      <c r="I422" t="n">
        <v>0</v>
      </c>
      <c r="J422" t="n">
        <v>0</v>
      </c>
      <c r="K422" t="n">
        <v>0</v>
      </c>
      <c r="L422" t="n">
        <v>0</v>
      </c>
      <c r="M422" t="n">
        <v>0</v>
      </c>
      <c r="N422" t="n">
        <v>0</v>
      </c>
      <c r="O422" t="n">
        <v>0</v>
      </c>
      <c r="P422" t="n">
        <v>0</v>
      </c>
      <c r="Q422" t="n">
        <v>0</v>
      </c>
      <c r="R422" s="2" t="inlineStr"/>
    </row>
    <row r="423" ht="15" customHeight="1">
      <c r="A423" t="inlineStr">
        <is>
          <t>A 35900-2020</t>
        </is>
      </c>
      <c r="B423" s="1" t="n">
        <v>44047</v>
      </c>
      <c r="C423" s="1" t="n">
        <v>45472</v>
      </c>
      <c r="D423" t="inlineStr">
        <is>
          <t>VÄRMLANDS LÄN</t>
        </is>
      </c>
      <c r="E423" t="inlineStr">
        <is>
          <t>TORSBY</t>
        </is>
      </c>
      <c r="G423" t="n">
        <v>7.2</v>
      </c>
      <c r="H423" t="n">
        <v>0</v>
      </c>
      <c r="I423" t="n">
        <v>0</v>
      </c>
      <c r="J423" t="n">
        <v>0</v>
      </c>
      <c r="K423" t="n">
        <v>0</v>
      </c>
      <c r="L423" t="n">
        <v>0</v>
      </c>
      <c r="M423" t="n">
        <v>0</v>
      </c>
      <c r="N423" t="n">
        <v>0</v>
      </c>
      <c r="O423" t="n">
        <v>0</v>
      </c>
      <c r="P423" t="n">
        <v>0</v>
      </c>
      <c r="Q423" t="n">
        <v>0</v>
      </c>
      <c r="R423" s="2" t="inlineStr"/>
    </row>
    <row r="424" ht="15" customHeight="1">
      <c r="A424" t="inlineStr">
        <is>
          <t>A 35955-2020</t>
        </is>
      </c>
      <c r="B424" s="1" t="n">
        <v>44047</v>
      </c>
      <c r="C424" s="1" t="n">
        <v>45472</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35826-2020</t>
        </is>
      </c>
      <c r="B425" s="1" t="n">
        <v>44047</v>
      </c>
      <c r="C425" s="1" t="n">
        <v>45472</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35905-2020</t>
        </is>
      </c>
      <c r="B426" s="1" t="n">
        <v>44047</v>
      </c>
      <c r="C426" s="1" t="n">
        <v>45472</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36482-2020</t>
        </is>
      </c>
      <c r="B427" s="1" t="n">
        <v>44048</v>
      </c>
      <c r="C427" s="1" t="n">
        <v>45472</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36104-2020</t>
        </is>
      </c>
      <c r="B428" s="1" t="n">
        <v>44048</v>
      </c>
      <c r="C428" s="1" t="n">
        <v>45472</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36265-2020</t>
        </is>
      </c>
      <c r="B429" s="1" t="n">
        <v>44049</v>
      </c>
      <c r="C429" s="1" t="n">
        <v>45472</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36396-2020</t>
        </is>
      </c>
      <c r="B430" s="1" t="n">
        <v>44049</v>
      </c>
      <c r="C430" s="1" t="n">
        <v>45472</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36394-2020</t>
        </is>
      </c>
      <c r="B431" s="1" t="n">
        <v>44049</v>
      </c>
      <c r="C431" s="1" t="n">
        <v>45472</v>
      </c>
      <c r="D431" t="inlineStr">
        <is>
          <t>VÄRMLANDS LÄN</t>
        </is>
      </c>
      <c r="E431" t="inlineStr">
        <is>
          <t>TORSBY</t>
        </is>
      </c>
      <c r="G431" t="n">
        <v>7</v>
      </c>
      <c r="H431" t="n">
        <v>0</v>
      </c>
      <c r="I431" t="n">
        <v>0</v>
      </c>
      <c r="J431" t="n">
        <v>0</v>
      </c>
      <c r="K431" t="n">
        <v>0</v>
      </c>
      <c r="L431" t="n">
        <v>0</v>
      </c>
      <c r="M431" t="n">
        <v>0</v>
      </c>
      <c r="N431" t="n">
        <v>0</v>
      </c>
      <c r="O431" t="n">
        <v>0</v>
      </c>
      <c r="P431" t="n">
        <v>0</v>
      </c>
      <c r="Q431" t="n">
        <v>0</v>
      </c>
      <c r="R431" s="2" t="inlineStr"/>
    </row>
    <row r="432" ht="15" customHeight="1">
      <c r="A432" t="inlineStr">
        <is>
          <t>A 36847-2020</t>
        </is>
      </c>
      <c r="B432" s="1" t="n">
        <v>44053</v>
      </c>
      <c r="C432" s="1" t="n">
        <v>45472</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36901-2020</t>
        </is>
      </c>
      <c r="B433" s="1" t="n">
        <v>44053</v>
      </c>
      <c r="C433" s="1" t="n">
        <v>45472</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37305-2020</t>
        </is>
      </c>
      <c r="B434" s="1" t="n">
        <v>44055</v>
      </c>
      <c r="C434" s="1" t="n">
        <v>45472</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37302-2020</t>
        </is>
      </c>
      <c r="B435" s="1" t="n">
        <v>44055</v>
      </c>
      <c r="C435" s="1" t="n">
        <v>45472</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37307-2020</t>
        </is>
      </c>
      <c r="B436" s="1" t="n">
        <v>44055</v>
      </c>
      <c r="C436" s="1" t="n">
        <v>45472</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37303-2020</t>
        </is>
      </c>
      <c r="B437" s="1" t="n">
        <v>44055</v>
      </c>
      <c r="C437" s="1" t="n">
        <v>45472</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38506-2020</t>
        </is>
      </c>
      <c r="B438" s="1" t="n">
        <v>44061</v>
      </c>
      <c r="C438" s="1" t="n">
        <v>45472</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38978-2020</t>
        </is>
      </c>
      <c r="B439" s="1" t="n">
        <v>44062</v>
      </c>
      <c r="C439" s="1" t="n">
        <v>45472</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40218-2020</t>
        </is>
      </c>
      <c r="B440" s="1" t="n">
        <v>44064</v>
      </c>
      <c r="C440" s="1" t="n">
        <v>45472</v>
      </c>
      <c r="D440" t="inlineStr">
        <is>
          <t>VÄRMLANDS LÄN</t>
        </is>
      </c>
      <c r="E440" t="inlineStr">
        <is>
          <t>TORSBY</t>
        </is>
      </c>
      <c r="G440" t="n">
        <v>3.7</v>
      </c>
      <c r="H440" t="n">
        <v>0</v>
      </c>
      <c r="I440" t="n">
        <v>0</v>
      </c>
      <c r="J440" t="n">
        <v>0</v>
      </c>
      <c r="K440" t="n">
        <v>0</v>
      </c>
      <c r="L440" t="n">
        <v>0</v>
      </c>
      <c r="M440" t="n">
        <v>0</v>
      </c>
      <c r="N440" t="n">
        <v>0</v>
      </c>
      <c r="O440" t="n">
        <v>0</v>
      </c>
      <c r="P440" t="n">
        <v>0</v>
      </c>
      <c r="Q440" t="n">
        <v>0</v>
      </c>
      <c r="R440" s="2" t="inlineStr"/>
    </row>
    <row r="441" ht="15" customHeight="1">
      <c r="A441" t="inlineStr">
        <is>
          <t>A 40015-2020</t>
        </is>
      </c>
      <c r="B441" s="1" t="n">
        <v>44067</v>
      </c>
      <c r="C441" s="1" t="n">
        <v>45472</v>
      </c>
      <c r="D441" t="inlineStr">
        <is>
          <t>VÄRMLANDS LÄN</t>
        </is>
      </c>
      <c r="E441" t="inlineStr">
        <is>
          <t>TORSBY</t>
        </is>
      </c>
      <c r="G441" t="n">
        <v>5.7</v>
      </c>
      <c r="H441" t="n">
        <v>0</v>
      </c>
      <c r="I441" t="n">
        <v>0</v>
      </c>
      <c r="J441" t="n">
        <v>0</v>
      </c>
      <c r="K441" t="n">
        <v>0</v>
      </c>
      <c r="L441" t="n">
        <v>0</v>
      </c>
      <c r="M441" t="n">
        <v>0</v>
      </c>
      <c r="N441" t="n">
        <v>0</v>
      </c>
      <c r="O441" t="n">
        <v>0</v>
      </c>
      <c r="P441" t="n">
        <v>0</v>
      </c>
      <c r="Q441" t="n">
        <v>0</v>
      </c>
      <c r="R441" s="2" t="inlineStr"/>
    </row>
    <row r="442" ht="15" customHeight="1">
      <c r="A442" t="inlineStr">
        <is>
          <t>A 40550-2020</t>
        </is>
      </c>
      <c r="B442" s="1" t="n">
        <v>44069</v>
      </c>
      <c r="C442" s="1" t="n">
        <v>45472</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40594-2020</t>
        </is>
      </c>
      <c r="B443" s="1" t="n">
        <v>44069</v>
      </c>
      <c r="C443" s="1" t="n">
        <v>45472</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40509-2020</t>
        </is>
      </c>
      <c r="B444" s="1" t="n">
        <v>44069</v>
      </c>
      <c r="C444" s="1" t="n">
        <v>45472</v>
      </c>
      <c r="D444" t="inlineStr">
        <is>
          <t>VÄRMLANDS LÄN</t>
        </is>
      </c>
      <c r="E444" t="inlineStr">
        <is>
          <t>TORSBY</t>
        </is>
      </c>
      <c r="F444" t="inlineStr">
        <is>
          <t>Naturvårdsverket</t>
        </is>
      </c>
      <c r="G444" t="n">
        <v>57</v>
      </c>
      <c r="H444" t="n">
        <v>0</v>
      </c>
      <c r="I444" t="n">
        <v>0</v>
      </c>
      <c r="J444" t="n">
        <v>0</v>
      </c>
      <c r="K444" t="n">
        <v>0</v>
      </c>
      <c r="L444" t="n">
        <v>0</v>
      </c>
      <c r="M444" t="n">
        <v>0</v>
      </c>
      <c r="N444" t="n">
        <v>0</v>
      </c>
      <c r="O444" t="n">
        <v>0</v>
      </c>
      <c r="P444" t="n">
        <v>0</v>
      </c>
      <c r="Q444" t="n">
        <v>0</v>
      </c>
      <c r="R444" s="2" t="inlineStr"/>
    </row>
    <row r="445" ht="15" customHeight="1">
      <c r="A445" t="inlineStr">
        <is>
          <t>A 40601-2020</t>
        </is>
      </c>
      <c r="B445" s="1" t="n">
        <v>44069</v>
      </c>
      <c r="C445" s="1" t="n">
        <v>45472</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40994-2020</t>
        </is>
      </c>
      <c r="B446" s="1" t="n">
        <v>44070</v>
      </c>
      <c r="C446" s="1" t="n">
        <v>45472</v>
      </c>
      <c r="D446" t="inlineStr">
        <is>
          <t>VÄRMLANDS LÄN</t>
        </is>
      </c>
      <c r="E446" t="inlineStr">
        <is>
          <t>TORSBY</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40987-2020</t>
        </is>
      </c>
      <c r="B447" s="1" t="n">
        <v>44070</v>
      </c>
      <c r="C447" s="1" t="n">
        <v>45472</v>
      </c>
      <c r="D447" t="inlineStr">
        <is>
          <t>VÄRMLANDS LÄN</t>
        </is>
      </c>
      <c r="E447" t="inlineStr">
        <is>
          <t>TORSBY</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40993-2020</t>
        </is>
      </c>
      <c r="B448" s="1" t="n">
        <v>44070</v>
      </c>
      <c r="C448" s="1" t="n">
        <v>45472</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41469-2020</t>
        </is>
      </c>
      <c r="B449" s="1" t="n">
        <v>44074</v>
      </c>
      <c r="C449" s="1" t="n">
        <v>45472</v>
      </c>
      <c r="D449" t="inlineStr">
        <is>
          <t>VÄRMLANDS LÄN</t>
        </is>
      </c>
      <c r="E449" t="inlineStr">
        <is>
          <t>TORSBY</t>
        </is>
      </c>
      <c r="F449" t="inlineStr">
        <is>
          <t>Bergvik skog väst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42391-2020</t>
        </is>
      </c>
      <c r="B450" s="1" t="n">
        <v>44076</v>
      </c>
      <c r="C450" s="1" t="n">
        <v>45472</v>
      </c>
      <c r="D450" t="inlineStr">
        <is>
          <t>VÄRMLANDS LÄN</t>
        </is>
      </c>
      <c r="E450" t="inlineStr">
        <is>
          <t>TORSBY</t>
        </is>
      </c>
      <c r="G450" t="n">
        <v>3.9</v>
      </c>
      <c r="H450" t="n">
        <v>0</v>
      </c>
      <c r="I450" t="n">
        <v>0</v>
      </c>
      <c r="J450" t="n">
        <v>0</v>
      </c>
      <c r="K450" t="n">
        <v>0</v>
      </c>
      <c r="L450" t="n">
        <v>0</v>
      </c>
      <c r="M450" t="n">
        <v>0</v>
      </c>
      <c r="N450" t="n">
        <v>0</v>
      </c>
      <c r="O450" t="n">
        <v>0</v>
      </c>
      <c r="P450" t="n">
        <v>0</v>
      </c>
      <c r="Q450" t="n">
        <v>0</v>
      </c>
      <c r="R450" s="2" t="inlineStr"/>
    </row>
    <row r="451" ht="15" customHeight="1">
      <c r="A451" t="inlineStr">
        <is>
          <t>A 42566-2020</t>
        </is>
      </c>
      <c r="B451" s="1" t="n">
        <v>44077</v>
      </c>
      <c r="C451" s="1" t="n">
        <v>45472</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42982-2020</t>
        </is>
      </c>
      <c r="B452" s="1" t="n">
        <v>44078</v>
      </c>
      <c r="C452" s="1" t="n">
        <v>45472</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44722-2020</t>
        </is>
      </c>
      <c r="B453" s="1" t="n">
        <v>44078</v>
      </c>
      <c r="C453" s="1" t="n">
        <v>45472</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43547-2020</t>
        </is>
      </c>
      <c r="B454" s="1" t="n">
        <v>44078</v>
      </c>
      <c r="C454" s="1" t="n">
        <v>45472</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44715-2020</t>
        </is>
      </c>
      <c r="B455" s="1" t="n">
        <v>44078</v>
      </c>
      <c r="C455" s="1" t="n">
        <v>45472</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44720-2020</t>
        </is>
      </c>
      <c r="B456" s="1" t="n">
        <v>44078</v>
      </c>
      <c r="C456" s="1" t="n">
        <v>45472</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43725-2020</t>
        </is>
      </c>
      <c r="B457" s="1" t="n">
        <v>44082</v>
      </c>
      <c r="C457" s="1" t="n">
        <v>45472</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44666-2020</t>
        </is>
      </c>
      <c r="B458" s="1" t="n">
        <v>44085</v>
      </c>
      <c r="C458" s="1" t="n">
        <v>45472</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46482-2020</t>
        </is>
      </c>
      <c r="B459" s="1" t="n">
        <v>44089</v>
      </c>
      <c r="C459" s="1" t="n">
        <v>45472</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45404-2020</t>
        </is>
      </c>
      <c r="B460" s="1" t="n">
        <v>44089</v>
      </c>
      <c r="C460" s="1" t="n">
        <v>45472</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45872-2020</t>
        </is>
      </c>
      <c r="B461" s="1" t="n">
        <v>44091</v>
      </c>
      <c r="C461" s="1" t="n">
        <v>45472</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45898-2020</t>
        </is>
      </c>
      <c r="B462" s="1" t="n">
        <v>44091</v>
      </c>
      <c r="C462" s="1" t="n">
        <v>45472</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46271-2020</t>
        </is>
      </c>
      <c r="B463" s="1" t="n">
        <v>44092</v>
      </c>
      <c r="C463" s="1" t="n">
        <v>45472</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47707-2020</t>
        </is>
      </c>
      <c r="B464" s="1" t="n">
        <v>44096</v>
      </c>
      <c r="C464" s="1" t="n">
        <v>45472</v>
      </c>
      <c r="D464" t="inlineStr">
        <is>
          <t>VÄRMLANDS LÄN</t>
        </is>
      </c>
      <c r="E464" t="inlineStr">
        <is>
          <t>TORSBY</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47709-2020</t>
        </is>
      </c>
      <c r="B465" s="1" t="n">
        <v>44096</v>
      </c>
      <c r="C465" s="1" t="n">
        <v>45472</v>
      </c>
      <c r="D465" t="inlineStr">
        <is>
          <t>VÄRMLANDS LÄN</t>
        </is>
      </c>
      <c r="E465" t="inlineStr">
        <is>
          <t>TORSBY</t>
        </is>
      </c>
      <c r="F465" t="inlineStr">
        <is>
          <t>Kyrkan</t>
        </is>
      </c>
      <c r="G465" t="n">
        <v>1.8</v>
      </c>
      <c r="H465" t="n">
        <v>0</v>
      </c>
      <c r="I465" t="n">
        <v>0</v>
      </c>
      <c r="J465" t="n">
        <v>0</v>
      </c>
      <c r="K465" t="n">
        <v>0</v>
      </c>
      <c r="L465" t="n">
        <v>0</v>
      </c>
      <c r="M465" t="n">
        <v>0</v>
      </c>
      <c r="N465" t="n">
        <v>0</v>
      </c>
      <c r="O465" t="n">
        <v>0</v>
      </c>
      <c r="P465" t="n">
        <v>0</v>
      </c>
      <c r="Q465" t="n">
        <v>0</v>
      </c>
      <c r="R465" s="2" t="inlineStr"/>
    </row>
    <row r="466" ht="15" customHeight="1">
      <c r="A466" t="inlineStr">
        <is>
          <t>A 47490-2020</t>
        </is>
      </c>
      <c r="B466" s="1" t="n">
        <v>44098</v>
      </c>
      <c r="C466" s="1" t="n">
        <v>45472</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48231-2020</t>
        </is>
      </c>
      <c r="B467" s="1" t="n">
        <v>44102</v>
      </c>
      <c r="C467" s="1" t="n">
        <v>45472</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48383-2020</t>
        </is>
      </c>
      <c r="B468" s="1" t="n">
        <v>44102</v>
      </c>
      <c r="C468" s="1" t="n">
        <v>45472</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48488-2020</t>
        </is>
      </c>
      <c r="B469" s="1" t="n">
        <v>44103</v>
      </c>
      <c r="C469" s="1" t="n">
        <v>45472</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53557-2020</t>
        </is>
      </c>
      <c r="B470" s="1" t="n">
        <v>44104</v>
      </c>
      <c r="C470" s="1" t="n">
        <v>45472</v>
      </c>
      <c r="D470" t="inlineStr">
        <is>
          <t>VÄRMLANDS LÄN</t>
        </is>
      </c>
      <c r="E470" t="inlineStr">
        <is>
          <t>TORSBY</t>
        </is>
      </c>
      <c r="F470" t="inlineStr">
        <is>
          <t>Övriga statliga verk och myndigheter</t>
        </is>
      </c>
      <c r="G470" t="n">
        <v>1</v>
      </c>
      <c r="H470" t="n">
        <v>0</v>
      </c>
      <c r="I470" t="n">
        <v>0</v>
      </c>
      <c r="J470" t="n">
        <v>0</v>
      </c>
      <c r="K470" t="n">
        <v>0</v>
      </c>
      <c r="L470" t="n">
        <v>0</v>
      </c>
      <c r="M470" t="n">
        <v>0</v>
      </c>
      <c r="N470" t="n">
        <v>0</v>
      </c>
      <c r="O470" t="n">
        <v>0</v>
      </c>
      <c r="P470" t="n">
        <v>0</v>
      </c>
      <c r="Q470" t="n">
        <v>0</v>
      </c>
      <c r="R470" s="2" t="inlineStr"/>
    </row>
    <row r="471" ht="15" customHeight="1">
      <c r="A471" t="inlineStr">
        <is>
          <t>A 50084-2020</t>
        </is>
      </c>
      <c r="B471" s="1" t="n">
        <v>44109</v>
      </c>
      <c r="C471" s="1" t="n">
        <v>45472</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50092-2020</t>
        </is>
      </c>
      <c r="B472" s="1" t="n">
        <v>44109</v>
      </c>
      <c r="C472" s="1" t="n">
        <v>45472</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50103-2020</t>
        </is>
      </c>
      <c r="B473" s="1" t="n">
        <v>44109</v>
      </c>
      <c r="C473" s="1" t="n">
        <v>45472</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50096-2020</t>
        </is>
      </c>
      <c r="B474" s="1" t="n">
        <v>44109</v>
      </c>
      <c r="C474" s="1" t="n">
        <v>45472</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50486-2020</t>
        </is>
      </c>
      <c r="B475" s="1" t="n">
        <v>44110</v>
      </c>
      <c r="C475" s="1" t="n">
        <v>45472</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50943-2020</t>
        </is>
      </c>
      <c r="B476" s="1" t="n">
        <v>44111</v>
      </c>
      <c r="C476" s="1" t="n">
        <v>45472</v>
      </c>
      <c r="D476" t="inlineStr">
        <is>
          <t>VÄRMLANDS LÄN</t>
        </is>
      </c>
      <c r="E476" t="inlineStr">
        <is>
          <t>TORSBY</t>
        </is>
      </c>
      <c r="F476" t="inlineStr">
        <is>
          <t>Bergvik skog väst AB</t>
        </is>
      </c>
      <c r="G476" t="n">
        <v>18.4</v>
      </c>
      <c r="H476" t="n">
        <v>0</v>
      </c>
      <c r="I476" t="n">
        <v>0</v>
      </c>
      <c r="J476" t="n">
        <v>0</v>
      </c>
      <c r="K476" t="n">
        <v>0</v>
      </c>
      <c r="L476" t="n">
        <v>0</v>
      </c>
      <c r="M476" t="n">
        <v>0</v>
      </c>
      <c r="N476" t="n">
        <v>0</v>
      </c>
      <c r="O476" t="n">
        <v>0</v>
      </c>
      <c r="P476" t="n">
        <v>0</v>
      </c>
      <c r="Q476" t="n">
        <v>0</v>
      </c>
      <c r="R476" s="2" t="inlineStr"/>
    </row>
    <row r="477" ht="15" customHeight="1">
      <c r="A477" t="inlineStr">
        <is>
          <t>A 51380-2020</t>
        </is>
      </c>
      <c r="B477" s="1" t="n">
        <v>44113</v>
      </c>
      <c r="C477" s="1" t="n">
        <v>45472</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51385-2020</t>
        </is>
      </c>
      <c r="B478" s="1" t="n">
        <v>44113</v>
      </c>
      <c r="C478" s="1" t="n">
        <v>45472</v>
      </c>
      <c r="D478" t="inlineStr">
        <is>
          <t>VÄRMLANDS LÄN</t>
        </is>
      </c>
      <c r="E478" t="inlineStr">
        <is>
          <t>TORSBY</t>
        </is>
      </c>
      <c r="G478" t="n">
        <v>6.8</v>
      </c>
      <c r="H478" t="n">
        <v>0</v>
      </c>
      <c r="I478" t="n">
        <v>0</v>
      </c>
      <c r="J478" t="n">
        <v>0</v>
      </c>
      <c r="K478" t="n">
        <v>0</v>
      </c>
      <c r="L478" t="n">
        <v>0</v>
      </c>
      <c r="M478" t="n">
        <v>0</v>
      </c>
      <c r="N478" t="n">
        <v>0</v>
      </c>
      <c r="O478" t="n">
        <v>0</v>
      </c>
      <c r="P478" t="n">
        <v>0</v>
      </c>
      <c r="Q478" t="n">
        <v>0</v>
      </c>
      <c r="R478" s="2" t="inlineStr"/>
    </row>
    <row r="479" ht="15" customHeight="1">
      <c r="A479" t="inlineStr">
        <is>
          <t>A 51389-2020</t>
        </is>
      </c>
      <c r="B479" s="1" t="n">
        <v>44113</v>
      </c>
      <c r="C479" s="1" t="n">
        <v>45472</v>
      </c>
      <c r="D479" t="inlineStr">
        <is>
          <t>VÄRMLANDS LÄN</t>
        </is>
      </c>
      <c r="E479" t="inlineStr">
        <is>
          <t>TORSBY</t>
        </is>
      </c>
      <c r="G479" t="n">
        <v>15.4</v>
      </c>
      <c r="H479" t="n">
        <v>0</v>
      </c>
      <c r="I479" t="n">
        <v>0</v>
      </c>
      <c r="J479" t="n">
        <v>0</v>
      </c>
      <c r="K479" t="n">
        <v>0</v>
      </c>
      <c r="L479" t="n">
        <v>0</v>
      </c>
      <c r="M479" t="n">
        <v>0</v>
      </c>
      <c r="N479" t="n">
        <v>0</v>
      </c>
      <c r="O479" t="n">
        <v>0</v>
      </c>
      <c r="P479" t="n">
        <v>0</v>
      </c>
      <c r="Q479" t="n">
        <v>0</v>
      </c>
      <c r="R479" s="2" t="inlineStr"/>
    </row>
    <row r="480" ht="15" customHeight="1">
      <c r="A480" t="inlineStr">
        <is>
          <t>A 51382-2020</t>
        </is>
      </c>
      <c r="B480" s="1" t="n">
        <v>44113</v>
      </c>
      <c r="C480" s="1" t="n">
        <v>45472</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51381-2020</t>
        </is>
      </c>
      <c r="B481" s="1" t="n">
        <v>44113</v>
      </c>
      <c r="C481" s="1" t="n">
        <v>45472</v>
      </c>
      <c r="D481" t="inlineStr">
        <is>
          <t>VÄRMLANDS LÄN</t>
        </is>
      </c>
      <c r="E481" t="inlineStr">
        <is>
          <t>TORSBY</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51386-2020</t>
        </is>
      </c>
      <c r="B482" s="1" t="n">
        <v>44113</v>
      </c>
      <c r="C482" s="1" t="n">
        <v>45472</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51635-2020</t>
        </is>
      </c>
      <c r="B483" s="1" t="n">
        <v>44113</v>
      </c>
      <c r="C483" s="1" t="n">
        <v>45472</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51383-2020</t>
        </is>
      </c>
      <c r="B484" s="1" t="n">
        <v>44113</v>
      </c>
      <c r="C484" s="1" t="n">
        <v>45472</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51838-2020</t>
        </is>
      </c>
      <c r="B485" s="1" t="n">
        <v>44116</v>
      </c>
      <c r="C485" s="1" t="n">
        <v>45472</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52460-2020</t>
        </is>
      </c>
      <c r="B486" s="1" t="n">
        <v>44116</v>
      </c>
      <c r="C486" s="1" t="n">
        <v>45472</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51837-2020</t>
        </is>
      </c>
      <c r="B487" s="1" t="n">
        <v>44116</v>
      </c>
      <c r="C487" s="1" t="n">
        <v>45472</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52141-2020</t>
        </is>
      </c>
      <c r="B488" s="1" t="n">
        <v>44117</v>
      </c>
      <c r="C488" s="1" t="n">
        <v>45472</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52799-2020</t>
        </is>
      </c>
      <c r="B489" s="1" t="n">
        <v>44119</v>
      </c>
      <c r="C489" s="1" t="n">
        <v>45472</v>
      </c>
      <c r="D489" t="inlineStr">
        <is>
          <t>VÄRMLANDS LÄN</t>
        </is>
      </c>
      <c r="E489" t="inlineStr">
        <is>
          <t>TORSBY</t>
        </is>
      </c>
      <c r="G489" t="n">
        <v>6.2</v>
      </c>
      <c r="H489" t="n">
        <v>0</v>
      </c>
      <c r="I489" t="n">
        <v>0</v>
      </c>
      <c r="J489" t="n">
        <v>0</v>
      </c>
      <c r="K489" t="n">
        <v>0</v>
      </c>
      <c r="L489" t="n">
        <v>0</v>
      </c>
      <c r="M489" t="n">
        <v>0</v>
      </c>
      <c r="N489" t="n">
        <v>0</v>
      </c>
      <c r="O489" t="n">
        <v>0</v>
      </c>
      <c r="P489" t="n">
        <v>0</v>
      </c>
      <c r="Q489" t="n">
        <v>0</v>
      </c>
      <c r="R489" s="2" t="inlineStr"/>
    </row>
    <row r="490" ht="15" customHeight="1">
      <c r="A490" t="inlineStr">
        <is>
          <t>A 52979-2020</t>
        </is>
      </c>
      <c r="B490" s="1" t="n">
        <v>44120</v>
      </c>
      <c r="C490" s="1" t="n">
        <v>45472</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53111-2020</t>
        </is>
      </c>
      <c r="B491" s="1" t="n">
        <v>44120</v>
      </c>
      <c r="C491" s="1" t="n">
        <v>45472</v>
      </c>
      <c r="D491" t="inlineStr">
        <is>
          <t>VÄRMLANDS LÄN</t>
        </is>
      </c>
      <c r="E491" t="inlineStr">
        <is>
          <t>TORSBY</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53771-2020</t>
        </is>
      </c>
      <c r="B492" s="1" t="n">
        <v>44124</v>
      </c>
      <c r="C492" s="1" t="n">
        <v>45472</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53733-2020</t>
        </is>
      </c>
      <c r="B493" s="1" t="n">
        <v>44124</v>
      </c>
      <c r="C493" s="1" t="n">
        <v>45472</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54331-2020</t>
        </is>
      </c>
      <c r="B494" s="1" t="n">
        <v>44124</v>
      </c>
      <c r="C494" s="1" t="n">
        <v>45472</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54060-2020</t>
        </is>
      </c>
      <c r="B495" s="1" t="n">
        <v>44125</v>
      </c>
      <c r="C495" s="1" t="n">
        <v>45472</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54072-2020</t>
        </is>
      </c>
      <c r="B496" s="1" t="n">
        <v>44125</v>
      </c>
      <c r="C496" s="1" t="n">
        <v>45472</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54916-2020</t>
        </is>
      </c>
      <c r="B497" s="1" t="n">
        <v>44127</v>
      </c>
      <c r="C497" s="1" t="n">
        <v>45472</v>
      </c>
      <c r="D497" t="inlineStr">
        <is>
          <t>VÄRMLANDS LÄN</t>
        </is>
      </c>
      <c r="E497" t="inlineStr">
        <is>
          <t>TORSBY</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54924-2020</t>
        </is>
      </c>
      <c r="B498" s="1" t="n">
        <v>44127</v>
      </c>
      <c r="C498" s="1" t="n">
        <v>45472</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55058-2020</t>
        </is>
      </c>
      <c r="B499" s="1" t="n">
        <v>44130</v>
      </c>
      <c r="C499" s="1" t="n">
        <v>45472</v>
      </c>
      <c r="D499" t="inlineStr">
        <is>
          <t>VÄRMLANDS LÄN</t>
        </is>
      </c>
      <c r="E499" t="inlineStr">
        <is>
          <t>TORSBY</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55217-2020</t>
        </is>
      </c>
      <c r="B500" s="1" t="n">
        <v>44130</v>
      </c>
      <c r="C500" s="1" t="n">
        <v>45472</v>
      </c>
      <c r="D500" t="inlineStr">
        <is>
          <t>VÄRMLANDS LÄN</t>
        </is>
      </c>
      <c r="E500" t="inlineStr">
        <is>
          <t>TORSBY</t>
        </is>
      </c>
      <c r="G500" t="n">
        <v>4.2</v>
      </c>
      <c r="H500" t="n">
        <v>0</v>
      </c>
      <c r="I500" t="n">
        <v>0</v>
      </c>
      <c r="J500" t="n">
        <v>0</v>
      </c>
      <c r="K500" t="n">
        <v>0</v>
      </c>
      <c r="L500" t="n">
        <v>0</v>
      </c>
      <c r="M500" t="n">
        <v>0</v>
      </c>
      <c r="N500" t="n">
        <v>0</v>
      </c>
      <c r="O500" t="n">
        <v>0</v>
      </c>
      <c r="P500" t="n">
        <v>0</v>
      </c>
      <c r="Q500" t="n">
        <v>0</v>
      </c>
      <c r="R500" s="2" t="inlineStr"/>
    </row>
    <row r="501" ht="15" customHeight="1">
      <c r="A501" t="inlineStr">
        <is>
          <t>A 55401-2020</t>
        </is>
      </c>
      <c r="B501" s="1" t="n">
        <v>44131</v>
      </c>
      <c r="C501" s="1" t="n">
        <v>45472</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56979-2020</t>
        </is>
      </c>
      <c r="B502" s="1" t="n">
        <v>44138</v>
      </c>
      <c r="C502" s="1" t="n">
        <v>45472</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57119-2020</t>
        </is>
      </c>
      <c r="B503" s="1" t="n">
        <v>44139</v>
      </c>
      <c r="C503" s="1" t="n">
        <v>45472</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57896-2020</t>
        </is>
      </c>
      <c r="B504" s="1" t="n">
        <v>44141</v>
      </c>
      <c r="C504" s="1" t="n">
        <v>45472</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57980-2020</t>
        </is>
      </c>
      <c r="B505" s="1" t="n">
        <v>44143</v>
      </c>
      <c r="C505" s="1" t="n">
        <v>45472</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58078-2020</t>
        </is>
      </c>
      <c r="B506" s="1" t="n">
        <v>44144</v>
      </c>
      <c r="C506" s="1" t="n">
        <v>45472</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58599-2020</t>
        </is>
      </c>
      <c r="B507" s="1" t="n">
        <v>44145</v>
      </c>
      <c r="C507" s="1" t="n">
        <v>45472</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58574-2020</t>
        </is>
      </c>
      <c r="B508" s="1" t="n">
        <v>44145</v>
      </c>
      <c r="C508" s="1" t="n">
        <v>45472</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58643-2020</t>
        </is>
      </c>
      <c r="B509" s="1" t="n">
        <v>44145</v>
      </c>
      <c r="C509" s="1" t="n">
        <v>45472</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58680-2020</t>
        </is>
      </c>
      <c r="B510" s="1" t="n">
        <v>44146</v>
      </c>
      <c r="C510" s="1" t="n">
        <v>45472</v>
      </c>
      <c r="D510" t="inlineStr">
        <is>
          <t>VÄRMLANDS LÄN</t>
        </is>
      </c>
      <c r="E510" t="inlineStr">
        <is>
          <t>TORSBY</t>
        </is>
      </c>
      <c r="G510" t="n">
        <v>4.7</v>
      </c>
      <c r="H510" t="n">
        <v>0</v>
      </c>
      <c r="I510" t="n">
        <v>0</v>
      </c>
      <c r="J510" t="n">
        <v>0</v>
      </c>
      <c r="K510" t="n">
        <v>0</v>
      </c>
      <c r="L510" t="n">
        <v>0</v>
      </c>
      <c r="M510" t="n">
        <v>0</v>
      </c>
      <c r="N510" t="n">
        <v>0</v>
      </c>
      <c r="O510" t="n">
        <v>0</v>
      </c>
      <c r="P510" t="n">
        <v>0</v>
      </c>
      <c r="Q510" t="n">
        <v>0</v>
      </c>
      <c r="R510" s="2" t="inlineStr"/>
    </row>
    <row r="511" ht="15" customHeight="1">
      <c r="A511" t="inlineStr">
        <is>
          <t>A 58877-2020</t>
        </is>
      </c>
      <c r="B511" s="1" t="n">
        <v>44146</v>
      </c>
      <c r="C511" s="1" t="n">
        <v>45472</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58930-2020</t>
        </is>
      </c>
      <c r="B512" s="1" t="n">
        <v>44146</v>
      </c>
      <c r="C512" s="1" t="n">
        <v>45472</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45472</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60167-2020</t>
        </is>
      </c>
      <c r="B514" s="1" t="n">
        <v>44152</v>
      </c>
      <c r="C514" s="1" t="n">
        <v>45472</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60533-2020</t>
        </is>
      </c>
      <c r="B515" s="1" t="n">
        <v>44153</v>
      </c>
      <c r="C515" s="1" t="n">
        <v>45472</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60719-2020</t>
        </is>
      </c>
      <c r="B516" s="1" t="n">
        <v>44153</v>
      </c>
      <c r="C516" s="1" t="n">
        <v>45472</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60823-2020</t>
        </is>
      </c>
      <c r="B517" s="1" t="n">
        <v>44153</v>
      </c>
      <c r="C517" s="1" t="n">
        <v>45472</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60941-2020</t>
        </is>
      </c>
      <c r="B518" s="1" t="n">
        <v>44154</v>
      </c>
      <c r="C518" s="1" t="n">
        <v>45472</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61009-2020</t>
        </is>
      </c>
      <c r="B519" s="1" t="n">
        <v>44154</v>
      </c>
      <c r="C519" s="1" t="n">
        <v>45472</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61594-2020</t>
        </is>
      </c>
      <c r="B520" s="1" t="n">
        <v>44154</v>
      </c>
      <c r="C520" s="1" t="n">
        <v>45472</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61970-2020</t>
        </is>
      </c>
      <c r="B521" s="1" t="n">
        <v>44155</v>
      </c>
      <c r="C521" s="1" t="n">
        <v>45472</v>
      </c>
      <c r="D521" t="inlineStr">
        <is>
          <t>VÄRMLANDS LÄN</t>
        </is>
      </c>
      <c r="E521" t="inlineStr">
        <is>
          <t>TORSBY</t>
        </is>
      </c>
      <c r="G521" t="n">
        <v>2</v>
      </c>
      <c r="H521" t="n">
        <v>0</v>
      </c>
      <c r="I521" t="n">
        <v>0</v>
      </c>
      <c r="J521" t="n">
        <v>0</v>
      </c>
      <c r="K521" t="n">
        <v>0</v>
      </c>
      <c r="L521" t="n">
        <v>0</v>
      </c>
      <c r="M521" t="n">
        <v>0</v>
      </c>
      <c r="N521" t="n">
        <v>0</v>
      </c>
      <c r="O521" t="n">
        <v>0</v>
      </c>
      <c r="P521" t="n">
        <v>0</v>
      </c>
      <c r="Q521" t="n">
        <v>0</v>
      </c>
      <c r="R521" s="2" t="inlineStr"/>
    </row>
    <row r="522" ht="15" customHeight="1">
      <c r="A522" t="inlineStr">
        <is>
          <t>A 61738-2020</t>
        </is>
      </c>
      <c r="B522" s="1" t="n">
        <v>44158</v>
      </c>
      <c r="C522" s="1" t="n">
        <v>45472</v>
      </c>
      <c r="D522" t="inlineStr">
        <is>
          <t>VÄRMLANDS LÄN</t>
        </is>
      </c>
      <c r="E522" t="inlineStr">
        <is>
          <t>TORSBY</t>
        </is>
      </c>
      <c r="F522" t="inlineStr">
        <is>
          <t>Kommuner</t>
        </is>
      </c>
      <c r="G522" t="n">
        <v>5.8</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45472</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61998-2020</t>
        </is>
      </c>
      <c r="B524" s="1" t="n">
        <v>44158</v>
      </c>
      <c r="C524" s="1" t="n">
        <v>45472</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61910-2020</t>
        </is>
      </c>
      <c r="B525" s="1" t="n">
        <v>44159</v>
      </c>
      <c r="C525" s="1" t="n">
        <v>45472</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61956-2020</t>
        </is>
      </c>
      <c r="B526" s="1" t="n">
        <v>44159</v>
      </c>
      <c r="C526" s="1" t="n">
        <v>45472</v>
      </c>
      <c r="D526" t="inlineStr">
        <is>
          <t>VÄRMLANDS LÄN</t>
        </is>
      </c>
      <c r="E526" t="inlineStr">
        <is>
          <t>TORSBY</t>
        </is>
      </c>
      <c r="F526" t="inlineStr">
        <is>
          <t>Kommuner</t>
        </is>
      </c>
      <c r="G526" t="n">
        <v>7.5</v>
      </c>
      <c r="H526" t="n">
        <v>0</v>
      </c>
      <c r="I526" t="n">
        <v>0</v>
      </c>
      <c r="J526" t="n">
        <v>0</v>
      </c>
      <c r="K526" t="n">
        <v>0</v>
      </c>
      <c r="L526" t="n">
        <v>0</v>
      </c>
      <c r="M526" t="n">
        <v>0</v>
      </c>
      <c r="N526" t="n">
        <v>0</v>
      </c>
      <c r="O526" t="n">
        <v>0</v>
      </c>
      <c r="P526" t="n">
        <v>0</v>
      </c>
      <c r="Q526" t="n">
        <v>0</v>
      </c>
      <c r="R526" s="2" t="inlineStr"/>
    </row>
    <row r="527" ht="15" customHeight="1">
      <c r="A527" t="inlineStr">
        <is>
          <t>A 62209-2020</t>
        </is>
      </c>
      <c r="B527" s="1" t="n">
        <v>44159</v>
      </c>
      <c r="C527" s="1" t="n">
        <v>45472</v>
      </c>
      <c r="D527" t="inlineStr">
        <is>
          <t>VÄRMLANDS LÄN</t>
        </is>
      </c>
      <c r="E527" t="inlineStr">
        <is>
          <t>TORSBY</t>
        </is>
      </c>
      <c r="F527" t="inlineStr">
        <is>
          <t>Kommuner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62211-2020</t>
        </is>
      </c>
      <c r="B528" s="1" t="n">
        <v>44159</v>
      </c>
      <c r="C528" s="1" t="n">
        <v>45472</v>
      </c>
      <c r="D528" t="inlineStr">
        <is>
          <t>VÄRMLANDS LÄN</t>
        </is>
      </c>
      <c r="E528" t="inlineStr">
        <is>
          <t>TORSBY</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62915-2020</t>
        </is>
      </c>
      <c r="B529" s="1" t="n">
        <v>44162</v>
      </c>
      <c r="C529" s="1" t="n">
        <v>45472</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63565-2020</t>
        </is>
      </c>
      <c r="B530" s="1" t="n">
        <v>44165</v>
      </c>
      <c r="C530" s="1" t="n">
        <v>45472</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64396-2020</t>
        </is>
      </c>
      <c r="B531" s="1" t="n">
        <v>44168</v>
      </c>
      <c r="C531" s="1" t="n">
        <v>45472</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64434-2020</t>
        </is>
      </c>
      <c r="B532" s="1" t="n">
        <v>44168</v>
      </c>
      <c r="C532" s="1" t="n">
        <v>45472</v>
      </c>
      <c r="D532" t="inlineStr">
        <is>
          <t>VÄRMLANDS LÄN</t>
        </is>
      </c>
      <c r="E532" t="inlineStr">
        <is>
          <t>TORSBY</t>
        </is>
      </c>
      <c r="G532" t="n">
        <v>7.7</v>
      </c>
      <c r="H532" t="n">
        <v>0</v>
      </c>
      <c r="I532" t="n">
        <v>0</v>
      </c>
      <c r="J532" t="n">
        <v>0</v>
      </c>
      <c r="K532" t="n">
        <v>0</v>
      </c>
      <c r="L532" t="n">
        <v>0</v>
      </c>
      <c r="M532" t="n">
        <v>0</v>
      </c>
      <c r="N532" t="n">
        <v>0</v>
      </c>
      <c r="O532" t="n">
        <v>0</v>
      </c>
      <c r="P532" t="n">
        <v>0</v>
      </c>
      <c r="Q532" t="n">
        <v>0</v>
      </c>
      <c r="R532" s="2" t="inlineStr"/>
    </row>
    <row r="533" ht="15" customHeight="1">
      <c r="A533" t="inlineStr">
        <is>
          <t>A 65369-2020</t>
        </is>
      </c>
      <c r="B533" s="1" t="n">
        <v>44169</v>
      </c>
      <c r="C533" s="1" t="n">
        <v>45472</v>
      </c>
      <c r="D533" t="inlineStr">
        <is>
          <t>VÄRMLANDS LÄN</t>
        </is>
      </c>
      <c r="E533" t="inlineStr">
        <is>
          <t>TORSBY</t>
        </is>
      </c>
      <c r="G533" t="n">
        <v>32.5</v>
      </c>
      <c r="H533" t="n">
        <v>0</v>
      </c>
      <c r="I533" t="n">
        <v>0</v>
      </c>
      <c r="J533" t="n">
        <v>0</v>
      </c>
      <c r="K533" t="n">
        <v>0</v>
      </c>
      <c r="L533" t="n">
        <v>0</v>
      </c>
      <c r="M533" t="n">
        <v>0</v>
      </c>
      <c r="N533" t="n">
        <v>0</v>
      </c>
      <c r="O533" t="n">
        <v>0</v>
      </c>
      <c r="P533" t="n">
        <v>0</v>
      </c>
      <c r="Q533" t="n">
        <v>0</v>
      </c>
      <c r="R533" s="2" t="inlineStr"/>
    </row>
    <row r="534" ht="15" customHeight="1">
      <c r="A534" t="inlineStr">
        <is>
          <t>A 65482-2020</t>
        </is>
      </c>
      <c r="B534" s="1" t="n">
        <v>44169</v>
      </c>
      <c r="C534" s="1" t="n">
        <v>45472</v>
      </c>
      <c r="D534" t="inlineStr">
        <is>
          <t>VÄRMLANDS LÄN</t>
        </is>
      </c>
      <c r="E534" t="inlineStr">
        <is>
          <t>TORSBY</t>
        </is>
      </c>
      <c r="F534" t="inlineStr">
        <is>
          <t>Kyrkan</t>
        </is>
      </c>
      <c r="G534" t="n">
        <v>21.6</v>
      </c>
      <c r="H534" t="n">
        <v>0</v>
      </c>
      <c r="I534" t="n">
        <v>0</v>
      </c>
      <c r="J534" t="n">
        <v>0</v>
      </c>
      <c r="K534" t="n">
        <v>0</v>
      </c>
      <c r="L534" t="n">
        <v>0</v>
      </c>
      <c r="M534" t="n">
        <v>0</v>
      </c>
      <c r="N534" t="n">
        <v>0</v>
      </c>
      <c r="O534" t="n">
        <v>0</v>
      </c>
      <c r="P534" t="n">
        <v>0</v>
      </c>
      <c r="Q534" t="n">
        <v>0</v>
      </c>
      <c r="R534" s="2" t="inlineStr"/>
    </row>
    <row r="535" ht="15" customHeight="1">
      <c r="A535" t="inlineStr">
        <is>
          <t>A 65398-2020</t>
        </is>
      </c>
      <c r="B535" s="1" t="n">
        <v>44169</v>
      </c>
      <c r="C535" s="1" t="n">
        <v>45472</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65678-2020</t>
        </is>
      </c>
      <c r="B536" s="1" t="n">
        <v>44172</v>
      </c>
      <c r="C536" s="1" t="n">
        <v>45472</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65827-2020</t>
        </is>
      </c>
      <c r="B537" s="1" t="n">
        <v>44173</v>
      </c>
      <c r="C537" s="1" t="n">
        <v>45472</v>
      </c>
      <c r="D537" t="inlineStr">
        <is>
          <t>VÄRMLANDS LÄN</t>
        </is>
      </c>
      <c r="E537" t="inlineStr">
        <is>
          <t>TORSBY</t>
        </is>
      </c>
      <c r="G537" t="n">
        <v>6.7</v>
      </c>
      <c r="H537" t="n">
        <v>0</v>
      </c>
      <c r="I537" t="n">
        <v>0</v>
      </c>
      <c r="J537" t="n">
        <v>0</v>
      </c>
      <c r="K537" t="n">
        <v>0</v>
      </c>
      <c r="L537" t="n">
        <v>0</v>
      </c>
      <c r="M537" t="n">
        <v>0</v>
      </c>
      <c r="N537" t="n">
        <v>0</v>
      </c>
      <c r="O537" t="n">
        <v>0</v>
      </c>
      <c r="P537" t="n">
        <v>0</v>
      </c>
      <c r="Q537" t="n">
        <v>0</v>
      </c>
      <c r="R537" s="2" t="inlineStr"/>
    </row>
    <row r="538" ht="15" customHeight="1">
      <c r="A538" t="inlineStr">
        <is>
          <t>A 66703-2020</t>
        </is>
      </c>
      <c r="B538" s="1" t="n">
        <v>44174</v>
      </c>
      <c r="C538" s="1" t="n">
        <v>45472</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66194-2020</t>
        </is>
      </c>
      <c r="B539" s="1" t="n">
        <v>44175</v>
      </c>
      <c r="C539" s="1" t="n">
        <v>45472</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66326-2020</t>
        </is>
      </c>
      <c r="B540" s="1" t="n">
        <v>44176</v>
      </c>
      <c r="C540" s="1" t="n">
        <v>45472</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67084-2020</t>
        </is>
      </c>
      <c r="B541" s="1" t="n">
        <v>44179</v>
      </c>
      <c r="C541" s="1" t="n">
        <v>45472</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67547-2020</t>
        </is>
      </c>
      <c r="B542" s="1" t="n">
        <v>44181</v>
      </c>
      <c r="C542" s="1" t="n">
        <v>45472</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67464-2020</t>
        </is>
      </c>
      <c r="B543" s="1" t="n">
        <v>44181</v>
      </c>
      <c r="C543" s="1" t="n">
        <v>45472</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67734-2020</t>
        </is>
      </c>
      <c r="B544" s="1" t="n">
        <v>44182</v>
      </c>
      <c r="C544" s="1" t="n">
        <v>45472</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68220-2020</t>
        </is>
      </c>
      <c r="B545" s="1" t="n">
        <v>44183</v>
      </c>
      <c r="C545" s="1" t="n">
        <v>45472</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68238-2020</t>
        </is>
      </c>
      <c r="B546" s="1" t="n">
        <v>44183</v>
      </c>
      <c r="C546" s="1" t="n">
        <v>45472</v>
      </c>
      <c r="D546" t="inlineStr">
        <is>
          <t>VÄRMLANDS LÄN</t>
        </is>
      </c>
      <c r="E546" t="inlineStr">
        <is>
          <t>TORSBY</t>
        </is>
      </c>
      <c r="F546" t="inlineStr">
        <is>
          <t>Bergvik skog väst AB</t>
        </is>
      </c>
      <c r="G546" t="n">
        <v>6.7</v>
      </c>
      <c r="H546" t="n">
        <v>0</v>
      </c>
      <c r="I546" t="n">
        <v>0</v>
      </c>
      <c r="J546" t="n">
        <v>0</v>
      </c>
      <c r="K546" t="n">
        <v>0</v>
      </c>
      <c r="L546" t="n">
        <v>0</v>
      </c>
      <c r="M546" t="n">
        <v>0</v>
      </c>
      <c r="N546" t="n">
        <v>0</v>
      </c>
      <c r="O546" t="n">
        <v>0</v>
      </c>
      <c r="P546" t="n">
        <v>0</v>
      </c>
      <c r="Q546" t="n">
        <v>0</v>
      </c>
      <c r="R546" s="2" t="inlineStr"/>
    </row>
    <row r="547" ht="15" customHeight="1">
      <c r="A547" t="inlineStr">
        <is>
          <t>A 68246-2020</t>
        </is>
      </c>
      <c r="B547" s="1" t="n">
        <v>44183</v>
      </c>
      <c r="C547" s="1" t="n">
        <v>45472</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45472</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69245-2020</t>
        </is>
      </c>
      <c r="B549" s="1" t="n">
        <v>44192</v>
      </c>
      <c r="C549" s="1" t="n">
        <v>45472</v>
      </c>
      <c r="D549" t="inlineStr">
        <is>
          <t>VÄRMLANDS LÄN</t>
        </is>
      </c>
      <c r="E549" t="inlineStr">
        <is>
          <t>TORSBY</t>
        </is>
      </c>
      <c r="G549" t="n">
        <v>0.2</v>
      </c>
      <c r="H549" t="n">
        <v>0</v>
      </c>
      <c r="I549" t="n">
        <v>0</v>
      </c>
      <c r="J549" t="n">
        <v>0</v>
      </c>
      <c r="K549" t="n">
        <v>0</v>
      </c>
      <c r="L549" t="n">
        <v>0</v>
      </c>
      <c r="M549" t="n">
        <v>0</v>
      </c>
      <c r="N549" t="n">
        <v>0</v>
      </c>
      <c r="O549" t="n">
        <v>0</v>
      </c>
      <c r="P549" t="n">
        <v>0</v>
      </c>
      <c r="Q549" t="n">
        <v>0</v>
      </c>
      <c r="R549" s="2" t="inlineStr"/>
    </row>
    <row r="550" ht="15" customHeight="1">
      <c r="A550" t="inlineStr">
        <is>
          <t>A 69250-2020</t>
        </is>
      </c>
      <c r="B550" s="1" t="n">
        <v>44192</v>
      </c>
      <c r="C550" s="1" t="n">
        <v>45472</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69242-2020</t>
        </is>
      </c>
      <c r="B551" s="1" t="n">
        <v>44192</v>
      </c>
      <c r="C551" s="1" t="n">
        <v>45472</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69247-2020</t>
        </is>
      </c>
      <c r="B552" s="1" t="n">
        <v>44192</v>
      </c>
      <c r="C552" s="1" t="n">
        <v>45472</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69244-2020</t>
        </is>
      </c>
      <c r="B553" s="1" t="n">
        <v>44192</v>
      </c>
      <c r="C553" s="1" t="n">
        <v>45472</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69248-2020</t>
        </is>
      </c>
      <c r="B554" s="1" t="n">
        <v>44192</v>
      </c>
      <c r="C554" s="1" t="n">
        <v>45472</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69241-2020</t>
        </is>
      </c>
      <c r="B555" s="1" t="n">
        <v>44192</v>
      </c>
      <c r="C555" s="1" t="n">
        <v>45472</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69246-2020</t>
        </is>
      </c>
      <c r="B556" s="1" t="n">
        <v>44192</v>
      </c>
      <c r="C556" s="1" t="n">
        <v>45472</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69434-2020</t>
        </is>
      </c>
      <c r="B557" s="1" t="n">
        <v>44194</v>
      </c>
      <c r="C557" s="1" t="n">
        <v>45472</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69448-2020</t>
        </is>
      </c>
      <c r="B558" s="1" t="n">
        <v>44194</v>
      </c>
      <c r="C558" s="1" t="n">
        <v>45472</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69628-2020</t>
        </is>
      </c>
      <c r="B559" s="1" t="n">
        <v>44195</v>
      </c>
      <c r="C559" s="1" t="n">
        <v>45472</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339-2021</t>
        </is>
      </c>
      <c r="B560" s="1" t="n">
        <v>44201</v>
      </c>
      <c r="C560" s="1" t="n">
        <v>45472</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1516-2021</t>
        </is>
      </c>
      <c r="B561" s="1" t="n">
        <v>44209</v>
      </c>
      <c r="C561" s="1" t="n">
        <v>45472</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1526-2021</t>
        </is>
      </c>
      <c r="B562" s="1" t="n">
        <v>44209</v>
      </c>
      <c r="C562" s="1" t="n">
        <v>45472</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1535-2021</t>
        </is>
      </c>
      <c r="B563" s="1" t="n">
        <v>44209</v>
      </c>
      <c r="C563" s="1" t="n">
        <v>45472</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1544-2021</t>
        </is>
      </c>
      <c r="B564" s="1" t="n">
        <v>44209</v>
      </c>
      <c r="C564" s="1" t="n">
        <v>45472</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2321-2021</t>
        </is>
      </c>
      <c r="B565" s="1" t="n">
        <v>44214</v>
      </c>
      <c r="C565" s="1" t="n">
        <v>45472</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2576-2021</t>
        </is>
      </c>
      <c r="B566" s="1" t="n">
        <v>44214</v>
      </c>
      <c r="C566" s="1" t="n">
        <v>45472</v>
      </c>
      <c r="D566" t="inlineStr">
        <is>
          <t>VÄRMLANDS LÄN</t>
        </is>
      </c>
      <c r="E566" t="inlineStr">
        <is>
          <t>TORSBY</t>
        </is>
      </c>
      <c r="F566" t="inlineStr">
        <is>
          <t>Kommuner</t>
        </is>
      </c>
      <c r="G566" t="n">
        <v>0.6</v>
      </c>
      <c r="H566" t="n">
        <v>0</v>
      </c>
      <c r="I566" t="n">
        <v>0</v>
      </c>
      <c r="J566" t="n">
        <v>0</v>
      </c>
      <c r="K566" t="n">
        <v>0</v>
      </c>
      <c r="L566" t="n">
        <v>0</v>
      </c>
      <c r="M566" t="n">
        <v>0</v>
      </c>
      <c r="N566" t="n">
        <v>0</v>
      </c>
      <c r="O566" t="n">
        <v>0</v>
      </c>
      <c r="P566" t="n">
        <v>0</v>
      </c>
      <c r="Q566" t="n">
        <v>0</v>
      </c>
      <c r="R566" s="2" t="inlineStr"/>
    </row>
    <row r="567" ht="15" customHeight="1">
      <c r="A567" t="inlineStr">
        <is>
          <t>A 2758-2021</t>
        </is>
      </c>
      <c r="B567" s="1" t="n">
        <v>44215</v>
      </c>
      <c r="C567" s="1" t="n">
        <v>45472</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3160-2021</t>
        </is>
      </c>
      <c r="B568" s="1" t="n">
        <v>44217</v>
      </c>
      <c r="C568" s="1" t="n">
        <v>45472</v>
      </c>
      <c r="D568" t="inlineStr">
        <is>
          <t>VÄRMLANDS LÄN</t>
        </is>
      </c>
      <c r="E568" t="inlineStr">
        <is>
          <t>TORSBY</t>
        </is>
      </c>
      <c r="G568" t="n">
        <v>4.4</v>
      </c>
      <c r="H568" t="n">
        <v>0</v>
      </c>
      <c r="I568" t="n">
        <v>0</v>
      </c>
      <c r="J568" t="n">
        <v>0</v>
      </c>
      <c r="K568" t="n">
        <v>0</v>
      </c>
      <c r="L568" t="n">
        <v>0</v>
      </c>
      <c r="M568" t="n">
        <v>0</v>
      </c>
      <c r="N568" t="n">
        <v>0</v>
      </c>
      <c r="O568" t="n">
        <v>0</v>
      </c>
      <c r="P568" t="n">
        <v>0</v>
      </c>
      <c r="Q568" t="n">
        <v>0</v>
      </c>
      <c r="R568" s="2" t="inlineStr"/>
    </row>
    <row r="569" ht="15" customHeight="1">
      <c r="A569" t="inlineStr">
        <is>
          <t>A 3336-2021</t>
        </is>
      </c>
      <c r="B569" s="1" t="n">
        <v>44217</v>
      </c>
      <c r="C569" s="1" t="n">
        <v>45472</v>
      </c>
      <c r="D569" t="inlineStr">
        <is>
          <t>VÄRMLANDS LÄN</t>
        </is>
      </c>
      <c r="E569" t="inlineStr">
        <is>
          <t>TORSBY</t>
        </is>
      </c>
      <c r="G569" t="n">
        <v>3.7</v>
      </c>
      <c r="H569" t="n">
        <v>0</v>
      </c>
      <c r="I569" t="n">
        <v>0</v>
      </c>
      <c r="J569" t="n">
        <v>0</v>
      </c>
      <c r="K569" t="n">
        <v>0</v>
      </c>
      <c r="L569" t="n">
        <v>0</v>
      </c>
      <c r="M569" t="n">
        <v>0</v>
      </c>
      <c r="N569" t="n">
        <v>0</v>
      </c>
      <c r="O569" t="n">
        <v>0</v>
      </c>
      <c r="P569" t="n">
        <v>0</v>
      </c>
      <c r="Q569" t="n">
        <v>0</v>
      </c>
      <c r="R569" s="2" t="inlineStr"/>
    </row>
    <row r="570" ht="15" customHeight="1">
      <c r="A570" t="inlineStr">
        <is>
          <t>A 4392-2021</t>
        </is>
      </c>
      <c r="B570" s="1" t="n">
        <v>44223</v>
      </c>
      <c r="C570" s="1" t="n">
        <v>45472</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4558-2021</t>
        </is>
      </c>
      <c r="B571" s="1" t="n">
        <v>44223</v>
      </c>
      <c r="C571" s="1" t="n">
        <v>45472</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4393-2021</t>
        </is>
      </c>
      <c r="B572" s="1" t="n">
        <v>44223</v>
      </c>
      <c r="C572" s="1" t="n">
        <v>45472</v>
      </c>
      <c r="D572" t="inlineStr">
        <is>
          <t>VÄRMLANDS LÄN</t>
        </is>
      </c>
      <c r="E572" t="inlineStr">
        <is>
          <t>TORSBY</t>
        </is>
      </c>
      <c r="G572" t="n">
        <v>2.8</v>
      </c>
      <c r="H572" t="n">
        <v>0</v>
      </c>
      <c r="I572" t="n">
        <v>0</v>
      </c>
      <c r="J572" t="n">
        <v>0</v>
      </c>
      <c r="K572" t="n">
        <v>0</v>
      </c>
      <c r="L572" t="n">
        <v>0</v>
      </c>
      <c r="M572" t="n">
        <v>0</v>
      </c>
      <c r="N572" t="n">
        <v>0</v>
      </c>
      <c r="O572" t="n">
        <v>0</v>
      </c>
      <c r="P572" t="n">
        <v>0</v>
      </c>
      <c r="Q572" t="n">
        <v>0</v>
      </c>
      <c r="R572" s="2" t="inlineStr"/>
    </row>
    <row r="573" ht="15" customHeight="1">
      <c r="A573" t="inlineStr">
        <is>
          <t>A 4564-2021</t>
        </is>
      </c>
      <c r="B573" s="1" t="n">
        <v>44223</v>
      </c>
      <c r="C573" s="1" t="n">
        <v>45472</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4479-2021</t>
        </is>
      </c>
      <c r="B574" s="1" t="n">
        <v>44224</v>
      </c>
      <c r="C574" s="1" t="n">
        <v>45472</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4711-2021</t>
        </is>
      </c>
      <c r="B575" s="1" t="n">
        <v>44225</v>
      </c>
      <c r="C575" s="1" t="n">
        <v>45472</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5050-2021</t>
        </is>
      </c>
      <c r="B576" s="1" t="n">
        <v>44228</v>
      </c>
      <c r="C576" s="1" t="n">
        <v>45472</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5105-2021</t>
        </is>
      </c>
      <c r="B577" s="1" t="n">
        <v>44228</v>
      </c>
      <c r="C577" s="1" t="n">
        <v>45472</v>
      </c>
      <c r="D577" t="inlineStr">
        <is>
          <t>VÄRMLANDS LÄN</t>
        </is>
      </c>
      <c r="E577" t="inlineStr">
        <is>
          <t>TORSBY</t>
        </is>
      </c>
      <c r="G577" t="n">
        <v>5.6</v>
      </c>
      <c r="H577" t="n">
        <v>0</v>
      </c>
      <c r="I577" t="n">
        <v>0</v>
      </c>
      <c r="J577" t="n">
        <v>0</v>
      </c>
      <c r="K577" t="n">
        <v>0</v>
      </c>
      <c r="L577" t="n">
        <v>0</v>
      </c>
      <c r="M577" t="n">
        <v>0</v>
      </c>
      <c r="N577" t="n">
        <v>0</v>
      </c>
      <c r="O577" t="n">
        <v>0</v>
      </c>
      <c r="P577" t="n">
        <v>0</v>
      </c>
      <c r="Q577" t="n">
        <v>0</v>
      </c>
      <c r="R577" s="2" t="inlineStr"/>
    </row>
    <row r="578" ht="15" customHeight="1">
      <c r="A578" t="inlineStr">
        <is>
          <t>A 5365-2021</t>
        </is>
      </c>
      <c r="B578" s="1" t="n">
        <v>44229</v>
      </c>
      <c r="C578" s="1" t="n">
        <v>45472</v>
      </c>
      <c r="D578" t="inlineStr">
        <is>
          <t>VÄRMLANDS LÄN</t>
        </is>
      </c>
      <c r="E578" t="inlineStr">
        <is>
          <t>TORSBY</t>
        </is>
      </c>
      <c r="G578" t="n">
        <v>8.1</v>
      </c>
      <c r="H578" t="n">
        <v>0</v>
      </c>
      <c r="I578" t="n">
        <v>0</v>
      </c>
      <c r="J578" t="n">
        <v>0</v>
      </c>
      <c r="K578" t="n">
        <v>0</v>
      </c>
      <c r="L578" t="n">
        <v>0</v>
      </c>
      <c r="M578" t="n">
        <v>0</v>
      </c>
      <c r="N578" t="n">
        <v>0</v>
      </c>
      <c r="O578" t="n">
        <v>0</v>
      </c>
      <c r="P578" t="n">
        <v>0</v>
      </c>
      <c r="Q578" t="n">
        <v>0</v>
      </c>
      <c r="R578" s="2" t="inlineStr"/>
    </row>
    <row r="579" ht="15" customHeight="1">
      <c r="A579" t="inlineStr">
        <is>
          <t>A 5572-2021</t>
        </is>
      </c>
      <c r="B579" s="1" t="n">
        <v>44230</v>
      </c>
      <c r="C579" s="1" t="n">
        <v>45472</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5839-2021</t>
        </is>
      </c>
      <c r="B580" s="1" t="n">
        <v>44231</v>
      </c>
      <c r="C580" s="1" t="n">
        <v>45472</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6063-2021</t>
        </is>
      </c>
      <c r="B581" s="1" t="n">
        <v>44232</v>
      </c>
      <c r="C581" s="1" t="n">
        <v>45472</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6111-2021</t>
        </is>
      </c>
      <c r="B582" s="1" t="n">
        <v>44232</v>
      </c>
      <c r="C582" s="1" t="n">
        <v>45472</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6121-2021</t>
        </is>
      </c>
      <c r="B583" s="1" t="n">
        <v>44232</v>
      </c>
      <c r="C583" s="1" t="n">
        <v>45472</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6068-2021</t>
        </is>
      </c>
      <c r="B584" s="1" t="n">
        <v>44232</v>
      </c>
      <c r="C584" s="1" t="n">
        <v>45472</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6102-2021</t>
        </is>
      </c>
      <c r="B585" s="1" t="n">
        <v>44232</v>
      </c>
      <c r="C585" s="1" t="n">
        <v>45472</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6656-2021</t>
        </is>
      </c>
      <c r="B586" s="1" t="n">
        <v>44236</v>
      </c>
      <c r="C586" s="1" t="n">
        <v>45472</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7661-2021</t>
        </is>
      </c>
      <c r="B587" s="1" t="n">
        <v>44242</v>
      </c>
      <c r="C587" s="1" t="n">
        <v>45472</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8034-2021</t>
        </is>
      </c>
      <c r="B588" s="1" t="n">
        <v>44243</v>
      </c>
      <c r="C588" s="1" t="n">
        <v>45472</v>
      </c>
      <c r="D588" t="inlineStr">
        <is>
          <t>VÄRMLANDS LÄN</t>
        </is>
      </c>
      <c r="E588" t="inlineStr">
        <is>
          <t>TORSBY</t>
        </is>
      </c>
      <c r="G588" t="n">
        <v>15.4</v>
      </c>
      <c r="H588" t="n">
        <v>0</v>
      </c>
      <c r="I588" t="n">
        <v>0</v>
      </c>
      <c r="J588" t="n">
        <v>0</v>
      </c>
      <c r="K588" t="n">
        <v>0</v>
      </c>
      <c r="L588" t="n">
        <v>0</v>
      </c>
      <c r="M588" t="n">
        <v>0</v>
      </c>
      <c r="N588" t="n">
        <v>0</v>
      </c>
      <c r="O588" t="n">
        <v>0</v>
      </c>
      <c r="P588" t="n">
        <v>0</v>
      </c>
      <c r="Q588" t="n">
        <v>0</v>
      </c>
      <c r="R588" s="2" t="inlineStr"/>
    </row>
    <row r="589" ht="15" customHeight="1">
      <c r="A589" t="inlineStr">
        <is>
          <t>A 7898-2021</t>
        </is>
      </c>
      <c r="B589" s="1" t="n">
        <v>44243</v>
      </c>
      <c r="C589" s="1" t="n">
        <v>45472</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8910-2021</t>
        </is>
      </c>
      <c r="B590" s="1" t="n">
        <v>44246</v>
      </c>
      <c r="C590" s="1" t="n">
        <v>45472</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9775-2021</t>
        </is>
      </c>
      <c r="B591" s="1" t="n">
        <v>44252</v>
      </c>
      <c r="C591" s="1" t="n">
        <v>45472</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10133-2021</t>
        </is>
      </c>
      <c r="B592" s="1" t="n">
        <v>44256</v>
      </c>
      <c r="C592" s="1" t="n">
        <v>45472</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10118-2021</t>
        </is>
      </c>
      <c r="B593" s="1" t="n">
        <v>44256</v>
      </c>
      <c r="C593" s="1" t="n">
        <v>45472</v>
      </c>
      <c r="D593" t="inlineStr">
        <is>
          <t>VÄRMLANDS LÄN</t>
        </is>
      </c>
      <c r="E593" t="inlineStr">
        <is>
          <t>TORSBY</t>
        </is>
      </c>
      <c r="G593" t="n">
        <v>12.5</v>
      </c>
      <c r="H593" t="n">
        <v>0</v>
      </c>
      <c r="I593" t="n">
        <v>0</v>
      </c>
      <c r="J593" t="n">
        <v>0</v>
      </c>
      <c r="K593" t="n">
        <v>0</v>
      </c>
      <c r="L593" t="n">
        <v>0</v>
      </c>
      <c r="M593" t="n">
        <v>0</v>
      </c>
      <c r="N593" t="n">
        <v>0</v>
      </c>
      <c r="O593" t="n">
        <v>0</v>
      </c>
      <c r="P593" t="n">
        <v>0</v>
      </c>
      <c r="Q593" t="n">
        <v>0</v>
      </c>
      <c r="R593" s="2" t="inlineStr"/>
    </row>
    <row r="594" ht="15" customHeight="1">
      <c r="A594" t="inlineStr">
        <is>
          <t>A 10579-2021</t>
        </is>
      </c>
      <c r="B594" s="1" t="n">
        <v>44257</v>
      </c>
      <c r="C594" s="1" t="n">
        <v>45472</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10778-2021</t>
        </is>
      </c>
      <c r="B595" s="1" t="n">
        <v>44259</v>
      </c>
      <c r="C595" s="1" t="n">
        <v>45472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11695-2021</t>
        </is>
      </c>
      <c r="B596" s="1" t="n">
        <v>44264</v>
      </c>
      <c r="C596" s="1" t="n">
        <v>45472</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11947-2021</t>
        </is>
      </c>
      <c r="B597" s="1" t="n">
        <v>44265</v>
      </c>
      <c r="C597" s="1" t="n">
        <v>45472</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13013-2021</t>
        </is>
      </c>
      <c r="B598" s="1" t="n">
        <v>44271</v>
      </c>
      <c r="C598" s="1" t="n">
        <v>45472</v>
      </c>
      <c r="D598" t="inlineStr">
        <is>
          <t>VÄRMLANDS LÄN</t>
        </is>
      </c>
      <c r="E598" t="inlineStr">
        <is>
          <t>TORSBY</t>
        </is>
      </c>
      <c r="G598" t="n">
        <v>7.7</v>
      </c>
      <c r="H598" t="n">
        <v>0</v>
      </c>
      <c r="I598" t="n">
        <v>0</v>
      </c>
      <c r="J598" t="n">
        <v>0</v>
      </c>
      <c r="K598" t="n">
        <v>0</v>
      </c>
      <c r="L598" t="n">
        <v>0</v>
      </c>
      <c r="M598" t="n">
        <v>0</v>
      </c>
      <c r="N598" t="n">
        <v>0</v>
      </c>
      <c r="O598" t="n">
        <v>0</v>
      </c>
      <c r="P598" t="n">
        <v>0</v>
      </c>
      <c r="Q598" t="n">
        <v>0</v>
      </c>
      <c r="R598" s="2" t="inlineStr"/>
    </row>
    <row r="599" ht="15" customHeight="1">
      <c r="A599" t="inlineStr">
        <is>
          <t>A 14942-2021</t>
        </is>
      </c>
      <c r="B599" s="1" t="n">
        <v>44281</v>
      </c>
      <c r="C599" s="1" t="n">
        <v>45472</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15279-2021</t>
        </is>
      </c>
      <c r="B600" s="1" t="n">
        <v>44284</v>
      </c>
      <c r="C600" s="1" t="n">
        <v>45472</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16191-2021</t>
        </is>
      </c>
      <c r="B601" s="1" t="n">
        <v>44285</v>
      </c>
      <c r="C601" s="1" t="n">
        <v>45472</v>
      </c>
      <c r="D601" t="inlineStr">
        <is>
          <t>VÄRMLANDS LÄN</t>
        </is>
      </c>
      <c r="E601" t="inlineStr">
        <is>
          <t>TORSBY</t>
        </is>
      </c>
      <c r="G601" t="n">
        <v>3.7</v>
      </c>
      <c r="H601" t="n">
        <v>0</v>
      </c>
      <c r="I601" t="n">
        <v>0</v>
      </c>
      <c r="J601" t="n">
        <v>0</v>
      </c>
      <c r="K601" t="n">
        <v>0</v>
      </c>
      <c r="L601" t="n">
        <v>0</v>
      </c>
      <c r="M601" t="n">
        <v>0</v>
      </c>
      <c r="N601" t="n">
        <v>0</v>
      </c>
      <c r="O601" t="n">
        <v>0</v>
      </c>
      <c r="P601" t="n">
        <v>0</v>
      </c>
      <c r="Q601" t="n">
        <v>0</v>
      </c>
      <c r="R601" s="2" t="inlineStr"/>
    </row>
    <row r="602" ht="15" customHeight="1">
      <c r="A602" t="inlineStr">
        <is>
          <t>A 15854-2021</t>
        </is>
      </c>
      <c r="B602" s="1" t="n">
        <v>44286</v>
      </c>
      <c r="C602" s="1" t="n">
        <v>45472</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15853-2021</t>
        </is>
      </c>
      <c r="B603" s="1" t="n">
        <v>44286</v>
      </c>
      <c r="C603" s="1" t="n">
        <v>45472</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15945-2021</t>
        </is>
      </c>
      <c r="B604" s="1" t="n">
        <v>44287</v>
      </c>
      <c r="C604" s="1" t="n">
        <v>45472</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15939-2021</t>
        </is>
      </c>
      <c r="B605" s="1" t="n">
        <v>44287</v>
      </c>
      <c r="C605" s="1" t="n">
        <v>45472</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16303-2021</t>
        </is>
      </c>
      <c r="B606" s="1" t="n">
        <v>44292</v>
      </c>
      <c r="C606" s="1" t="n">
        <v>45472</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16299-2021</t>
        </is>
      </c>
      <c r="B607" s="1" t="n">
        <v>44292</v>
      </c>
      <c r="C607" s="1" t="n">
        <v>45472</v>
      </c>
      <c r="D607" t="inlineStr">
        <is>
          <t>VÄRMLANDS LÄN</t>
        </is>
      </c>
      <c r="E607" t="inlineStr">
        <is>
          <t>TORSBY</t>
        </is>
      </c>
      <c r="G607" t="n">
        <v>3.4</v>
      </c>
      <c r="H607" t="n">
        <v>0</v>
      </c>
      <c r="I607" t="n">
        <v>0</v>
      </c>
      <c r="J607" t="n">
        <v>0</v>
      </c>
      <c r="K607" t="n">
        <v>0</v>
      </c>
      <c r="L607" t="n">
        <v>0</v>
      </c>
      <c r="M607" t="n">
        <v>0</v>
      </c>
      <c r="N607" t="n">
        <v>0</v>
      </c>
      <c r="O607" t="n">
        <v>0</v>
      </c>
      <c r="P607" t="n">
        <v>0</v>
      </c>
      <c r="Q607" t="n">
        <v>0</v>
      </c>
      <c r="R607" s="2" t="inlineStr"/>
    </row>
    <row r="608" ht="15" customHeight="1">
      <c r="A608" t="inlineStr">
        <is>
          <t>A 16375-2021</t>
        </is>
      </c>
      <c r="B608" s="1" t="n">
        <v>44292</v>
      </c>
      <c r="C608" s="1" t="n">
        <v>45472</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17249-2021</t>
        </is>
      </c>
      <c r="B609" s="1" t="n">
        <v>44298</v>
      </c>
      <c r="C609" s="1" t="n">
        <v>45472</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17941-2021</t>
        </is>
      </c>
      <c r="B610" s="1" t="n">
        <v>44301</v>
      </c>
      <c r="C610" s="1" t="n">
        <v>45472</v>
      </c>
      <c r="D610" t="inlineStr">
        <is>
          <t>VÄRMLANDS LÄN</t>
        </is>
      </c>
      <c r="E610" t="inlineStr">
        <is>
          <t>TORSBY</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17962-2021</t>
        </is>
      </c>
      <c r="B611" s="1" t="n">
        <v>44301</v>
      </c>
      <c r="C611" s="1" t="n">
        <v>45472</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17944-2021</t>
        </is>
      </c>
      <c r="B612" s="1" t="n">
        <v>44301</v>
      </c>
      <c r="C612" s="1" t="n">
        <v>45472</v>
      </c>
      <c r="D612" t="inlineStr">
        <is>
          <t>VÄRMLANDS LÄN</t>
        </is>
      </c>
      <c r="E612" t="inlineStr">
        <is>
          <t>TORSBY</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23524-2021</t>
        </is>
      </c>
      <c r="B613" s="1" t="n">
        <v>44301</v>
      </c>
      <c r="C613" s="1" t="n">
        <v>45472</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18174-2021</t>
        </is>
      </c>
      <c r="B614" s="1" t="n">
        <v>44302</v>
      </c>
      <c r="C614" s="1" t="n">
        <v>45472</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18033-2021</t>
        </is>
      </c>
      <c r="B615" s="1" t="n">
        <v>44302</v>
      </c>
      <c r="C615" s="1" t="n">
        <v>45472</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v>
      </c>
      <c r="C616" s="1" t="n">
        <v>45472</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18344-2021</t>
        </is>
      </c>
      <c r="B617" s="1" t="n">
        <v>44305</v>
      </c>
      <c r="C617" s="1" t="n">
        <v>45472</v>
      </c>
      <c r="D617" t="inlineStr">
        <is>
          <t>VÄRMLANDS LÄN</t>
        </is>
      </c>
      <c r="E617" t="inlineStr">
        <is>
          <t>TORSBY</t>
        </is>
      </c>
      <c r="F617" t="inlineStr">
        <is>
          <t>Kommuner</t>
        </is>
      </c>
      <c r="G617" t="n">
        <v>4.3</v>
      </c>
      <c r="H617" t="n">
        <v>0</v>
      </c>
      <c r="I617" t="n">
        <v>0</v>
      </c>
      <c r="J617" t="n">
        <v>0</v>
      </c>
      <c r="K617" t="n">
        <v>0</v>
      </c>
      <c r="L617" t="n">
        <v>0</v>
      </c>
      <c r="M617" t="n">
        <v>0</v>
      </c>
      <c r="N617" t="n">
        <v>0</v>
      </c>
      <c r="O617" t="n">
        <v>0</v>
      </c>
      <c r="P617" t="n">
        <v>0</v>
      </c>
      <c r="Q617" t="n">
        <v>0</v>
      </c>
      <c r="R617" s="2" t="inlineStr"/>
    </row>
    <row r="618" ht="15" customHeight="1">
      <c r="A618" t="inlineStr">
        <is>
          <t>A 18349-2021</t>
        </is>
      </c>
      <c r="B618" s="1" t="n">
        <v>44305</v>
      </c>
      <c r="C618" s="1" t="n">
        <v>45472</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18560-2021</t>
        </is>
      </c>
      <c r="B619" s="1" t="n">
        <v>44306</v>
      </c>
      <c r="C619" s="1" t="n">
        <v>45472</v>
      </c>
      <c r="D619" t="inlineStr">
        <is>
          <t>VÄRMLANDS LÄN</t>
        </is>
      </c>
      <c r="E619" t="inlineStr">
        <is>
          <t>TORSBY</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19031-2021</t>
        </is>
      </c>
      <c r="B620" s="1" t="n">
        <v>44308</v>
      </c>
      <c r="C620" s="1" t="n">
        <v>45472</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19338-2021</t>
        </is>
      </c>
      <c r="B621" s="1" t="n">
        <v>44309</v>
      </c>
      <c r="C621" s="1" t="n">
        <v>45472</v>
      </c>
      <c r="D621" t="inlineStr">
        <is>
          <t>VÄRMLANDS LÄN</t>
        </is>
      </c>
      <c r="E621" t="inlineStr">
        <is>
          <t>TORSBY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19375-2021</t>
        </is>
      </c>
      <c r="B622" s="1" t="n">
        <v>44309</v>
      </c>
      <c r="C622" s="1" t="n">
        <v>45472</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20182-2021</t>
        </is>
      </c>
      <c r="B623" s="1" t="n">
        <v>44312</v>
      </c>
      <c r="C623" s="1" t="n">
        <v>45472</v>
      </c>
      <c r="D623" t="inlineStr">
        <is>
          <t>VÄRMLANDS LÄN</t>
        </is>
      </c>
      <c r="E623" t="inlineStr">
        <is>
          <t>TORSBY</t>
        </is>
      </c>
      <c r="G623" t="n">
        <v>14.4</v>
      </c>
      <c r="H623" t="n">
        <v>0</v>
      </c>
      <c r="I623" t="n">
        <v>0</v>
      </c>
      <c r="J623" t="n">
        <v>0</v>
      </c>
      <c r="K623" t="n">
        <v>0</v>
      </c>
      <c r="L623" t="n">
        <v>0</v>
      </c>
      <c r="M623" t="n">
        <v>0</v>
      </c>
      <c r="N623" t="n">
        <v>0</v>
      </c>
      <c r="O623" t="n">
        <v>0</v>
      </c>
      <c r="P623" t="n">
        <v>0</v>
      </c>
      <c r="Q623" t="n">
        <v>0</v>
      </c>
      <c r="R623" s="2" t="inlineStr"/>
    </row>
    <row r="624" ht="15" customHeight="1">
      <c r="A624" t="inlineStr">
        <is>
          <t>A 20199-2021</t>
        </is>
      </c>
      <c r="B624" s="1" t="n">
        <v>44312</v>
      </c>
      <c r="C624" s="1" t="n">
        <v>45472</v>
      </c>
      <c r="D624" t="inlineStr">
        <is>
          <t>VÄRMLANDS LÄN</t>
        </is>
      </c>
      <c r="E624" t="inlineStr">
        <is>
          <t>TORSBY</t>
        </is>
      </c>
      <c r="G624" t="n">
        <v>11.4</v>
      </c>
      <c r="H624" t="n">
        <v>0</v>
      </c>
      <c r="I624" t="n">
        <v>0</v>
      </c>
      <c r="J624" t="n">
        <v>0</v>
      </c>
      <c r="K624" t="n">
        <v>0</v>
      </c>
      <c r="L624" t="n">
        <v>0</v>
      </c>
      <c r="M624" t="n">
        <v>0</v>
      </c>
      <c r="N624" t="n">
        <v>0</v>
      </c>
      <c r="O624" t="n">
        <v>0</v>
      </c>
      <c r="P624" t="n">
        <v>0</v>
      </c>
      <c r="Q624" t="n">
        <v>0</v>
      </c>
      <c r="R624" s="2" t="inlineStr"/>
    </row>
    <row r="625" ht="15" customHeight="1">
      <c r="A625" t="inlineStr">
        <is>
          <t>A 20170-2021</t>
        </is>
      </c>
      <c r="B625" s="1" t="n">
        <v>44312</v>
      </c>
      <c r="C625" s="1" t="n">
        <v>45472</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19877-2021</t>
        </is>
      </c>
      <c r="B626" s="1" t="n">
        <v>44313</v>
      </c>
      <c r="C626" s="1" t="n">
        <v>45472</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19974-2021</t>
        </is>
      </c>
      <c r="B627" s="1" t="n">
        <v>44313</v>
      </c>
      <c r="C627" s="1" t="n">
        <v>45472</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20122-2021</t>
        </is>
      </c>
      <c r="B628" s="1" t="n">
        <v>44314</v>
      </c>
      <c r="C628" s="1" t="n">
        <v>45472</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20895-2021</t>
        </is>
      </c>
      <c r="B629" s="1" t="n">
        <v>44319</v>
      </c>
      <c r="C629" s="1" t="n">
        <v>45472</v>
      </c>
      <c r="D629" t="inlineStr">
        <is>
          <t>VÄRMLANDS LÄN</t>
        </is>
      </c>
      <c r="E629" t="inlineStr">
        <is>
          <t>TORSBY</t>
        </is>
      </c>
      <c r="G629" t="n">
        <v>16.6</v>
      </c>
      <c r="H629" t="n">
        <v>0</v>
      </c>
      <c r="I629" t="n">
        <v>0</v>
      </c>
      <c r="J629" t="n">
        <v>0</v>
      </c>
      <c r="K629" t="n">
        <v>0</v>
      </c>
      <c r="L629" t="n">
        <v>0</v>
      </c>
      <c r="M629" t="n">
        <v>0</v>
      </c>
      <c r="N629" t="n">
        <v>0</v>
      </c>
      <c r="O629" t="n">
        <v>0</v>
      </c>
      <c r="P629" t="n">
        <v>0</v>
      </c>
      <c r="Q629" t="n">
        <v>0</v>
      </c>
      <c r="R629" s="2" t="inlineStr"/>
    </row>
    <row r="630" ht="15" customHeight="1">
      <c r="A630" t="inlineStr">
        <is>
          <t>A 21031-2021</t>
        </is>
      </c>
      <c r="B630" s="1" t="n">
        <v>44319</v>
      </c>
      <c r="C630" s="1" t="n">
        <v>45472</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21206-2021</t>
        </is>
      </c>
      <c r="B631" s="1" t="n">
        <v>44320</v>
      </c>
      <c r="C631" s="1" t="n">
        <v>45472</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22038-2021</t>
        </is>
      </c>
      <c r="B632" s="1" t="n">
        <v>44323</v>
      </c>
      <c r="C632" s="1" t="n">
        <v>45472</v>
      </c>
      <c r="D632" t="inlineStr">
        <is>
          <t>VÄRMLANDS LÄN</t>
        </is>
      </c>
      <c r="E632" t="inlineStr">
        <is>
          <t>TORSBY</t>
        </is>
      </c>
      <c r="G632" t="n">
        <v>4</v>
      </c>
      <c r="H632" t="n">
        <v>0</v>
      </c>
      <c r="I632" t="n">
        <v>0</v>
      </c>
      <c r="J632" t="n">
        <v>0</v>
      </c>
      <c r="K632" t="n">
        <v>0</v>
      </c>
      <c r="L632" t="n">
        <v>0</v>
      </c>
      <c r="M632" t="n">
        <v>0</v>
      </c>
      <c r="N632" t="n">
        <v>0</v>
      </c>
      <c r="O632" t="n">
        <v>0</v>
      </c>
      <c r="P632" t="n">
        <v>0</v>
      </c>
      <c r="Q632" t="n">
        <v>0</v>
      </c>
      <c r="R632" s="2" t="inlineStr"/>
    </row>
    <row r="633" ht="15" customHeight="1">
      <c r="A633" t="inlineStr">
        <is>
          <t>A 22113-2021</t>
        </is>
      </c>
      <c r="B633" s="1" t="n">
        <v>44323</v>
      </c>
      <c r="C633" s="1" t="n">
        <v>45472</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22464-2021</t>
        </is>
      </c>
      <c r="B634" s="1" t="n">
        <v>44326</v>
      </c>
      <c r="C634" s="1" t="n">
        <v>45472</v>
      </c>
      <c r="D634" t="inlineStr">
        <is>
          <t>VÄRMLANDS LÄN</t>
        </is>
      </c>
      <c r="E634" t="inlineStr">
        <is>
          <t>TORSBY</t>
        </is>
      </c>
      <c r="G634" t="n">
        <v>6</v>
      </c>
      <c r="H634" t="n">
        <v>0</v>
      </c>
      <c r="I634" t="n">
        <v>0</v>
      </c>
      <c r="J634" t="n">
        <v>0</v>
      </c>
      <c r="K634" t="n">
        <v>0</v>
      </c>
      <c r="L634" t="n">
        <v>0</v>
      </c>
      <c r="M634" t="n">
        <v>0</v>
      </c>
      <c r="N634" t="n">
        <v>0</v>
      </c>
      <c r="O634" t="n">
        <v>0</v>
      </c>
      <c r="P634" t="n">
        <v>0</v>
      </c>
      <c r="Q634" t="n">
        <v>0</v>
      </c>
      <c r="R634" s="2" t="inlineStr"/>
    </row>
    <row r="635" ht="15" customHeight="1">
      <c r="A635" t="inlineStr">
        <is>
          <t>A 22463-2021</t>
        </is>
      </c>
      <c r="B635" s="1" t="n">
        <v>44326</v>
      </c>
      <c r="C635" s="1" t="n">
        <v>45472</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22671-2021</t>
        </is>
      </c>
      <c r="B636" s="1" t="n">
        <v>44327</v>
      </c>
      <c r="C636" s="1" t="n">
        <v>45472</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22638-2021</t>
        </is>
      </c>
      <c r="B637" s="1" t="n">
        <v>44327</v>
      </c>
      <c r="C637" s="1" t="n">
        <v>45472</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23191-2021</t>
        </is>
      </c>
      <c r="B638" s="1" t="n">
        <v>44328</v>
      </c>
      <c r="C638" s="1" t="n">
        <v>45472</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23194-2021</t>
        </is>
      </c>
      <c r="B639" s="1" t="n">
        <v>44328</v>
      </c>
      <c r="C639" s="1" t="n">
        <v>45472</v>
      </c>
      <c r="D639" t="inlineStr">
        <is>
          <t>VÄRMLANDS LÄN</t>
        </is>
      </c>
      <c r="E639" t="inlineStr">
        <is>
          <t>TORSBY</t>
        </is>
      </c>
      <c r="G639" t="n">
        <v>4.3</v>
      </c>
      <c r="H639" t="n">
        <v>0</v>
      </c>
      <c r="I639" t="n">
        <v>0</v>
      </c>
      <c r="J639" t="n">
        <v>0</v>
      </c>
      <c r="K639" t="n">
        <v>0</v>
      </c>
      <c r="L639" t="n">
        <v>0</v>
      </c>
      <c r="M639" t="n">
        <v>0</v>
      </c>
      <c r="N639" t="n">
        <v>0</v>
      </c>
      <c r="O639" t="n">
        <v>0</v>
      </c>
      <c r="P639" t="n">
        <v>0</v>
      </c>
      <c r="Q639" t="n">
        <v>0</v>
      </c>
      <c r="R639" s="2" t="inlineStr"/>
    </row>
    <row r="640" ht="15" customHeight="1">
      <c r="A640" t="inlineStr">
        <is>
          <t>A 23435-2021</t>
        </is>
      </c>
      <c r="B640" s="1" t="n">
        <v>44333</v>
      </c>
      <c r="C640" s="1" t="n">
        <v>45472</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23548-2021</t>
        </is>
      </c>
      <c r="B641" s="1" t="n">
        <v>44333</v>
      </c>
      <c r="C641" s="1" t="n">
        <v>45472</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23842-2021</t>
        </is>
      </c>
      <c r="B642" s="1" t="n">
        <v>44335</v>
      </c>
      <c r="C642" s="1" t="n">
        <v>45472</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23823-2021</t>
        </is>
      </c>
      <c r="B643" s="1" t="n">
        <v>44335</v>
      </c>
      <c r="C643" s="1" t="n">
        <v>45472</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24054-2021</t>
        </is>
      </c>
      <c r="B644" s="1" t="n">
        <v>44336</v>
      </c>
      <c r="C644" s="1" t="n">
        <v>45472</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24150-2021</t>
        </is>
      </c>
      <c r="B645" s="1" t="n">
        <v>44336</v>
      </c>
      <c r="C645" s="1" t="n">
        <v>45472</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24165-2021</t>
        </is>
      </c>
      <c r="B646" s="1" t="n">
        <v>44336</v>
      </c>
      <c r="C646" s="1" t="n">
        <v>45472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25096-2021</t>
        </is>
      </c>
      <c r="B647" s="1" t="n">
        <v>44341</v>
      </c>
      <c r="C647" s="1" t="n">
        <v>45472</v>
      </c>
      <c r="D647" t="inlineStr">
        <is>
          <t>VÄRMLANDS LÄN</t>
        </is>
      </c>
      <c r="E647" t="inlineStr">
        <is>
          <t>TORSBY</t>
        </is>
      </c>
      <c r="F647" t="inlineStr">
        <is>
          <t>Bergvik skog väst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25247-2021</t>
        </is>
      </c>
      <c r="B648" s="1" t="n">
        <v>44342</v>
      </c>
      <c r="C648" s="1" t="n">
        <v>45472</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25920-2021</t>
        </is>
      </c>
      <c r="B649" s="1" t="n">
        <v>44344</v>
      </c>
      <c r="C649" s="1" t="n">
        <v>45472</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26082-2021</t>
        </is>
      </c>
      <c r="B650" s="1" t="n">
        <v>44344</v>
      </c>
      <c r="C650" s="1" t="n">
        <v>45472</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26223-2021</t>
        </is>
      </c>
      <c r="B651" s="1" t="n">
        <v>44347</v>
      </c>
      <c r="C651" s="1" t="n">
        <v>45472</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26558-2021</t>
        </is>
      </c>
      <c r="B652" s="1" t="n">
        <v>44348</v>
      </c>
      <c r="C652" s="1" t="n">
        <v>45472</v>
      </c>
      <c r="D652" t="inlineStr">
        <is>
          <t>VÄRMLANDS LÄN</t>
        </is>
      </c>
      <c r="E652" t="inlineStr">
        <is>
          <t>TORSBY</t>
        </is>
      </c>
      <c r="G652" t="n">
        <v>19.7</v>
      </c>
      <c r="H652" t="n">
        <v>0</v>
      </c>
      <c r="I652" t="n">
        <v>0</v>
      </c>
      <c r="J652" t="n">
        <v>0</v>
      </c>
      <c r="K652" t="n">
        <v>0</v>
      </c>
      <c r="L652" t="n">
        <v>0</v>
      </c>
      <c r="M652" t="n">
        <v>0</v>
      </c>
      <c r="N652" t="n">
        <v>0</v>
      </c>
      <c r="O652" t="n">
        <v>0</v>
      </c>
      <c r="P652" t="n">
        <v>0</v>
      </c>
      <c r="Q652" t="n">
        <v>0</v>
      </c>
      <c r="R652" s="2" t="inlineStr"/>
    </row>
    <row r="653" ht="15" customHeight="1">
      <c r="A653" t="inlineStr">
        <is>
          <t>A 27446-2021</t>
        </is>
      </c>
      <c r="B653" s="1" t="n">
        <v>44351</v>
      </c>
      <c r="C653" s="1" t="n">
        <v>45472</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27411-2021</t>
        </is>
      </c>
      <c r="B654" s="1" t="n">
        <v>44351</v>
      </c>
      <c r="C654" s="1" t="n">
        <v>45472</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27362-2021</t>
        </is>
      </c>
      <c r="B655" s="1" t="n">
        <v>44351</v>
      </c>
      <c r="C655" s="1" t="n">
        <v>45472</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27932-2021</t>
        </is>
      </c>
      <c r="B656" s="1" t="n">
        <v>44354</v>
      </c>
      <c r="C656" s="1" t="n">
        <v>45472</v>
      </c>
      <c r="D656" t="inlineStr">
        <is>
          <t>VÄRMLANDS LÄN</t>
        </is>
      </c>
      <c r="E656" t="inlineStr">
        <is>
          <t>TORSBY</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45472</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28562-2021</t>
        </is>
      </c>
      <c r="B658" s="1" t="n">
        <v>44356</v>
      </c>
      <c r="C658" s="1" t="n">
        <v>45472</v>
      </c>
      <c r="D658" t="inlineStr">
        <is>
          <t>VÄRMLANDS LÄN</t>
        </is>
      </c>
      <c r="E658" t="inlineStr">
        <is>
          <t>TORSBY</t>
        </is>
      </c>
      <c r="G658" t="n">
        <v>4.4</v>
      </c>
      <c r="H658" t="n">
        <v>0</v>
      </c>
      <c r="I658" t="n">
        <v>0</v>
      </c>
      <c r="J658" t="n">
        <v>0</v>
      </c>
      <c r="K658" t="n">
        <v>0</v>
      </c>
      <c r="L658" t="n">
        <v>0</v>
      </c>
      <c r="M658" t="n">
        <v>0</v>
      </c>
      <c r="N658" t="n">
        <v>0</v>
      </c>
      <c r="O658" t="n">
        <v>0</v>
      </c>
      <c r="P658" t="n">
        <v>0</v>
      </c>
      <c r="Q658" t="n">
        <v>0</v>
      </c>
      <c r="R658" s="2" t="inlineStr"/>
    </row>
    <row r="659" ht="15" customHeight="1">
      <c r="A659" t="inlineStr">
        <is>
          <t>A 28940-2021</t>
        </is>
      </c>
      <c r="B659" s="1" t="n">
        <v>44358</v>
      </c>
      <c r="C659" s="1" t="n">
        <v>45472</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29495-2021</t>
        </is>
      </c>
      <c r="B660" s="1" t="n">
        <v>44361</v>
      </c>
      <c r="C660" s="1" t="n">
        <v>45472</v>
      </c>
      <c r="D660" t="inlineStr">
        <is>
          <t>VÄRMLANDS LÄN</t>
        </is>
      </c>
      <c r="E660" t="inlineStr">
        <is>
          <t>TORSBY</t>
        </is>
      </c>
      <c r="F660" t="inlineStr">
        <is>
          <t>Övriga Aktiebolag</t>
        </is>
      </c>
      <c r="G660" t="n">
        <v>38.2</v>
      </c>
      <c r="H660" t="n">
        <v>0</v>
      </c>
      <c r="I660" t="n">
        <v>0</v>
      </c>
      <c r="J660" t="n">
        <v>0</v>
      </c>
      <c r="K660" t="n">
        <v>0</v>
      </c>
      <c r="L660" t="n">
        <v>0</v>
      </c>
      <c r="M660" t="n">
        <v>0</v>
      </c>
      <c r="N660" t="n">
        <v>0</v>
      </c>
      <c r="O660" t="n">
        <v>0</v>
      </c>
      <c r="P660" t="n">
        <v>0</v>
      </c>
      <c r="Q660" t="n">
        <v>0</v>
      </c>
      <c r="R660" s="2" t="inlineStr"/>
    </row>
    <row r="661" ht="15" customHeight="1">
      <c r="A661" t="inlineStr">
        <is>
          <t>A 29457-2021</t>
        </is>
      </c>
      <c r="B661" s="1" t="n">
        <v>44361</v>
      </c>
      <c r="C661" s="1" t="n">
        <v>45472</v>
      </c>
      <c r="D661" t="inlineStr">
        <is>
          <t>VÄRMLANDS LÄN</t>
        </is>
      </c>
      <c r="E661" t="inlineStr">
        <is>
          <t>TORSBY</t>
        </is>
      </c>
      <c r="G661" t="n">
        <v>7.6</v>
      </c>
      <c r="H661" t="n">
        <v>0</v>
      </c>
      <c r="I661" t="n">
        <v>0</v>
      </c>
      <c r="J661" t="n">
        <v>0</v>
      </c>
      <c r="K661" t="n">
        <v>0</v>
      </c>
      <c r="L661" t="n">
        <v>0</v>
      </c>
      <c r="M661" t="n">
        <v>0</v>
      </c>
      <c r="N661" t="n">
        <v>0</v>
      </c>
      <c r="O661" t="n">
        <v>0</v>
      </c>
      <c r="P661" t="n">
        <v>0</v>
      </c>
      <c r="Q661" t="n">
        <v>0</v>
      </c>
      <c r="R661" s="2" t="inlineStr"/>
    </row>
    <row r="662" ht="15" customHeight="1">
      <c r="A662" t="inlineStr">
        <is>
          <t>A 29518-2021</t>
        </is>
      </c>
      <c r="B662" s="1" t="n">
        <v>44361</v>
      </c>
      <c r="C662" s="1" t="n">
        <v>45472</v>
      </c>
      <c r="D662" t="inlineStr">
        <is>
          <t>VÄRMLANDS LÄN</t>
        </is>
      </c>
      <c r="E662" t="inlineStr">
        <is>
          <t>TORSBY</t>
        </is>
      </c>
      <c r="F662" t="inlineStr">
        <is>
          <t>Bergvik skog väst AB</t>
        </is>
      </c>
      <c r="G662" t="n">
        <v>16.7</v>
      </c>
      <c r="H662" t="n">
        <v>0</v>
      </c>
      <c r="I662" t="n">
        <v>0</v>
      </c>
      <c r="J662" t="n">
        <v>0</v>
      </c>
      <c r="K662" t="n">
        <v>0</v>
      </c>
      <c r="L662" t="n">
        <v>0</v>
      </c>
      <c r="M662" t="n">
        <v>0</v>
      </c>
      <c r="N662" t="n">
        <v>0</v>
      </c>
      <c r="O662" t="n">
        <v>0</v>
      </c>
      <c r="P662" t="n">
        <v>0</v>
      </c>
      <c r="Q662" t="n">
        <v>0</v>
      </c>
      <c r="R662" s="2" t="inlineStr"/>
    </row>
    <row r="663" ht="15" customHeight="1">
      <c r="A663" t="inlineStr">
        <is>
          <t>A 29746-2021</t>
        </is>
      </c>
      <c r="B663" s="1" t="n">
        <v>44362</v>
      </c>
      <c r="C663" s="1" t="n">
        <v>45472</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30162-2021</t>
        </is>
      </c>
      <c r="B664" s="1" t="n">
        <v>44363</v>
      </c>
      <c r="C664" s="1" t="n">
        <v>45472</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30384-2021</t>
        </is>
      </c>
      <c r="B665" s="1" t="n">
        <v>44364</v>
      </c>
      <c r="C665" s="1" t="n">
        <v>45472</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30802-2021</t>
        </is>
      </c>
      <c r="B666" s="1" t="n">
        <v>44365</v>
      </c>
      <c r="C666" s="1" t="n">
        <v>45472</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31494-2021</t>
        </is>
      </c>
      <c r="B667" s="1" t="n">
        <v>44369</v>
      </c>
      <c r="C667" s="1" t="n">
        <v>45472</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31493-2021</t>
        </is>
      </c>
      <c r="B668" s="1" t="n">
        <v>44369</v>
      </c>
      <c r="C668" s="1" t="n">
        <v>45472</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31511-2021</t>
        </is>
      </c>
      <c r="B669" s="1" t="n">
        <v>44369</v>
      </c>
      <c r="C669" s="1" t="n">
        <v>45472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31894-2021</t>
        </is>
      </c>
      <c r="B670" s="1" t="n">
        <v>44370</v>
      </c>
      <c r="C670" s="1" t="n">
        <v>45472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31911-2021</t>
        </is>
      </c>
      <c r="B671" s="1" t="n">
        <v>44370</v>
      </c>
      <c r="C671" s="1" t="n">
        <v>45472</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32696-2021</t>
        </is>
      </c>
      <c r="B672" s="1" t="n">
        <v>44375</v>
      </c>
      <c r="C672" s="1" t="n">
        <v>45472</v>
      </c>
      <c r="D672" t="inlineStr">
        <is>
          <t>VÄRMLANDS LÄN</t>
        </is>
      </c>
      <c r="E672" t="inlineStr">
        <is>
          <t>TORSBY</t>
        </is>
      </c>
      <c r="F672" t="inlineStr">
        <is>
          <t>Bergvik skog väst AB</t>
        </is>
      </c>
      <c r="G672" t="n">
        <v>14.8</v>
      </c>
      <c r="H672" t="n">
        <v>0</v>
      </c>
      <c r="I672" t="n">
        <v>0</v>
      </c>
      <c r="J672" t="n">
        <v>0</v>
      </c>
      <c r="K672" t="n">
        <v>0</v>
      </c>
      <c r="L672" t="n">
        <v>0</v>
      </c>
      <c r="M672" t="n">
        <v>0</v>
      </c>
      <c r="N672" t="n">
        <v>0</v>
      </c>
      <c r="O672" t="n">
        <v>0</v>
      </c>
      <c r="P672" t="n">
        <v>0</v>
      </c>
      <c r="Q672" t="n">
        <v>0</v>
      </c>
      <c r="R672" s="2" t="inlineStr"/>
    </row>
    <row r="673" ht="15" customHeight="1">
      <c r="A673" t="inlineStr">
        <is>
          <t>A 32821-2021</t>
        </is>
      </c>
      <c r="B673" s="1" t="n">
        <v>44375</v>
      </c>
      <c r="C673" s="1" t="n">
        <v>45472</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32747-2021</t>
        </is>
      </c>
      <c r="B674" s="1" t="n">
        <v>44375</v>
      </c>
      <c r="C674" s="1" t="n">
        <v>45472</v>
      </c>
      <c r="D674" t="inlineStr">
        <is>
          <t>VÄRMLANDS LÄN</t>
        </is>
      </c>
      <c r="E674" t="inlineStr">
        <is>
          <t>TORSBY</t>
        </is>
      </c>
      <c r="G674" t="n">
        <v>6.3</v>
      </c>
      <c r="H674" t="n">
        <v>0</v>
      </c>
      <c r="I674" t="n">
        <v>0</v>
      </c>
      <c r="J674" t="n">
        <v>0</v>
      </c>
      <c r="K674" t="n">
        <v>0</v>
      </c>
      <c r="L674" t="n">
        <v>0</v>
      </c>
      <c r="M674" t="n">
        <v>0</v>
      </c>
      <c r="N674" t="n">
        <v>0</v>
      </c>
      <c r="O674" t="n">
        <v>0</v>
      </c>
      <c r="P674" t="n">
        <v>0</v>
      </c>
      <c r="Q674" t="n">
        <v>0</v>
      </c>
      <c r="R674" s="2" t="inlineStr"/>
    </row>
    <row r="675" ht="15" customHeight="1">
      <c r="A675" t="inlineStr">
        <is>
          <t>A 33146-2021</t>
        </is>
      </c>
      <c r="B675" s="1" t="n">
        <v>44376</v>
      </c>
      <c r="C675" s="1" t="n">
        <v>45472</v>
      </c>
      <c r="D675" t="inlineStr">
        <is>
          <t>VÄRMLANDS LÄN</t>
        </is>
      </c>
      <c r="E675" t="inlineStr">
        <is>
          <t>TORSBY</t>
        </is>
      </c>
      <c r="F675" t="inlineStr">
        <is>
          <t>Bergvik skog väst AB</t>
        </is>
      </c>
      <c r="G675" t="n">
        <v>44.5</v>
      </c>
      <c r="H675" t="n">
        <v>0</v>
      </c>
      <c r="I675" t="n">
        <v>0</v>
      </c>
      <c r="J675" t="n">
        <v>0</v>
      </c>
      <c r="K675" t="n">
        <v>0</v>
      </c>
      <c r="L675" t="n">
        <v>0</v>
      </c>
      <c r="M675" t="n">
        <v>0</v>
      </c>
      <c r="N675" t="n">
        <v>0</v>
      </c>
      <c r="O675" t="n">
        <v>0</v>
      </c>
      <c r="P675" t="n">
        <v>0</v>
      </c>
      <c r="Q675" t="n">
        <v>0</v>
      </c>
      <c r="R675" s="2" t="inlineStr"/>
    </row>
    <row r="676" ht="15" customHeight="1">
      <c r="A676" t="inlineStr">
        <is>
          <t>A 33182-2021</t>
        </is>
      </c>
      <c r="B676" s="1" t="n">
        <v>44376</v>
      </c>
      <c r="C676" s="1" t="n">
        <v>45472</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33145-2021</t>
        </is>
      </c>
      <c r="B677" s="1" t="n">
        <v>44376</v>
      </c>
      <c r="C677" s="1" t="n">
        <v>45472</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33149-2021</t>
        </is>
      </c>
      <c r="B678" s="1" t="n">
        <v>44376</v>
      </c>
      <c r="C678" s="1" t="n">
        <v>45472</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33183-2021</t>
        </is>
      </c>
      <c r="B679" s="1" t="n">
        <v>44376</v>
      </c>
      <c r="C679" s="1" t="n">
        <v>45472</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33517-2021</t>
        </is>
      </c>
      <c r="B680" s="1" t="n">
        <v>44377</v>
      </c>
      <c r="C680" s="1" t="n">
        <v>45472</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33515-2021</t>
        </is>
      </c>
      <c r="B681" s="1" t="n">
        <v>44377</v>
      </c>
      <c r="C681" s="1" t="n">
        <v>45472</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33839-2021</t>
        </is>
      </c>
      <c r="B682" s="1" t="n">
        <v>44378</v>
      </c>
      <c r="C682" s="1" t="n">
        <v>45472</v>
      </c>
      <c r="D682" t="inlineStr">
        <is>
          <t>VÄRMLANDS LÄN</t>
        </is>
      </c>
      <c r="E682" t="inlineStr">
        <is>
          <t>TORSBY</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33853-2021</t>
        </is>
      </c>
      <c r="B683" s="1" t="n">
        <v>44378</v>
      </c>
      <c r="C683" s="1" t="n">
        <v>45472</v>
      </c>
      <c r="D683" t="inlineStr">
        <is>
          <t>VÄRMLANDS LÄN</t>
        </is>
      </c>
      <c r="E683" t="inlineStr">
        <is>
          <t>TORSBY</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33937-2021</t>
        </is>
      </c>
      <c r="B684" s="1" t="n">
        <v>44378</v>
      </c>
      <c r="C684" s="1" t="n">
        <v>45472</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34626-2021</t>
        </is>
      </c>
      <c r="B685" s="1" t="n">
        <v>44382</v>
      </c>
      <c r="C685" s="1" t="n">
        <v>45472</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34694-2021</t>
        </is>
      </c>
      <c r="B686" s="1" t="n">
        <v>44382</v>
      </c>
      <c r="C686" s="1" t="n">
        <v>45472</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34885-2021</t>
        </is>
      </c>
      <c r="B687" s="1" t="n">
        <v>44383</v>
      </c>
      <c r="C687" s="1" t="n">
        <v>45472</v>
      </c>
      <c r="D687" t="inlineStr">
        <is>
          <t>VÄRMLANDS LÄN</t>
        </is>
      </c>
      <c r="E687" t="inlineStr">
        <is>
          <t>TORSBY</t>
        </is>
      </c>
      <c r="G687" t="n">
        <v>8.9</v>
      </c>
      <c r="H687" t="n">
        <v>0</v>
      </c>
      <c r="I687" t="n">
        <v>0</v>
      </c>
      <c r="J687" t="n">
        <v>0</v>
      </c>
      <c r="K687" t="n">
        <v>0</v>
      </c>
      <c r="L687" t="n">
        <v>0</v>
      </c>
      <c r="M687" t="n">
        <v>0</v>
      </c>
      <c r="N687" t="n">
        <v>0</v>
      </c>
      <c r="O687" t="n">
        <v>0</v>
      </c>
      <c r="P687" t="n">
        <v>0</v>
      </c>
      <c r="Q687" t="n">
        <v>0</v>
      </c>
      <c r="R687" s="2" t="inlineStr"/>
    </row>
    <row r="688" ht="15" customHeight="1">
      <c r="A688" t="inlineStr">
        <is>
          <t>A 35221-2021</t>
        </is>
      </c>
      <c r="B688" s="1" t="n">
        <v>44384</v>
      </c>
      <c r="C688" s="1" t="n">
        <v>45472</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35586-2021</t>
        </is>
      </c>
      <c r="B689" s="1" t="n">
        <v>44386</v>
      </c>
      <c r="C689" s="1" t="n">
        <v>45472</v>
      </c>
      <c r="D689" t="inlineStr">
        <is>
          <t>VÄRMLANDS LÄN</t>
        </is>
      </c>
      <c r="E689" t="inlineStr">
        <is>
          <t>TORSBY</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35907-2021</t>
        </is>
      </c>
      <c r="B690" s="1" t="n">
        <v>44387</v>
      </c>
      <c r="C690" s="1" t="n">
        <v>45472</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35909-2021</t>
        </is>
      </c>
      <c r="B691" s="1" t="n">
        <v>44387</v>
      </c>
      <c r="C691" s="1" t="n">
        <v>45472</v>
      </c>
      <c r="D691" t="inlineStr">
        <is>
          <t>VÄRMLANDS LÄN</t>
        </is>
      </c>
      <c r="E691" t="inlineStr">
        <is>
          <t>TORSBY</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v>
      </c>
      <c r="C692" s="1" t="n">
        <v>45472</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36186-2021</t>
        </is>
      </c>
      <c r="B693" s="1" t="n">
        <v>44389</v>
      </c>
      <c r="C693" s="1" t="n">
        <v>45472</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36327-2021</t>
        </is>
      </c>
      <c r="B694" s="1" t="n">
        <v>44390</v>
      </c>
      <c r="C694" s="1" t="n">
        <v>45472</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36589-2021</t>
        </is>
      </c>
      <c r="B695" s="1" t="n">
        <v>44391</v>
      </c>
      <c r="C695" s="1" t="n">
        <v>45472</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36700-2021</t>
        </is>
      </c>
      <c r="B696" s="1" t="n">
        <v>44392</v>
      </c>
      <c r="C696" s="1" t="n">
        <v>45472</v>
      </c>
      <c r="D696" t="inlineStr">
        <is>
          <t>VÄRMLANDS LÄN</t>
        </is>
      </c>
      <c r="E696" t="inlineStr">
        <is>
          <t>TORSBY</t>
        </is>
      </c>
      <c r="F696" t="inlineStr">
        <is>
          <t>Bergvik skog väst AB</t>
        </is>
      </c>
      <c r="G696" t="n">
        <v>9.9</v>
      </c>
      <c r="H696" t="n">
        <v>0</v>
      </c>
      <c r="I696" t="n">
        <v>0</v>
      </c>
      <c r="J696" t="n">
        <v>0</v>
      </c>
      <c r="K696" t="n">
        <v>0</v>
      </c>
      <c r="L696" t="n">
        <v>0</v>
      </c>
      <c r="M696" t="n">
        <v>0</v>
      </c>
      <c r="N696" t="n">
        <v>0</v>
      </c>
      <c r="O696" t="n">
        <v>0</v>
      </c>
      <c r="P696" t="n">
        <v>0</v>
      </c>
      <c r="Q696" t="n">
        <v>0</v>
      </c>
      <c r="R696" s="2" t="inlineStr"/>
    </row>
    <row r="697" ht="15" customHeight="1">
      <c r="A697" t="inlineStr">
        <is>
          <t>A 37074-2021</t>
        </is>
      </c>
      <c r="B697" s="1" t="n">
        <v>44394</v>
      </c>
      <c r="C697" s="1" t="n">
        <v>45472</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37075-2021</t>
        </is>
      </c>
      <c r="B698" s="1" t="n">
        <v>44394</v>
      </c>
      <c r="C698" s="1" t="n">
        <v>45472</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37225-2021</t>
        </is>
      </c>
      <c r="B699" s="1" t="n">
        <v>44396</v>
      </c>
      <c r="C699" s="1" t="n">
        <v>45472</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37609-2021</t>
        </is>
      </c>
      <c r="B700" s="1" t="n">
        <v>44399</v>
      </c>
      <c r="C700" s="1" t="n">
        <v>45472</v>
      </c>
      <c r="D700" t="inlineStr">
        <is>
          <t>VÄRMLANDS LÄN</t>
        </is>
      </c>
      <c r="E700" t="inlineStr">
        <is>
          <t>TORSBY</t>
        </is>
      </c>
      <c r="G700" t="n">
        <v>0.2</v>
      </c>
      <c r="H700" t="n">
        <v>0</v>
      </c>
      <c r="I700" t="n">
        <v>0</v>
      </c>
      <c r="J700" t="n">
        <v>0</v>
      </c>
      <c r="K700" t="n">
        <v>0</v>
      </c>
      <c r="L700" t="n">
        <v>0</v>
      </c>
      <c r="M700" t="n">
        <v>0</v>
      </c>
      <c r="N700" t="n">
        <v>0</v>
      </c>
      <c r="O700" t="n">
        <v>0</v>
      </c>
      <c r="P700" t="n">
        <v>0</v>
      </c>
      <c r="Q700" t="n">
        <v>0</v>
      </c>
      <c r="R700" s="2" t="inlineStr"/>
    </row>
    <row r="701" ht="15" customHeight="1">
      <c r="A701" t="inlineStr">
        <is>
          <t>A 37608-2021</t>
        </is>
      </c>
      <c r="B701" s="1" t="n">
        <v>44399</v>
      </c>
      <c r="C701" s="1" t="n">
        <v>45472</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38467-2021</t>
        </is>
      </c>
      <c r="B702" s="1" t="n">
        <v>44405</v>
      </c>
      <c r="C702" s="1" t="n">
        <v>45472</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38229-2021</t>
        </is>
      </c>
      <c r="B703" s="1" t="n">
        <v>44405</v>
      </c>
      <c r="C703" s="1" t="n">
        <v>45472</v>
      </c>
      <c r="D703" t="inlineStr">
        <is>
          <t>VÄRMLANDS LÄN</t>
        </is>
      </c>
      <c r="E703" t="inlineStr">
        <is>
          <t>TORSBY</t>
        </is>
      </c>
      <c r="F703" t="inlineStr">
        <is>
          <t>Bergvik skog väst AB</t>
        </is>
      </c>
      <c r="G703" t="n">
        <v>2.7</v>
      </c>
      <c r="H703" t="n">
        <v>0</v>
      </c>
      <c r="I703" t="n">
        <v>0</v>
      </c>
      <c r="J703" t="n">
        <v>0</v>
      </c>
      <c r="K703" t="n">
        <v>0</v>
      </c>
      <c r="L703" t="n">
        <v>0</v>
      </c>
      <c r="M703" t="n">
        <v>0</v>
      </c>
      <c r="N703" t="n">
        <v>0</v>
      </c>
      <c r="O703" t="n">
        <v>0</v>
      </c>
      <c r="P703" t="n">
        <v>0</v>
      </c>
      <c r="Q703" t="n">
        <v>0</v>
      </c>
      <c r="R703" s="2" t="inlineStr"/>
    </row>
    <row r="704" ht="15" customHeight="1">
      <c r="A704" t="inlineStr">
        <is>
          <t>A 38298-2021</t>
        </is>
      </c>
      <c r="B704" s="1" t="n">
        <v>44406</v>
      </c>
      <c r="C704" s="1" t="n">
        <v>45472</v>
      </c>
      <c r="D704" t="inlineStr">
        <is>
          <t>VÄRMLANDS LÄN</t>
        </is>
      </c>
      <c r="E704" t="inlineStr">
        <is>
          <t>TORSBY</t>
        </is>
      </c>
      <c r="G704" t="n">
        <v>3.3</v>
      </c>
      <c r="H704" t="n">
        <v>0</v>
      </c>
      <c r="I704" t="n">
        <v>0</v>
      </c>
      <c r="J704" t="n">
        <v>0</v>
      </c>
      <c r="K704" t="n">
        <v>0</v>
      </c>
      <c r="L704" t="n">
        <v>0</v>
      </c>
      <c r="M704" t="n">
        <v>0</v>
      </c>
      <c r="N704" t="n">
        <v>0</v>
      </c>
      <c r="O704" t="n">
        <v>0</v>
      </c>
      <c r="P704" t="n">
        <v>0</v>
      </c>
      <c r="Q704" t="n">
        <v>0</v>
      </c>
      <c r="R704" s="2" t="inlineStr"/>
    </row>
    <row r="705" ht="15" customHeight="1">
      <c r="A705" t="inlineStr">
        <is>
          <t>A 38564-2021</t>
        </is>
      </c>
      <c r="B705" s="1" t="n">
        <v>44407</v>
      </c>
      <c r="C705" s="1" t="n">
        <v>45472</v>
      </c>
      <c r="D705" t="inlineStr">
        <is>
          <t>VÄRMLANDS LÄN</t>
        </is>
      </c>
      <c r="E705" t="inlineStr">
        <is>
          <t>TORSBY</t>
        </is>
      </c>
      <c r="F705" t="inlineStr">
        <is>
          <t>Bergvik skog väst AB</t>
        </is>
      </c>
      <c r="G705" t="n">
        <v>15.7</v>
      </c>
      <c r="H705" t="n">
        <v>0</v>
      </c>
      <c r="I705" t="n">
        <v>0</v>
      </c>
      <c r="J705" t="n">
        <v>0</v>
      </c>
      <c r="K705" t="n">
        <v>0</v>
      </c>
      <c r="L705" t="n">
        <v>0</v>
      </c>
      <c r="M705" t="n">
        <v>0</v>
      </c>
      <c r="N705" t="n">
        <v>0</v>
      </c>
      <c r="O705" t="n">
        <v>0</v>
      </c>
      <c r="P705" t="n">
        <v>0</v>
      </c>
      <c r="Q705" t="n">
        <v>0</v>
      </c>
      <c r="R705" s="2" t="inlineStr"/>
    </row>
    <row r="706" ht="15" customHeight="1">
      <c r="A706" t="inlineStr">
        <is>
          <t>A 38528-2021</t>
        </is>
      </c>
      <c r="B706" s="1" t="n">
        <v>44407</v>
      </c>
      <c r="C706" s="1" t="n">
        <v>45472</v>
      </c>
      <c r="D706" t="inlineStr">
        <is>
          <t>VÄRMLANDS LÄN</t>
        </is>
      </c>
      <c r="E706" t="inlineStr">
        <is>
          <t>TORSBY</t>
        </is>
      </c>
      <c r="F706" t="inlineStr">
        <is>
          <t>Bergvik skog väst AB</t>
        </is>
      </c>
      <c r="G706" t="n">
        <v>12.5</v>
      </c>
      <c r="H706" t="n">
        <v>0</v>
      </c>
      <c r="I706" t="n">
        <v>0</v>
      </c>
      <c r="J706" t="n">
        <v>0</v>
      </c>
      <c r="K706" t="n">
        <v>0</v>
      </c>
      <c r="L706" t="n">
        <v>0</v>
      </c>
      <c r="M706" t="n">
        <v>0</v>
      </c>
      <c r="N706" t="n">
        <v>0</v>
      </c>
      <c r="O706" t="n">
        <v>0</v>
      </c>
      <c r="P706" t="n">
        <v>0</v>
      </c>
      <c r="Q706" t="n">
        <v>0</v>
      </c>
      <c r="R706" s="2" t="inlineStr"/>
    </row>
    <row r="707" ht="15" customHeight="1">
      <c r="A707" t="inlineStr">
        <is>
          <t>A 38767-2021</t>
        </is>
      </c>
      <c r="B707" s="1" t="n">
        <v>44410</v>
      </c>
      <c r="C707" s="1" t="n">
        <v>45472</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38841-2021</t>
        </is>
      </c>
      <c r="B708" s="1" t="n">
        <v>44411</v>
      </c>
      <c r="C708" s="1" t="n">
        <v>45472</v>
      </c>
      <c r="D708" t="inlineStr">
        <is>
          <t>VÄRMLANDS LÄN</t>
        </is>
      </c>
      <c r="E708" t="inlineStr">
        <is>
          <t>TORSBY</t>
        </is>
      </c>
      <c r="F708" t="inlineStr">
        <is>
          <t>Bergvik skog väst AB</t>
        </is>
      </c>
      <c r="G708" t="n">
        <v>13.8</v>
      </c>
      <c r="H708" t="n">
        <v>0</v>
      </c>
      <c r="I708" t="n">
        <v>0</v>
      </c>
      <c r="J708" t="n">
        <v>0</v>
      </c>
      <c r="K708" t="n">
        <v>0</v>
      </c>
      <c r="L708" t="n">
        <v>0</v>
      </c>
      <c r="M708" t="n">
        <v>0</v>
      </c>
      <c r="N708" t="n">
        <v>0</v>
      </c>
      <c r="O708" t="n">
        <v>0</v>
      </c>
      <c r="P708" t="n">
        <v>0</v>
      </c>
      <c r="Q708" t="n">
        <v>0</v>
      </c>
      <c r="R708" s="2" t="inlineStr"/>
    </row>
    <row r="709" ht="15" customHeight="1">
      <c r="A709" t="inlineStr">
        <is>
          <t>A 39003-2021</t>
        </is>
      </c>
      <c r="B709" s="1" t="n">
        <v>44412</v>
      </c>
      <c r="C709" s="1" t="n">
        <v>45472</v>
      </c>
      <c r="D709" t="inlineStr">
        <is>
          <t>VÄRMLANDS LÄN</t>
        </is>
      </c>
      <c r="E709" t="inlineStr">
        <is>
          <t>TORSBY</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39260-2021</t>
        </is>
      </c>
      <c r="B710" s="1" t="n">
        <v>44413</v>
      </c>
      <c r="C710" s="1" t="n">
        <v>45472</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39642-2021</t>
        </is>
      </c>
      <c r="B711" s="1" t="n">
        <v>44417</v>
      </c>
      <c r="C711" s="1" t="n">
        <v>45472</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39826-2021</t>
        </is>
      </c>
      <c r="B712" s="1" t="n">
        <v>44417</v>
      </c>
      <c r="C712" s="1" t="n">
        <v>45472</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39967-2021</t>
        </is>
      </c>
      <c r="B713" s="1" t="n">
        <v>44418</v>
      </c>
      <c r="C713" s="1" t="n">
        <v>45472</v>
      </c>
      <c r="D713" t="inlineStr">
        <is>
          <t>VÄRMLANDS LÄN</t>
        </is>
      </c>
      <c r="E713" t="inlineStr">
        <is>
          <t>TORSBY</t>
        </is>
      </c>
      <c r="F713" t="inlineStr">
        <is>
          <t>Bergvik skog väst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40281-2021</t>
        </is>
      </c>
      <c r="B714" s="1" t="n">
        <v>44419</v>
      </c>
      <c r="C714" s="1" t="n">
        <v>45472</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40276-2021</t>
        </is>
      </c>
      <c r="B715" s="1" t="n">
        <v>44419</v>
      </c>
      <c r="C715" s="1" t="n">
        <v>45472</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40278-2021</t>
        </is>
      </c>
      <c r="B716" s="1" t="n">
        <v>44419</v>
      </c>
      <c r="C716" s="1" t="n">
        <v>45472</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40282-2021</t>
        </is>
      </c>
      <c r="B717" s="1" t="n">
        <v>44419</v>
      </c>
      <c r="C717" s="1" t="n">
        <v>45472</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40590-2021</t>
        </is>
      </c>
      <c r="B718" s="1" t="n">
        <v>44420</v>
      </c>
      <c r="C718" s="1" t="n">
        <v>45472</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40876-2021</t>
        </is>
      </c>
      <c r="B719" s="1" t="n">
        <v>44421</v>
      </c>
      <c r="C719" s="1" t="n">
        <v>45472</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41253-2021</t>
        </is>
      </c>
      <c r="B720" s="1" t="n">
        <v>44424</v>
      </c>
      <c r="C720" s="1" t="n">
        <v>45472</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41377-2021</t>
        </is>
      </c>
      <c r="B721" s="1" t="n">
        <v>44424</v>
      </c>
      <c r="C721" s="1" t="n">
        <v>45472</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41633-2021</t>
        </is>
      </c>
      <c r="B722" s="1" t="n">
        <v>44425</v>
      </c>
      <c r="C722" s="1" t="n">
        <v>45472</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41671-2021</t>
        </is>
      </c>
      <c r="B723" s="1" t="n">
        <v>44425</v>
      </c>
      <c r="C723" s="1" t="n">
        <v>45472</v>
      </c>
      <c r="D723" t="inlineStr">
        <is>
          <t>VÄRMLANDS LÄN</t>
        </is>
      </c>
      <c r="E723" t="inlineStr">
        <is>
          <t>TORSBY</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41678-2021</t>
        </is>
      </c>
      <c r="B724" s="1" t="n">
        <v>44425</v>
      </c>
      <c r="C724" s="1" t="n">
        <v>45472</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41808-2021</t>
        </is>
      </c>
      <c r="B725" s="1" t="n">
        <v>44425</v>
      </c>
      <c r="C725" s="1" t="n">
        <v>45472</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42347-2021</t>
        </is>
      </c>
      <c r="B726" s="1" t="n">
        <v>44427</v>
      </c>
      <c r="C726" s="1" t="n">
        <v>45472</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42615-2021</t>
        </is>
      </c>
      <c r="B727" s="1" t="n">
        <v>44428</v>
      </c>
      <c r="C727" s="1" t="n">
        <v>45472</v>
      </c>
      <c r="D727" t="inlineStr">
        <is>
          <t>VÄRMLANDS LÄN</t>
        </is>
      </c>
      <c r="E727" t="inlineStr">
        <is>
          <t>TORSBY</t>
        </is>
      </c>
      <c r="F727" t="inlineStr">
        <is>
          <t>Bergvik skog väst AB</t>
        </is>
      </c>
      <c r="G727" t="n">
        <v>37.2</v>
      </c>
      <c r="H727" t="n">
        <v>0</v>
      </c>
      <c r="I727" t="n">
        <v>0</v>
      </c>
      <c r="J727" t="n">
        <v>0</v>
      </c>
      <c r="K727" t="n">
        <v>0</v>
      </c>
      <c r="L727" t="n">
        <v>0</v>
      </c>
      <c r="M727" t="n">
        <v>0</v>
      </c>
      <c r="N727" t="n">
        <v>0</v>
      </c>
      <c r="O727" t="n">
        <v>0</v>
      </c>
      <c r="P727" t="n">
        <v>0</v>
      </c>
      <c r="Q727" t="n">
        <v>0</v>
      </c>
      <c r="R727" s="2" t="inlineStr"/>
    </row>
    <row r="728" ht="15" customHeight="1">
      <c r="A728" t="inlineStr">
        <is>
          <t>A 42646-2021</t>
        </is>
      </c>
      <c r="B728" s="1" t="n">
        <v>44428</v>
      </c>
      <c r="C728" s="1" t="n">
        <v>45472</v>
      </c>
      <c r="D728" t="inlineStr">
        <is>
          <t>VÄRMLANDS LÄN</t>
        </is>
      </c>
      <c r="E728" t="inlineStr">
        <is>
          <t>TORSBY</t>
        </is>
      </c>
      <c r="F728" t="inlineStr">
        <is>
          <t>Bergvik skog väst AB</t>
        </is>
      </c>
      <c r="G728" t="n">
        <v>21.4</v>
      </c>
      <c r="H728" t="n">
        <v>0</v>
      </c>
      <c r="I728" t="n">
        <v>0</v>
      </c>
      <c r="J728" t="n">
        <v>0</v>
      </c>
      <c r="K728" t="n">
        <v>0</v>
      </c>
      <c r="L728" t="n">
        <v>0</v>
      </c>
      <c r="M728" t="n">
        <v>0</v>
      </c>
      <c r="N728" t="n">
        <v>0</v>
      </c>
      <c r="O728" t="n">
        <v>0</v>
      </c>
      <c r="P728" t="n">
        <v>0</v>
      </c>
      <c r="Q728" t="n">
        <v>0</v>
      </c>
      <c r="R728" s="2" t="inlineStr"/>
    </row>
    <row r="729" ht="15" customHeight="1">
      <c r="A729" t="inlineStr">
        <is>
          <t>A 43052-2021</t>
        </is>
      </c>
      <c r="B729" s="1" t="n">
        <v>44431</v>
      </c>
      <c r="C729" s="1" t="n">
        <v>45472</v>
      </c>
      <c r="D729" t="inlineStr">
        <is>
          <t>VÄRMLANDS LÄN</t>
        </is>
      </c>
      <c r="E729" t="inlineStr">
        <is>
          <t>TORSBY</t>
        </is>
      </c>
      <c r="G729" t="n">
        <v>25.1</v>
      </c>
      <c r="H729" t="n">
        <v>0</v>
      </c>
      <c r="I729" t="n">
        <v>0</v>
      </c>
      <c r="J729" t="n">
        <v>0</v>
      </c>
      <c r="K729" t="n">
        <v>0</v>
      </c>
      <c r="L729" t="n">
        <v>0</v>
      </c>
      <c r="M729" t="n">
        <v>0</v>
      </c>
      <c r="N729" t="n">
        <v>0</v>
      </c>
      <c r="O729" t="n">
        <v>0</v>
      </c>
      <c r="P729" t="n">
        <v>0</v>
      </c>
      <c r="Q729" t="n">
        <v>0</v>
      </c>
      <c r="R729" s="2" t="inlineStr"/>
    </row>
    <row r="730" ht="15" customHeight="1">
      <c r="A730" t="inlineStr">
        <is>
          <t>A 43060-2021</t>
        </is>
      </c>
      <c r="B730" s="1" t="n">
        <v>44431</v>
      </c>
      <c r="C730" s="1" t="n">
        <v>45472</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43128-2021</t>
        </is>
      </c>
      <c r="B731" s="1" t="n">
        <v>44431</v>
      </c>
      <c r="C731" s="1" t="n">
        <v>45472</v>
      </c>
      <c r="D731" t="inlineStr">
        <is>
          <t>VÄRMLANDS LÄN</t>
        </is>
      </c>
      <c r="E731" t="inlineStr">
        <is>
          <t>TORSBY</t>
        </is>
      </c>
      <c r="G731" t="n">
        <v>10.9</v>
      </c>
      <c r="H731" t="n">
        <v>0</v>
      </c>
      <c r="I731" t="n">
        <v>0</v>
      </c>
      <c r="J731" t="n">
        <v>0</v>
      </c>
      <c r="K731" t="n">
        <v>0</v>
      </c>
      <c r="L731" t="n">
        <v>0</v>
      </c>
      <c r="M731" t="n">
        <v>0</v>
      </c>
      <c r="N731" t="n">
        <v>0</v>
      </c>
      <c r="O731" t="n">
        <v>0</v>
      </c>
      <c r="P731" t="n">
        <v>0</v>
      </c>
      <c r="Q731" t="n">
        <v>0</v>
      </c>
      <c r="R731" s="2" t="inlineStr"/>
    </row>
    <row r="732" ht="15" customHeight="1">
      <c r="A732" t="inlineStr">
        <is>
          <t>A 43136-2021</t>
        </is>
      </c>
      <c r="B732" s="1" t="n">
        <v>44431</v>
      </c>
      <c r="C732" s="1" t="n">
        <v>45472</v>
      </c>
      <c r="D732" t="inlineStr">
        <is>
          <t>VÄRMLANDS LÄN</t>
        </is>
      </c>
      <c r="E732" t="inlineStr">
        <is>
          <t>TORSBY</t>
        </is>
      </c>
      <c r="G732" t="n">
        <v>14.4</v>
      </c>
      <c r="H732" t="n">
        <v>0</v>
      </c>
      <c r="I732" t="n">
        <v>0</v>
      </c>
      <c r="J732" t="n">
        <v>0</v>
      </c>
      <c r="K732" t="n">
        <v>0</v>
      </c>
      <c r="L732" t="n">
        <v>0</v>
      </c>
      <c r="M732" t="n">
        <v>0</v>
      </c>
      <c r="N732" t="n">
        <v>0</v>
      </c>
      <c r="O732" t="n">
        <v>0</v>
      </c>
      <c r="P732" t="n">
        <v>0</v>
      </c>
      <c r="Q732" t="n">
        <v>0</v>
      </c>
      <c r="R732" s="2" t="inlineStr"/>
    </row>
    <row r="733" ht="15" customHeight="1">
      <c r="A733" t="inlineStr">
        <is>
          <t>A 43169-2021</t>
        </is>
      </c>
      <c r="B733" s="1" t="n">
        <v>44431</v>
      </c>
      <c r="C733" s="1" t="n">
        <v>45472</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43095-2021</t>
        </is>
      </c>
      <c r="B734" s="1" t="n">
        <v>44431</v>
      </c>
      <c r="C734" s="1" t="n">
        <v>45472</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43157-2021</t>
        </is>
      </c>
      <c r="B735" s="1" t="n">
        <v>44431</v>
      </c>
      <c r="C735" s="1" t="n">
        <v>45472</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43127-2021</t>
        </is>
      </c>
      <c r="B736" s="1" t="n">
        <v>44431</v>
      </c>
      <c r="C736" s="1" t="n">
        <v>45472</v>
      </c>
      <c r="D736" t="inlineStr">
        <is>
          <t>VÄRMLANDS LÄN</t>
        </is>
      </c>
      <c r="E736" t="inlineStr">
        <is>
          <t>TORSBY</t>
        </is>
      </c>
      <c r="G736" t="n">
        <v>23.3</v>
      </c>
      <c r="H736" t="n">
        <v>0</v>
      </c>
      <c r="I736" t="n">
        <v>0</v>
      </c>
      <c r="J736" t="n">
        <v>0</v>
      </c>
      <c r="K736" t="n">
        <v>0</v>
      </c>
      <c r="L736" t="n">
        <v>0</v>
      </c>
      <c r="M736" t="n">
        <v>0</v>
      </c>
      <c r="N736" t="n">
        <v>0</v>
      </c>
      <c r="O736" t="n">
        <v>0</v>
      </c>
      <c r="P736" t="n">
        <v>0</v>
      </c>
      <c r="Q736" t="n">
        <v>0</v>
      </c>
      <c r="R736" s="2" t="inlineStr"/>
    </row>
    <row r="737" ht="15" customHeight="1">
      <c r="A737" t="inlineStr">
        <is>
          <t>A 43161-2021</t>
        </is>
      </c>
      <c r="B737" s="1" t="n">
        <v>44431</v>
      </c>
      <c r="C737" s="1" t="n">
        <v>45472</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43784-2021</t>
        </is>
      </c>
      <c r="B738" s="1" t="n">
        <v>44433</v>
      </c>
      <c r="C738" s="1" t="n">
        <v>45472</v>
      </c>
      <c r="D738" t="inlineStr">
        <is>
          <t>VÄRMLANDS LÄN</t>
        </is>
      </c>
      <c r="E738" t="inlineStr">
        <is>
          <t>TORSBY</t>
        </is>
      </c>
      <c r="G738" t="n">
        <v>5.2</v>
      </c>
      <c r="H738" t="n">
        <v>0</v>
      </c>
      <c r="I738" t="n">
        <v>0</v>
      </c>
      <c r="J738" t="n">
        <v>0</v>
      </c>
      <c r="K738" t="n">
        <v>0</v>
      </c>
      <c r="L738" t="n">
        <v>0</v>
      </c>
      <c r="M738" t="n">
        <v>0</v>
      </c>
      <c r="N738" t="n">
        <v>0</v>
      </c>
      <c r="O738" t="n">
        <v>0</v>
      </c>
      <c r="P738" t="n">
        <v>0</v>
      </c>
      <c r="Q738" t="n">
        <v>0</v>
      </c>
      <c r="R738" s="2" t="inlineStr"/>
    </row>
    <row r="739" ht="15" customHeight="1">
      <c r="A739" t="inlineStr">
        <is>
          <t>A 44018-2021</t>
        </is>
      </c>
      <c r="B739" s="1" t="n">
        <v>44434</v>
      </c>
      <c r="C739" s="1" t="n">
        <v>45472</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44418-2021</t>
        </is>
      </c>
      <c r="B740" s="1" t="n">
        <v>44435</v>
      </c>
      <c r="C740" s="1" t="n">
        <v>45472</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44490-2021</t>
        </is>
      </c>
      <c r="B741" s="1" t="n">
        <v>44435</v>
      </c>
      <c r="C741" s="1" t="n">
        <v>45472</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44761-2021</t>
        </is>
      </c>
      <c r="B742" s="1" t="n">
        <v>44438</v>
      </c>
      <c r="C742" s="1" t="n">
        <v>45472</v>
      </c>
      <c r="D742" t="inlineStr">
        <is>
          <t>VÄRMLANDS LÄN</t>
        </is>
      </c>
      <c r="E742" t="inlineStr">
        <is>
          <t>TORSBY</t>
        </is>
      </c>
      <c r="G742" t="n">
        <v>6.5</v>
      </c>
      <c r="H742" t="n">
        <v>0</v>
      </c>
      <c r="I742" t="n">
        <v>0</v>
      </c>
      <c r="J742" t="n">
        <v>0</v>
      </c>
      <c r="K742" t="n">
        <v>0</v>
      </c>
      <c r="L742" t="n">
        <v>0</v>
      </c>
      <c r="M742" t="n">
        <v>0</v>
      </c>
      <c r="N742" t="n">
        <v>0</v>
      </c>
      <c r="O742" t="n">
        <v>0</v>
      </c>
      <c r="P742" t="n">
        <v>0</v>
      </c>
      <c r="Q742" t="n">
        <v>0</v>
      </c>
      <c r="R742" s="2" t="inlineStr"/>
    </row>
    <row r="743" ht="15" customHeight="1">
      <c r="A743" t="inlineStr">
        <is>
          <t>A 44979-2021</t>
        </is>
      </c>
      <c r="B743" s="1" t="n">
        <v>44438</v>
      </c>
      <c r="C743" s="1" t="n">
        <v>45472</v>
      </c>
      <c r="D743" t="inlineStr">
        <is>
          <t>VÄRMLANDS LÄN</t>
        </is>
      </c>
      <c r="E743" t="inlineStr">
        <is>
          <t>TORSBY</t>
        </is>
      </c>
      <c r="F743" t="inlineStr">
        <is>
          <t>Bergvik skog väst AB</t>
        </is>
      </c>
      <c r="G743" t="n">
        <v>22.2</v>
      </c>
      <c r="H743" t="n">
        <v>0</v>
      </c>
      <c r="I743" t="n">
        <v>0</v>
      </c>
      <c r="J743" t="n">
        <v>0</v>
      </c>
      <c r="K743" t="n">
        <v>0</v>
      </c>
      <c r="L743" t="n">
        <v>0</v>
      </c>
      <c r="M743" t="n">
        <v>0</v>
      </c>
      <c r="N743" t="n">
        <v>0</v>
      </c>
      <c r="O743" t="n">
        <v>0</v>
      </c>
      <c r="P743" t="n">
        <v>0</v>
      </c>
      <c r="Q743" t="n">
        <v>0</v>
      </c>
      <c r="R743" s="2" t="inlineStr"/>
    </row>
    <row r="744" ht="15" customHeight="1">
      <c r="A744" t="inlineStr">
        <is>
          <t>A 44923-2021</t>
        </is>
      </c>
      <c r="B744" s="1" t="n">
        <v>44438</v>
      </c>
      <c r="C744" s="1" t="n">
        <v>45472</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45445-2021</t>
        </is>
      </c>
      <c r="B745" s="1" t="n">
        <v>44440</v>
      </c>
      <c r="C745" s="1" t="n">
        <v>45472</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45447-2021</t>
        </is>
      </c>
      <c r="B746" s="1" t="n">
        <v>44440</v>
      </c>
      <c r="C746" s="1" t="n">
        <v>45472</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46302-2021</t>
        </is>
      </c>
      <c r="B747" s="1" t="n">
        <v>44442</v>
      </c>
      <c r="C747" s="1" t="n">
        <v>45472</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46503-2021</t>
        </is>
      </c>
      <c r="B748" s="1" t="n">
        <v>44445</v>
      </c>
      <c r="C748" s="1" t="n">
        <v>45472</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46610-2021</t>
        </is>
      </c>
      <c r="B749" s="1" t="n">
        <v>44445</v>
      </c>
      <c r="C749" s="1" t="n">
        <v>45472</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46795-2021</t>
        </is>
      </c>
      <c r="B750" s="1" t="n">
        <v>44446</v>
      </c>
      <c r="C750" s="1" t="n">
        <v>45472</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46934-2021</t>
        </is>
      </c>
      <c r="B751" s="1" t="n">
        <v>44446</v>
      </c>
      <c r="C751" s="1" t="n">
        <v>45472</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46880-2021</t>
        </is>
      </c>
      <c r="B752" s="1" t="n">
        <v>44446</v>
      </c>
      <c r="C752" s="1" t="n">
        <v>45472</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47083-2021</t>
        </is>
      </c>
      <c r="B753" s="1" t="n">
        <v>44446</v>
      </c>
      <c r="C753" s="1" t="n">
        <v>45472</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47098-2021</t>
        </is>
      </c>
      <c r="B754" s="1" t="n">
        <v>44446</v>
      </c>
      <c r="C754" s="1" t="n">
        <v>45472</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47271-2021</t>
        </is>
      </c>
      <c r="B755" s="1" t="n">
        <v>44447</v>
      </c>
      <c r="C755" s="1" t="n">
        <v>45472</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47299-2021</t>
        </is>
      </c>
      <c r="B756" s="1" t="n">
        <v>44447</v>
      </c>
      <c r="C756" s="1" t="n">
        <v>45472</v>
      </c>
      <c r="D756" t="inlineStr">
        <is>
          <t>VÄRMLANDS LÄN</t>
        </is>
      </c>
      <c r="E756" t="inlineStr">
        <is>
          <t>TORSBY</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47602-2021</t>
        </is>
      </c>
      <c r="B757" s="1" t="n">
        <v>44448</v>
      </c>
      <c r="C757" s="1" t="n">
        <v>45472</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48159-2021</t>
        </is>
      </c>
      <c r="B758" s="1" t="n">
        <v>44449</v>
      </c>
      <c r="C758" s="1" t="n">
        <v>45472</v>
      </c>
      <c r="D758" t="inlineStr">
        <is>
          <t>VÄRMLANDS LÄN</t>
        </is>
      </c>
      <c r="E758" t="inlineStr">
        <is>
          <t>TORSBY</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48188-2021</t>
        </is>
      </c>
      <c r="B759" s="1" t="n">
        <v>44449</v>
      </c>
      <c r="C759" s="1" t="n">
        <v>45472</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48324-2021</t>
        </is>
      </c>
      <c r="B760" s="1" t="n">
        <v>44450</v>
      </c>
      <c r="C760" s="1" t="n">
        <v>45472</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48657-2021</t>
        </is>
      </c>
      <c r="B761" s="1" t="n">
        <v>44452</v>
      </c>
      <c r="C761" s="1" t="n">
        <v>45472</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48771-2021</t>
        </is>
      </c>
      <c r="B762" s="1" t="n">
        <v>44452</v>
      </c>
      <c r="C762" s="1" t="n">
        <v>45472</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49192-2021</t>
        </is>
      </c>
      <c r="B763" s="1" t="n">
        <v>44454</v>
      </c>
      <c r="C763" s="1" t="n">
        <v>45472</v>
      </c>
      <c r="D763" t="inlineStr">
        <is>
          <t>VÄRMLANDS LÄN</t>
        </is>
      </c>
      <c r="E763" t="inlineStr">
        <is>
          <t>TORSBY</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49900-2021</t>
        </is>
      </c>
      <c r="B764" s="1" t="n">
        <v>44455</v>
      </c>
      <c r="C764" s="1" t="n">
        <v>45472</v>
      </c>
      <c r="D764" t="inlineStr">
        <is>
          <t>VÄRMLANDS LÄN</t>
        </is>
      </c>
      <c r="E764" t="inlineStr">
        <is>
          <t>TORSBY</t>
        </is>
      </c>
      <c r="G764" t="n">
        <v>4.1</v>
      </c>
      <c r="H764" t="n">
        <v>0</v>
      </c>
      <c r="I764" t="n">
        <v>0</v>
      </c>
      <c r="J764" t="n">
        <v>0</v>
      </c>
      <c r="K764" t="n">
        <v>0</v>
      </c>
      <c r="L764" t="n">
        <v>0</v>
      </c>
      <c r="M764" t="n">
        <v>0</v>
      </c>
      <c r="N764" t="n">
        <v>0</v>
      </c>
      <c r="O764" t="n">
        <v>0</v>
      </c>
      <c r="P764" t="n">
        <v>0</v>
      </c>
      <c r="Q764" t="n">
        <v>0</v>
      </c>
      <c r="R764" s="2" t="inlineStr"/>
    </row>
    <row r="765" ht="15" customHeight="1">
      <c r="A765" t="inlineStr">
        <is>
          <t>A 50100-2021</t>
        </is>
      </c>
      <c r="B765" s="1" t="n">
        <v>44456</v>
      </c>
      <c r="C765" s="1" t="n">
        <v>45472</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50596-2021</t>
        </is>
      </c>
      <c r="B766" s="1" t="n">
        <v>44459</v>
      </c>
      <c r="C766" s="1" t="n">
        <v>45472</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50549-2021</t>
        </is>
      </c>
      <c r="B767" s="1" t="n">
        <v>44459</v>
      </c>
      <c r="C767" s="1" t="n">
        <v>45472</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50988-2021</t>
        </is>
      </c>
      <c r="B768" s="1" t="n">
        <v>44460</v>
      </c>
      <c r="C768" s="1" t="n">
        <v>45472</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51505-2021</t>
        </is>
      </c>
      <c r="B769" s="1" t="n">
        <v>44460</v>
      </c>
      <c r="C769" s="1" t="n">
        <v>45472</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51494-2021</t>
        </is>
      </c>
      <c r="B770" s="1" t="n">
        <v>44460</v>
      </c>
      <c r="C770" s="1" t="n">
        <v>45472</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51510-2021</t>
        </is>
      </c>
      <c r="B771" s="1" t="n">
        <v>44460</v>
      </c>
      <c r="C771" s="1" t="n">
        <v>45472</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51099-2021</t>
        </is>
      </c>
      <c r="B772" s="1" t="n">
        <v>44461</v>
      </c>
      <c r="C772" s="1" t="n">
        <v>45472</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51247-2021</t>
        </is>
      </c>
      <c r="B773" s="1" t="n">
        <v>44461</v>
      </c>
      <c r="C773" s="1" t="n">
        <v>45472</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51372-2021</t>
        </is>
      </c>
      <c r="B774" s="1" t="n">
        <v>44461</v>
      </c>
      <c r="C774" s="1" t="n">
        <v>45472</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51819-2021</t>
        </is>
      </c>
      <c r="B775" s="1" t="n">
        <v>44462</v>
      </c>
      <c r="C775" s="1" t="n">
        <v>45472</v>
      </c>
      <c r="D775" t="inlineStr">
        <is>
          <t>VÄRMLANDS LÄN</t>
        </is>
      </c>
      <c r="E775" t="inlineStr">
        <is>
          <t>TORSBY</t>
        </is>
      </c>
      <c r="F775" t="inlineStr">
        <is>
          <t>Bergvik skog väst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51522-2021</t>
        </is>
      </c>
      <c r="B776" s="1" t="n">
        <v>44462</v>
      </c>
      <c r="C776" s="1" t="n">
        <v>45472</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52121-2021</t>
        </is>
      </c>
      <c r="B777" s="1" t="n">
        <v>44463</v>
      </c>
      <c r="C777" s="1" t="n">
        <v>45472</v>
      </c>
      <c r="D777" t="inlineStr">
        <is>
          <t>VÄRMLANDS LÄN</t>
        </is>
      </c>
      <c r="E777" t="inlineStr">
        <is>
          <t>TORSBY</t>
        </is>
      </c>
      <c r="G777" t="n">
        <v>0</v>
      </c>
      <c r="H777" t="n">
        <v>0</v>
      </c>
      <c r="I777" t="n">
        <v>0</v>
      </c>
      <c r="J777" t="n">
        <v>0</v>
      </c>
      <c r="K777" t="n">
        <v>0</v>
      </c>
      <c r="L777" t="n">
        <v>0</v>
      </c>
      <c r="M777" t="n">
        <v>0</v>
      </c>
      <c r="N777" t="n">
        <v>0</v>
      </c>
      <c r="O777" t="n">
        <v>0</v>
      </c>
      <c r="P777" t="n">
        <v>0</v>
      </c>
      <c r="Q777" t="n">
        <v>0</v>
      </c>
      <c r="R777" s="2" t="inlineStr"/>
    </row>
    <row r="778" ht="15" customHeight="1">
      <c r="A778" t="inlineStr">
        <is>
          <t>A 52520-2021</t>
        </is>
      </c>
      <c r="B778" s="1" t="n">
        <v>44466</v>
      </c>
      <c r="C778" s="1" t="n">
        <v>45472</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52728-2021</t>
        </is>
      </c>
      <c r="B779" s="1" t="n">
        <v>44467</v>
      </c>
      <c r="C779" s="1" t="n">
        <v>45472</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52900-2021</t>
        </is>
      </c>
      <c r="B780" s="1" t="n">
        <v>44467</v>
      </c>
      <c r="C780" s="1" t="n">
        <v>45472</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53705-2021</t>
        </is>
      </c>
      <c r="B781" s="1" t="n">
        <v>44469</v>
      </c>
      <c r="C781" s="1" t="n">
        <v>45472</v>
      </c>
      <c r="D781" t="inlineStr">
        <is>
          <t>VÄRMLANDS LÄN</t>
        </is>
      </c>
      <c r="E781" t="inlineStr">
        <is>
          <t>TORSBY</t>
        </is>
      </c>
      <c r="F781" t="inlineStr">
        <is>
          <t>Kyrkan</t>
        </is>
      </c>
      <c r="G781" t="n">
        <v>12.4</v>
      </c>
      <c r="H781" t="n">
        <v>0</v>
      </c>
      <c r="I781" t="n">
        <v>0</v>
      </c>
      <c r="J781" t="n">
        <v>0</v>
      </c>
      <c r="K781" t="n">
        <v>0</v>
      </c>
      <c r="L781" t="n">
        <v>0</v>
      </c>
      <c r="M781" t="n">
        <v>0</v>
      </c>
      <c r="N781" t="n">
        <v>0</v>
      </c>
      <c r="O781" t="n">
        <v>0</v>
      </c>
      <c r="P781" t="n">
        <v>0</v>
      </c>
      <c r="Q781" t="n">
        <v>0</v>
      </c>
      <c r="R781" s="2" t="inlineStr"/>
    </row>
    <row r="782" ht="15" customHeight="1">
      <c r="A782" t="inlineStr">
        <is>
          <t>A 54029-2021</t>
        </is>
      </c>
      <c r="B782" s="1" t="n">
        <v>44470</v>
      </c>
      <c r="C782" s="1" t="n">
        <v>45472</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54033-2021</t>
        </is>
      </c>
      <c r="B783" s="1" t="n">
        <v>44470</v>
      </c>
      <c r="C783" s="1" t="n">
        <v>45472</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45472</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55811-2021</t>
        </is>
      </c>
      <c r="B785" s="1" t="n">
        <v>44476</v>
      </c>
      <c r="C785" s="1" t="n">
        <v>45472</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56102-2021</t>
        </is>
      </c>
      <c r="B786" s="1" t="n">
        <v>44477</v>
      </c>
      <c r="C786" s="1" t="n">
        <v>45472</v>
      </c>
      <c r="D786" t="inlineStr">
        <is>
          <t>VÄRMLANDS LÄN</t>
        </is>
      </c>
      <c r="E786" t="inlineStr">
        <is>
          <t>TORSBY</t>
        </is>
      </c>
      <c r="G786" t="n">
        <v>4.6</v>
      </c>
      <c r="H786" t="n">
        <v>0</v>
      </c>
      <c r="I786" t="n">
        <v>0</v>
      </c>
      <c r="J786" t="n">
        <v>0</v>
      </c>
      <c r="K786" t="n">
        <v>0</v>
      </c>
      <c r="L786" t="n">
        <v>0</v>
      </c>
      <c r="M786" t="n">
        <v>0</v>
      </c>
      <c r="N786" t="n">
        <v>0</v>
      </c>
      <c r="O786" t="n">
        <v>0</v>
      </c>
      <c r="P786" t="n">
        <v>0</v>
      </c>
      <c r="Q786" t="n">
        <v>0</v>
      </c>
      <c r="R786" s="2" t="inlineStr"/>
    </row>
    <row r="787" ht="15" customHeight="1">
      <c r="A787" t="inlineStr">
        <is>
          <t>A 56037-2021</t>
        </is>
      </c>
      <c r="B787" s="1" t="n">
        <v>44477</v>
      </c>
      <c r="C787" s="1" t="n">
        <v>45472</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56062-2021</t>
        </is>
      </c>
      <c r="B788" s="1" t="n">
        <v>44477</v>
      </c>
      <c r="C788" s="1" t="n">
        <v>45472</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56981-2021</t>
        </is>
      </c>
      <c r="B789" s="1" t="n">
        <v>44482</v>
      </c>
      <c r="C789" s="1" t="n">
        <v>45472</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57287-2021</t>
        </is>
      </c>
      <c r="B790" s="1" t="n">
        <v>44482</v>
      </c>
      <c r="C790" s="1" t="n">
        <v>45472</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45472</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58479-2021</t>
        </is>
      </c>
      <c r="B792" s="1" t="n">
        <v>44488</v>
      </c>
      <c r="C792" s="1" t="n">
        <v>45472</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58476-2021</t>
        </is>
      </c>
      <c r="B793" s="1" t="n">
        <v>44488</v>
      </c>
      <c r="C793" s="1" t="n">
        <v>45472</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58543-2021</t>
        </is>
      </c>
      <c r="B794" s="1" t="n">
        <v>44488</v>
      </c>
      <c r="C794" s="1" t="n">
        <v>45472</v>
      </c>
      <c r="D794" t="inlineStr">
        <is>
          <t>VÄRMLANDS LÄN</t>
        </is>
      </c>
      <c r="E794" t="inlineStr">
        <is>
          <t>TORSBY</t>
        </is>
      </c>
      <c r="F794" t="inlineStr">
        <is>
          <t>Bergvik skog väst AB</t>
        </is>
      </c>
      <c r="G794" t="n">
        <v>7.1</v>
      </c>
      <c r="H794" t="n">
        <v>0</v>
      </c>
      <c r="I794" t="n">
        <v>0</v>
      </c>
      <c r="J794" t="n">
        <v>0</v>
      </c>
      <c r="K794" t="n">
        <v>0</v>
      </c>
      <c r="L794" t="n">
        <v>0</v>
      </c>
      <c r="M794" t="n">
        <v>0</v>
      </c>
      <c r="N794" t="n">
        <v>0</v>
      </c>
      <c r="O794" t="n">
        <v>0</v>
      </c>
      <c r="P794" t="n">
        <v>0</v>
      </c>
      <c r="Q794" t="n">
        <v>0</v>
      </c>
      <c r="R794" s="2" t="inlineStr"/>
    </row>
    <row r="795" ht="15" customHeight="1">
      <c r="A795" t="inlineStr">
        <is>
          <t>A 58728-2021</t>
        </is>
      </c>
      <c r="B795" s="1" t="n">
        <v>44489</v>
      </c>
      <c r="C795" s="1" t="n">
        <v>45472</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59425-2021</t>
        </is>
      </c>
      <c r="B796" s="1" t="n">
        <v>44491</v>
      </c>
      <c r="C796" s="1" t="n">
        <v>45472</v>
      </c>
      <c r="D796" t="inlineStr">
        <is>
          <t>VÄRMLANDS LÄN</t>
        </is>
      </c>
      <c r="E796" t="inlineStr">
        <is>
          <t>TORSBY</t>
        </is>
      </c>
      <c r="F796" t="inlineStr">
        <is>
          <t>Bergvik skog väst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60428-2021</t>
        </is>
      </c>
      <c r="B797" s="1" t="n">
        <v>44496</v>
      </c>
      <c r="C797" s="1" t="n">
        <v>45472</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60430-2021</t>
        </is>
      </c>
      <c r="B798" s="1" t="n">
        <v>44496</v>
      </c>
      <c r="C798" s="1" t="n">
        <v>45472</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60698-2021</t>
        </is>
      </c>
      <c r="B799" s="1" t="n">
        <v>44496</v>
      </c>
      <c r="C799" s="1" t="n">
        <v>45472</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61231-2021</t>
        </is>
      </c>
      <c r="B800" s="1" t="n">
        <v>44496</v>
      </c>
      <c r="C800" s="1" t="n">
        <v>45472</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61812-2021</t>
        </is>
      </c>
      <c r="B801" s="1" t="n">
        <v>44501</v>
      </c>
      <c r="C801" s="1" t="n">
        <v>45472</v>
      </c>
      <c r="D801" t="inlineStr">
        <is>
          <t>VÄRMLANDS LÄN</t>
        </is>
      </c>
      <c r="E801" t="inlineStr">
        <is>
          <t>TORSBY</t>
        </is>
      </c>
      <c r="G801" t="n">
        <v>5.3</v>
      </c>
      <c r="H801" t="n">
        <v>0</v>
      </c>
      <c r="I801" t="n">
        <v>0</v>
      </c>
      <c r="J801" t="n">
        <v>0</v>
      </c>
      <c r="K801" t="n">
        <v>0</v>
      </c>
      <c r="L801" t="n">
        <v>0</v>
      </c>
      <c r="M801" t="n">
        <v>0</v>
      </c>
      <c r="N801" t="n">
        <v>0</v>
      </c>
      <c r="O801" t="n">
        <v>0</v>
      </c>
      <c r="P801" t="n">
        <v>0</v>
      </c>
      <c r="Q801" t="n">
        <v>0</v>
      </c>
      <c r="R801" s="2" t="inlineStr"/>
    </row>
    <row r="802" ht="15" customHeight="1">
      <c r="A802" t="inlineStr">
        <is>
          <t>A 61809-2021</t>
        </is>
      </c>
      <c r="B802" s="1" t="n">
        <v>44501</v>
      </c>
      <c r="C802" s="1" t="n">
        <v>45472</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62045-2021</t>
        </is>
      </c>
      <c r="B803" s="1" t="n">
        <v>44502</v>
      </c>
      <c r="C803" s="1" t="n">
        <v>45472</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62039-2021</t>
        </is>
      </c>
      <c r="B804" s="1" t="n">
        <v>44502</v>
      </c>
      <c r="C804" s="1" t="n">
        <v>45472</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62576-2021</t>
        </is>
      </c>
      <c r="B805" s="1" t="n">
        <v>44502</v>
      </c>
      <c r="C805" s="1" t="n">
        <v>45472</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62845-2021</t>
        </is>
      </c>
      <c r="B806" s="1" t="n">
        <v>44504</v>
      </c>
      <c r="C806" s="1" t="n">
        <v>45472</v>
      </c>
      <c r="D806" t="inlineStr">
        <is>
          <t>VÄRMLANDS LÄN</t>
        </is>
      </c>
      <c r="E806" t="inlineStr">
        <is>
          <t>TORSBY</t>
        </is>
      </c>
      <c r="G806" t="n">
        <v>4.3</v>
      </c>
      <c r="H806" t="n">
        <v>0</v>
      </c>
      <c r="I806" t="n">
        <v>0</v>
      </c>
      <c r="J806" t="n">
        <v>0</v>
      </c>
      <c r="K806" t="n">
        <v>0</v>
      </c>
      <c r="L806" t="n">
        <v>0</v>
      </c>
      <c r="M806" t="n">
        <v>0</v>
      </c>
      <c r="N806" t="n">
        <v>0</v>
      </c>
      <c r="O806" t="n">
        <v>0</v>
      </c>
      <c r="P806" t="n">
        <v>0</v>
      </c>
      <c r="Q806" t="n">
        <v>0</v>
      </c>
      <c r="R806" s="2" t="inlineStr"/>
    </row>
    <row r="807" ht="15" customHeight="1">
      <c r="A807" t="inlineStr">
        <is>
          <t>A 63251-2021</t>
        </is>
      </c>
      <c r="B807" s="1" t="n">
        <v>44508</v>
      </c>
      <c r="C807" s="1" t="n">
        <v>45472</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63527-2021</t>
        </is>
      </c>
      <c r="B808" s="1" t="n">
        <v>44508</v>
      </c>
      <c r="C808" s="1" t="n">
        <v>45472</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64780-2021</t>
        </is>
      </c>
      <c r="B809" s="1" t="n">
        <v>44512</v>
      </c>
      <c r="C809" s="1" t="n">
        <v>45472</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64902-2021</t>
        </is>
      </c>
      <c r="B810" s="1" t="n">
        <v>44512</v>
      </c>
      <c r="C810" s="1" t="n">
        <v>45472</v>
      </c>
      <c r="D810" t="inlineStr">
        <is>
          <t>VÄRMLANDS LÄN</t>
        </is>
      </c>
      <c r="E810" t="inlineStr">
        <is>
          <t>TORSBY</t>
        </is>
      </c>
      <c r="G810" t="n">
        <v>6.1</v>
      </c>
      <c r="H810" t="n">
        <v>0</v>
      </c>
      <c r="I810" t="n">
        <v>0</v>
      </c>
      <c r="J810" t="n">
        <v>0</v>
      </c>
      <c r="K810" t="n">
        <v>0</v>
      </c>
      <c r="L810" t="n">
        <v>0</v>
      </c>
      <c r="M810" t="n">
        <v>0</v>
      </c>
      <c r="N810" t="n">
        <v>0</v>
      </c>
      <c r="O810" t="n">
        <v>0</v>
      </c>
      <c r="P810" t="n">
        <v>0</v>
      </c>
      <c r="Q810" t="n">
        <v>0</v>
      </c>
      <c r="R810" s="2" t="inlineStr"/>
    </row>
    <row r="811" ht="15" customHeight="1">
      <c r="A811" t="inlineStr">
        <is>
          <t>A 65182-2021</t>
        </is>
      </c>
      <c r="B811" s="1" t="n">
        <v>44515</v>
      </c>
      <c r="C811" s="1" t="n">
        <v>45472</v>
      </c>
      <c r="D811" t="inlineStr">
        <is>
          <t>VÄRMLANDS LÄN</t>
        </is>
      </c>
      <c r="E811" t="inlineStr">
        <is>
          <t>TORSBY</t>
        </is>
      </c>
      <c r="G811" t="n">
        <v>5.9</v>
      </c>
      <c r="H811" t="n">
        <v>0</v>
      </c>
      <c r="I811" t="n">
        <v>0</v>
      </c>
      <c r="J811" t="n">
        <v>0</v>
      </c>
      <c r="K811" t="n">
        <v>0</v>
      </c>
      <c r="L811" t="n">
        <v>0</v>
      </c>
      <c r="M811" t="n">
        <v>0</v>
      </c>
      <c r="N811" t="n">
        <v>0</v>
      </c>
      <c r="O811" t="n">
        <v>0</v>
      </c>
      <c r="P811" t="n">
        <v>0</v>
      </c>
      <c r="Q811" t="n">
        <v>0</v>
      </c>
      <c r="R811" s="2" t="inlineStr"/>
    </row>
    <row r="812" ht="15" customHeight="1">
      <c r="A812" t="inlineStr">
        <is>
          <t>A 65301-2021</t>
        </is>
      </c>
      <c r="B812" s="1" t="n">
        <v>44515</v>
      </c>
      <c r="C812" s="1" t="n">
        <v>45472</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65537-2021</t>
        </is>
      </c>
      <c r="B813" s="1" t="n">
        <v>44516</v>
      </c>
      <c r="C813" s="1" t="n">
        <v>45472</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65713-2021</t>
        </is>
      </c>
      <c r="B814" s="1" t="n">
        <v>44516</v>
      </c>
      <c r="C814" s="1" t="n">
        <v>45472</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65705-2021</t>
        </is>
      </c>
      <c r="B815" s="1" t="n">
        <v>44516</v>
      </c>
      <c r="C815" s="1" t="n">
        <v>45472</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65959-2021</t>
        </is>
      </c>
      <c r="B816" s="1" t="n">
        <v>44517</v>
      </c>
      <c r="C816" s="1" t="n">
        <v>45472</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65998-2021</t>
        </is>
      </c>
      <c r="B817" s="1" t="n">
        <v>44517</v>
      </c>
      <c r="C817" s="1" t="n">
        <v>45472</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66103-2021</t>
        </is>
      </c>
      <c r="B818" s="1" t="n">
        <v>44517</v>
      </c>
      <c r="C818" s="1" t="n">
        <v>45472</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66133-2021</t>
        </is>
      </c>
      <c r="B819" s="1" t="n">
        <v>44517</v>
      </c>
      <c r="C819" s="1" t="n">
        <v>45472</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45472</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67006-2021</t>
        </is>
      </c>
      <c r="B821" s="1" t="n">
        <v>44522</v>
      </c>
      <c r="C821" s="1" t="n">
        <v>45472</v>
      </c>
      <c r="D821" t="inlineStr">
        <is>
          <t>VÄRMLANDS LÄN</t>
        </is>
      </c>
      <c r="E821" t="inlineStr">
        <is>
          <t>TORSBY</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67147-2021</t>
        </is>
      </c>
      <c r="B822" s="1" t="n">
        <v>44523</v>
      </c>
      <c r="C822" s="1" t="n">
        <v>45472</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67172-2021</t>
        </is>
      </c>
      <c r="B823" s="1" t="n">
        <v>44523</v>
      </c>
      <c r="C823" s="1" t="n">
        <v>45472</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67567-2021</t>
        </is>
      </c>
      <c r="B824" s="1" t="n">
        <v>44524</v>
      </c>
      <c r="C824" s="1" t="n">
        <v>45472</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67457-2021</t>
        </is>
      </c>
      <c r="B825" s="1" t="n">
        <v>44524</v>
      </c>
      <c r="C825" s="1" t="n">
        <v>45472</v>
      </c>
      <c r="D825" t="inlineStr">
        <is>
          <t>VÄRMLANDS LÄN</t>
        </is>
      </c>
      <c r="E825" t="inlineStr">
        <is>
          <t>TORSBY</t>
        </is>
      </c>
      <c r="G825" t="n">
        <v>7.6</v>
      </c>
      <c r="H825" t="n">
        <v>0</v>
      </c>
      <c r="I825" t="n">
        <v>0</v>
      </c>
      <c r="J825" t="n">
        <v>0</v>
      </c>
      <c r="K825" t="n">
        <v>0</v>
      </c>
      <c r="L825" t="n">
        <v>0</v>
      </c>
      <c r="M825" t="n">
        <v>0</v>
      </c>
      <c r="N825" t="n">
        <v>0</v>
      </c>
      <c r="O825" t="n">
        <v>0</v>
      </c>
      <c r="P825" t="n">
        <v>0</v>
      </c>
      <c r="Q825" t="n">
        <v>0</v>
      </c>
      <c r="R825" s="2" t="inlineStr"/>
    </row>
    <row r="826" ht="15" customHeight="1">
      <c r="A826" t="inlineStr">
        <is>
          <t>A 67933-2021</t>
        </is>
      </c>
      <c r="B826" s="1" t="n">
        <v>44525</v>
      </c>
      <c r="C826" s="1" t="n">
        <v>45472</v>
      </c>
      <c r="D826" t="inlineStr">
        <is>
          <t>VÄRMLANDS LÄN</t>
        </is>
      </c>
      <c r="E826" t="inlineStr">
        <is>
          <t>TORSBY</t>
        </is>
      </c>
      <c r="F826" t="inlineStr">
        <is>
          <t>Bergvik skog väst AB</t>
        </is>
      </c>
      <c r="G826" t="n">
        <v>4</v>
      </c>
      <c r="H826" t="n">
        <v>0</v>
      </c>
      <c r="I826" t="n">
        <v>0</v>
      </c>
      <c r="J826" t="n">
        <v>0</v>
      </c>
      <c r="K826" t="n">
        <v>0</v>
      </c>
      <c r="L826" t="n">
        <v>0</v>
      </c>
      <c r="M826" t="n">
        <v>0</v>
      </c>
      <c r="N826" t="n">
        <v>0</v>
      </c>
      <c r="O826" t="n">
        <v>0</v>
      </c>
      <c r="P826" t="n">
        <v>0</v>
      </c>
      <c r="Q826" t="n">
        <v>0</v>
      </c>
      <c r="R826" s="2" t="inlineStr"/>
    </row>
    <row r="827" ht="15" customHeight="1">
      <c r="A827" t="inlineStr">
        <is>
          <t>A 67913-2021</t>
        </is>
      </c>
      <c r="B827" s="1" t="n">
        <v>44525</v>
      </c>
      <c r="C827" s="1" t="n">
        <v>45472</v>
      </c>
      <c r="D827" t="inlineStr">
        <is>
          <t>VÄRMLANDS LÄN</t>
        </is>
      </c>
      <c r="E827" t="inlineStr">
        <is>
          <t>TORSBY</t>
        </is>
      </c>
      <c r="F827" t="inlineStr">
        <is>
          <t>Bergvik skog väst AB</t>
        </is>
      </c>
      <c r="G827" t="n">
        <v>8</v>
      </c>
      <c r="H827" t="n">
        <v>0</v>
      </c>
      <c r="I827" t="n">
        <v>0</v>
      </c>
      <c r="J827" t="n">
        <v>0</v>
      </c>
      <c r="K827" t="n">
        <v>0</v>
      </c>
      <c r="L827" t="n">
        <v>0</v>
      </c>
      <c r="M827" t="n">
        <v>0</v>
      </c>
      <c r="N827" t="n">
        <v>0</v>
      </c>
      <c r="O827" t="n">
        <v>0</v>
      </c>
      <c r="P827" t="n">
        <v>0</v>
      </c>
      <c r="Q827" t="n">
        <v>0</v>
      </c>
      <c r="R827" s="2" t="inlineStr"/>
    </row>
    <row r="828" ht="15" customHeight="1">
      <c r="A828" t="inlineStr">
        <is>
          <t>A 69279-2021</t>
        </is>
      </c>
      <c r="B828" s="1" t="n">
        <v>44526</v>
      </c>
      <c r="C828" s="1" t="n">
        <v>45472</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69265-2021</t>
        </is>
      </c>
      <c r="B829" s="1" t="n">
        <v>44526</v>
      </c>
      <c r="C829" s="1" t="n">
        <v>45472</v>
      </c>
      <c r="D829" t="inlineStr">
        <is>
          <t>VÄRMLANDS LÄN</t>
        </is>
      </c>
      <c r="E829" t="inlineStr">
        <is>
          <t>TORSBY</t>
        </is>
      </c>
      <c r="G829" t="n">
        <v>11.1</v>
      </c>
      <c r="H829" t="n">
        <v>0</v>
      </c>
      <c r="I829" t="n">
        <v>0</v>
      </c>
      <c r="J829" t="n">
        <v>0</v>
      </c>
      <c r="K829" t="n">
        <v>0</v>
      </c>
      <c r="L829" t="n">
        <v>0</v>
      </c>
      <c r="M829" t="n">
        <v>0</v>
      </c>
      <c r="N829" t="n">
        <v>0</v>
      </c>
      <c r="O829" t="n">
        <v>0</v>
      </c>
      <c r="P829" t="n">
        <v>0</v>
      </c>
      <c r="Q829" t="n">
        <v>0</v>
      </c>
      <c r="R829" s="2" t="inlineStr"/>
    </row>
    <row r="830" ht="15" customHeight="1">
      <c r="A830" t="inlineStr">
        <is>
          <t>A 69275-2021</t>
        </is>
      </c>
      <c r="B830" s="1" t="n">
        <v>44526</v>
      </c>
      <c r="C830" s="1" t="n">
        <v>45472</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68153-2021</t>
        </is>
      </c>
      <c r="B831" s="1" t="n">
        <v>44526</v>
      </c>
      <c r="C831" s="1" t="n">
        <v>45472</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69281-2021</t>
        </is>
      </c>
      <c r="B832" s="1" t="n">
        <v>44526</v>
      </c>
      <c r="C832" s="1" t="n">
        <v>45472</v>
      </c>
      <c r="D832" t="inlineStr">
        <is>
          <t>VÄRMLANDS LÄN</t>
        </is>
      </c>
      <c r="E832" t="inlineStr">
        <is>
          <t>TORSBY</t>
        </is>
      </c>
      <c r="G832" t="n">
        <v>7.5</v>
      </c>
      <c r="H832" t="n">
        <v>0</v>
      </c>
      <c r="I832" t="n">
        <v>0</v>
      </c>
      <c r="J832" t="n">
        <v>0</v>
      </c>
      <c r="K832" t="n">
        <v>0</v>
      </c>
      <c r="L832" t="n">
        <v>0</v>
      </c>
      <c r="M832" t="n">
        <v>0</v>
      </c>
      <c r="N832" t="n">
        <v>0</v>
      </c>
      <c r="O832" t="n">
        <v>0</v>
      </c>
      <c r="P832" t="n">
        <v>0</v>
      </c>
      <c r="Q832" t="n">
        <v>0</v>
      </c>
      <c r="R832" s="2" t="inlineStr"/>
    </row>
    <row r="833" ht="15" customHeight="1">
      <c r="A833" t="inlineStr">
        <is>
          <t>A 68266-2021</t>
        </is>
      </c>
      <c r="B833" s="1" t="n">
        <v>44526</v>
      </c>
      <c r="C833" s="1" t="n">
        <v>45472</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68136-2021</t>
        </is>
      </c>
      <c r="B834" s="1" t="n">
        <v>44526</v>
      </c>
      <c r="C834" s="1" t="n">
        <v>45472</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68650-2021</t>
        </is>
      </c>
      <c r="B835" s="1" t="n">
        <v>44529</v>
      </c>
      <c r="C835" s="1" t="n">
        <v>45472</v>
      </c>
      <c r="D835" t="inlineStr">
        <is>
          <t>VÄRMLANDS LÄN</t>
        </is>
      </c>
      <c r="E835" t="inlineStr">
        <is>
          <t>TORSBY</t>
        </is>
      </c>
      <c r="F835" t="inlineStr">
        <is>
          <t>Bergvik skog väst AB</t>
        </is>
      </c>
      <c r="G835" t="n">
        <v>8.6</v>
      </c>
      <c r="H835" t="n">
        <v>0</v>
      </c>
      <c r="I835" t="n">
        <v>0</v>
      </c>
      <c r="J835" t="n">
        <v>0</v>
      </c>
      <c r="K835" t="n">
        <v>0</v>
      </c>
      <c r="L835" t="n">
        <v>0</v>
      </c>
      <c r="M835" t="n">
        <v>0</v>
      </c>
      <c r="N835" t="n">
        <v>0</v>
      </c>
      <c r="O835" t="n">
        <v>0</v>
      </c>
      <c r="P835" t="n">
        <v>0</v>
      </c>
      <c r="Q835" t="n">
        <v>0</v>
      </c>
      <c r="R835" s="2" t="inlineStr"/>
    </row>
    <row r="836" ht="15" customHeight="1">
      <c r="A836" t="inlineStr">
        <is>
          <t>A 68850-2021</t>
        </is>
      </c>
      <c r="B836" s="1" t="n">
        <v>44530</v>
      </c>
      <c r="C836" s="1" t="n">
        <v>45472</v>
      </c>
      <c r="D836" t="inlineStr">
        <is>
          <t>VÄRMLANDS LÄN</t>
        </is>
      </c>
      <c r="E836" t="inlineStr">
        <is>
          <t>TORSBY</t>
        </is>
      </c>
      <c r="G836" t="n">
        <v>13.1</v>
      </c>
      <c r="H836" t="n">
        <v>0</v>
      </c>
      <c r="I836" t="n">
        <v>0</v>
      </c>
      <c r="J836" t="n">
        <v>0</v>
      </c>
      <c r="K836" t="n">
        <v>0</v>
      </c>
      <c r="L836" t="n">
        <v>0</v>
      </c>
      <c r="M836" t="n">
        <v>0</v>
      </c>
      <c r="N836" t="n">
        <v>0</v>
      </c>
      <c r="O836" t="n">
        <v>0</v>
      </c>
      <c r="P836" t="n">
        <v>0</v>
      </c>
      <c r="Q836" t="n">
        <v>0</v>
      </c>
      <c r="R836" s="2" t="inlineStr"/>
    </row>
    <row r="837" ht="15" customHeight="1">
      <c r="A837" t="inlineStr">
        <is>
          <t>A 68855-2021</t>
        </is>
      </c>
      <c r="B837" s="1" t="n">
        <v>44530</v>
      </c>
      <c r="C837" s="1" t="n">
        <v>45472</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69026-2021</t>
        </is>
      </c>
      <c r="B838" s="1" t="n">
        <v>44530</v>
      </c>
      <c r="C838" s="1" t="n">
        <v>45472</v>
      </c>
      <c r="D838" t="inlineStr">
        <is>
          <t>VÄRMLANDS LÄN</t>
        </is>
      </c>
      <c r="E838" t="inlineStr">
        <is>
          <t>TORSBY</t>
        </is>
      </c>
      <c r="F838" t="inlineStr">
        <is>
          <t>Bergvik skog väst AB</t>
        </is>
      </c>
      <c r="G838" t="n">
        <v>11.3</v>
      </c>
      <c r="H838" t="n">
        <v>0</v>
      </c>
      <c r="I838" t="n">
        <v>0</v>
      </c>
      <c r="J838" t="n">
        <v>0</v>
      </c>
      <c r="K838" t="n">
        <v>0</v>
      </c>
      <c r="L838" t="n">
        <v>0</v>
      </c>
      <c r="M838" t="n">
        <v>0</v>
      </c>
      <c r="N838" t="n">
        <v>0</v>
      </c>
      <c r="O838" t="n">
        <v>0</v>
      </c>
      <c r="P838" t="n">
        <v>0</v>
      </c>
      <c r="Q838" t="n">
        <v>0</v>
      </c>
      <c r="R838" s="2" t="inlineStr"/>
    </row>
    <row r="839" ht="15" customHeight="1">
      <c r="A839" t="inlineStr">
        <is>
          <t>A 69086-2021</t>
        </is>
      </c>
      <c r="B839" s="1" t="n">
        <v>44530</v>
      </c>
      <c r="C839" s="1" t="n">
        <v>45472</v>
      </c>
      <c r="D839" t="inlineStr">
        <is>
          <t>VÄRMLANDS LÄN</t>
        </is>
      </c>
      <c r="E839" t="inlineStr">
        <is>
          <t>TORSBY</t>
        </is>
      </c>
      <c r="F839" t="inlineStr">
        <is>
          <t>Bergvik skog väst AB</t>
        </is>
      </c>
      <c r="G839" t="n">
        <v>3.3</v>
      </c>
      <c r="H839" t="n">
        <v>0</v>
      </c>
      <c r="I839" t="n">
        <v>0</v>
      </c>
      <c r="J839" t="n">
        <v>0</v>
      </c>
      <c r="K839" t="n">
        <v>0</v>
      </c>
      <c r="L839" t="n">
        <v>0</v>
      </c>
      <c r="M839" t="n">
        <v>0</v>
      </c>
      <c r="N839" t="n">
        <v>0</v>
      </c>
      <c r="O839" t="n">
        <v>0</v>
      </c>
      <c r="P839" t="n">
        <v>0</v>
      </c>
      <c r="Q839" t="n">
        <v>0</v>
      </c>
      <c r="R839" s="2" t="inlineStr"/>
    </row>
    <row r="840" ht="15" customHeight="1">
      <c r="A840" t="inlineStr">
        <is>
          <t>A 69877-2021</t>
        </is>
      </c>
      <c r="B840" s="1" t="n">
        <v>44532</v>
      </c>
      <c r="C840" s="1" t="n">
        <v>45472</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69878-2021</t>
        </is>
      </c>
      <c r="B841" s="1" t="n">
        <v>44532</v>
      </c>
      <c r="C841" s="1" t="n">
        <v>45472</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70166-2021</t>
        </is>
      </c>
      <c r="B842" s="1" t="n">
        <v>44533</v>
      </c>
      <c r="C842" s="1" t="n">
        <v>45472</v>
      </c>
      <c r="D842" t="inlineStr">
        <is>
          <t>VÄRMLANDS LÄN</t>
        </is>
      </c>
      <c r="E842" t="inlineStr">
        <is>
          <t>TORSBY</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69974-2021</t>
        </is>
      </c>
      <c r="B843" s="1" t="n">
        <v>44533</v>
      </c>
      <c r="C843" s="1" t="n">
        <v>45472</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45472</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70253-2021</t>
        </is>
      </c>
      <c r="B845" s="1" t="n">
        <v>44536</v>
      </c>
      <c r="C845" s="1" t="n">
        <v>45472</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70658-2021</t>
        </is>
      </c>
      <c r="B846" s="1" t="n">
        <v>44537</v>
      </c>
      <c r="C846" s="1" t="n">
        <v>45472</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70787-2021</t>
        </is>
      </c>
      <c r="B847" s="1" t="n">
        <v>44537</v>
      </c>
      <c r="C847" s="1" t="n">
        <v>45472</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70775-2021</t>
        </is>
      </c>
      <c r="B848" s="1" t="n">
        <v>44537</v>
      </c>
      <c r="C848" s="1" t="n">
        <v>45472</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70785-2021</t>
        </is>
      </c>
      <c r="B849" s="1" t="n">
        <v>44537</v>
      </c>
      <c r="C849" s="1" t="n">
        <v>45472</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70978-2021</t>
        </is>
      </c>
      <c r="B850" s="1" t="n">
        <v>44537</v>
      </c>
      <c r="C850" s="1" t="n">
        <v>45472</v>
      </c>
      <c r="D850" t="inlineStr">
        <is>
          <t>VÄRMLANDS LÄN</t>
        </is>
      </c>
      <c r="E850" t="inlineStr">
        <is>
          <t>TORSBY</t>
        </is>
      </c>
      <c r="G850" t="n">
        <v>12.6</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45472</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70924-2021</t>
        </is>
      </c>
      <c r="B852" s="1" t="n">
        <v>44538</v>
      </c>
      <c r="C852" s="1" t="n">
        <v>45472</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71255-2021</t>
        </is>
      </c>
      <c r="B853" s="1" t="n">
        <v>44538</v>
      </c>
      <c r="C853" s="1" t="n">
        <v>45472</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71084-2021</t>
        </is>
      </c>
      <c r="B854" s="1" t="n">
        <v>44539</v>
      </c>
      <c r="C854" s="1" t="n">
        <v>45472</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71469-2021</t>
        </is>
      </c>
      <c r="B855" s="1" t="n">
        <v>44540</v>
      </c>
      <c r="C855" s="1" t="n">
        <v>45472</v>
      </c>
      <c r="D855" t="inlineStr">
        <is>
          <t>VÄRMLANDS LÄN</t>
        </is>
      </c>
      <c r="E855" t="inlineStr">
        <is>
          <t>TORSBY</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71679-2021</t>
        </is>
      </c>
      <c r="B856" s="1" t="n">
        <v>44543</v>
      </c>
      <c r="C856" s="1" t="n">
        <v>45472</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71990-2021</t>
        </is>
      </c>
      <c r="B857" s="1" t="n">
        <v>44544</v>
      </c>
      <c r="C857" s="1" t="n">
        <v>45472</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72200-2021</t>
        </is>
      </c>
      <c r="B858" s="1" t="n">
        <v>44544</v>
      </c>
      <c r="C858" s="1" t="n">
        <v>45472</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72250-2021</t>
        </is>
      </c>
      <c r="B859" s="1" t="n">
        <v>44544</v>
      </c>
      <c r="C859" s="1" t="n">
        <v>45472</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73055-2021</t>
        </is>
      </c>
      <c r="B860" s="1" t="n">
        <v>44550</v>
      </c>
      <c r="C860" s="1" t="n">
        <v>45472</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73324-2021</t>
        </is>
      </c>
      <c r="B861" s="1" t="n">
        <v>44550</v>
      </c>
      <c r="C861" s="1" t="n">
        <v>45472</v>
      </c>
      <c r="D861" t="inlineStr">
        <is>
          <t>VÄRMLANDS LÄN</t>
        </is>
      </c>
      <c r="E861" t="inlineStr">
        <is>
          <t>TORSBY</t>
        </is>
      </c>
      <c r="G861" t="n">
        <v>9.9</v>
      </c>
      <c r="H861" t="n">
        <v>0</v>
      </c>
      <c r="I861" t="n">
        <v>0</v>
      </c>
      <c r="J861" t="n">
        <v>0</v>
      </c>
      <c r="K861" t="n">
        <v>0</v>
      </c>
      <c r="L861" t="n">
        <v>0</v>
      </c>
      <c r="M861" t="n">
        <v>0</v>
      </c>
      <c r="N861" t="n">
        <v>0</v>
      </c>
      <c r="O861" t="n">
        <v>0</v>
      </c>
      <c r="P861" t="n">
        <v>0</v>
      </c>
      <c r="Q861" t="n">
        <v>0</v>
      </c>
      <c r="R861" s="2" t="inlineStr"/>
    </row>
    <row r="862" ht="15" customHeight="1">
      <c r="A862" t="inlineStr">
        <is>
          <t>A 73165-2021</t>
        </is>
      </c>
      <c r="B862" s="1" t="n">
        <v>44550</v>
      </c>
      <c r="C862" s="1" t="n">
        <v>45472</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73442-2021</t>
        </is>
      </c>
      <c r="B863" s="1" t="n">
        <v>44551</v>
      </c>
      <c r="C863" s="1" t="n">
        <v>45472</v>
      </c>
      <c r="D863" t="inlineStr">
        <is>
          <t>VÄRMLANDS LÄN</t>
        </is>
      </c>
      <c r="E863" t="inlineStr">
        <is>
          <t>TORSBY</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73553-2021</t>
        </is>
      </c>
      <c r="B864" s="1" t="n">
        <v>44551</v>
      </c>
      <c r="C864" s="1" t="n">
        <v>45472</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73521-2021</t>
        </is>
      </c>
      <c r="B865" s="1" t="n">
        <v>44551</v>
      </c>
      <c r="C865" s="1" t="n">
        <v>45472</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73882-2021</t>
        </is>
      </c>
      <c r="B866" s="1" t="n">
        <v>44553</v>
      </c>
      <c r="C866" s="1" t="n">
        <v>45472</v>
      </c>
      <c r="D866" t="inlineStr">
        <is>
          <t>VÄRMLANDS LÄN</t>
        </is>
      </c>
      <c r="E866" t="inlineStr">
        <is>
          <t>TORSBY</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73874-2021</t>
        </is>
      </c>
      <c r="B867" s="1" t="n">
        <v>44553</v>
      </c>
      <c r="C867" s="1" t="n">
        <v>45472</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74012-2021</t>
        </is>
      </c>
      <c r="B868" s="1" t="n">
        <v>44553</v>
      </c>
      <c r="C868" s="1" t="n">
        <v>45472</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74079-2021</t>
        </is>
      </c>
      <c r="B869" s="1" t="n">
        <v>44557</v>
      </c>
      <c r="C869" s="1" t="n">
        <v>45472</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74375-2021</t>
        </is>
      </c>
      <c r="B870" s="1" t="n">
        <v>44559</v>
      </c>
      <c r="C870" s="1" t="n">
        <v>45472</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74374-2021</t>
        </is>
      </c>
      <c r="B871" s="1" t="n">
        <v>44559</v>
      </c>
      <c r="C871" s="1" t="n">
        <v>45472</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74351-2021</t>
        </is>
      </c>
      <c r="B872" s="1" t="n">
        <v>44559</v>
      </c>
      <c r="C872" s="1" t="n">
        <v>45472</v>
      </c>
      <c r="D872" t="inlineStr">
        <is>
          <t>VÄRMLANDS LÄN</t>
        </is>
      </c>
      <c r="E872" t="inlineStr">
        <is>
          <t>TORSBY</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361-2022</t>
        </is>
      </c>
      <c r="B873" s="1" t="n">
        <v>44565</v>
      </c>
      <c r="C873" s="1" t="n">
        <v>45472</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739-2022</t>
        </is>
      </c>
      <c r="B874" s="1" t="n">
        <v>44568</v>
      </c>
      <c r="C874" s="1" t="n">
        <v>45472</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997-2022</t>
        </is>
      </c>
      <c r="B875" s="1" t="n">
        <v>44571</v>
      </c>
      <c r="C875" s="1" t="n">
        <v>45472</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1839-2022</t>
        </is>
      </c>
      <c r="B876" s="1" t="n">
        <v>44574</v>
      </c>
      <c r="C876" s="1" t="n">
        <v>45472</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1911-2022</t>
        </is>
      </c>
      <c r="B877" s="1" t="n">
        <v>44575</v>
      </c>
      <c r="C877" s="1" t="n">
        <v>45472</v>
      </c>
      <c r="D877" t="inlineStr">
        <is>
          <t>VÄRMLANDS LÄN</t>
        </is>
      </c>
      <c r="E877" t="inlineStr">
        <is>
          <t>TORSBY</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2414-2022</t>
        </is>
      </c>
      <c r="B878" s="1" t="n">
        <v>44579</v>
      </c>
      <c r="C878" s="1" t="n">
        <v>45472</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2421-2022</t>
        </is>
      </c>
      <c r="B879" s="1" t="n">
        <v>44579</v>
      </c>
      <c r="C879" s="1" t="n">
        <v>45472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2699-2022</t>
        </is>
      </c>
      <c r="B880" s="1" t="n">
        <v>44580</v>
      </c>
      <c r="C880" s="1" t="n">
        <v>45472</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3071-2022</t>
        </is>
      </c>
      <c r="B881" s="1" t="n">
        <v>44582</v>
      </c>
      <c r="C881" s="1" t="n">
        <v>45472</v>
      </c>
      <c r="D881" t="inlineStr">
        <is>
          <t>VÄRMLANDS LÄN</t>
        </is>
      </c>
      <c r="E881" t="inlineStr">
        <is>
          <t>TORSBY</t>
        </is>
      </c>
      <c r="G881" t="n">
        <v>7.9</v>
      </c>
      <c r="H881" t="n">
        <v>0</v>
      </c>
      <c r="I881" t="n">
        <v>0</v>
      </c>
      <c r="J881" t="n">
        <v>0</v>
      </c>
      <c r="K881" t="n">
        <v>0</v>
      </c>
      <c r="L881" t="n">
        <v>0</v>
      </c>
      <c r="M881" t="n">
        <v>0</v>
      </c>
      <c r="N881" t="n">
        <v>0</v>
      </c>
      <c r="O881" t="n">
        <v>0</v>
      </c>
      <c r="P881" t="n">
        <v>0</v>
      </c>
      <c r="Q881" t="n">
        <v>0</v>
      </c>
      <c r="R881" s="2" t="inlineStr"/>
    </row>
    <row r="882" ht="15" customHeight="1">
      <c r="A882" t="inlineStr">
        <is>
          <t>A 3369-2022</t>
        </is>
      </c>
      <c r="B882" s="1" t="n">
        <v>44585</v>
      </c>
      <c r="C882" s="1" t="n">
        <v>45472</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3385-2022</t>
        </is>
      </c>
      <c r="B883" s="1" t="n">
        <v>44585</v>
      </c>
      <c r="C883" s="1" t="n">
        <v>45472</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3397-2022</t>
        </is>
      </c>
      <c r="B884" s="1" t="n">
        <v>44585</v>
      </c>
      <c r="C884" s="1" t="n">
        <v>45472</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3387-2022</t>
        </is>
      </c>
      <c r="B885" s="1" t="n">
        <v>44585</v>
      </c>
      <c r="C885" s="1" t="n">
        <v>45472</v>
      </c>
      <c r="D885" t="inlineStr">
        <is>
          <t>VÄRMLANDS LÄN</t>
        </is>
      </c>
      <c r="E885" t="inlineStr">
        <is>
          <t>TORSBY</t>
        </is>
      </c>
      <c r="G885" t="n">
        <v>4.8</v>
      </c>
      <c r="H885" t="n">
        <v>0</v>
      </c>
      <c r="I885" t="n">
        <v>0</v>
      </c>
      <c r="J885" t="n">
        <v>0</v>
      </c>
      <c r="K885" t="n">
        <v>0</v>
      </c>
      <c r="L885" t="n">
        <v>0</v>
      </c>
      <c r="M885" t="n">
        <v>0</v>
      </c>
      <c r="N885" t="n">
        <v>0</v>
      </c>
      <c r="O885" t="n">
        <v>0</v>
      </c>
      <c r="P885" t="n">
        <v>0</v>
      </c>
      <c r="Q885" t="n">
        <v>0</v>
      </c>
      <c r="R885" s="2" t="inlineStr"/>
    </row>
    <row r="886" ht="15" customHeight="1">
      <c r="A886" t="inlineStr">
        <is>
          <t>A 3382-2022</t>
        </is>
      </c>
      <c r="B886" s="1" t="n">
        <v>44585</v>
      </c>
      <c r="C886" s="1" t="n">
        <v>45472</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3390-2022</t>
        </is>
      </c>
      <c r="B887" s="1" t="n">
        <v>44585</v>
      </c>
      <c r="C887" s="1" t="n">
        <v>45472</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3393-2022</t>
        </is>
      </c>
      <c r="B888" s="1" t="n">
        <v>44585</v>
      </c>
      <c r="C888" s="1" t="n">
        <v>45472</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3749-2022</t>
        </is>
      </c>
      <c r="B889" s="1" t="n">
        <v>44586</v>
      </c>
      <c r="C889" s="1" t="n">
        <v>45472</v>
      </c>
      <c r="D889" t="inlineStr">
        <is>
          <t>VÄRMLANDS LÄN</t>
        </is>
      </c>
      <c r="E889" t="inlineStr">
        <is>
          <t>TORSBY</t>
        </is>
      </c>
      <c r="G889" t="n">
        <v>6.3</v>
      </c>
      <c r="H889" t="n">
        <v>0</v>
      </c>
      <c r="I889" t="n">
        <v>0</v>
      </c>
      <c r="J889" t="n">
        <v>0</v>
      </c>
      <c r="K889" t="n">
        <v>0</v>
      </c>
      <c r="L889" t="n">
        <v>0</v>
      </c>
      <c r="M889" t="n">
        <v>0</v>
      </c>
      <c r="N889" t="n">
        <v>0</v>
      </c>
      <c r="O889" t="n">
        <v>0</v>
      </c>
      <c r="P889" t="n">
        <v>0</v>
      </c>
      <c r="Q889" t="n">
        <v>0</v>
      </c>
      <c r="R889" s="2" t="inlineStr"/>
    </row>
    <row r="890" ht="15" customHeight="1">
      <c r="A890" t="inlineStr">
        <is>
          <t>A 3841-2022</t>
        </is>
      </c>
      <c r="B890" s="1" t="n">
        <v>44587</v>
      </c>
      <c r="C890" s="1" t="n">
        <v>45472</v>
      </c>
      <c r="D890" t="inlineStr">
        <is>
          <t>VÄRMLANDS LÄN</t>
        </is>
      </c>
      <c r="E890" t="inlineStr">
        <is>
          <t>TORSBY</t>
        </is>
      </c>
      <c r="G890" t="n">
        <v>6.4</v>
      </c>
      <c r="H890" t="n">
        <v>0</v>
      </c>
      <c r="I890" t="n">
        <v>0</v>
      </c>
      <c r="J890" t="n">
        <v>0</v>
      </c>
      <c r="K890" t="n">
        <v>0</v>
      </c>
      <c r="L890" t="n">
        <v>0</v>
      </c>
      <c r="M890" t="n">
        <v>0</v>
      </c>
      <c r="N890" t="n">
        <v>0</v>
      </c>
      <c r="O890" t="n">
        <v>0</v>
      </c>
      <c r="P890" t="n">
        <v>0</v>
      </c>
      <c r="Q890" t="n">
        <v>0</v>
      </c>
      <c r="R890" s="2" t="inlineStr"/>
    </row>
    <row r="891" ht="15" customHeight="1">
      <c r="A891" t="inlineStr">
        <is>
          <t>A 3887-2022</t>
        </is>
      </c>
      <c r="B891" s="1" t="n">
        <v>44587</v>
      </c>
      <c r="C891" s="1" t="n">
        <v>45472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4172-2022</t>
        </is>
      </c>
      <c r="B892" s="1" t="n">
        <v>44588</v>
      </c>
      <c r="C892" s="1" t="n">
        <v>45472</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4557-2022</t>
        </is>
      </c>
      <c r="B893" s="1" t="n">
        <v>44591</v>
      </c>
      <c r="C893" s="1" t="n">
        <v>45472</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4640-2022</t>
        </is>
      </c>
      <c r="B894" s="1" t="n">
        <v>44592</v>
      </c>
      <c r="C894" s="1" t="n">
        <v>45472</v>
      </c>
      <c r="D894" t="inlineStr">
        <is>
          <t>VÄRMLANDS LÄN</t>
        </is>
      </c>
      <c r="E894" t="inlineStr">
        <is>
          <t>TORSBY</t>
        </is>
      </c>
      <c r="G894" t="n">
        <v>9</v>
      </c>
      <c r="H894" t="n">
        <v>0</v>
      </c>
      <c r="I894" t="n">
        <v>0</v>
      </c>
      <c r="J894" t="n">
        <v>0</v>
      </c>
      <c r="K894" t="n">
        <v>0</v>
      </c>
      <c r="L894" t="n">
        <v>0</v>
      </c>
      <c r="M894" t="n">
        <v>0</v>
      </c>
      <c r="N894" t="n">
        <v>0</v>
      </c>
      <c r="O894" t="n">
        <v>0</v>
      </c>
      <c r="P894" t="n">
        <v>0</v>
      </c>
      <c r="Q894" t="n">
        <v>0</v>
      </c>
      <c r="R894" s="2" t="inlineStr"/>
    </row>
    <row r="895" ht="15" customHeight="1">
      <c r="A895" t="inlineStr">
        <is>
          <t>A 4967-2022</t>
        </is>
      </c>
      <c r="B895" s="1" t="n">
        <v>44593</v>
      </c>
      <c r="C895" s="1" t="n">
        <v>45472</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4960-2022</t>
        </is>
      </c>
      <c r="B896" s="1" t="n">
        <v>44593</v>
      </c>
      <c r="C896" s="1" t="n">
        <v>45472</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5040-2022</t>
        </is>
      </c>
      <c r="B897" s="1" t="n">
        <v>44593</v>
      </c>
      <c r="C897" s="1" t="n">
        <v>45472</v>
      </c>
      <c r="D897" t="inlineStr">
        <is>
          <t>VÄRMLANDS LÄN</t>
        </is>
      </c>
      <c r="E897" t="inlineStr">
        <is>
          <t>TORSBY</t>
        </is>
      </c>
      <c r="G897" t="n">
        <v>1.7</v>
      </c>
      <c r="H897" t="n">
        <v>0</v>
      </c>
      <c r="I897" t="n">
        <v>0</v>
      </c>
      <c r="J897" t="n">
        <v>0</v>
      </c>
      <c r="K897" t="n">
        <v>0</v>
      </c>
      <c r="L897" t="n">
        <v>0</v>
      </c>
      <c r="M897" t="n">
        <v>0</v>
      </c>
      <c r="N897" t="n">
        <v>0</v>
      </c>
      <c r="O897" t="n">
        <v>0</v>
      </c>
      <c r="P897" t="n">
        <v>0</v>
      </c>
      <c r="Q897" t="n">
        <v>0</v>
      </c>
      <c r="R897" s="2" t="inlineStr"/>
    </row>
    <row r="898" ht="15" customHeight="1">
      <c r="A898" t="inlineStr">
        <is>
          <t>A 5015-2022</t>
        </is>
      </c>
      <c r="B898" s="1" t="n">
        <v>44593</v>
      </c>
      <c r="C898" s="1" t="n">
        <v>45472</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5289-2022</t>
        </is>
      </c>
      <c r="B899" s="1" t="n">
        <v>44594</v>
      </c>
      <c r="C899" s="1" t="n">
        <v>45472</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6438-2022</t>
        </is>
      </c>
      <c r="B900" s="1" t="n">
        <v>44601</v>
      </c>
      <c r="C900" s="1" t="n">
        <v>45472</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7091-2022</t>
        </is>
      </c>
      <c r="B901" s="1" t="n">
        <v>44603</v>
      </c>
      <c r="C901" s="1" t="n">
        <v>45472</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7069-2022</t>
        </is>
      </c>
      <c r="B902" s="1" t="n">
        <v>44603</v>
      </c>
      <c r="C902" s="1" t="n">
        <v>45472</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7544-2022</t>
        </is>
      </c>
      <c r="B903" s="1" t="n">
        <v>44607</v>
      </c>
      <c r="C903" s="1" t="n">
        <v>45472</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7543-2022</t>
        </is>
      </c>
      <c r="B904" s="1" t="n">
        <v>44607</v>
      </c>
      <c r="C904" s="1" t="n">
        <v>45472</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7921-2022</t>
        </is>
      </c>
      <c r="B905" s="1" t="n">
        <v>44608</v>
      </c>
      <c r="C905" s="1" t="n">
        <v>45472</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8048-2022</t>
        </is>
      </c>
      <c r="B906" s="1" t="n">
        <v>44609</v>
      </c>
      <c r="C906" s="1" t="n">
        <v>45472</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8054-2022</t>
        </is>
      </c>
      <c r="B907" s="1" t="n">
        <v>44609</v>
      </c>
      <c r="C907" s="1" t="n">
        <v>45472</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8033-2022</t>
        </is>
      </c>
      <c r="B908" s="1" t="n">
        <v>44609</v>
      </c>
      <c r="C908" s="1" t="n">
        <v>45472</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8739-2022</t>
        </is>
      </c>
      <c r="B909" s="1" t="n">
        <v>44615</v>
      </c>
      <c r="C909" s="1" t="n">
        <v>45472</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9057-2022</t>
        </is>
      </c>
      <c r="B910" s="1" t="n">
        <v>44615</v>
      </c>
      <c r="C910" s="1" t="n">
        <v>45472</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10608-2022</t>
        </is>
      </c>
      <c r="B911" s="1" t="n">
        <v>44624</v>
      </c>
      <c r="C911" s="1" t="n">
        <v>45472</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11050-2022</t>
        </is>
      </c>
      <c r="B912" s="1" t="n">
        <v>44628</v>
      </c>
      <c r="C912" s="1" t="n">
        <v>45472</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11447-2022</t>
        </is>
      </c>
      <c r="B913" s="1" t="n">
        <v>44630</v>
      </c>
      <c r="C913" s="1" t="n">
        <v>45472</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11665-2022</t>
        </is>
      </c>
      <c r="B914" s="1" t="n">
        <v>44632</v>
      </c>
      <c r="C914" s="1" t="n">
        <v>45472</v>
      </c>
      <c r="D914" t="inlineStr">
        <is>
          <t>VÄRMLANDS LÄN</t>
        </is>
      </c>
      <c r="E914" t="inlineStr">
        <is>
          <t>TORSBY</t>
        </is>
      </c>
      <c r="G914" t="n">
        <v>4.1</v>
      </c>
      <c r="H914" t="n">
        <v>0</v>
      </c>
      <c r="I914" t="n">
        <v>0</v>
      </c>
      <c r="J914" t="n">
        <v>0</v>
      </c>
      <c r="K914" t="n">
        <v>0</v>
      </c>
      <c r="L914" t="n">
        <v>0</v>
      </c>
      <c r="M914" t="n">
        <v>0</v>
      </c>
      <c r="N914" t="n">
        <v>0</v>
      </c>
      <c r="O914" t="n">
        <v>0</v>
      </c>
      <c r="P914" t="n">
        <v>0</v>
      </c>
      <c r="Q914" t="n">
        <v>0</v>
      </c>
      <c r="R914" s="2" t="inlineStr"/>
    </row>
    <row r="915" ht="15" customHeight="1">
      <c r="A915" t="inlineStr">
        <is>
          <t>A 11667-2022</t>
        </is>
      </c>
      <c r="B915" s="1" t="n">
        <v>44632</v>
      </c>
      <c r="C915" s="1" t="n">
        <v>45472</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11664-2022</t>
        </is>
      </c>
      <c r="B916" s="1" t="n">
        <v>44632</v>
      </c>
      <c r="C916" s="1" t="n">
        <v>45472</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11666-2022</t>
        </is>
      </c>
      <c r="B917" s="1" t="n">
        <v>44632</v>
      </c>
      <c r="C917" s="1" t="n">
        <v>45472</v>
      </c>
      <c r="D917" t="inlineStr">
        <is>
          <t>VÄRMLANDS LÄN</t>
        </is>
      </c>
      <c r="E917" t="inlineStr">
        <is>
          <t>TORSBY</t>
        </is>
      </c>
      <c r="G917" t="n">
        <v>3.6</v>
      </c>
      <c r="H917" t="n">
        <v>0</v>
      </c>
      <c r="I917" t="n">
        <v>0</v>
      </c>
      <c r="J917" t="n">
        <v>0</v>
      </c>
      <c r="K917" t="n">
        <v>0</v>
      </c>
      <c r="L917" t="n">
        <v>0</v>
      </c>
      <c r="M917" t="n">
        <v>0</v>
      </c>
      <c r="N917" t="n">
        <v>0</v>
      </c>
      <c r="O917" t="n">
        <v>0</v>
      </c>
      <c r="P917" t="n">
        <v>0</v>
      </c>
      <c r="Q917" t="n">
        <v>0</v>
      </c>
      <c r="R917" s="2" t="inlineStr"/>
    </row>
    <row r="918" ht="15" customHeight="1">
      <c r="A918" t="inlineStr">
        <is>
          <t>A 11922-2022</t>
        </is>
      </c>
      <c r="B918" s="1" t="n">
        <v>44635</v>
      </c>
      <c r="C918" s="1" t="n">
        <v>45472</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11918-2022</t>
        </is>
      </c>
      <c r="B919" s="1" t="n">
        <v>44635</v>
      </c>
      <c r="C919" s="1" t="n">
        <v>45472</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12310-2022</t>
        </is>
      </c>
      <c r="B920" s="1" t="n">
        <v>44636</v>
      </c>
      <c r="C920" s="1" t="n">
        <v>45472</v>
      </c>
      <c r="D920" t="inlineStr">
        <is>
          <t>VÄRMLANDS LÄN</t>
        </is>
      </c>
      <c r="E920" t="inlineStr">
        <is>
          <t>TORSBY</t>
        </is>
      </c>
      <c r="G920" t="n">
        <v>7.2</v>
      </c>
      <c r="H920" t="n">
        <v>0</v>
      </c>
      <c r="I920" t="n">
        <v>0</v>
      </c>
      <c r="J920" t="n">
        <v>0</v>
      </c>
      <c r="K920" t="n">
        <v>0</v>
      </c>
      <c r="L920" t="n">
        <v>0</v>
      </c>
      <c r="M920" t="n">
        <v>0</v>
      </c>
      <c r="N920" t="n">
        <v>0</v>
      </c>
      <c r="O920" t="n">
        <v>0</v>
      </c>
      <c r="P920" t="n">
        <v>0</v>
      </c>
      <c r="Q920" t="n">
        <v>0</v>
      </c>
      <c r="R920" s="2" t="inlineStr"/>
    </row>
    <row r="921" ht="15" customHeight="1">
      <c r="A921" t="inlineStr">
        <is>
          <t>A 12365-2022</t>
        </is>
      </c>
      <c r="B921" s="1" t="n">
        <v>44637</v>
      </c>
      <c r="C921" s="1" t="n">
        <v>45472</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13207-2022</t>
        </is>
      </c>
      <c r="B922" s="1" t="n">
        <v>44644</v>
      </c>
      <c r="C922" s="1" t="n">
        <v>45472</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13698-2022</t>
        </is>
      </c>
      <c r="B923" s="1" t="n">
        <v>44648</v>
      </c>
      <c r="C923" s="1" t="n">
        <v>45472</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13896-2022</t>
        </is>
      </c>
      <c r="B924" s="1" t="n">
        <v>44650</v>
      </c>
      <c r="C924" s="1" t="n">
        <v>45472</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14145-2022</t>
        </is>
      </c>
      <c r="B925" s="1" t="n">
        <v>44651</v>
      </c>
      <c r="C925" s="1" t="n">
        <v>45472</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14168-2022</t>
        </is>
      </c>
      <c r="B926" s="1" t="n">
        <v>44651</v>
      </c>
      <c r="C926" s="1" t="n">
        <v>45472</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14320-2022</t>
        </is>
      </c>
      <c r="B927" s="1" t="n">
        <v>44652</v>
      </c>
      <c r="C927" s="1" t="n">
        <v>45472</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15461-2022</t>
        </is>
      </c>
      <c r="B928" s="1" t="n">
        <v>44661</v>
      </c>
      <c r="C928" s="1" t="n">
        <v>45472</v>
      </c>
      <c r="D928" t="inlineStr">
        <is>
          <t>VÄRMLANDS LÄN</t>
        </is>
      </c>
      <c r="E928" t="inlineStr">
        <is>
          <t>TORSBY</t>
        </is>
      </c>
      <c r="G928" t="n">
        <v>13.1</v>
      </c>
      <c r="H928" t="n">
        <v>0</v>
      </c>
      <c r="I928" t="n">
        <v>0</v>
      </c>
      <c r="J928" t="n">
        <v>0</v>
      </c>
      <c r="K928" t="n">
        <v>0</v>
      </c>
      <c r="L928" t="n">
        <v>0</v>
      </c>
      <c r="M928" t="n">
        <v>0</v>
      </c>
      <c r="N928" t="n">
        <v>0</v>
      </c>
      <c r="O928" t="n">
        <v>0</v>
      </c>
      <c r="P928" t="n">
        <v>0</v>
      </c>
      <c r="Q928" t="n">
        <v>0</v>
      </c>
      <c r="R928" s="2" t="inlineStr"/>
    </row>
    <row r="929" ht="15" customHeight="1">
      <c r="A929" t="inlineStr">
        <is>
          <t>A 15460-2022</t>
        </is>
      </c>
      <c r="B929" s="1" t="n">
        <v>44661</v>
      </c>
      <c r="C929" s="1" t="n">
        <v>45472</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16080-2022</t>
        </is>
      </c>
      <c r="B930" s="1" t="n">
        <v>44665</v>
      </c>
      <c r="C930" s="1" t="n">
        <v>45472</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16010-2022</t>
        </is>
      </c>
      <c r="B931" s="1" t="n">
        <v>44665</v>
      </c>
      <c r="C931" s="1" t="n">
        <v>45472</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row>
    <row r="932" ht="15" customHeight="1">
      <c r="A932" t="inlineStr">
        <is>
          <t>A 16425-2022</t>
        </is>
      </c>
      <c r="B932" s="1" t="n">
        <v>44671</v>
      </c>
      <c r="C932" s="1" t="n">
        <v>45472</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16498-2022</t>
        </is>
      </c>
      <c r="B933" s="1" t="n">
        <v>44671</v>
      </c>
      <c r="C933" s="1" t="n">
        <v>45472</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16572-2022</t>
        </is>
      </c>
      <c r="B934" s="1" t="n">
        <v>44672</v>
      </c>
      <c r="C934" s="1" t="n">
        <v>45472</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17765-2022</t>
        </is>
      </c>
      <c r="B935" s="1" t="n">
        <v>44681</v>
      </c>
      <c r="C935" s="1" t="n">
        <v>45472</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18101-2022</t>
        </is>
      </c>
      <c r="B936" s="1" t="n">
        <v>44684</v>
      </c>
      <c r="C936" s="1" t="n">
        <v>45472</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18105-2022</t>
        </is>
      </c>
      <c r="B937" s="1" t="n">
        <v>44684</v>
      </c>
      <c r="C937" s="1" t="n">
        <v>45472</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18099-2022</t>
        </is>
      </c>
      <c r="B938" s="1" t="n">
        <v>44684</v>
      </c>
      <c r="C938" s="1" t="n">
        <v>45472</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18347-2022</t>
        </is>
      </c>
      <c r="B939" s="1" t="n">
        <v>44685</v>
      </c>
      <c r="C939" s="1" t="n">
        <v>45472</v>
      </c>
      <c r="D939" t="inlineStr">
        <is>
          <t>VÄRMLANDS LÄN</t>
        </is>
      </c>
      <c r="E939" t="inlineStr">
        <is>
          <t>TORSBY</t>
        </is>
      </c>
      <c r="F939" t="inlineStr">
        <is>
          <t>Bergvik skog väst AB</t>
        </is>
      </c>
      <c r="G939" t="n">
        <v>14.6</v>
      </c>
      <c r="H939" t="n">
        <v>0</v>
      </c>
      <c r="I939" t="n">
        <v>0</v>
      </c>
      <c r="J939" t="n">
        <v>0</v>
      </c>
      <c r="K939" t="n">
        <v>0</v>
      </c>
      <c r="L939" t="n">
        <v>0</v>
      </c>
      <c r="M939" t="n">
        <v>0</v>
      </c>
      <c r="N939" t="n">
        <v>0</v>
      </c>
      <c r="O939" t="n">
        <v>0</v>
      </c>
      <c r="P939" t="n">
        <v>0</v>
      </c>
      <c r="Q939" t="n">
        <v>0</v>
      </c>
      <c r="R939" s="2" t="inlineStr"/>
    </row>
    <row r="940" ht="15" customHeight="1">
      <c r="A940" t="inlineStr">
        <is>
          <t>A 18628-2022</t>
        </is>
      </c>
      <c r="B940" s="1" t="n">
        <v>44687</v>
      </c>
      <c r="C940" s="1" t="n">
        <v>45472</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18779-2022</t>
        </is>
      </c>
      <c r="B941" s="1" t="n">
        <v>44689</v>
      </c>
      <c r="C941" s="1" t="n">
        <v>45472</v>
      </c>
      <c r="D941" t="inlineStr">
        <is>
          <t>VÄRMLANDS LÄN</t>
        </is>
      </c>
      <c r="E941" t="inlineStr">
        <is>
          <t>TORSBY</t>
        </is>
      </c>
      <c r="G941" t="n">
        <v>5.1</v>
      </c>
      <c r="H941" t="n">
        <v>0</v>
      </c>
      <c r="I941" t="n">
        <v>0</v>
      </c>
      <c r="J941" t="n">
        <v>0</v>
      </c>
      <c r="K941" t="n">
        <v>0</v>
      </c>
      <c r="L941" t="n">
        <v>0</v>
      </c>
      <c r="M941" t="n">
        <v>0</v>
      </c>
      <c r="N941" t="n">
        <v>0</v>
      </c>
      <c r="O941" t="n">
        <v>0</v>
      </c>
      <c r="P941" t="n">
        <v>0</v>
      </c>
      <c r="Q941" t="n">
        <v>0</v>
      </c>
      <c r="R941" s="2" t="inlineStr"/>
    </row>
    <row r="942" ht="15" customHeight="1">
      <c r="A942" t="inlineStr">
        <is>
          <t>A 18897-2022</t>
        </is>
      </c>
      <c r="B942" s="1" t="n">
        <v>44690</v>
      </c>
      <c r="C942" s="1" t="n">
        <v>45472</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18877-2022</t>
        </is>
      </c>
      <c r="B943" s="1" t="n">
        <v>44690</v>
      </c>
      <c r="C943" s="1" t="n">
        <v>45472</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18903-2022</t>
        </is>
      </c>
      <c r="B944" s="1" t="n">
        <v>44690</v>
      </c>
      <c r="C944" s="1" t="n">
        <v>45472</v>
      </c>
      <c r="D944" t="inlineStr">
        <is>
          <t>VÄRMLANDS LÄN</t>
        </is>
      </c>
      <c r="E944" t="inlineStr">
        <is>
          <t>TORSBY</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19171-2022</t>
        </is>
      </c>
      <c r="B945" s="1" t="n">
        <v>44691</v>
      </c>
      <c r="C945" s="1" t="n">
        <v>45472</v>
      </c>
      <c r="D945" t="inlineStr">
        <is>
          <t>VÄRMLANDS LÄN</t>
        </is>
      </c>
      <c r="E945" t="inlineStr">
        <is>
          <t>TORSBY</t>
        </is>
      </c>
      <c r="F945" t="inlineStr">
        <is>
          <t>Bergvik skog väst AB</t>
        </is>
      </c>
      <c r="G945" t="n">
        <v>23.3</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v>
      </c>
      <c r="C946" s="1" t="n">
        <v>45472</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19489-2022</t>
        </is>
      </c>
      <c r="B947" s="1" t="n">
        <v>44693</v>
      </c>
      <c r="C947" s="1" t="n">
        <v>45472</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19632-2022</t>
        </is>
      </c>
      <c r="B948" s="1" t="n">
        <v>44694</v>
      </c>
      <c r="C948" s="1" t="n">
        <v>45472</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19614-2022</t>
        </is>
      </c>
      <c r="B949" s="1" t="n">
        <v>44694</v>
      </c>
      <c r="C949" s="1" t="n">
        <v>45472</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20045-2022</t>
        </is>
      </c>
      <c r="B950" s="1" t="n">
        <v>44697</v>
      </c>
      <c r="C950" s="1" t="n">
        <v>45472</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20046-2022</t>
        </is>
      </c>
      <c r="B951" s="1" t="n">
        <v>44697</v>
      </c>
      <c r="C951" s="1" t="n">
        <v>45472</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45472</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20168-2022</t>
        </is>
      </c>
      <c r="B953" s="1" t="n">
        <v>44698</v>
      </c>
      <c r="C953" s="1" t="n">
        <v>45472</v>
      </c>
      <c r="D953" t="inlineStr">
        <is>
          <t>VÄRMLANDS LÄN</t>
        </is>
      </c>
      <c r="E953" t="inlineStr">
        <is>
          <t>TORSBY</t>
        </is>
      </c>
      <c r="G953" t="n">
        <v>6.6</v>
      </c>
      <c r="H953" t="n">
        <v>0</v>
      </c>
      <c r="I953" t="n">
        <v>0</v>
      </c>
      <c r="J953" t="n">
        <v>0</v>
      </c>
      <c r="K953" t="n">
        <v>0</v>
      </c>
      <c r="L953" t="n">
        <v>0</v>
      </c>
      <c r="M953" t="n">
        <v>0</v>
      </c>
      <c r="N953" t="n">
        <v>0</v>
      </c>
      <c r="O953" t="n">
        <v>0</v>
      </c>
      <c r="P953" t="n">
        <v>0</v>
      </c>
      <c r="Q953" t="n">
        <v>0</v>
      </c>
      <c r="R953" s="2" t="inlineStr"/>
    </row>
    <row r="954" ht="15" customHeight="1">
      <c r="A954" t="inlineStr">
        <is>
          <t>A 20175-2022</t>
        </is>
      </c>
      <c r="B954" s="1" t="n">
        <v>44698</v>
      </c>
      <c r="C954" s="1" t="n">
        <v>45472</v>
      </c>
      <c r="D954" t="inlineStr">
        <is>
          <t>VÄRMLANDS LÄN</t>
        </is>
      </c>
      <c r="E954" t="inlineStr">
        <is>
          <t>TORSBY</t>
        </is>
      </c>
      <c r="G954" t="n">
        <v>2.8</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45472</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20382-2022</t>
        </is>
      </c>
      <c r="B956" s="1" t="n">
        <v>44699</v>
      </c>
      <c r="C956" s="1" t="n">
        <v>45472</v>
      </c>
      <c r="D956" t="inlineStr">
        <is>
          <t>VÄRMLANDS LÄN</t>
        </is>
      </c>
      <c r="E956" t="inlineStr">
        <is>
          <t>TORSBY</t>
        </is>
      </c>
      <c r="G956" t="n">
        <v>14.3</v>
      </c>
      <c r="H956" t="n">
        <v>0</v>
      </c>
      <c r="I956" t="n">
        <v>0</v>
      </c>
      <c r="J956" t="n">
        <v>0</v>
      </c>
      <c r="K956" t="n">
        <v>0</v>
      </c>
      <c r="L956" t="n">
        <v>0</v>
      </c>
      <c r="M956" t="n">
        <v>0</v>
      </c>
      <c r="N956" t="n">
        <v>0</v>
      </c>
      <c r="O956" t="n">
        <v>0</v>
      </c>
      <c r="P956" t="n">
        <v>0</v>
      </c>
      <c r="Q956" t="n">
        <v>0</v>
      </c>
      <c r="R956" s="2" t="inlineStr"/>
    </row>
    <row r="957" ht="15" customHeight="1">
      <c r="A957" t="inlineStr">
        <is>
          <t>A 20819-2022</t>
        </is>
      </c>
      <c r="B957" s="1" t="n">
        <v>44699</v>
      </c>
      <c r="C957" s="1" t="n">
        <v>45472</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20881-2022</t>
        </is>
      </c>
      <c r="B958" s="1" t="n">
        <v>44701</v>
      </c>
      <c r="C958" s="1" t="n">
        <v>45472</v>
      </c>
      <c r="D958" t="inlineStr">
        <is>
          <t>VÄRMLANDS LÄN</t>
        </is>
      </c>
      <c r="E958" t="inlineStr">
        <is>
          <t>TORSBY</t>
        </is>
      </c>
      <c r="F958" t="inlineStr">
        <is>
          <t>Bergvik skog väst AB</t>
        </is>
      </c>
      <c r="G958" t="n">
        <v>17.2</v>
      </c>
      <c r="H958" t="n">
        <v>0</v>
      </c>
      <c r="I958" t="n">
        <v>0</v>
      </c>
      <c r="J958" t="n">
        <v>0</v>
      </c>
      <c r="K958" t="n">
        <v>0</v>
      </c>
      <c r="L958" t="n">
        <v>0</v>
      </c>
      <c r="M958" t="n">
        <v>0</v>
      </c>
      <c r="N958" t="n">
        <v>0</v>
      </c>
      <c r="O958" t="n">
        <v>0</v>
      </c>
      <c r="P958" t="n">
        <v>0</v>
      </c>
      <c r="Q958" t="n">
        <v>0</v>
      </c>
      <c r="R958" s="2" t="inlineStr"/>
    </row>
    <row r="959" ht="15" customHeight="1">
      <c r="A959" t="inlineStr">
        <is>
          <t>A 20907-2022</t>
        </is>
      </c>
      <c r="B959" s="1" t="n">
        <v>44701</v>
      </c>
      <c r="C959" s="1" t="n">
        <v>45472</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20899-2022</t>
        </is>
      </c>
      <c r="B960" s="1" t="n">
        <v>44701</v>
      </c>
      <c r="C960" s="1" t="n">
        <v>45472</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21094-2022</t>
        </is>
      </c>
      <c r="B961" s="1" t="n">
        <v>44704</v>
      </c>
      <c r="C961" s="1" t="n">
        <v>45472</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21070-2022</t>
        </is>
      </c>
      <c r="B962" s="1" t="n">
        <v>44704</v>
      </c>
      <c r="C962" s="1" t="n">
        <v>45472</v>
      </c>
      <c r="D962" t="inlineStr">
        <is>
          <t>VÄRMLANDS LÄN</t>
        </is>
      </c>
      <c r="E962" t="inlineStr">
        <is>
          <t>TORSBY</t>
        </is>
      </c>
      <c r="G962" t="n">
        <v>13.7</v>
      </c>
      <c r="H962" t="n">
        <v>0</v>
      </c>
      <c r="I962" t="n">
        <v>0</v>
      </c>
      <c r="J962" t="n">
        <v>0</v>
      </c>
      <c r="K962" t="n">
        <v>0</v>
      </c>
      <c r="L962" t="n">
        <v>0</v>
      </c>
      <c r="M962" t="n">
        <v>0</v>
      </c>
      <c r="N962" t="n">
        <v>0</v>
      </c>
      <c r="O962" t="n">
        <v>0</v>
      </c>
      <c r="P962" t="n">
        <v>0</v>
      </c>
      <c r="Q962" t="n">
        <v>0</v>
      </c>
      <c r="R962" s="2" t="inlineStr"/>
    </row>
    <row r="963" ht="15" customHeight="1">
      <c r="A963" t="inlineStr">
        <is>
          <t>A 21089-2022</t>
        </is>
      </c>
      <c r="B963" s="1" t="n">
        <v>44704</v>
      </c>
      <c r="C963" s="1" t="n">
        <v>45472</v>
      </c>
      <c r="D963" t="inlineStr">
        <is>
          <t>VÄRMLANDS LÄN</t>
        </is>
      </c>
      <c r="E963" t="inlineStr">
        <is>
          <t>TORSBY</t>
        </is>
      </c>
      <c r="G963" t="n">
        <v>13.4</v>
      </c>
      <c r="H963" t="n">
        <v>0</v>
      </c>
      <c r="I963" t="n">
        <v>0</v>
      </c>
      <c r="J963" t="n">
        <v>0</v>
      </c>
      <c r="K963" t="n">
        <v>0</v>
      </c>
      <c r="L963" t="n">
        <v>0</v>
      </c>
      <c r="M963" t="n">
        <v>0</v>
      </c>
      <c r="N963" t="n">
        <v>0</v>
      </c>
      <c r="O963" t="n">
        <v>0</v>
      </c>
      <c r="P963" t="n">
        <v>0</v>
      </c>
      <c r="Q963" t="n">
        <v>0</v>
      </c>
      <c r="R963" s="2" t="inlineStr"/>
    </row>
    <row r="964" ht="15" customHeight="1">
      <c r="A964" t="inlineStr">
        <is>
          <t>A 21516-2022</t>
        </is>
      </c>
      <c r="B964" s="1" t="n">
        <v>44706</v>
      </c>
      <c r="C964" s="1" t="n">
        <v>45472</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21465-2022</t>
        </is>
      </c>
      <c r="B965" s="1" t="n">
        <v>44706</v>
      </c>
      <c r="C965" s="1" t="n">
        <v>45472</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21521-2022</t>
        </is>
      </c>
      <c r="B966" s="1" t="n">
        <v>44706</v>
      </c>
      <c r="C966" s="1" t="n">
        <v>45472</v>
      </c>
      <c r="D966" t="inlineStr">
        <is>
          <t>VÄRMLANDS LÄN</t>
        </is>
      </c>
      <c r="E966" t="inlineStr">
        <is>
          <t>TORSBY</t>
        </is>
      </c>
      <c r="G966" t="n">
        <v>0.1</v>
      </c>
      <c r="H966" t="n">
        <v>0</v>
      </c>
      <c r="I966" t="n">
        <v>0</v>
      </c>
      <c r="J966" t="n">
        <v>0</v>
      </c>
      <c r="K966" t="n">
        <v>0</v>
      </c>
      <c r="L966" t="n">
        <v>0</v>
      </c>
      <c r="M966" t="n">
        <v>0</v>
      </c>
      <c r="N966" t="n">
        <v>0</v>
      </c>
      <c r="O966" t="n">
        <v>0</v>
      </c>
      <c r="P966" t="n">
        <v>0</v>
      </c>
      <c r="Q966" t="n">
        <v>0</v>
      </c>
      <c r="R966" s="2" t="inlineStr"/>
    </row>
    <row r="967" ht="15" customHeight="1">
      <c r="A967" t="inlineStr">
        <is>
          <t>A 22158-2022</t>
        </is>
      </c>
      <c r="B967" s="1" t="n">
        <v>44708</v>
      </c>
      <c r="C967" s="1" t="n">
        <v>45472</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22124-2022</t>
        </is>
      </c>
      <c r="B968" s="1" t="n">
        <v>44712</v>
      </c>
      <c r="C968" s="1" t="n">
        <v>45472</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22635-2022</t>
        </is>
      </c>
      <c r="B969" s="1" t="n">
        <v>44714</v>
      </c>
      <c r="C969" s="1" t="n">
        <v>45472</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22662-2022</t>
        </is>
      </c>
      <c r="B970" s="1" t="n">
        <v>44714</v>
      </c>
      <c r="C970" s="1" t="n">
        <v>45472</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22826-2022</t>
        </is>
      </c>
      <c r="B971" s="1" t="n">
        <v>44714</v>
      </c>
      <c r="C971" s="1" t="n">
        <v>45472</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22823-2022</t>
        </is>
      </c>
      <c r="B972" s="1" t="n">
        <v>44714</v>
      </c>
      <c r="C972" s="1" t="n">
        <v>45472</v>
      </c>
      <c r="D972" t="inlineStr">
        <is>
          <t>VÄRMLANDS LÄN</t>
        </is>
      </c>
      <c r="E972" t="inlineStr">
        <is>
          <t>TORSBY</t>
        </is>
      </c>
      <c r="G972" t="n">
        <v>4</v>
      </c>
      <c r="H972" t="n">
        <v>0</v>
      </c>
      <c r="I972" t="n">
        <v>0</v>
      </c>
      <c r="J972" t="n">
        <v>0</v>
      </c>
      <c r="K972" t="n">
        <v>0</v>
      </c>
      <c r="L972" t="n">
        <v>0</v>
      </c>
      <c r="M972" t="n">
        <v>0</v>
      </c>
      <c r="N972" t="n">
        <v>0</v>
      </c>
      <c r="O972" t="n">
        <v>0</v>
      </c>
      <c r="P972" t="n">
        <v>0</v>
      </c>
      <c r="Q972" t="n">
        <v>0</v>
      </c>
      <c r="R972" s="2" t="inlineStr"/>
    </row>
    <row r="973" ht="15" customHeight="1">
      <c r="A973" t="inlineStr">
        <is>
          <t>A 23185-2022</t>
        </is>
      </c>
      <c r="B973" s="1" t="n">
        <v>44719</v>
      </c>
      <c r="C973" s="1" t="n">
        <v>45472</v>
      </c>
      <c r="D973" t="inlineStr">
        <is>
          <t>VÄRMLANDS LÄN</t>
        </is>
      </c>
      <c r="E973" t="inlineStr">
        <is>
          <t>TORSBY</t>
        </is>
      </c>
      <c r="F973" t="inlineStr">
        <is>
          <t>Naturvårdsverket</t>
        </is>
      </c>
      <c r="G973" t="n">
        <v>2.8</v>
      </c>
      <c r="H973" t="n">
        <v>0</v>
      </c>
      <c r="I973" t="n">
        <v>0</v>
      </c>
      <c r="J973" t="n">
        <v>0</v>
      </c>
      <c r="K973" t="n">
        <v>0</v>
      </c>
      <c r="L973" t="n">
        <v>0</v>
      </c>
      <c r="M973" t="n">
        <v>0</v>
      </c>
      <c r="N973" t="n">
        <v>0</v>
      </c>
      <c r="O973" t="n">
        <v>0</v>
      </c>
      <c r="P973" t="n">
        <v>0</v>
      </c>
      <c r="Q973" t="n">
        <v>0</v>
      </c>
      <c r="R973" s="2" t="inlineStr"/>
    </row>
    <row r="974" ht="15" customHeight="1">
      <c r="A974" t="inlineStr">
        <is>
          <t>A 23011-2022</t>
        </is>
      </c>
      <c r="B974" s="1" t="n">
        <v>44719</v>
      </c>
      <c r="C974" s="1" t="n">
        <v>45472</v>
      </c>
      <c r="D974" t="inlineStr">
        <is>
          <t>VÄRMLANDS LÄN</t>
        </is>
      </c>
      <c r="E974" t="inlineStr">
        <is>
          <t>TORSBY</t>
        </is>
      </c>
      <c r="F974" t="inlineStr">
        <is>
          <t>Bergvik skog väst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23264-2022</t>
        </is>
      </c>
      <c r="B975" s="1" t="n">
        <v>44720</v>
      </c>
      <c r="C975" s="1" t="n">
        <v>45472</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23343-2022</t>
        </is>
      </c>
      <c r="B976" s="1" t="n">
        <v>44720</v>
      </c>
      <c r="C976" s="1" t="n">
        <v>45472</v>
      </c>
      <c r="D976" t="inlineStr">
        <is>
          <t>VÄRMLANDS LÄN</t>
        </is>
      </c>
      <c r="E976" t="inlineStr">
        <is>
          <t>TORSBY</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23401-2022</t>
        </is>
      </c>
      <c r="B977" s="1" t="n">
        <v>44720</v>
      </c>
      <c r="C977" s="1" t="n">
        <v>45472</v>
      </c>
      <c r="D977" t="inlineStr">
        <is>
          <t>VÄRMLANDS LÄN</t>
        </is>
      </c>
      <c r="E977" t="inlineStr">
        <is>
          <t>TORSBY</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23405-2022</t>
        </is>
      </c>
      <c r="B978" s="1" t="n">
        <v>44720</v>
      </c>
      <c r="C978" s="1" t="n">
        <v>45472</v>
      </c>
      <c r="D978" t="inlineStr">
        <is>
          <t>VÄRMLANDS LÄN</t>
        </is>
      </c>
      <c r="E978" t="inlineStr">
        <is>
          <t>TORSBY</t>
        </is>
      </c>
      <c r="F978" t="inlineStr">
        <is>
          <t>Bergvik skog väst AB</t>
        </is>
      </c>
      <c r="G978" t="n">
        <v>9.1</v>
      </c>
      <c r="H978" t="n">
        <v>0</v>
      </c>
      <c r="I978" t="n">
        <v>0</v>
      </c>
      <c r="J978" t="n">
        <v>0</v>
      </c>
      <c r="K978" t="n">
        <v>0</v>
      </c>
      <c r="L978" t="n">
        <v>0</v>
      </c>
      <c r="M978" t="n">
        <v>0</v>
      </c>
      <c r="N978" t="n">
        <v>0</v>
      </c>
      <c r="O978" t="n">
        <v>0</v>
      </c>
      <c r="P978" t="n">
        <v>0</v>
      </c>
      <c r="Q978" t="n">
        <v>0</v>
      </c>
      <c r="R978" s="2" t="inlineStr"/>
    </row>
    <row r="979" ht="15" customHeight="1">
      <c r="A979" t="inlineStr">
        <is>
          <t>A 23803-2022</t>
        </is>
      </c>
      <c r="B979" s="1" t="n">
        <v>44720</v>
      </c>
      <c r="C979" s="1" t="n">
        <v>45472</v>
      </c>
      <c r="D979" t="inlineStr">
        <is>
          <t>VÄRMLANDS LÄN</t>
        </is>
      </c>
      <c r="E979" t="inlineStr">
        <is>
          <t>TORSBY</t>
        </is>
      </c>
      <c r="G979" t="n">
        <v>3</v>
      </c>
      <c r="H979" t="n">
        <v>0</v>
      </c>
      <c r="I979" t="n">
        <v>0</v>
      </c>
      <c r="J979" t="n">
        <v>0</v>
      </c>
      <c r="K979" t="n">
        <v>0</v>
      </c>
      <c r="L979" t="n">
        <v>0</v>
      </c>
      <c r="M979" t="n">
        <v>0</v>
      </c>
      <c r="N979" t="n">
        <v>0</v>
      </c>
      <c r="O979" t="n">
        <v>0</v>
      </c>
      <c r="P979" t="n">
        <v>0</v>
      </c>
      <c r="Q979" t="n">
        <v>0</v>
      </c>
      <c r="R979" s="2" t="inlineStr"/>
    </row>
    <row r="980" ht="15" customHeight="1">
      <c r="A980" t="inlineStr">
        <is>
          <t>A 23804-2022</t>
        </is>
      </c>
      <c r="B980" s="1" t="n">
        <v>44722</v>
      </c>
      <c r="C980" s="1" t="n">
        <v>45472</v>
      </c>
      <c r="D980" t="inlineStr">
        <is>
          <t>VÄRMLANDS LÄN</t>
        </is>
      </c>
      <c r="E980" t="inlineStr">
        <is>
          <t>TORSBY</t>
        </is>
      </c>
      <c r="G980" t="n">
        <v>6.1</v>
      </c>
      <c r="H980" t="n">
        <v>0</v>
      </c>
      <c r="I980" t="n">
        <v>0</v>
      </c>
      <c r="J980" t="n">
        <v>0</v>
      </c>
      <c r="K980" t="n">
        <v>0</v>
      </c>
      <c r="L980" t="n">
        <v>0</v>
      </c>
      <c r="M980" t="n">
        <v>0</v>
      </c>
      <c r="N980" t="n">
        <v>0</v>
      </c>
      <c r="O980" t="n">
        <v>0</v>
      </c>
      <c r="P980" t="n">
        <v>0</v>
      </c>
      <c r="Q980" t="n">
        <v>0</v>
      </c>
      <c r="R980" s="2" t="inlineStr"/>
    </row>
    <row r="981" ht="15" customHeight="1">
      <c r="A981" t="inlineStr">
        <is>
          <t>A 23823-2022</t>
        </is>
      </c>
      <c r="B981" s="1" t="n">
        <v>44722</v>
      </c>
      <c r="C981" s="1" t="n">
        <v>45472</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23735-2022</t>
        </is>
      </c>
      <c r="B982" s="1" t="n">
        <v>44722</v>
      </c>
      <c r="C982" s="1" t="n">
        <v>45472</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23818-2022</t>
        </is>
      </c>
      <c r="B983" s="1" t="n">
        <v>44722</v>
      </c>
      <c r="C983" s="1" t="n">
        <v>45472</v>
      </c>
      <c r="D983" t="inlineStr">
        <is>
          <t>VÄRMLANDS LÄN</t>
        </is>
      </c>
      <c r="E983" t="inlineStr">
        <is>
          <t>TORSBY</t>
        </is>
      </c>
      <c r="G983" t="n">
        <v>23.5</v>
      </c>
      <c r="H983" t="n">
        <v>0</v>
      </c>
      <c r="I983" t="n">
        <v>0</v>
      </c>
      <c r="J983" t="n">
        <v>0</v>
      </c>
      <c r="K983" t="n">
        <v>0</v>
      </c>
      <c r="L983" t="n">
        <v>0</v>
      </c>
      <c r="M983" t="n">
        <v>0</v>
      </c>
      <c r="N983" t="n">
        <v>0</v>
      </c>
      <c r="O983" t="n">
        <v>0</v>
      </c>
      <c r="P983" t="n">
        <v>0</v>
      </c>
      <c r="Q983" t="n">
        <v>0</v>
      </c>
      <c r="R983" s="2" t="inlineStr"/>
    </row>
    <row r="984" ht="15" customHeight="1">
      <c r="A984" t="inlineStr">
        <is>
          <t>A 23732-2022</t>
        </is>
      </c>
      <c r="B984" s="1" t="n">
        <v>44722</v>
      </c>
      <c r="C984" s="1" t="n">
        <v>45472</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23746-2022</t>
        </is>
      </c>
      <c r="B985" s="1" t="n">
        <v>44722</v>
      </c>
      <c r="C985" s="1" t="n">
        <v>45472</v>
      </c>
      <c r="D985" t="inlineStr">
        <is>
          <t>VÄRMLANDS LÄN</t>
        </is>
      </c>
      <c r="E985" t="inlineStr">
        <is>
          <t>TORSBY</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23851-2022</t>
        </is>
      </c>
      <c r="B986" s="1" t="n">
        <v>44722</v>
      </c>
      <c r="C986" s="1" t="n">
        <v>45472</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24960-2022</t>
        </is>
      </c>
      <c r="B987" s="1" t="n">
        <v>44728</v>
      </c>
      <c r="C987" s="1" t="n">
        <v>45472</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25537-2022</t>
        </is>
      </c>
      <c r="B988" s="1" t="n">
        <v>44732</v>
      </c>
      <c r="C988" s="1" t="n">
        <v>45472</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26686-2022</t>
        </is>
      </c>
      <c r="B989" s="1" t="n">
        <v>44739</v>
      </c>
      <c r="C989" s="1" t="n">
        <v>45472</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26842-2022</t>
        </is>
      </c>
      <c r="B990" s="1" t="n">
        <v>44740</v>
      </c>
      <c r="C990" s="1" t="n">
        <v>45472</v>
      </c>
      <c r="D990" t="inlineStr">
        <is>
          <t>VÄRMLANDS LÄN</t>
        </is>
      </c>
      <c r="E990" t="inlineStr">
        <is>
          <t>TORSBY</t>
        </is>
      </c>
      <c r="F990" t="inlineStr">
        <is>
          <t>Bergvik skog väst AB</t>
        </is>
      </c>
      <c r="G990" t="n">
        <v>5.3</v>
      </c>
      <c r="H990" t="n">
        <v>0</v>
      </c>
      <c r="I990" t="n">
        <v>0</v>
      </c>
      <c r="J990" t="n">
        <v>0</v>
      </c>
      <c r="K990" t="n">
        <v>0</v>
      </c>
      <c r="L990" t="n">
        <v>0</v>
      </c>
      <c r="M990" t="n">
        <v>0</v>
      </c>
      <c r="N990" t="n">
        <v>0</v>
      </c>
      <c r="O990" t="n">
        <v>0</v>
      </c>
      <c r="P990" t="n">
        <v>0</v>
      </c>
      <c r="Q990" t="n">
        <v>0</v>
      </c>
      <c r="R990" s="2" t="inlineStr"/>
    </row>
    <row r="991" ht="15" customHeight="1">
      <c r="A991" t="inlineStr">
        <is>
          <t>A 26988-2022</t>
        </is>
      </c>
      <c r="B991" s="1" t="n">
        <v>44740</v>
      </c>
      <c r="C991" s="1" t="n">
        <v>45472</v>
      </c>
      <c r="D991" t="inlineStr">
        <is>
          <t>VÄRMLANDS LÄN</t>
        </is>
      </c>
      <c r="E991" t="inlineStr">
        <is>
          <t>TORSBY</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27223-2022</t>
        </is>
      </c>
      <c r="B992" s="1" t="n">
        <v>44741</v>
      </c>
      <c r="C992" s="1" t="n">
        <v>45472</v>
      </c>
      <c r="D992" t="inlineStr">
        <is>
          <t>VÄRMLANDS LÄN</t>
        </is>
      </c>
      <c r="E992" t="inlineStr">
        <is>
          <t>TORSBY</t>
        </is>
      </c>
      <c r="F992" t="inlineStr">
        <is>
          <t>Bergvik skog väst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27686-2022</t>
        </is>
      </c>
      <c r="B993" s="1" t="n">
        <v>44743</v>
      </c>
      <c r="C993" s="1" t="n">
        <v>45472</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28008-2022</t>
        </is>
      </c>
      <c r="B994" s="1" t="n">
        <v>44746</v>
      </c>
      <c r="C994" s="1" t="n">
        <v>45472</v>
      </c>
      <c r="D994" t="inlineStr">
        <is>
          <t>VÄRMLANDS LÄN</t>
        </is>
      </c>
      <c r="E994" t="inlineStr">
        <is>
          <t>TORSBY</t>
        </is>
      </c>
      <c r="G994" t="n">
        <v>5.4</v>
      </c>
      <c r="H994" t="n">
        <v>0</v>
      </c>
      <c r="I994" t="n">
        <v>0</v>
      </c>
      <c r="J994" t="n">
        <v>0</v>
      </c>
      <c r="K994" t="n">
        <v>0</v>
      </c>
      <c r="L994" t="n">
        <v>0</v>
      </c>
      <c r="M994" t="n">
        <v>0</v>
      </c>
      <c r="N994" t="n">
        <v>0</v>
      </c>
      <c r="O994" t="n">
        <v>0</v>
      </c>
      <c r="P994" t="n">
        <v>0</v>
      </c>
      <c r="Q994" t="n">
        <v>0</v>
      </c>
      <c r="R994" s="2" t="inlineStr"/>
    </row>
    <row r="995" ht="15" customHeight="1">
      <c r="A995" t="inlineStr">
        <is>
          <t>A 28016-2022</t>
        </is>
      </c>
      <c r="B995" s="1" t="n">
        <v>44746</v>
      </c>
      <c r="C995" s="1" t="n">
        <v>45472</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28113-2022</t>
        </is>
      </c>
      <c r="B996" s="1" t="n">
        <v>44746</v>
      </c>
      <c r="C996" s="1" t="n">
        <v>45472</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28172-2022</t>
        </is>
      </c>
      <c r="B997" s="1" t="n">
        <v>44746</v>
      </c>
      <c r="C997" s="1" t="n">
        <v>45472</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28471-2022</t>
        </is>
      </c>
      <c r="B998" s="1" t="n">
        <v>44747</v>
      </c>
      <c r="C998" s="1" t="n">
        <v>45472</v>
      </c>
      <c r="D998" t="inlineStr">
        <is>
          <t>VÄRMLANDS LÄN</t>
        </is>
      </c>
      <c r="E998" t="inlineStr">
        <is>
          <t>TORSBY</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28955-2022</t>
        </is>
      </c>
      <c r="B999" s="1" t="n">
        <v>44749</v>
      </c>
      <c r="C999" s="1" t="n">
        <v>45472</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29142-2022</t>
        </is>
      </c>
      <c r="B1000" s="1" t="n">
        <v>44750</v>
      </c>
      <c r="C1000" s="1" t="n">
        <v>45472</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29509-2022</t>
        </is>
      </c>
      <c r="B1001" s="1" t="n">
        <v>44753</v>
      </c>
      <c r="C1001" s="1" t="n">
        <v>45472</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29596-2022</t>
        </is>
      </c>
      <c r="B1002" s="1" t="n">
        <v>44754</v>
      </c>
      <c r="C1002" s="1" t="n">
        <v>45472</v>
      </c>
      <c r="D1002" t="inlineStr">
        <is>
          <t>VÄRMLANDS LÄN</t>
        </is>
      </c>
      <c r="E1002" t="inlineStr">
        <is>
          <t>TORSBY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29717-2022</t>
        </is>
      </c>
      <c r="B1003" s="1" t="n">
        <v>44755</v>
      </c>
      <c r="C1003" s="1" t="n">
        <v>45472</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29720-2022</t>
        </is>
      </c>
      <c r="B1004" s="1" t="n">
        <v>44755</v>
      </c>
      <c r="C1004" s="1" t="n">
        <v>45472</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45472</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29901-2022</t>
        </is>
      </c>
      <c r="B1006" s="1" t="n">
        <v>44756</v>
      </c>
      <c r="C1006" s="1" t="n">
        <v>45472</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29908-2022</t>
        </is>
      </c>
      <c r="B1007" s="1" t="n">
        <v>44756</v>
      </c>
      <c r="C1007" s="1" t="n">
        <v>45472</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29921-2022</t>
        </is>
      </c>
      <c r="B1008" s="1" t="n">
        <v>44756</v>
      </c>
      <c r="C1008" s="1" t="n">
        <v>45472</v>
      </c>
      <c r="D1008" t="inlineStr">
        <is>
          <t>VÄRMLANDS LÄN</t>
        </is>
      </c>
      <c r="E1008" t="inlineStr">
        <is>
          <t>TORSBY</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29990-2022</t>
        </is>
      </c>
      <c r="B1009" s="1" t="n">
        <v>44756</v>
      </c>
      <c r="C1009" s="1" t="n">
        <v>45472</v>
      </c>
      <c r="D1009" t="inlineStr">
        <is>
          <t>VÄRMLANDS LÄN</t>
        </is>
      </c>
      <c r="E1009" t="inlineStr">
        <is>
          <t>TORSBY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30326-2022</t>
        </is>
      </c>
      <c r="B1010" s="1" t="n">
        <v>44760</v>
      </c>
      <c r="C1010" s="1" t="n">
        <v>45472</v>
      </c>
      <c r="D1010" t="inlineStr">
        <is>
          <t>VÄRMLANDS LÄN</t>
        </is>
      </c>
      <c r="E1010" t="inlineStr">
        <is>
          <t>TORSBY</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30612-2022</t>
        </is>
      </c>
      <c r="B1011" s="1" t="n">
        <v>44763</v>
      </c>
      <c r="C1011" s="1" t="n">
        <v>45472</v>
      </c>
      <c r="D1011" t="inlineStr">
        <is>
          <t>VÄRMLANDS LÄN</t>
        </is>
      </c>
      <c r="E1011" t="inlineStr">
        <is>
          <t>TORSBY</t>
        </is>
      </c>
      <c r="F1011" t="inlineStr">
        <is>
          <t>Kommuner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32003-2022</t>
        </is>
      </c>
      <c r="B1012" s="1" t="n">
        <v>44778</v>
      </c>
      <c r="C1012" s="1" t="n">
        <v>45472</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32438-2022</t>
        </is>
      </c>
      <c r="B1013" s="1" t="n">
        <v>44782</v>
      </c>
      <c r="C1013" s="1" t="n">
        <v>45472</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32444-2022</t>
        </is>
      </c>
      <c r="B1014" s="1" t="n">
        <v>44782</v>
      </c>
      <c r="C1014" s="1" t="n">
        <v>45472</v>
      </c>
      <c r="D1014" t="inlineStr">
        <is>
          <t>VÄRMLANDS LÄN</t>
        </is>
      </c>
      <c r="E1014" t="inlineStr">
        <is>
          <t>TORSBY</t>
        </is>
      </c>
      <c r="F1014" t="inlineStr">
        <is>
          <t>Bergvik skog väst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32400-2022</t>
        </is>
      </c>
      <c r="B1015" s="1" t="n">
        <v>44782</v>
      </c>
      <c r="C1015" s="1" t="n">
        <v>45472</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32496-2022</t>
        </is>
      </c>
      <c r="B1016" s="1" t="n">
        <v>44782</v>
      </c>
      <c r="C1016" s="1" t="n">
        <v>45472</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33069-2022</t>
        </is>
      </c>
      <c r="B1017" s="1" t="n">
        <v>44785</v>
      </c>
      <c r="C1017" s="1" t="n">
        <v>45472</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33181-2022</t>
        </is>
      </c>
      <c r="B1018" s="1" t="n">
        <v>44785</v>
      </c>
      <c r="C1018" s="1" t="n">
        <v>45472</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33254-2022</t>
        </is>
      </c>
      <c r="B1019" s="1" t="n">
        <v>44787</v>
      </c>
      <c r="C1019" s="1" t="n">
        <v>45472</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33251-2022</t>
        </is>
      </c>
      <c r="B1020" s="1" t="n">
        <v>44787</v>
      </c>
      <c r="C1020" s="1" t="n">
        <v>45472</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33579-2022</t>
        </is>
      </c>
      <c r="B1021" s="1" t="n">
        <v>44789</v>
      </c>
      <c r="C1021" s="1" t="n">
        <v>45472</v>
      </c>
      <c r="D1021" t="inlineStr">
        <is>
          <t>VÄRMLANDS LÄN</t>
        </is>
      </c>
      <c r="E1021" t="inlineStr">
        <is>
          <t>TORSBY</t>
        </is>
      </c>
      <c r="F1021" t="inlineStr">
        <is>
          <t>Bergvik skog väst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33802-2022</t>
        </is>
      </c>
      <c r="B1022" s="1" t="n">
        <v>44790</v>
      </c>
      <c r="C1022" s="1" t="n">
        <v>45472</v>
      </c>
      <c r="D1022" t="inlineStr">
        <is>
          <t>VÄRMLANDS LÄN</t>
        </is>
      </c>
      <c r="E1022" t="inlineStr">
        <is>
          <t>TORSBY</t>
        </is>
      </c>
      <c r="F1022" t="inlineStr">
        <is>
          <t>Bergvik skog väst AB</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33960-2022</t>
        </is>
      </c>
      <c r="B1023" s="1" t="n">
        <v>44790</v>
      </c>
      <c r="C1023" s="1" t="n">
        <v>45472</v>
      </c>
      <c r="D1023" t="inlineStr">
        <is>
          <t>VÄRMLANDS LÄN</t>
        </is>
      </c>
      <c r="E1023" t="inlineStr">
        <is>
          <t>TORSBY</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33958-2022</t>
        </is>
      </c>
      <c r="B1024" s="1" t="n">
        <v>44790</v>
      </c>
      <c r="C1024" s="1" t="n">
        <v>45472</v>
      </c>
      <c r="D1024" t="inlineStr">
        <is>
          <t>VÄRMLANDS LÄN</t>
        </is>
      </c>
      <c r="E1024" t="inlineStr">
        <is>
          <t>TORSBY</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33943-2022</t>
        </is>
      </c>
      <c r="B1025" s="1" t="n">
        <v>44790</v>
      </c>
      <c r="C1025" s="1" t="n">
        <v>45472</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33959-2022</t>
        </is>
      </c>
      <c r="B1026" s="1" t="n">
        <v>44790</v>
      </c>
      <c r="C1026" s="1" t="n">
        <v>45472</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34371-2022</t>
        </is>
      </c>
      <c r="B1027" s="1" t="n">
        <v>44792</v>
      </c>
      <c r="C1027" s="1" t="n">
        <v>45472</v>
      </c>
      <c r="D1027" t="inlineStr">
        <is>
          <t>VÄRMLANDS LÄN</t>
        </is>
      </c>
      <c r="E1027" t="inlineStr">
        <is>
          <t>TORSBY</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34378-2022</t>
        </is>
      </c>
      <c r="B1028" s="1" t="n">
        <v>44792</v>
      </c>
      <c r="C1028" s="1" t="n">
        <v>45472</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34434-2022</t>
        </is>
      </c>
      <c r="B1029" s="1" t="n">
        <v>44792</v>
      </c>
      <c r="C1029" s="1" t="n">
        <v>45472</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34440-2022</t>
        </is>
      </c>
      <c r="B1030" s="1" t="n">
        <v>44792</v>
      </c>
      <c r="C1030" s="1" t="n">
        <v>45472</v>
      </c>
      <c r="D1030" t="inlineStr">
        <is>
          <t>VÄRMLANDS LÄN</t>
        </is>
      </c>
      <c r="E1030" t="inlineStr">
        <is>
          <t>TORSBY</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34581-2022</t>
        </is>
      </c>
      <c r="B1031" s="1" t="n">
        <v>44792</v>
      </c>
      <c r="C1031" s="1" t="n">
        <v>45472</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34568-2022</t>
        </is>
      </c>
      <c r="B1032" s="1" t="n">
        <v>44795</v>
      </c>
      <c r="C1032" s="1" t="n">
        <v>45472</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34662-2022</t>
        </is>
      </c>
      <c r="B1033" s="1" t="n">
        <v>44795</v>
      </c>
      <c r="C1033" s="1" t="n">
        <v>45472</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34667-2022</t>
        </is>
      </c>
      <c r="B1034" s="1" t="n">
        <v>44795</v>
      </c>
      <c r="C1034" s="1" t="n">
        <v>45472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34655-2022</t>
        </is>
      </c>
      <c r="B1035" s="1" t="n">
        <v>44795</v>
      </c>
      <c r="C1035" s="1" t="n">
        <v>45472</v>
      </c>
      <c r="D1035" t="inlineStr">
        <is>
          <t>VÄRMLANDS LÄN</t>
        </is>
      </c>
      <c r="E1035" t="inlineStr">
        <is>
          <t>TORSBY</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34908-2022</t>
        </is>
      </c>
      <c r="B1036" s="1" t="n">
        <v>44796</v>
      </c>
      <c r="C1036" s="1" t="n">
        <v>45472</v>
      </c>
      <c r="D1036" t="inlineStr">
        <is>
          <t>VÄRMLANDS LÄN</t>
        </is>
      </c>
      <c r="E1036" t="inlineStr">
        <is>
          <t>TORSBY</t>
        </is>
      </c>
      <c r="F1036" t="inlineStr">
        <is>
          <t>Bergvik skog väst AB</t>
        </is>
      </c>
      <c r="G1036" t="n">
        <v>33.4</v>
      </c>
      <c r="H1036" t="n">
        <v>0</v>
      </c>
      <c r="I1036" t="n">
        <v>0</v>
      </c>
      <c r="J1036" t="n">
        <v>0</v>
      </c>
      <c r="K1036" t="n">
        <v>0</v>
      </c>
      <c r="L1036" t="n">
        <v>0</v>
      </c>
      <c r="M1036" t="n">
        <v>0</v>
      </c>
      <c r="N1036" t="n">
        <v>0</v>
      </c>
      <c r="O1036" t="n">
        <v>0</v>
      </c>
      <c r="P1036" t="n">
        <v>0</v>
      </c>
      <c r="Q1036" t="n">
        <v>0</v>
      </c>
      <c r="R1036" s="2" t="inlineStr"/>
    </row>
    <row r="1037" ht="15" customHeight="1">
      <c r="A1037" t="inlineStr">
        <is>
          <t>A 35134-2022</t>
        </is>
      </c>
      <c r="B1037" s="1" t="n">
        <v>44797</v>
      </c>
      <c r="C1037" s="1" t="n">
        <v>45472</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35132-2022</t>
        </is>
      </c>
      <c r="B1038" s="1" t="n">
        <v>44797</v>
      </c>
      <c r="C1038" s="1" t="n">
        <v>45472</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35606-2022</t>
        </is>
      </c>
      <c r="B1039" s="1" t="n">
        <v>44799</v>
      </c>
      <c r="C1039" s="1" t="n">
        <v>45472</v>
      </c>
      <c r="D1039" t="inlineStr">
        <is>
          <t>VÄRMLANDS LÄN</t>
        </is>
      </c>
      <c r="E1039" t="inlineStr">
        <is>
          <t>TORSBY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35595-2022</t>
        </is>
      </c>
      <c r="B1040" s="1" t="n">
        <v>44799</v>
      </c>
      <c r="C1040" s="1" t="n">
        <v>45472</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35724-2022</t>
        </is>
      </c>
      <c r="B1041" s="1" t="n">
        <v>44799</v>
      </c>
      <c r="C1041" s="1" t="n">
        <v>45472</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35711-2022</t>
        </is>
      </c>
      <c r="B1042" s="1" t="n">
        <v>44799</v>
      </c>
      <c r="C1042" s="1" t="n">
        <v>45472</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35851-2022</t>
        </is>
      </c>
      <c r="B1043" s="1" t="n">
        <v>44802</v>
      </c>
      <c r="C1043" s="1" t="n">
        <v>45472</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36290-2022</t>
        </is>
      </c>
      <c r="B1044" s="1" t="n">
        <v>44803</v>
      </c>
      <c r="C1044" s="1" t="n">
        <v>45472</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36318-2022</t>
        </is>
      </c>
      <c r="B1045" s="1" t="n">
        <v>44803</v>
      </c>
      <c r="C1045" s="1" t="n">
        <v>45472</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36514-2022</t>
        </is>
      </c>
      <c r="B1046" s="1" t="n">
        <v>44804</v>
      </c>
      <c r="C1046" s="1" t="n">
        <v>45472</v>
      </c>
      <c r="D1046" t="inlineStr">
        <is>
          <t>VÄRMLANDS LÄN</t>
        </is>
      </c>
      <c r="E1046" t="inlineStr">
        <is>
          <t>TORSBY</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36547-2022</t>
        </is>
      </c>
      <c r="B1047" s="1" t="n">
        <v>44804</v>
      </c>
      <c r="C1047" s="1" t="n">
        <v>45472</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36545-2022</t>
        </is>
      </c>
      <c r="B1048" s="1" t="n">
        <v>44804</v>
      </c>
      <c r="C1048" s="1" t="n">
        <v>45472</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36527-2022</t>
        </is>
      </c>
      <c r="B1049" s="1" t="n">
        <v>44804</v>
      </c>
      <c r="C1049" s="1" t="n">
        <v>45472</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36537-2022</t>
        </is>
      </c>
      <c r="B1050" s="1" t="n">
        <v>44804</v>
      </c>
      <c r="C1050" s="1" t="n">
        <v>45472</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36582-2022</t>
        </is>
      </c>
      <c r="B1051" s="1" t="n">
        <v>44804</v>
      </c>
      <c r="C1051" s="1" t="n">
        <v>45472</v>
      </c>
      <c r="D1051" t="inlineStr">
        <is>
          <t>VÄRMLANDS LÄN</t>
        </is>
      </c>
      <c r="E1051" t="inlineStr">
        <is>
          <t>TORSBY</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v>
      </c>
      <c r="C1052" s="1" t="n">
        <v>45472</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36572-2022</t>
        </is>
      </c>
      <c r="B1053" s="1" t="n">
        <v>44804</v>
      </c>
      <c r="C1053" s="1" t="n">
        <v>45472</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36587-2022</t>
        </is>
      </c>
      <c r="B1054" s="1" t="n">
        <v>44804</v>
      </c>
      <c r="C1054" s="1" t="n">
        <v>45472</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37148-2022</t>
        </is>
      </c>
      <c r="B1055" s="1" t="n">
        <v>44806</v>
      </c>
      <c r="C1055" s="1" t="n">
        <v>45472</v>
      </c>
      <c r="D1055" t="inlineStr">
        <is>
          <t>VÄRMLANDS LÄN</t>
        </is>
      </c>
      <c r="E1055" t="inlineStr">
        <is>
          <t>TORSBY</t>
        </is>
      </c>
      <c r="F1055" t="inlineStr">
        <is>
          <t>Kommuner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37279-2022</t>
        </is>
      </c>
      <c r="B1056" s="1" t="n">
        <v>44807</v>
      </c>
      <c r="C1056" s="1" t="n">
        <v>45472</v>
      </c>
      <c r="D1056" t="inlineStr">
        <is>
          <t>VÄRMLANDS LÄN</t>
        </is>
      </c>
      <c r="E1056" t="inlineStr">
        <is>
          <t>TORSBY</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37401-2022</t>
        </is>
      </c>
      <c r="B1057" s="1" t="n">
        <v>44809</v>
      </c>
      <c r="C1057" s="1" t="n">
        <v>45472</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37449-2022</t>
        </is>
      </c>
      <c r="B1058" s="1" t="n">
        <v>44809</v>
      </c>
      <c r="C1058" s="1" t="n">
        <v>45472</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37340-2022</t>
        </is>
      </c>
      <c r="B1059" s="1" t="n">
        <v>44809</v>
      </c>
      <c r="C1059" s="1" t="n">
        <v>45472</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37752-2022</t>
        </is>
      </c>
      <c r="B1060" s="1" t="n">
        <v>44810</v>
      </c>
      <c r="C1060" s="1" t="n">
        <v>45472</v>
      </c>
      <c r="D1060" t="inlineStr">
        <is>
          <t>VÄRMLANDS LÄN</t>
        </is>
      </c>
      <c r="E1060" t="inlineStr">
        <is>
          <t>TORSBY</t>
        </is>
      </c>
      <c r="F1060" t="inlineStr">
        <is>
          <t>Kyrkan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37814-2022</t>
        </is>
      </c>
      <c r="B1061" s="1" t="n">
        <v>44810</v>
      </c>
      <c r="C1061" s="1" t="n">
        <v>45472</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37754-2022</t>
        </is>
      </c>
      <c r="B1062" s="1" t="n">
        <v>44810</v>
      </c>
      <c r="C1062" s="1" t="n">
        <v>45472</v>
      </c>
      <c r="D1062" t="inlineStr">
        <is>
          <t>VÄRMLANDS LÄN</t>
        </is>
      </c>
      <c r="E1062" t="inlineStr">
        <is>
          <t>TORSBY</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37913-2022</t>
        </is>
      </c>
      <c r="B1063" s="1" t="n">
        <v>44811</v>
      </c>
      <c r="C1063" s="1" t="n">
        <v>45472</v>
      </c>
      <c r="D1063" t="inlineStr">
        <is>
          <t>VÄRMLANDS LÄN</t>
        </is>
      </c>
      <c r="E1063" t="inlineStr">
        <is>
          <t>TORSBY</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v>
      </c>
      <c r="C1064" s="1" t="n">
        <v>45472</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37917-2022</t>
        </is>
      </c>
      <c r="B1065" s="1" t="n">
        <v>44811</v>
      </c>
      <c r="C1065" s="1" t="n">
        <v>45472</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37937-2022</t>
        </is>
      </c>
      <c r="B1066" s="1" t="n">
        <v>44811</v>
      </c>
      <c r="C1066" s="1" t="n">
        <v>45472</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37985-2022</t>
        </is>
      </c>
      <c r="B1067" s="1" t="n">
        <v>44811</v>
      </c>
      <c r="C1067" s="1" t="n">
        <v>45472</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38033-2022</t>
        </is>
      </c>
      <c r="B1068" s="1" t="n">
        <v>44811</v>
      </c>
      <c r="C1068" s="1" t="n">
        <v>45472</v>
      </c>
      <c r="D1068" t="inlineStr">
        <is>
          <t>VÄRMLANDS LÄN</t>
        </is>
      </c>
      <c r="E1068" t="inlineStr">
        <is>
          <t>TORSBY</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38200-2022</t>
        </is>
      </c>
      <c r="B1069" s="1" t="n">
        <v>44812</v>
      </c>
      <c r="C1069" s="1" t="n">
        <v>45472</v>
      </c>
      <c r="D1069" t="inlineStr">
        <is>
          <t>VÄRMLANDS LÄN</t>
        </is>
      </c>
      <c r="E1069" t="inlineStr">
        <is>
          <t>TORSBY</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38179-2022</t>
        </is>
      </c>
      <c r="B1070" s="1" t="n">
        <v>44812</v>
      </c>
      <c r="C1070" s="1" t="n">
        <v>45472</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38378-2022</t>
        </is>
      </c>
      <c r="B1071" s="1" t="n">
        <v>44812</v>
      </c>
      <c r="C1071" s="1" t="n">
        <v>45472</v>
      </c>
      <c r="D1071" t="inlineStr">
        <is>
          <t>VÄRMLANDS LÄN</t>
        </is>
      </c>
      <c r="E1071" t="inlineStr">
        <is>
          <t>TORSBY</t>
        </is>
      </c>
      <c r="F1071" t="inlineStr">
        <is>
          <t>Bergvik skog väst AB</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38486-2022</t>
        </is>
      </c>
      <c r="B1072" s="1" t="n">
        <v>44813</v>
      </c>
      <c r="C1072" s="1" t="n">
        <v>45472</v>
      </c>
      <c r="D1072" t="inlineStr">
        <is>
          <t>VÄRMLANDS LÄN</t>
        </is>
      </c>
      <c r="E1072" t="inlineStr">
        <is>
          <t>TORSBY</t>
        </is>
      </c>
      <c r="F1072" t="inlineStr">
        <is>
          <t>Bergvik skog väst AB</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38699-2022</t>
        </is>
      </c>
      <c r="B1073" s="1" t="n">
        <v>44814</v>
      </c>
      <c r="C1073" s="1" t="n">
        <v>45472</v>
      </c>
      <c r="D1073" t="inlineStr">
        <is>
          <t>VÄRMLANDS LÄN</t>
        </is>
      </c>
      <c r="E1073" t="inlineStr">
        <is>
          <t>TORSBY</t>
        </is>
      </c>
      <c r="F1073" t="inlineStr">
        <is>
          <t>Bergvik skog väst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38882-2022</t>
        </is>
      </c>
      <c r="B1074" s="1" t="n">
        <v>44816</v>
      </c>
      <c r="C1074" s="1" t="n">
        <v>45472</v>
      </c>
      <c r="D1074" t="inlineStr">
        <is>
          <t>VÄRMLANDS LÄN</t>
        </is>
      </c>
      <c r="E1074" t="inlineStr">
        <is>
          <t>TORSBY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38914-2022</t>
        </is>
      </c>
      <c r="B1075" s="1" t="n">
        <v>44816</v>
      </c>
      <c r="C1075" s="1" t="n">
        <v>45472</v>
      </c>
      <c r="D1075" t="inlineStr">
        <is>
          <t>VÄRMLANDS LÄN</t>
        </is>
      </c>
      <c r="E1075" t="inlineStr">
        <is>
          <t>TORSBY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39069-2022</t>
        </is>
      </c>
      <c r="B1076" s="1" t="n">
        <v>44816</v>
      </c>
      <c r="C1076" s="1" t="n">
        <v>45472</v>
      </c>
      <c r="D1076" t="inlineStr">
        <is>
          <t>VÄRMLANDS LÄN</t>
        </is>
      </c>
      <c r="E1076" t="inlineStr">
        <is>
          <t>TORSBY</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39186-2022</t>
        </is>
      </c>
      <c r="B1077" s="1" t="n">
        <v>44817</v>
      </c>
      <c r="C1077" s="1" t="n">
        <v>45472</v>
      </c>
      <c r="D1077" t="inlineStr">
        <is>
          <t>VÄRMLANDS LÄN</t>
        </is>
      </c>
      <c r="E1077" t="inlineStr">
        <is>
          <t>TORSBY</t>
        </is>
      </c>
      <c r="F1077" t="inlineStr">
        <is>
          <t>Bergvik skog väst AB</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39216-2022</t>
        </is>
      </c>
      <c r="B1078" s="1" t="n">
        <v>44817</v>
      </c>
      <c r="C1078" s="1" t="n">
        <v>45472</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39215-2022</t>
        </is>
      </c>
      <c r="B1079" s="1" t="n">
        <v>44817</v>
      </c>
      <c r="C1079" s="1" t="n">
        <v>45472</v>
      </c>
      <c r="D1079" t="inlineStr">
        <is>
          <t>VÄRMLANDS LÄN</t>
        </is>
      </c>
      <c r="E1079" t="inlineStr">
        <is>
          <t>TORSBY</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39221-2022</t>
        </is>
      </c>
      <c r="B1080" s="1" t="n">
        <v>44817</v>
      </c>
      <c r="C1080" s="1" t="n">
        <v>45472</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39217-2022</t>
        </is>
      </c>
      <c r="B1081" s="1" t="n">
        <v>44817</v>
      </c>
      <c r="C1081" s="1" t="n">
        <v>45472</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45472</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39780-2022</t>
        </is>
      </c>
      <c r="B1083" s="1" t="n">
        <v>44819</v>
      </c>
      <c r="C1083" s="1" t="n">
        <v>45472</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40009-2022</t>
        </is>
      </c>
      <c r="B1084" s="1" t="n">
        <v>44820</v>
      </c>
      <c r="C1084" s="1" t="n">
        <v>45472</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v>
      </c>
      <c r="C1085" s="1" t="n">
        <v>45472</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40221-2022</t>
        </is>
      </c>
      <c r="B1086" s="1" t="n">
        <v>44820</v>
      </c>
      <c r="C1086" s="1" t="n">
        <v>45472</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40353-2022</t>
        </is>
      </c>
      <c r="B1087" s="1" t="n">
        <v>44823</v>
      </c>
      <c r="C1087" s="1" t="n">
        <v>45472</v>
      </c>
      <c r="D1087" t="inlineStr">
        <is>
          <t>VÄRMLANDS LÄN</t>
        </is>
      </c>
      <c r="E1087" t="inlineStr">
        <is>
          <t>TORSBY</t>
        </is>
      </c>
      <c r="F1087" t="inlineStr">
        <is>
          <t>Bergvik skog väst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41264-2022</t>
        </is>
      </c>
      <c r="B1088" s="1" t="n">
        <v>44823</v>
      </c>
      <c r="C1088" s="1" t="n">
        <v>45472</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41295-2022</t>
        </is>
      </c>
      <c r="B1089" s="1" t="n">
        <v>44823</v>
      </c>
      <c r="C1089" s="1" t="n">
        <v>45472</v>
      </c>
      <c r="D1089" t="inlineStr">
        <is>
          <t>VÄRMLANDS LÄN</t>
        </is>
      </c>
      <c r="E1089" t="inlineStr">
        <is>
          <t>TORSBY</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v>
      </c>
      <c r="C1090" s="1" t="n">
        <v>45472</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40788-2022</t>
        </is>
      </c>
      <c r="B1091" s="1" t="n">
        <v>44824</v>
      </c>
      <c r="C1091" s="1" t="n">
        <v>45472</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40997-2022</t>
        </is>
      </c>
      <c r="B1092" s="1" t="n">
        <v>44825</v>
      </c>
      <c r="C1092" s="1" t="n">
        <v>45472</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41065-2022</t>
        </is>
      </c>
      <c r="B1093" s="1" t="n">
        <v>44825</v>
      </c>
      <c r="C1093" s="1" t="n">
        <v>45472</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45472</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41315-2022</t>
        </is>
      </c>
      <c r="B1095" s="1" t="n">
        <v>44826</v>
      </c>
      <c r="C1095" s="1" t="n">
        <v>45472</v>
      </c>
      <c r="D1095" t="inlineStr">
        <is>
          <t>VÄRMLANDS LÄN</t>
        </is>
      </c>
      <c r="E1095" t="inlineStr">
        <is>
          <t>TORSBY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41322-2022</t>
        </is>
      </c>
      <c r="B1096" s="1" t="n">
        <v>44826</v>
      </c>
      <c r="C1096" s="1" t="n">
        <v>45472</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41781-2022</t>
        </is>
      </c>
      <c r="B1097" s="1" t="n">
        <v>44827</v>
      </c>
      <c r="C1097" s="1" t="n">
        <v>45472</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41675-2022</t>
        </is>
      </c>
      <c r="B1098" s="1" t="n">
        <v>44827</v>
      </c>
      <c r="C1098" s="1" t="n">
        <v>45472</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41590-2022</t>
        </is>
      </c>
      <c r="B1099" s="1" t="n">
        <v>44827</v>
      </c>
      <c r="C1099" s="1" t="n">
        <v>45472</v>
      </c>
      <c r="D1099" t="inlineStr">
        <is>
          <t>VÄRMLANDS LÄN</t>
        </is>
      </c>
      <c r="E1099" t="inlineStr">
        <is>
          <t>TORSBY</t>
        </is>
      </c>
      <c r="F1099" t="inlineStr">
        <is>
          <t>Bergvik skog väst AB</t>
        </is>
      </c>
      <c r="G1099" t="n">
        <v>42.5</v>
      </c>
      <c r="H1099" t="n">
        <v>0</v>
      </c>
      <c r="I1099" t="n">
        <v>0</v>
      </c>
      <c r="J1099" t="n">
        <v>0</v>
      </c>
      <c r="K1099" t="n">
        <v>0</v>
      </c>
      <c r="L1099" t="n">
        <v>0</v>
      </c>
      <c r="M1099" t="n">
        <v>0</v>
      </c>
      <c r="N1099" t="n">
        <v>0</v>
      </c>
      <c r="O1099" t="n">
        <v>0</v>
      </c>
      <c r="P1099" t="n">
        <v>0</v>
      </c>
      <c r="Q1099" t="n">
        <v>0</v>
      </c>
      <c r="R1099" s="2" t="inlineStr"/>
    </row>
    <row r="1100" ht="15" customHeight="1">
      <c r="A1100" t="inlineStr">
        <is>
          <t>A 41995-2022</t>
        </is>
      </c>
      <c r="B1100" s="1" t="n">
        <v>44830</v>
      </c>
      <c r="C1100" s="1" t="n">
        <v>45472</v>
      </c>
      <c r="D1100" t="inlineStr">
        <is>
          <t>VÄRMLANDS LÄN</t>
        </is>
      </c>
      <c r="E1100" t="inlineStr">
        <is>
          <t>TORSBY</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42588-2022</t>
        </is>
      </c>
      <c r="B1101" s="1" t="n">
        <v>44831</v>
      </c>
      <c r="C1101" s="1" t="n">
        <v>45472</v>
      </c>
      <c r="D1101" t="inlineStr">
        <is>
          <t>VÄRMLANDS LÄN</t>
        </is>
      </c>
      <c r="E1101" t="inlineStr">
        <is>
          <t>TORSBY</t>
        </is>
      </c>
      <c r="F1101" t="inlineStr">
        <is>
          <t>Bergvik skog väst AB</t>
        </is>
      </c>
      <c r="G1101" t="n">
        <v>41.4</v>
      </c>
      <c r="H1101" t="n">
        <v>0</v>
      </c>
      <c r="I1101" t="n">
        <v>0</v>
      </c>
      <c r="J1101" t="n">
        <v>0</v>
      </c>
      <c r="K1101" t="n">
        <v>0</v>
      </c>
      <c r="L1101" t="n">
        <v>0</v>
      </c>
      <c r="M1101" t="n">
        <v>0</v>
      </c>
      <c r="N1101" t="n">
        <v>0</v>
      </c>
      <c r="O1101" t="n">
        <v>0</v>
      </c>
      <c r="P1101" t="n">
        <v>0</v>
      </c>
      <c r="Q1101" t="n">
        <v>0</v>
      </c>
      <c r="R1101" s="2" t="inlineStr"/>
    </row>
    <row r="1102" ht="15" customHeight="1">
      <c r="A1102" t="inlineStr">
        <is>
          <t>A 42784-2022</t>
        </is>
      </c>
      <c r="B1102" s="1" t="n">
        <v>44832</v>
      </c>
      <c r="C1102" s="1" t="n">
        <v>45472</v>
      </c>
      <c r="D1102" t="inlineStr">
        <is>
          <t>VÄRMLANDS LÄN</t>
        </is>
      </c>
      <c r="E1102" t="inlineStr">
        <is>
          <t>TORSBY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42701-2022</t>
        </is>
      </c>
      <c r="B1103" s="1" t="n">
        <v>44832</v>
      </c>
      <c r="C1103" s="1" t="n">
        <v>45472</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43022-2022</t>
        </is>
      </c>
      <c r="B1104" s="1" t="n">
        <v>44833</v>
      </c>
      <c r="C1104" s="1" t="n">
        <v>45472</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43111-2022</t>
        </is>
      </c>
      <c r="B1105" s="1" t="n">
        <v>44833</v>
      </c>
      <c r="C1105" s="1" t="n">
        <v>45472</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43248-2022</t>
        </is>
      </c>
      <c r="B1106" s="1" t="n">
        <v>44834</v>
      </c>
      <c r="C1106" s="1" t="n">
        <v>45472</v>
      </c>
      <c r="D1106" t="inlineStr">
        <is>
          <t>VÄRMLANDS LÄN</t>
        </is>
      </c>
      <c r="E1106" t="inlineStr">
        <is>
          <t>TORSBY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43289-2022</t>
        </is>
      </c>
      <c r="B1107" s="1" t="n">
        <v>44834</v>
      </c>
      <c r="C1107" s="1" t="n">
        <v>45472</v>
      </c>
      <c r="D1107" t="inlineStr">
        <is>
          <t>VÄRMLANDS LÄN</t>
        </is>
      </c>
      <c r="E1107" t="inlineStr">
        <is>
          <t>TORSBY</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43465-2022</t>
        </is>
      </c>
      <c r="B1108" s="1" t="n">
        <v>44836</v>
      </c>
      <c r="C1108" s="1" t="n">
        <v>45472</v>
      </c>
      <c r="D1108" t="inlineStr">
        <is>
          <t>VÄRMLANDS LÄN</t>
        </is>
      </c>
      <c r="E1108" t="inlineStr">
        <is>
          <t>TORSBY</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43943-2022</t>
        </is>
      </c>
      <c r="B1109" s="1" t="n">
        <v>44838</v>
      </c>
      <c r="C1109" s="1" t="n">
        <v>45472</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43989-2022</t>
        </is>
      </c>
      <c r="B1110" s="1" t="n">
        <v>44838</v>
      </c>
      <c r="C1110" s="1" t="n">
        <v>45472</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44214-2022</t>
        </is>
      </c>
      <c r="B1111" s="1" t="n">
        <v>44838</v>
      </c>
      <c r="C1111" s="1" t="n">
        <v>45472</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44340-2022</t>
        </is>
      </c>
      <c r="B1112" s="1" t="n">
        <v>44838</v>
      </c>
      <c r="C1112" s="1" t="n">
        <v>45472</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44170-2022</t>
        </is>
      </c>
      <c r="B1113" s="1" t="n">
        <v>44838</v>
      </c>
      <c r="C1113" s="1" t="n">
        <v>45472</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44149-2022</t>
        </is>
      </c>
      <c r="B1114" s="1" t="n">
        <v>44839</v>
      </c>
      <c r="C1114" s="1" t="n">
        <v>45472</v>
      </c>
      <c r="D1114" t="inlineStr">
        <is>
          <t>VÄRMLANDS LÄN</t>
        </is>
      </c>
      <c r="E1114" t="inlineStr">
        <is>
          <t>TORSBY</t>
        </is>
      </c>
      <c r="F1114" t="inlineStr">
        <is>
          <t>Bergvik skog väst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44196-2022</t>
        </is>
      </c>
      <c r="B1115" s="1" t="n">
        <v>44839</v>
      </c>
      <c r="C1115" s="1" t="n">
        <v>45472</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44327-2022</t>
        </is>
      </c>
      <c r="B1116" s="1" t="n">
        <v>44839</v>
      </c>
      <c r="C1116" s="1" t="n">
        <v>45472</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44841-2022</t>
        </is>
      </c>
      <c r="B1117" s="1" t="n">
        <v>44839</v>
      </c>
      <c r="C1117" s="1" t="n">
        <v>45472</v>
      </c>
      <c r="D1117" t="inlineStr">
        <is>
          <t>VÄRMLANDS LÄN</t>
        </is>
      </c>
      <c r="E1117" t="inlineStr">
        <is>
          <t>TORSBY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44879-2022</t>
        </is>
      </c>
      <c r="B1118" s="1" t="n">
        <v>44839</v>
      </c>
      <c r="C1118" s="1" t="n">
        <v>45472</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44498-2022</t>
        </is>
      </c>
      <c r="B1119" s="1" t="n">
        <v>44840</v>
      </c>
      <c r="C1119" s="1" t="n">
        <v>45472</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44516-2022</t>
        </is>
      </c>
      <c r="B1120" s="1" t="n">
        <v>44840</v>
      </c>
      <c r="C1120" s="1" t="n">
        <v>45472</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44517-2022</t>
        </is>
      </c>
      <c r="B1121" s="1" t="n">
        <v>44840</v>
      </c>
      <c r="C1121" s="1" t="n">
        <v>45472</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44532-2022</t>
        </is>
      </c>
      <c r="B1122" s="1" t="n">
        <v>44840</v>
      </c>
      <c r="C1122" s="1" t="n">
        <v>45472</v>
      </c>
      <c r="D1122" t="inlineStr">
        <is>
          <t>VÄRMLANDS LÄN</t>
        </is>
      </c>
      <c r="E1122" t="inlineStr">
        <is>
          <t>TORSBY</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v>
      </c>
      <c r="C1123" s="1" t="n">
        <v>45472</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45056-2022</t>
        </is>
      </c>
      <c r="B1124" s="1" t="n">
        <v>44841</v>
      </c>
      <c r="C1124" s="1" t="n">
        <v>45472</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45303-2022</t>
        </is>
      </c>
      <c r="B1125" s="1" t="n">
        <v>44844</v>
      </c>
      <c r="C1125" s="1" t="n">
        <v>45472</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45368-2022</t>
        </is>
      </c>
      <c r="B1126" s="1" t="n">
        <v>44844</v>
      </c>
      <c r="C1126" s="1" t="n">
        <v>45472</v>
      </c>
      <c r="D1126" t="inlineStr">
        <is>
          <t>VÄRMLANDS LÄN</t>
        </is>
      </c>
      <c r="E1126" t="inlineStr">
        <is>
          <t>TORSBY</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45328-2022</t>
        </is>
      </c>
      <c r="B1127" s="1" t="n">
        <v>44844</v>
      </c>
      <c r="C1127" s="1" t="n">
        <v>45472</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45325-2022</t>
        </is>
      </c>
      <c r="B1128" s="1" t="n">
        <v>44844</v>
      </c>
      <c r="C1128" s="1" t="n">
        <v>45472</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45369-2022</t>
        </is>
      </c>
      <c r="B1129" s="1" t="n">
        <v>44844</v>
      </c>
      <c r="C1129" s="1" t="n">
        <v>45472</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45809-2022</t>
        </is>
      </c>
      <c r="B1130" s="1" t="n">
        <v>44844</v>
      </c>
      <c r="C1130" s="1" t="n">
        <v>45472</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45472</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45472</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47167-2022</t>
        </is>
      </c>
      <c r="B1133" s="1" t="n">
        <v>44852</v>
      </c>
      <c r="C1133" s="1" t="n">
        <v>45472</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v>
      </c>
      <c r="C1134" s="1" t="n">
        <v>45472</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47206-2022</t>
        </is>
      </c>
      <c r="B1135" s="1" t="n">
        <v>44852</v>
      </c>
      <c r="C1135" s="1" t="n">
        <v>45472</v>
      </c>
      <c r="D1135" t="inlineStr">
        <is>
          <t>VÄRMLANDS LÄN</t>
        </is>
      </c>
      <c r="E1135" t="inlineStr">
        <is>
          <t>TORSBY</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47466-2022</t>
        </is>
      </c>
      <c r="B1136" s="1" t="n">
        <v>44852</v>
      </c>
      <c r="C1136" s="1" t="n">
        <v>45472</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48328-2022</t>
        </is>
      </c>
      <c r="B1137" s="1" t="n">
        <v>44853</v>
      </c>
      <c r="C1137" s="1" t="n">
        <v>45472</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48356-2022</t>
        </is>
      </c>
      <c r="B1138" s="1" t="n">
        <v>44853</v>
      </c>
      <c r="C1138" s="1" t="n">
        <v>45472</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48320-2022</t>
        </is>
      </c>
      <c r="B1139" s="1" t="n">
        <v>44853</v>
      </c>
      <c r="C1139" s="1" t="n">
        <v>45472</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47694-2022</t>
        </is>
      </c>
      <c r="B1140" s="1" t="n">
        <v>44854</v>
      </c>
      <c r="C1140" s="1" t="n">
        <v>45472</v>
      </c>
      <c r="D1140" t="inlineStr">
        <is>
          <t>VÄRMLANDS LÄN</t>
        </is>
      </c>
      <c r="E1140" t="inlineStr">
        <is>
          <t>TORSBY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48239-2022</t>
        </is>
      </c>
      <c r="B1141" s="1" t="n">
        <v>44858</v>
      </c>
      <c r="C1141" s="1" t="n">
        <v>45472</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48712-2022</t>
        </is>
      </c>
      <c r="B1142" s="1" t="n">
        <v>44859</v>
      </c>
      <c r="C1142" s="1" t="n">
        <v>45472</v>
      </c>
      <c r="D1142" t="inlineStr">
        <is>
          <t>VÄRMLANDS LÄN</t>
        </is>
      </c>
      <c r="E1142" t="inlineStr">
        <is>
          <t>TORSBY</t>
        </is>
      </c>
      <c r="F1142" t="inlineStr">
        <is>
          <t>Bergvik skog väst AB</t>
        </is>
      </c>
      <c r="G1142" t="n">
        <v>22.7</v>
      </c>
      <c r="H1142" t="n">
        <v>0</v>
      </c>
      <c r="I1142" t="n">
        <v>0</v>
      </c>
      <c r="J1142" t="n">
        <v>0</v>
      </c>
      <c r="K1142" t="n">
        <v>0</v>
      </c>
      <c r="L1142" t="n">
        <v>0</v>
      </c>
      <c r="M1142" t="n">
        <v>0</v>
      </c>
      <c r="N1142" t="n">
        <v>0</v>
      </c>
      <c r="O1142" t="n">
        <v>0</v>
      </c>
      <c r="P1142" t="n">
        <v>0</v>
      </c>
      <c r="Q1142" t="n">
        <v>0</v>
      </c>
      <c r="R1142" s="2" t="inlineStr"/>
    </row>
    <row r="1143" ht="15" customHeight="1">
      <c r="A1143" t="inlineStr">
        <is>
          <t>A 49699-2022</t>
        </is>
      </c>
      <c r="B1143" s="1" t="n">
        <v>44859</v>
      </c>
      <c r="C1143" s="1" t="n">
        <v>45472</v>
      </c>
      <c r="D1143" t="inlineStr">
        <is>
          <t>VÄRMLANDS LÄN</t>
        </is>
      </c>
      <c r="E1143" t="inlineStr">
        <is>
          <t>TORSBY</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49814-2022</t>
        </is>
      </c>
      <c r="B1144" s="1" t="n">
        <v>44859</v>
      </c>
      <c r="C1144" s="1" t="n">
        <v>45472</v>
      </c>
      <c r="D1144" t="inlineStr">
        <is>
          <t>VÄRMLANDS LÄN</t>
        </is>
      </c>
      <c r="E1144" t="inlineStr">
        <is>
          <t>TORSBY</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49608-2022</t>
        </is>
      </c>
      <c r="B1145" s="1" t="n">
        <v>44859</v>
      </c>
      <c r="C1145" s="1" t="n">
        <v>45472</v>
      </c>
      <c r="D1145" t="inlineStr">
        <is>
          <t>VÄRMLANDS LÄN</t>
        </is>
      </c>
      <c r="E1145" t="inlineStr">
        <is>
          <t>TORSBY</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49073-2022</t>
        </is>
      </c>
      <c r="B1146" s="1" t="n">
        <v>44860</v>
      </c>
      <c r="C1146" s="1" t="n">
        <v>45472</v>
      </c>
      <c r="D1146" t="inlineStr">
        <is>
          <t>VÄRMLANDS LÄN</t>
        </is>
      </c>
      <c r="E1146" t="inlineStr">
        <is>
          <t>TORSBY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49206-2022</t>
        </is>
      </c>
      <c r="B1147" s="1" t="n">
        <v>44861</v>
      </c>
      <c r="C1147" s="1" t="n">
        <v>45472</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49346-2022</t>
        </is>
      </c>
      <c r="B1148" s="1" t="n">
        <v>44861</v>
      </c>
      <c r="C1148" s="1" t="n">
        <v>45472</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50390-2022</t>
        </is>
      </c>
      <c r="B1149" s="1" t="n">
        <v>44861</v>
      </c>
      <c r="C1149" s="1" t="n">
        <v>45472</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49795-2022</t>
        </is>
      </c>
      <c r="B1150" s="1" t="n">
        <v>44862</v>
      </c>
      <c r="C1150" s="1" t="n">
        <v>45472</v>
      </c>
      <c r="D1150" t="inlineStr">
        <is>
          <t>VÄRMLANDS LÄN</t>
        </is>
      </c>
      <c r="E1150" t="inlineStr">
        <is>
          <t>TORSBY</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49810-2022</t>
        </is>
      </c>
      <c r="B1151" s="1" t="n">
        <v>44862</v>
      </c>
      <c r="C1151" s="1" t="n">
        <v>45472</v>
      </c>
      <c r="D1151" t="inlineStr">
        <is>
          <t>VÄRMLANDS LÄN</t>
        </is>
      </c>
      <c r="E1151" t="inlineStr">
        <is>
          <t>TORSBY</t>
        </is>
      </c>
      <c r="F1151" t="inlineStr">
        <is>
          <t>Bergvik skog väst AB</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49957-2022</t>
        </is>
      </c>
      <c r="B1152" s="1" t="n">
        <v>44865</v>
      </c>
      <c r="C1152" s="1" t="n">
        <v>45472</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49983-2022</t>
        </is>
      </c>
      <c r="B1153" s="1" t="n">
        <v>44865</v>
      </c>
      <c r="C1153" s="1" t="n">
        <v>45472</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49970-2022</t>
        </is>
      </c>
      <c r="B1154" s="1" t="n">
        <v>44865</v>
      </c>
      <c r="C1154" s="1" t="n">
        <v>45472</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49959-2022</t>
        </is>
      </c>
      <c r="B1155" s="1" t="n">
        <v>44865</v>
      </c>
      <c r="C1155" s="1" t="n">
        <v>45472</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50280-2022</t>
        </is>
      </c>
      <c r="B1156" s="1" t="n">
        <v>44865</v>
      </c>
      <c r="C1156" s="1" t="n">
        <v>45472</v>
      </c>
      <c r="D1156" t="inlineStr">
        <is>
          <t>VÄRMLANDS LÄN</t>
        </is>
      </c>
      <c r="E1156" t="inlineStr">
        <is>
          <t>TORSBY</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50417-2022</t>
        </is>
      </c>
      <c r="B1157" s="1" t="n">
        <v>44866</v>
      </c>
      <c r="C1157" s="1" t="n">
        <v>45472</v>
      </c>
      <c r="D1157" t="inlineStr">
        <is>
          <t>VÄRMLANDS LÄN</t>
        </is>
      </c>
      <c r="E1157" t="inlineStr">
        <is>
          <t>TORSBY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50436-2022</t>
        </is>
      </c>
      <c r="B1158" s="1" t="n">
        <v>44866</v>
      </c>
      <c r="C1158" s="1" t="n">
        <v>45472</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50434-2022</t>
        </is>
      </c>
      <c r="B1159" s="1" t="n">
        <v>44866</v>
      </c>
      <c r="C1159" s="1" t="n">
        <v>45472</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50953-2022</t>
        </is>
      </c>
      <c r="B1160" s="1" t="n">
        <v>44866</v>
      </c>
      <c r="C1160" s="1" t="n">
        <v>45472</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50789-2022</t>
        </is>
      </c>
      <c r="B1161" s="1" t="n">
        <v>44867</v>
      </c>
      <c r="C1161" s="1" t="n">
        <v>45472</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51124-2022</t>
        </is>
      </c>
      <c r="B1162" s="1" t="n">
        <v>44868</v>
      </c>
      <c r="C1162" s="1" t="n">
        <v>45472</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51439-2022</t>
        </is>
      </c>
      <c r="B1163" s="1" t="n">
        <v>44869</v>
      </c>
      <c r="C1163" s="1" t="n">
        <v>45472</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51490-2022</t>
        </is>
      </c>
      <c r="B1164" s="1" t="n">
        <v>44869</v>
      </c>
      <c r="C1164" s="1" t="n">
        <v>45472</v>
      </c>
      <c r="D1164" t="inlineStr">
        <is>
          <t>VÄRMLANDS LÄN</t>
        </is>
      </c>
      <c r="E1164" t="inlineStr">
        <is>
          <t>TORSBY</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51489-2022</t>
        </is>
      </c>
      <c r="B1165" s="1" t="n">
        <v>44869</v>
      </c>
      <c r="C1165" s="1" t="n">
        <v>45472</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51847-2022</t>
        </is>
      </c>
      <c r="B1166" s="1" t="n">
        <v>44872</v>
      </c>
      <c r="C1166" s="1" t="n">
        <v>45472</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51843-2022</t>
        </is>
      </c>
      <c r="B1167" s="1" t="n">
        <v>44872</v>
      </c>
      <c r="C1167" s="1" t="n">
        <v>45472</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51911-2022</t>
        </is>
      </c>
      <c r="B1168" s="1" t="n">
        <v>44872</v>
      </c>
      <c r="C1168" s="1" t="n">
        <v>45472</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52921-2022</t>
        </is>
      </c>
      <c r="B1169" s="1" t="n">
        <v>44872</v>
      </c>
      <c r="C1169" s="1" t="n">
        <v>45472</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52901-2022</t>
        </is>
      </c>
      <c r="B1170" s="1" t="n">
        <v>44872</v>
      </c>
      <c r="C1170" s="1" t="n">
        <v>45472</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52286-2022</t>
        </is>
      </c>
      <c r="B1171" s="1" t="n">
        <v>44873</v>
      </c>
      <c r="C1171" s="1" t="n">
        <v>45472</v>
      </c>
      <c r="D1171" t="inlineStr">
        <is>
          <t>VÄRMLANDS LÄN</t>
        </is>
      </c>
      <c r="E1171" t="inlineStr">
        <is>
          <t>TORSBY</t>
        </is>
      </c>
      <c r="F1171" t="inlineStr">
        <is>
          <t>Bergvik skog väst AB</t>
        </is>
      </c>
      <c r="G1171" t="n">
        <v>51.4</v>
      </c>
      <c r="H1171" t="n">
        <v>0</v>
      </c>
      <c r="I1171" t="n">
        <v>0</v>
      </c>
      <c r="J1171" t="n">
        <v>0</v>
      </c>
      <c r="K1171" t="n">
        <v>0</v>
      </c>
      <c r="L1171" t="n">
        <v>0</v>
      </c>
      <c r="M1171" t="n">
        <v>0</v>
      </c>
      <c r="N1171" t="n">
        <v>0</v>
      </c>
      <c r="O1171" t="n">
        <v>0</v>
      </c>
      <c r="P1171" t="n">
        <v>0</v>
      </c>
      <c r="Q1171" t="n">
        <v>0</v>
      </c>
      <c r="R1171" s="2" t="inlineStr"/>
    </row>
    <row r="1172" ht="15" customHeight="1">
      <c r="A1172" t="inlineStr">
        <is>
          <t>A 52393-2022</t>
        </is>
      </c>
      <c r="B1172" s="1" t="n">
        <v>44874</v>
      </c>
      <c r="C1172" s="1" t="n">
        <v>45472</v>
      </c>
      <c r="D1172" t="inlineStr">
        <is>
          <t>VÄRMLANDS LÄN</t>
        </is>
      </c>
      <c r="E1172" t="inlineStr">
        <is>
          <t>TORSBY</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52546-2022</t>
        </is>
      </c>
      <c r="B1173" s="1" t="n">
        <v>44874</v>
      </c>
      <c r="C1173" s="1" t="n">
        <v>45472</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52386-2022</t>
        </is>
      </c>
      <c r="B1174" s="1" t="n">
        <v>44874</v>
      </c>
      <c r="C1174" s="1" t="n">
        <v>45472</v>
      </c>
      <c r="D1174" t="inlineStr">
        <is>
          <t>VÄRMLANDS LÄN</t>
        </is>
      </c>
      <c r="E1174" t="inlineStr">
        <is>
          <t>TORSBY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52543-2022</t>
        </is>
      </c>
      <c r="B1175" s="1" t="n">
        <v>44874</v>
      </c>
      <c r="C1175" s="1" t="n">
        <v>45472</v>
      </c>
      <c r="D1175" t="inlineStr">
        <is>
          <t>VÄRMLANDS LÄN</t>
        </is>
      </c>
      <c r="E1175" t="inlineStr">
        <is>
          <t>TORSBY</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52447-2022</t>
        </is>
      </c>
      <c r="B1176" s="1" t="n">
        <v>44874</v>
      </c>
      <c r="C1176" s="1" t="n">
        <v>45472</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52483-2022</t>
        </is>
      </c>
      <c r="B1177" s="1" t="n">
        <v>44874</v>
      </c>
      <c r="C1177" s="1" t="n">
        <v>45472</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52913-2022</t>
        </is>
      </c>
      <c r="B1178" s="1" t="n">
        <v>44875</v>
      </c>
      <c r="C1178" s="1" t="n">
        <v>45472</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52919-2022</t>
        </is>
      </c>
      <c r="B1179" s="1" t="n">
        <v>44875</v>
      </c>
      <c r="C1179" s="1" t="n">
        <v>45472</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53044-2022</t>
        </is>
      </c>
      <c r="B1180" s="1" t="n">
        <v>44876</v>
      </c>
      <c r="C1180" s="1" t="n">
        <v>45472</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53076-2022</t>
        </is>
      </c>
      <c r="B1181" s="1" t="n">
        <v>44876</v>
      </c>
      <c r="C1181" s="1" t="n">
        <v>45472</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53988-2022</t>
        </is>
      </c>
      <c r="B1182" s="1" t="n">
        <v>44876</v>
      </c>
      <c r="C1182" s="1" t="n">
        <v>45472</v>
      </c>
      <c r="D1182" t="inlineStr">
        <is>
          <t>VÄRMLANDS LÄN</t>
        </is>
      </c>
      <c r="E1182" t="inlineStr">
        <is>
          <t>TORSBY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53381-2022</t>
        </is>
      </c>
      <c r="B1183" s="1" t="n">
        <v>44879</v>
      </c>
      <c r="C1183" s="1" t="n">
        <v>45472</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53492-2022</t>
        </is>
      </c>
      <c r="B1184" s="1" t="n">
        <v>44879</v>
      </c>
      <c r="C1184" s="1" t="n">
        <v>45472</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53781-2022</t>
        </is>
      </c>
      <c r="B1185" s="1" t="n">
        <v>44880</v>
      </c>
      <c r="C1185" s="1" t="n">
        <v>45472</v>
      </c>
      <c r="D1185" t="inlineStr">
        <is>
          <t>VÄRMLANDS LÄN</t>
        </is>
      </c>
      <c r="E1185" t="inlineStr">
        <is>
          <t>TORSBY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53906-2022</t>
        </is>
      </c>
      <c r="B1186" s="1" t="n">
        <v>44880</v>
      </c>
      <c r="C1186" s="1" t="n">
        <v>45472</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54452-2022</t>
        </is>
      </c>
      <c r="B1187" s="1" t="n">
        <v>44880</v>
      </c>
      <c r="C1187" s="1" t="n">
        <v>45472</v>
      </c>
      <c r="D1187" t="inlineStr">
        <is>
          <t>VÄRMLANDS LÄN</t>
        </is>
      </c>
      <c r="E1187" t="inlineStr">
        <is>
          <t>TORSBY</t>
        </is>
      </c>
      <c r="F1187" t="inlineStr">
        <is>
          <t>Kyrkan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54028-2022</t>
        </is>
      </c>
      <c r="B1188" s="1" t="n">
        <v>44881</v>
      </c>
      <c r="C1188" s="1" t="n">
        <v>45472</v>
      </c>
      <c r="D1188" t="inlineStr">
        <is>
          <t>VÄRMLANDS LÄN</t>
        </is>
      </c>
      <c r="E1188" t="inlineStr">
        <is>
          <t>TORSBY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54143-2022</t>
        </is>
      </c>
      <c r="B1189" s="1" t="n">
        <v>44881</v>
      </c>
      <c r="C1189" s="1" t="n">
        <v>45472</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54160-2022</t>
        </is>
      </c>
      <c r="B1190" s="1" t="n">
        <v>44881</v>
      </c>
      <c r="C1190" s="1" t="n">
        <v>45472</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54811-2022</t>
        </is>
      </c>
      <c r="B1191" s="1" t="n">
        <v>44883</v>
      </c>
      <c r="C1191" s="1" t="n">
        <v>45472</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54865-2022</t>
        </is>
      </c>
      <c r="B1192" s="1" t="n">
        <v>44884</v>
      </c>
      <c r="C1192" s="1" t="n">
        <v>45472</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54885-2022</t>
        </is>
      </c>
      <c r="B1193" s="1" t="n">
        <v>44886</v>
      </c>
      <c r="C1193" s="1" t="n">
        <v>45472</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55068-2022</t>
        </is>
      </c>
      <c r="B1194" s="1" t="n">
        <v>44886</v>
      </c>
      <c r="C1194" s="1" t="n">
        <v>45472</v>
      </c>
      <c r="D1194" t="inlineStr">
        <is>
          <t>VÄRMLANDS LÄN</t>
        </is>
      </c>
      <c r="E1194" t="inlineStr">
        <is>
          <t>TORSBY</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55092-2022</t>
        </is>
      </c>
      <c r="B1195" s="1" t="n">
        <v>44886</v>
      </c>
      <c r="C1195" s="1" t="n">
        <v>45472</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55104-2022</t>
        </is>
      </c>
      <c r="B1196" s="1" t="n">
        <v>44886</v>
      </c>
      <c r="C1196" s="1" t="n">
        <v>45472</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55428-2022</t>
        </is>
      </c>
      <c r="B1197" s="1" t="n">
        <v>44887</v>
      </c>
      <c r="C1197" s="1" t="n">
        <v>45472</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55475-2022</t>
        </is>
      </c>
      <c r="B1198" s="1" t="n">
        <v>44887</v>
      </c>
      <c r="C1198" s="1" t="n">
        <v>45472</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55436-2022</t>
        </is>
      </c>
      <c r="B1199" s="1" t="n">
        <v>44887</v>
      </c>
      <c r="C1199" s="1" t="n">
        <v>45472</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55575-2022</t>
        </is>
      </c>
      <c r="B1200" s="1" t="n">
        <v>44888</v>
      </c>
      <c r="C1200" s="1" t="n">
        <v>45472</v>
      </c>
      <c r="D1200" t="inlineStr">
        <is>
          <t>VÄRMLANDS LÄN</t>
        </is>
      </c>
      <c r="E1200" t="inlineStr">
        <is>
          <t>TORSBY</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55981-2022</t>
        </is>
      </c>
      <c r="B1201" s="1" t="n">
        <v>44889</v>
      </c>
      <c r="C1201" s="1" t="n">
        <v>45472</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55939-2022</t>
        </is>
      </c>
      <c r="B1202" s="1" t="n">
        <v>44889</v>
      </c>
      <c r="C1202" s="1" t="n">
        <v>45472</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55947-2022</t>
        </is>
      </c>
      <c r="B1203" s="1" t="n">
        <v>44889</v>
      </c>
      <c r="C1203" s="1" t="n">
        <v>45472</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45472</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56361-2022</t>
        </is>
      </c>
      <c r="B1205" s="1" t="n">
        <v>44890</v>
      </c>
      <c r="C1205" s="1" t="n">
        <v>45472</v>
      </c>
      <c r="D1205" t="inlineStr">
        <is>
          <t>VÄRMLANDS LÄN</t>
        </is>
      </c>
      <c r="E1205" t="inlineStr">
        <is>
          <t>TORSBY</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56432-2022</t>
        </is>
      </c>
      <c r="B1206" s="1" t="n">
        <v>44891</v>
      </c>
      <c r="C1206" s="1" t="n">
        <v>45472</v>
      </c>
      <c r="D1206" t="inlineStr">
        <is>
          <t>VÄRMLANDS LÄN</t>
        </is>
      </c>
      <c r="E1206" t="inlineStr">
        <is>
          <t>TORSBY</t>
        </is>
      </c>
      <c r="F1206" t="inlineStr">
        <is>
          <t>Bergvik skog väst AB</t>
        </is>
      </c>
      <c r="G1206" t="n">
        <v>37.4</v>
      </c>
      <c r="H1206" t="n">
        <v>0</v>
      </c>
      <c r="I1206" t="n">
        <v>0</v>
      </c>
      <c r="J1206" t="n">
        <v>0</v>
      </c>
      <c r="K1206" t="n">
        <v>0</v>
      </c>
      <c r="L1206" t="n">
        <v>0</v>
      </c>
      <c r="M1206" t="n">
        <v>0</v>
      </c>
      <c r="N1206" t="n">
        <v>0</v>
      </c>
      <c r="O1206" t="n">
        <v>0</v>
      </c>
      <c r="P1206" t="n">
        <v>0</v>
      </c>
      <c r="Q1206" t="n">
        <v>0</v>
      </c>
      <c r="R1206" s="2" t="inlineStr"/>
    </row>
    <row r="1207" ht="15" customHeight="1">
      <c r="A1207" t="inlineStr">
        <is>
          <t>A 56434-2022</t>
        </is>
      </c>
      <c r="B1207" s="1" t="n">
        <v>44891</v>
      </c>
      <c r="C1207" s="1" t="n">
        <v>45472</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56473-2022</t>
        </is>
      </c>
      <c r="B1208" s="1" t="n">
        <v>44893</v>
      </c>
      <c r="C1208" s="1" t="n">
        <v>45472</v>
      </c>
      <c r="D1208" t="inlineStr">
        <is>
          <t>VÄRMLANDS LÄN</t>
        </is>
      </c>
      <c r="E1208" t="inlineStr">
        <is>
          <t>TORSBY</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57072-2022</t>
        </is>
      </c>
      <c r="B1209" s="1" t="n">
        <v>44895</v>
      </c>
      <c r="C1209" s="1" t="n">
        <v>45472</v>
      </c>
      <c r="D1209" t="inlineStr">
        <is>
          <t>VÄRMLANDS LÄN</t>
        </is>
      </c>
      <c r="E1209" t="inlineStr">
        <is>
          <t>TORSBY</t>
        </is>
      </c>
      <c r="F1209" t="inlineStr">
        <is>
          <t>Övriga statliga verk och myndigheter</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57176-2022</t>
        </is>
      </c>
      <c r="B1210" s="1" t="n">
        <v>44895</v>
      </c>
      <c r="C1210" s="1" t="n">
        <v>45472</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57071-2022</t>
        </is>
      </c>
      <c r="B1211" s="1" t="n">
        <v>44895</v>
      </c>
      <c r="C1211" s="1" t="n">
        <v>45472</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57172-2022</t>
        </is>
      </c>
      <c r="B1212" s="1" t="n">
        <v>44895</v>
      </c>
      <c r="C1212" s="1" t="n">
        <v>45472</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57408-2022</t>
        </is>
      </c>
      <c r="B1213" s="1" t="n">
        <v>44896</v>
      </c>
      <c r="C1213" s="1" t="n">
        <v>45472</v>
      </c>
      <c r="D1213" t="inlineStr">
        <is>
          <t>VÄRMLANDS LÄN</t>
        </is>
      </c>
      <c r="E1213" t="inlineStr">
        <is>
          <t>TORSBY</t>
        </is>
      </c>
      <c r="F1213" t="inlineStr">
        <is>
          <t>Bergvik skog väst AB</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57418-2022</t>
        </is>
      </c>
      <c r="B1214" s="1" t="n">
        <v>44896</v>
      </c>
      <c r="C1214" s="1" t="n">
        <v>45472</v>
      </c>
      <c r="D1214" t="inlineStr">
        <is>
          <t>VÄRMLANDS LÄN</t>
        </is>
      </c>
      <c r="E1214" t="inlineStr">
        <is>
          <t>TORSBY</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57393-2022</t>
        </is>
      </c>
      <c r="B1215" s="1" t="n">
        <v>44896</v>
      </c>
      <c r="C1215" s="1" t="n">
        <v>45472</v>
      </c>
      <c r="D1215" t="inlineStr">
        <is>
          <t>VÄRMLANDS LÄN</t>
        </is>
      </c>
      <c r="E1215" t="inlineStr">
        <is>
          <t>TORSBY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57452-2022</t>
        </is>
      </c>
      <c r="B1216" s="1" t="n">
        <v>44896</v>
      </c>
      <c r="C1216" s="1" t="n">
        <v>45472</v>
      </c>
      <c r="D1216" t="inlineStr">
        <is>
          <t>VÄRMLANDS LÄN</t>
        </is>
      </c>
      <c r="E1216" t="inlineStr">
        <is>
          <t>TORSBY</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57708-2022</t>
        </is>
      </c>
      <c r="B1217" s="1" t="n">
        <v>44897</v>
      </c>
      <c r="C1217" s="1" t="n">
        <v>45472</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57726-2022</t>
        </is>
      </c>
      <c r="B1218" s="1" t="n">
        <v>44897</v>
      </c>
      <c r="C1218" s="1" t="n">
        <v>45472</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57721-2022</t>
        </is>
      </c>
      <c r="B1219" s="1" t="n">
        <v>44897</v>
      </c>
      <c r="C1219" s="1" t="n">
        <v>45472</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57867-2022</t>
        </is>
      </c>
      <c r="B1220" s="1" t="n">
        <v>44899</v>
      </c>
      <c r="C1220" s="1" t="n">
        <v>45472</v>
      </c>
      <c r="D1220" t="inlineStr">
        <is>
          <t>VÄRMLANDS LÄN</t>
        </is>
      </c>
      <c r="E1220" t="inlineStr">
        <is>
          <t>TORSBY</t>
        </is>
      </c>
      <c r="F1220" t="inlineStr">
        <is>
          <t>Bergvik skog väst AB</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57937-2022</t>
        </is>
      </c>
      <c r="B1221" s="1" t="n">
        <v>44900</v>
      </c>
      <c r="C1221" s="1" t="n">
        <v>45472</v>
      </c>
      <c r="D1221" t="inlineStr">
        <is>
          <t>VÄRMLANDS LÄN</t>
        </is>
      </c>
      <c r="E1221" t="inlineStr">
        <is>
          <t>TORSBY</t>
        </is>
      </c>
      <c r="F1221" t="inlineStr">
        <is>
          <t>Bergvik skog väst AB</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58225-2022</t>
        </is>
      </c>
      <c r="B1222" s="1" t="n">
        <v>44901</v>
      </c>
      <c r="C1222" s="1" t="n">
        <v>45472</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58276-2022</t>
        </is>
      </c>
      <c r="B1223" s="1" t="n">
        <v>44901</v>
      </c>
      <c r="C1223" s="1" t="n">
        <v>45472</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58956-2022</t>
        </is>
      </c>
      <c r="B1224" s="1" t="n">
        <v>44903</v>
      </c>
      <c r="C1224" s="1" t="n">
        <v>45472</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58869-2022</t>
        </is>
      </c>
      <c r="B1225" s="1" t="n">
        <v>44903</v>
      </c>
      <c r="C1225" s="1" t="n">
        <v>45472</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58951-2022</t>
        </is>
      </c>
      <c r="B1226" s="1" t="n">
        <v>44903</v>
      </c>
      <c r="C1226" s="1" t="n">
        <v>45472</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59097-2022</t>
        </is>
      </c>
      <c r="B1227" s="1" t="n">
        <v>44904</v>
      </c>
      <c r="C1227" s="1" t="n">
        <v>45472</v>
      </c>
      <c r="D1227" t="inlineStr">
        <is>
          <t>VÄRMLANDS LÄN</t>
        </is>
      </c>
      <c r="E1227" t="inlineStr">
        <is>
          <t>TORSBY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59096-2022</t>
        </is>
      </c>
      <c r="B1228" s="1" t="n">
        <v>44904</v>
      </c>
      <c r="C1228" s="1" t="n">
        <v>45472</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59778-2022</t>
        </is>
      </c>
      <c r="B1229" s="1" t="n">
        <v>44908</v>
      </c>
      <c r="C1229" s="1" t="n">
        <v>45472</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60240-2022</t>
        </is>
      </c>
      <c r="B1230" s="1" t="n">
        <v>44910</v>
      </c>
      <c r="C1230" s="1" t="n">
        <v>45472</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61432-2022</t>
        </is>
      </c>
      <c r="B1231" s="1" t="n">
        <v>44910</v>
      </c>
      <c r="C1231" s="1" t="n">
        <v>45472</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61428-2022</t>
        </is>
      </c>
      <c r="B1232" s="1" t="n">
        <v>44910</v>
      </c>
      <c r="C1232" s="1" t="n">
        <v>45472</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60737-2022</t>
        </is>
      </c>
      <c r="B1233" s="1" t="n">
        <v>44913</v>
      </c>
      <c r="C1233" s="1" t="n">
        <v>45472</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60823-2022</t>
        </is>
      </c>
      <c r="B1234" s="1" t="n">
        <v>44914</v>
      </c>
      <c r="C1234" s="1" t="n">
        <v>45472</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61128-2022</t>
        </is>
      </c>
      <c r="B1235" s="1" t="n">
        <v>44915</v>
      </c>
      <c r="C1235" s="1" t="n">
        <v>45472</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61151-2022</t>
        </is>
      </c>
      <c r="B1236" s="1" t="n">
        <v>44915</v>
      </c>
      <c r="C1236" s="1" t="n">
        <v>45472</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61286-2022</t>
        </is>
      </c>
      <c r="B1237" s="1" t="n">
        <v>44915</v>
      </c>
      <c r="C1237" s="1" t="n">
        <v>45472</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61321-2022</t>
        </is>
      </c>
      <c r="B1238" s="1" t="n">
        <v>44915</v>
      </c>
      <c r="C1238" s="1" t="n">
        <v>45472</v>
      </c>
      <c r="D1238" t="inlineStr">
        <is>
          <t>VÄRMLANDS LÄN</t>
        </is>
      </c>
      <c r="E1238" t="inlineStr">
        <is>
          <t>TORSBY</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61138-2022</t>
        </is>
      </c>
      <c r="B1239" s="1" t="n">
        <v>44915</v>
      </c>
      <c r="C1239" s="1" t="n">
        <v>45472</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61143-2022</t>
        </is>
      </c>
      <c r="B1240" s="1" t="n">
        <v>44915</v>
      </c>
      <c r="C1240" s="1" t="n">
        <v>45472</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61290-2022</t>
        </is>
      </c>
      <c r="B1241" s="1" t="n">
        <v>44915</v>
      </c>
      <c r="C1241" s="1" t="n">
        <v>45472</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61367-2022</t>
        </is>
      </c>
      <c r="B1242" s="1" t="n">
        <v>44915</v>
      </c>
      <c r="C1242" s="1" t="n">
        <v>45472</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61135-2022</t>
        </is>
      </c>
      <c r="B1243" s="1" t="n">
        <v>44915</v>
      </c>
      <c r="C1243" s="1" t="n">
        <v>45472</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61510-2022</t>
        </is>
      </c>
      <c r="B1244" s="1" t="n">
        <v>44916</v>
      </c>
      <c r="C1244" s="1" t="n">
        <v>45472</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62006-2022</t>
        </is>
      </c>
      <c r="B1245" s="1" t="n">
        <v>44918</v>
      </c>
      <c r="C1245" s="1" t="n">
        <v>45472</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80-2023</t>
        </is>
      </c>
      <c r="B1246" s="1" t="n">
        <v>44918</v>
      </c>
      <c r="C1246" s="1" t="n">
        <v>45472</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345-2023</t>
        </is>
      </c>
      <c r="B1247" s="1" t="n">
        <v>44923</v>
      </c>
      <c r="C1247" s="1" t="n">
        <v>45472</v>
      </c>
      <c r="D1247" t="inlineStr">
        <is>
          <t>VÄRMLANDS LÄN</t>
        </is>
      </c>
      <c r="E1247" t="inlineStr">
        <is>
          <t>TORSBY</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363-2023</t>
        </is>
      </c>
      <c r="B1248" s="1" t="n">
        <v>44923</v>
      </c>
      <c r="C1248" s="1" t="n">
        <v>45472</v>
      </c>
      <c r="D1248" t="inlineStr">
        <is>
          <t>VÄRMLANDS LÄN</t>
        </is>
      </c>
      <c r="E1248" t="inlineStr">
        <is>
          <t>TORSBY</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62574-2022</t>
        </is>
      </c>
      <c r="B1249" s="1" t="n">
        <v>44924</v>
      </c>
      <c r="C1249" s="1" t="n">
        <v>45472</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522-2023</t>
        </is>
      </c>
      <c r="B1250" s="1" t="n">
        <v>44930</v>
      </c>
      <c r="C1250" s="1" t="n">
        <v>45472</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1003-2023</t>
        </is>
      </c>
      <c r="B1251" s="1" t="n">
        <v>44935</v>
      </c>
      <c r="C1251" s="1" t="n">
        <v>45472</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1120-2023</t>
        </is>
      </c>
      <c r="B1252" s="1" t="n">
        <v>44935</v>
      </c>
      <c r="C1252" s="1" t="n">
        <v>45472</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1166-2023</t>
        </is>
      </c>
      <c r="B1253" s="1" t="n">
        <v>44935</v>
      </c>
      <c r="C1253" s="1" t="n">
        <v>45472</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1123-2023</t>
        </is>
      </c>
      <c r="B1254" s="1" t="n">
        <v>44935</v>
      </c>
      <c r="C1254" s="1" t="n">
        <v>45472</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1386-2023</t>
        </is>
      </c>
      <c r="B1255" s="1" t="n">
        <v>44936</v>
      </c>
      <c r="C1255" s="1" t="n">
        <v>45472</v>
      </c>
      <c r="D1255" t="inlineStr">
        <is>
          <t>VÄRMLANDS LÄN</t>
        </is>
      </c>
      <c r="E1255" t="inlineStr">
        <is>
          <t>TORSBY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1947-2023</t>
        </is>
      </c>
      <c r="B1256" s="1" t="n">
        <v>44939</v>
      </c>
      <c r="C1256" s="1" t="n">
        <v>45472</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1979-2023</t>
        </is>
      </c>
      <c r="B1257" s="1" t="n">
        <v>44939</v>
      </c>
      <c r="C1257" s="1" t="n">
        <v>45472</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2471-2023</t>
        </is>
      </c>
      <c r="B1258" s="1" t="n">
        <v>44943</v>
      </c>
      <c r="C1258" s="1" t="n">
        <v>45472</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2512-2023</t>
        </is>
      </c>
      <c r="B1259" s="1" t="n">
        <v>44943</v>
      </c>
      <c r="C1259" s="1" t="n">
        <v>45472</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3098-2023</t>
        </is>
      </c>
      <c r="B1260" s="1" t="n">
        <v>44946</v>
      </c>
      <c r="C1260" s="1" t="n">
        <v>45472</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3103-2023</t>
        </is>
      </c>
      <c r="B1261" s="1" t="n">
        <v>44946</v>
      </c>
      <c r="C1261" s="1" t="n">
        <v>45472</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3256-2023</t>
        </is>
      </c>
      <c r="B1262" s="1" t="n">
        <v>44948</v>
      </c>
      <c r="C1262" s="1" t="n">
        <v>45472</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3421-2023</t>
        </is>
      </c>
      <c r="B1263" s="1" t="n">
        <v>44949</v>
      </c>
      <c r="C1263" s="1" t="n">
        <v>45472</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3489-2023</t>
        </is>
      </c>
      <c r="B1264" s="1" t="n">
        <v>44949</v>
      </c>
      <c r="C1264" s="1" t="n">
        <v>45472</v>
      </c>
      <c r="D1264" t="inlineStr">
        <is>
          <t>VÄRMLANDS LÄN</t>
        </is>
      </c>
      <c r="E1264" t="inlineStr">
        <is>
          <t>TORSBY</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3491-2023</t>
        </is>
      </c>
      <c r="B1265" s="1" t="n">
        <v>44949</v>
      </c>
      <c r="C1265" s="1" t="n">
        <v>45472</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45472</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3666-2023</t>
        </is>
      </c>
      <c r="B1267" s="1" t="n">
        <v>44950</v>
      </c>
      <c r="C1267" s="1" t="n">
        <v>45472</v>
      </c>
      <c r="D1267" t="inlineStr">
        <is>
          <t>VÄRMLANDS LÄN</t>
        </is>
      </c>
      <c r="E1267" t="inlineStr">
        <is>
          <t>TORSBY</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3670-2023</t>
        </is>
      </c>
      <c r="B1268" s="1" t="n">
        <v>44950</v>
      </c>
      <c r="C1268" s="1" t="n">
        <v>45472</v>
      </c>
      <c r="D1268" t="inlineStr">
        <is>
          <t>VÄRMLANDS LÄN</t>
        </is>
      </c>
      <c r="E1268" t="inlineStr">
        <is>
          <t>TORSBY</t>
        </is>
      </c>
      <c r="G1268" t="n">
        <v>15.4</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45472</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3672-2023</t>
        </is>
      </c>
      <c r="B1270" s="1" t="n">
        <v>44950</v>
      </c>
      <c r="C1270" s="1" t="n">
        <v>45472</v>
      </c>
      <c r="D1270" t="inlineStr">
        <is>
          <t>VÄRMLANDS LÄN</t>
        </is>
      </c>
      <c r="E1270" t="inlineStr">
        <is>
          <t>TORSBY</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3881-2023</t>
        </is>
      </c>
      <c r="B1271" s="1" t="n">
        <v>44951</v>
      </c>
      <c r="C1271" s="1" t="n">
        <v>45472</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4250-2023</t>
        </is>
      </c>
      <c r="B1272" s="1" t="n">
        <v>44953</v>
      </c>
      <c r="C1272" s="1" t="n">
        <v>45472</v>
      </c>
      <c r="D1272" t="inlineStr">
        <is>
          <t>VÄRMLANDS LÄN</t>
        </is>
      </c>
      <c r="E1272" t="inlineStr">
        <is>
          <t>TORSBY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4236-2023</t>
        </is>
      </c>
      <c r="B1273" s="1" t="n">
        <v>44953</v>
      </c>
      <c r="C1273" s="1" t="n">
        <v>45472</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4433-2023</t>
        </is>
      </c>
      <c r="B1274" s="1" t="n">
        <v>44956</v>
      </c>
      <c r="C1274" s="1" t="n">
        <v>45472</v>
      </c>
      <c r="D1274" t="inlineStr">
        <is>
          <t>VÄRMLANDS LÄN</t>
        </is>
      </c>
      <c r="E1274" t="inlineStr">
        <is>
          <t>TORSBY</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4510-2023</t>
        </is>
      </c>
      <c r="B1275" s="1" t="n">
        <v>44956</v>
      </c>
      <c r="C1275" s="1" t="n">
        <v>45472</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4568-2023</t>
        </is>
      </c>
      <c r="B1276" s="1" t="n">
        <v>44956</v>
      </c>
      <c r="C1276" s="1" t="n">
        <v>45472</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4585-2023</t>
        </is>
      </c>
      <c r="B1277" s="1" t="n">
        <v>44956</v>
      </c>
      <c r="C1277" s="1" t="n">
        <v>45472</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4707-2023</t>
        </is>
      </c>
      <c r="B1278" s="1" t="n">
        <v>44957</v>
      </c>
      <c r="C1278" s="1" t="n">
        <v>45472</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5216-2023</t>
        </is>
      </c>
      <c r="B1279" s="1" t="n">
        <v>44959</v>
      </c>
      <c r="C1279" s="1" t="n">
        <v>45472</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5492-2023</t>
        </is>
      </c>
      <c r="B1280" s="1" t="n">
        <v>44959</v>
      </c>
      <c r="C1280" s="1" t="n">
        <v>45472</v>
      </c>
      <c r="D1280" t="inlineStr">
        <is>
          <t>VÄRMLANDS LÄN</t>
        </is>
      </c>
      <c r="E1280" t="inlineStr">
        <is>
          <t>TORSBY</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6708-2023</t>
        </is>
      </c>
      <c r="B1281" s="1" t="n">
        <v>44960</v>
      </c>
      <c r="C1281" s="1" t="n">
        <v>45472</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6702-2023</t>
        </is>
      </c>
      <c r="B1282" s="1" t="n">
        <v>44960</v>
      </c>
      <c r="C1282" s="1" t="n">
        <v>45472</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6715-2023</t>
        </is>
      </c>
      <c r="B1283" s="1" t="n">
        <v>44960</v>
      </c>
      <c r="C1283" s="1" t="n">
        <v>45472</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6711-2023</t>
        </is>
      </c>
      <c r="B1284" s="1" t="n">
        <v>44960</v>
      </c>
      <c r="C1284" s="1" t="n">
        <v>45472</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6713-2023</t>
        </is>
      </c>
      <c r="B1285" s="1" t="n">
        <v>44960</v>
      </c>
      <c r="C1285" s="1" t="n">
        <v>45472</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5830-2023</t>
        </is>
      </c>
      <c r="B1286" s="1" t="n">
        <v>44963</v>
      </c>
      <c r="C1286" s="1" t="n">
        <v>45472</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5763-2023</t>
        </is>
      </c>
      <c r="B1287" s="1" t="n">
        <v>44963</v>
      </c>
      <c r="C1287" s="1" t="n">
        <v>45472</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6863-2023</t>
        </is>
      </c>
      <c r="B1288" s="1" t="n">
        <v>44964</v>
      </c>
      <c r="C1288" s="1" t="n">
        <v>45472</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7283-2023</t>
        </is>
      </c>
      <c r="B1289" s="1" t="n">
        <v>44970</v>
      </c>
      <c r="C1289" s="1" t="n">
        <v>45472</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7127-2023</t>
        </is>
      </c>
      <c r="B1290" s="1" t="n">
        <v>44970</v>
      </c>
      <c r="C1290" s="1" t="n">
        <v>45472</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7133-2023</t>
        </is>
      </c>
      <c r="B1291" s="1" t="n">
        <v>44970</v>
      </c>
      <c r="C1291" s="1" t="n">
        <v>45472</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7405-2023</t>
        </is>
      </c>
      <c r="B1292" s="1" t="n">
        <v>44971</v>
      </c>
      <c r="C1292" s="1" t="n">
        <v>45472</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8194-2023</t>
        </is>
      </c>
      <c r="B1293" s="1" t="n">
        <v>44971</v>
      </c>
      <c r="C1293" s="1" t="n">
        <v>45472</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8192-2023</t>
        </is>
      </c>
      <c r="B1294" s="1" t="n">
        <v>44971</v>
      </c>
      <c r="C1294" s="1" t="n">
        <v>45472</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7745-2023</t>
        </is>
      </c>
      <c r="B1295" s="1" t="n">
        <v>44973</v>
      </c>
      <c r="C1295" s="1" t="n">
        <v>45472</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7753-2023</t>
        </is>
      </c>
      <c r="B1296" s="1" t="n">
        <v>44973</v>
      </c>
      <c r="C1296" s="1" t="n">
        <v>45472</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8016-2023</t>
        </is>
      </c>
      <c r="B1297" s="1" t="n">
        <v>44973</v>
      </c>
      <c r="C1297" s="1" t="n">
        <v>45472</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8910-2023</t>
        </is>
      </c>
      <c r="B1298" s="1" t="n">
        <v>44973</v>
      </c>
      <c r="C1298" s="1" t="n">
        <v>45472</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8012-2023</t>
        </is>
      </c>
      <c r="B1299" s="1" t="n">
        <v>44973</v>
      </c>
      <c r="C1299" s="1" t="n">
        <v>45472</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8284-2023</t>
        </is>
      </c>
      <c r="B1300" s="1" t="n">
        <v>44974</v>
      </c>
      <c r="C1300" s="1" t="n">
        <v>45472</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8281-2023</t>
        </is>
      </c>
      <c r="B1301" s="1" t="n">
        <v>44974</v>
      </c>
      <c r="C1301" s="1" t="n">
        <v>45472</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8287-2023</t>
        </is>
      </c>
      <c r="B1302" s="1" t="n">
        <v>44974</v>
      </c>
      <c r="C1302" s="1" t="n">
        <v>45472</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8931-2023</t>
        </is>
      </c>
      <c r="B1303" s="1" t="n">
        <v>44974</v>
      </c>
      <c r="C1303" s="1" t="n">
        <v>45472</v>
      </c>
      <c r="D1303" t="inlineStr">
        <is>
          <t>VÄRMLANDS LÄN</t>
        </is>
      </c>
      <c r="E1303" t="inlineStr">
        <is>
          <t>TORSBY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8928-2023</t>
        </is>
      </c>
      <c r="B1304" s="1" t="n">
        <v>44974</v>
      </c>
      <c r="C1304" s="1" t="n">
        <v>45472</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8447-2023</t>
        </is>
      </c>
      <c r="B1305" s="1" t="n">
        <v>44977</v>
      </c>
      <c r="C1305" s="1" t="n">
        <v>45472</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9453-2023</t>
        </is>
      </c>
      <c r="B1306" s="1" t="n">
        <v>44977</v>
      </c>
      <c r="C1306" s="1" t="n">
        <v>45472</v>
      </c>
      <c r="D1306" t="inlineStr">
        <is>
          <t>VÄRMLANDS LÄN</t>
        </is>
      </c>
      <c r="E1306" t="inlineStr">
        <is>
          <t>TORSBY</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8819-2023</t>
        </is>
      </c>
      <c r="B1307" s="1" t="n">
        <v>44978</v>
      </c>
      <c r="C1307" s="1" t="n">
        <v>45472</v>
      </c>
      <c r="D1307" t="inlineStr">
        <is>
          <t>VÄRMLANDS LÄN</t>
        </is>
      </c>
      <c r="E1307" t="inlineStr">
        <is>
          <t>TORSBY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9067-2023</t>
        </is>
      </c>
      <c r="B1308" s="1" t="n">
        <v>44979</v>
      </c>
      <c r="C1308" s="1" t="n">
        <v>45472</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9056-2023</t>
        </is>
      </c>
      <c r="B1309" s="1" t="n">
        <v>44979</v>
      </c>
      <c r="C1309" s="1" t="n">
        <v>45472</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10027-2023</t>
        </is>
      </c>
      <c r="B1310" s="1" t="n">
        <v>44979</v>
      </c>
      <c r="C1310" s="1" t="n">
        <v>45472</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10033-2023</t>
        </is>
      </c>
      <c r="B1311" s="1" t="n">
        <v>44979</v>
      </c>
      <c r="C1311" s="1" t="n">
        <v>45472</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10024-2023</t>
        </is>
      </c>
      <c r="B1312" s="1" t="n">
        <v>44979</v>
      </c>
      <c r="C1312" s="1" t="n">
        <v>45472</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9327-2023</t>
        </is>
      </c>
      <c r="B1313" s="1" t="n">
        <v>44980</v>
      </c>
      <c r="C1313" s="1" t="n">
        <v>45472</v>
      </c>
      <c r="D1313" t="inlineStr">
        <is>
          <t>VÄRMLANDS LÄN</t>
        </is>
      </c>
      <c r="E1313" t="inlineStr">
        <is>
          <t>TORSBY</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10479-2023</t>
        </is>
      </c>
      <c r="B1314" s="1" t="n">
        <v>44981</v>
      </c>
      <c r="C1314" s="1" t="n">
        <v>45472</v>
      </c>
      <c r="D1314" t="inlineStr">
        <is>
          <t>VÄRMLANDS LÄN</t>
        </is>
      </c>
      <c r="E1314" t="inlineStr">
        <is>
          <t>TORSBY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10473-2023</t>
        </is>
      </c>
      <c r="B1315" s="1" t="n">
        <v>44981</v>
      </c>
      <c r="C1315" s="1" t="n">
        <v>45472</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10471-2023</t>
        </is>
      </c>
      <c r="B1316" s="1" t="n">
        <v>44981</v>
      </c>
      <c r="C1316" s="1" t="n">
        <v>45472</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9575-2023</t>
        </is>
      </c>
      <c r="B1317" s="1" t="n">
        <v>44982</v>
      </c>
      <c r="C1317" s="1" t="n">
        <v>45472</v>
      </c>
      <c r="D1317" t="inlineStr">
        <is>
          <t>VÄRMLANDS LÄN</t>
        </is>
      </c>
      <c r="E1317" t="inlineStr">
        <is>
          <t>TORSBY</t>
        </is>
      </c>
      <c r="F1317" t="inlineStr">
        <is>
          <t>Övriga statliga verk och myndigheter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9574-2023</t>
        </is>
      </c>
      <c r="B1318" s="1" t="n">
        <v>44982</v>
      </c>
      <c r="C1318" s="1" t="n">
        <v>45472</v>
      </c>
      <c r="D1318" t="inlineStr">
        <is>
          <t>VÄRMLANDS LÄN</t>
        </is>
      </c>
      <c r="E1318" t="inlineStr">
        <is>
          <t>TORSBY</t>
        </is>
      </c>
      <c r="F1318" t="inlineStr">
        <is>
          <t>Övriga statliga verk och myndigheter</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9578-2023</t>
        </is>
      </c>
      <c r="B1319" s="1" t="n">
        <v>44982</v>
      </c>
      <c r="C1319" s="1" t="n">
        <v>45472</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10888-2023</t>
        </is>
      </c>
      <c r="B1320" s="1" t="n">
        <v>44985</v>
      </c>
      <c r="C1320" s="1" t="n">
        <v>45472</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10155-2023</t>
        </is>
      </c>
      <c r="B1321" s="1" t="n">
        <v>44986</v>
      </c>
      <c r="C1321" s="1" t="n">
        <v>45472</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10218-2023</t>
        </is>
      </c>
      <c r="B1322" s="1" t="n">
        <v>44986</v>
      </c>
      <c r="C1322" s="1" t="n">
        <v>45472</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10228-2023</t>
        </is>
      </c>
      <c r="B1323" s="1" t="n">
        <v>44986</v>
      </c>
      <c r="C1323" s="1" t="n">
        <v>45472</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10662-2023</t>
        </is>
      </c>
      <c r="B1324" s="1" t="n">
        <v>44988</v>
      </c>
      <c r="C1324" s="1" t="n">
        <v>45472</v>
      </c>
      <c r="D1324" t="inlineStr">
        <is>
          <t>VÄRMLANDS LÄN</t>
        </is>
      </c>
      <c r="E1324" t="inlineStr">
        <is>
          <t>TORSBY</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10583-2023</t>
        </is>
      </c>
      <c r="B1325" s="1" t="n">
        <v>44988</v>
      </c>
      <c r="C1325" s="1" t="n">
        <v>45472</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10666-2023</t>
        </is>
      </c>
      <c r="B1326" s="1" t="n">
        <v>44988</v>
      </c>
      <c r="C1326" s="1" t="n">
        <v>45472</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10698-2023</t>
        </is>
      </c>
      <c r="B1327" s="1" t="n">
        <v>44988</v>
      </c>
      <c r="C1327" s="1" t="n">
        <v>45472</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11364-2023</t>
        </is>
      </c>
      <c r="B1328" s="1" t="n">
        <v>44993</v>
      </c>
      <c r="C1328" s="1" t="n">
        <v>45472</v>
      </c>
      <c r="D1328" t="inlineStr">
        <is>
          <t>VÄRMLANDS LÄN</t>
        </is>
      </c>
      <c r="E1328" t="inlineStr">
        <is>
          <t>TORSBY</t>
        </is>
      </c>
      <c r="G1328" t="n">
        <v>31.9</v>
      </c>
      <c r="H1328" t="n">
        <v>0</v>
      </c>
      <c r="I1328" t="n">
        <v>0</v>
      </c>
      <c r="J1328" t="n">
        <v>0</v>
      </c>
      <c r="K1328" t="n">
        <v>0</v>
      </c>
      <c r="L1328" t="n">
        <v>0</v>
      </c>
      <c r="M1328" t="n">
        <v>0</v>
      </c>
      <c r="N1328" t="n">
        <v>0</v>
      </c>
      <c r="O1328" t="n">
        <v>0</v>
      </c>
      <c r="P1328" t="n">
        <v>0</v>
      </c>
      <c r="Q1328" t="n">
        <v>0</v>
      </c>
      <c r="R1328" s="2" t="inlineStr"/>
    </row>
    <row r="1329" ht="15" customHeight="1">
      <c r="A1329" t="inlineStr">
        <is>
          <t>A 11366-2023</t>
        </is>
      </c>
      <c r="B1329" s="1" t="n">
        <v>44993</v>
      </c>
      <c r="C1329" s="1" t="n">
        <v>45472</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12441-2023</t>
        </is>
      </c>
      <c r="B1330" s="1" t="n">
        <v>44999</v>
      </c>
      <c r="C1330" s="1" t="n">
        <v>45472</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12453-2023</t>
        </is>
      </c>
      <c r="B1331" s="1" t="n">
        <v>44999</v>
      </c>
      <c r="C1331" s="1" t="n">
        <v>45472</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12458-2023</t>
        </is>
      </c>
      <c r="B1332" s="1" t="n">
        <v>44999</v>
      </c>
      <c r="C1332" s="1" t="n">
        <v>45472</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12467-2023</t>
        </is>
      </c>
      <c r="B1333" s="1" t="n">
        <v>44999</v>
      </c>
      <c r="C1333" s="1" t="n">
        <v>45472</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12689-2023</t>
        </is>
      </c>
      <c r="B1334" s="1" t="n">
        <v>45000</v>
      </c>
      <c r="C1334" s="1" t="n">
        <v>45472</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12637-2023</t>
        </is>
      </c>
      <c r="B1335" s="1" t="n">
        <v>45000</v>
      </c>
      <c r="C1335" s="1" t="n">
        <v>45472</v>
      </c>
      <c r="D1335" t="inlineStr">
        <is>
          <t>VÄRMLANDS LÄN</t>
        </is>
      </c>
      <c r="E1335" t="inlineStr">
        <is>
          <t>TORSBY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12670-2023</t>
        </is>
      </c>
      <c r="B1336" s="1" t="n">
        <v>45000</v>
      </c>
      <c r="C1336" s="1" t="n">
        <v>45472</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12933-2023</t>
        </is>
      </c>
      <c r="B1337" s="1" t="n">
        <v>45001</v>
      </c>
      <c r="C1337" s="1" t="n">
        <v>45472</v>
      </c>
      <c r="D1337" t="inlineStr">
        <is>
          <t>VÄRMLANDS LÄN</t>
        </is>
      </c>
      <c r="E1337" t="inlineStr">
        <is>
          <t>TORSBY</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13054-2023</t>
        </is>
      </c>
      <c r="B1338" s="1" t="n">
        <v>45001</v>
      </c>
      <c r="C1338" s="1" t="n">
        <v>45472</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13048-2023</t>
        </is>
      </c>
      <c r="B1339" s="1" t="n">
        <v>45001</v>
      </c>
      <c r="C1339" s="1" t="n">
        <v>45472</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12968-2023</t>
        </is>
      </c>
      <c r="B1340" s="1" t="n">
        <v>45001</v>
      </c>
      <c r="C1340" s="1" t="n">
        <v>45472</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13791-2023</t>
        </is>
      </c>
      <c r="B1341" s="1" t="n">
        <v>45005</v>
      </c>
      <c r="C1341" s="1" t="n">
        <v>45472</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13561-2023</t>
        </is>
      </c>
      <c r="B1342" s="1" t="n">
        <v>45006</v>
      </c>
      <c r="C1342" s="1" t="n">
        <v>45472</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45472</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13785-2023</t>
        </is>
      </c>
      <c r="B1344" s="1" t="n">
        <v>45007</v>
      </c>
      <c r="C1344" s="1" t="n">
        <v>45472</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13723-2023</t>
        </is>
      </c>
      <c r="B1345" s="1" t="n">
        <v>45007</v>
      </c>
      <c r="C1345" s="1" t="n">
        <v>45472</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14293-2023</t>
        </is>
      </c>
      <c r="B1346" s="1" t="n">
        <v>45011</v>
      </c>
      <c r="C1346" s="1" t="n">
        <v>45472</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14304-2023</t>
        </is>
      </c>
      <c r="B1347" s="1" t="n">
        <v>45011</v>
      </c>
      <c r="C1347" s="1" t="n">
        <v>45472</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14303-2023</t>
        </is>
      </c>
      <c r="B1348" s="1" t="n">
        <v>45011</v>
      </c>
      <c r="C1348" s="1" t="n">
        <v>45472</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45472</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14592-2023</t>
        </is>
      </c>
      <c r="B1350" s="1" t="n">
        <v>45013</v>
      </c>
      <c r="C1350" s="1" t="n">
        <v>45472</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14581-2023</t>
        </is>
      </c>
      <c r="B1351" s="1" t="n">
        <v>45013</v>
      </c>
      <c r="C1351" s="1" t="n">
        <v>45472</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14624-2023</t>
        </is>
      </c>
      <c r="B1352" s="1" t="n">
        <v>45013</v>
      </c>
      <c r="C1352" s="1" t="n">
        <v>45472</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14709-2023</t>
        </is>
      </c>
      <c r="B1353" s="1" t="n">
        <v>45014</v>
      </c>
      <c r="C1353" s="1" t="n">
        <v>45472</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14945-2023</t>
        </is>
      </c>
      <c r="B1354" s="1" t="n">
        <v>45014</v>
      </c>
      <c r="C1354" s="1" t="n">
        <v>45472</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14917-2023</t>
        </is>
      </c>
      <c r="B1355" s="1" t="n">
        <v>45015</v>
      </c>
      <c r="C1355" s="1" t="n">
        <v>45472</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15085-2023</t>
        </is>
      </c>
      <c r="B1356" s="1" t="n">
        <v>45016</v>
      </c>
      <c r="C1356" s="1" t="n">
        <v>45472</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15087-2023</t>
        </is>
      </c>
      <c r="B1357" s="1" t="n">
        <v>45016</v>
      </c>
      <c r="C1357" s="1" t="n">
        <v>45472</v>
      </c>
      <c r="D1357" t="inlineStr">
        <is>
          <t>VÄRMLANDS LÄN</t>
        </is>
      </c>
      <c r="E1357" t="inlineStr">
        <is>
          <t>TORSBY</t>
        </is>
      </c>
      <c r="F1357" t="inlineStr">
        <is>
          <t>Bergvik skog väst AB</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15413-2023</t>
        </is>
      </c>
      <c r="B1358" s="1" t="n">
        <v>45019</v>
      </c>
      <c r="C1358" s="1" t="n">
        <v>45472</v>
      </c>
      <c r="D1358" t="inlineStr">
        <is>
          <t>VÄRMLANDS LÄN</t>
        </is>
      </c>
      <c r="E1358" t="inlineStr">
        <is>
          <t>TORSBY</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15450-2023</t>
        </is>
      </c>
      <c r="B1359" s="1" t="n">
        <v>45020</v>
      </c>
      <c r="C1359" s="1" t="n">
        <v>45472</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15488-2023</t>
        </is>
      </c>
      <c r="B1360" s="1" t="n">
        <v>45020</v>
      </c>
      <c r="C1360" s="1" t="n">
        <v>45472</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15773-2023</t>
        </is>
      </c>
      <c r="B1361" s="1" t="n">
        <v>45021</v>
      </c>
      <c r="C1361" s="1" t="n">
        <v>45472</v>
      </c>
      <c r="D1361" t="inlineStr">
        <is>
          <t>VÄRMLANDS LÄN</t>
        </is>
      </c>
      <c r="E1361" t="inlineStr">
        <is>
          <t>TORSBY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16093-2023</t>
        </is>
      </c>
      <c r="B1362" s="1" t="n">
        <v>45021</v>
      </c>
      <c r="C1362" s="1" t="n">
        <v>45472</v>
      </c>
      <c r="D1362" t="inlineStr">
        <is>
          <t>VÄRMLANDS LÄN</t>
        </is>
      </c>
      <c r="E1362" t="inlineStr">
        <is>
          <t>TORSBY</t>
        </is>
      </c>
      <c r="F1362" t="inlineStr">
        <is>
          <t>Övriga statliga verk och myndigheter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16121-2023</t>
        </is>
      </c>
      <c r="B1363" s="1" t="n">
        <v>45022</v>
      </c>
      <c r="C1363" s="1" t="n">
        <v>45472</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16416-2023</t>
        </is>
      </c>
      <c r="B1364" s="1" t="n">
        <v>45022</v>
      </c>
      <c r="C1364" s="1" t="n">
        <v>45472</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16433-2023</t>
        </is>
      </c>
      <c r="B1365" s="1" t="n">
        <v>45022</v>
      </c>
      <c r="C1365" s="1" t="n">
        <v>45472</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16427-2023</t>
        </is>
      </c>
      <c r="B1366" s="1" t="n">
        <v>45022</v>
      </c>
      <c r="C1366" s="1" t="n">
        <v>45472</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15992-2023</t>
        </is>
      </c>
      <c r="B1367" s="1" t="n">
        <v>45023</v>
      </c>
      <c r="C1367" s="1" t="n">
        <v>45472</v>
      </c>
      <c r="D1367" t="inlineStr">
        <is>
          <t>VÄRMLANDS LÄN</t>
        </is>
      </c>
      <c r="E1367" t="inlineStr">
        <is>
          <t>TORSBY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16044-2023</t>
        </is>
      </c>
      <c r="B1368" s="1" t="n">
        <v>45027</v>
      </c>
      <c r="C1368" s="1" t="n">
        <v>45472</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16309-2023</t>
        </is>
      </c>
      <c r="B1369" s="1" t="n">
        <v>45028</v>
      </c>
      <c r="C1369" s="1" t="n">
        <v>45472</v>
      </c>
      <c r="D1369" t="inlineStr">
        <is>
          <t>VÄRMLANDS LÄN</t>
        </is>
      </c>
      <c r="E1369" t="inlineStr">
        <is>
          <t>TORSBY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16313-2023</t>
        </is>
      </c>
      <c r="B1370" s="1" t="n">
        <v>45028</v>
      </c>
      <c r="C1370" s="1" t="n">
        <v>45472</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16317-2023</t>
        </is>
      </c>
      <c r="B1371" s="1" t="n">
        <v>45028</v>
      </c>
      <c r="C1371" s="1" t="n">
        <v>45472</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16919-2023</t>
        </is>
      </c>
      <c r="B1372" s="1" t="n">
        <v>45033</v>
      </c>
      <c r="C1372" s="1" t="n">
        <v>45472</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16945-2023</t>
        </is>
      </c>
      <c r="B1373" s="1" t="n">
        <v>45033</v>
      </c>
      <c r="C1373" s="1" t="n">
        <v>45472</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16943-2023</t>
        </is>
      </c>
      <c r="B1374" s="1" t="n">
        <v>45033</v>
      </c>
      <c r="C1374" s="1" t="n">
        <v>45472</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17184-2023</t>
        </is>
      </c>
      <c r="B1375" s="1" t="n">
        <v>45034</v>
      </c>
      <c r="C1375" s="1" t="n">
        <v>45472</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17188-2023</t>
        </is>
      </c>
      <c r="B1376" s="1" t="n">
        <v>45034</v>
      </c>
      <c r="C1376" s="1" t="n">
        <v>45472</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17554-2023</t>
        </is>
      </c>
      <c r="B1377" s="1" t="n">
        <v>45034</v>
      </c>
      <c r="C1377" s="1" t="n">
        <v>45472</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17300-2023</t>
        </is>
      </c>
      <c r="B1378" s="1" t="n">
        <v>45035</v>
      </c>
      <c r="C1378" s="1" t="n">
        <v>45472</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17322-2023</t>
        </is>
      </c>
      <c r="B1379" s="1" t="n">
        <v>45035</v>
      </c>
      <c r="C1379" s="1" t="n">
        <v>45472</v>
      </c>
      <c r="D1379" t="inlineStr">
        <is>
          <t>VÄRMLANDS LÄN</t>
        </is>
      </c>
      <c r="E1379" t="inlineStr">
        <is>
          <t>TORSBY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17328-2023</t>
        </is>
      </c>
      <c r="B1380" s="1" t="n">
        <v>45035</v>
      </c>
      <c r="C1380" s="1" t="n">
        <v>45472</v>
      </c>
      <c r="D1380" t="inlineStr">
        <is>
          <t>VÄRMLANDS LÄN</t>
        </is>
      </c>
      <c r="E1380" t="inlineStr">
        <is>
          <t>TORSBY</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17548-2023</t>
        </is>
      </c>
      <c r="B1381" s="1" t="n">
        <v>45036</v>
      </c>
      <c r="C1381" s="1" t="n">
        <v>45472</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17488-2023</t>
        </is>
      </c>
      <c r="B1382" s="1" t="n">
        <v>45036</v>
      </c>
      <c r="C1382" s="1" t="n">
        <v>45472</v>
      </c>
      <c r="D1382" t="inlineStr">
        <is>
          <t>VÄRMLANDS LÄN</t>
        </is>
      </c>
      <c r="E1382" t="inlineStr">
        <is>
          <t>TORSBY</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17546-2023</t>
        </is>
      </c>
      <c r="B1383" s="1" t="n">
        <v>45036</v>
      </c>
      <c r="C1383" s="1" t="n">
        <v>45472</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17898-2023</t>
        </is>
      </c>
      <c r="B1384" s="1" t="n">
        <v>45039</v>
      </c>
      <c r="C1384" s="1" t="n">
        <v>45472</v>
      </c>
      <c r="D1384" t="inlineStr">
        <is>
          <t>VÄRMLANDS LÄN</t>
        </is>
      </c>
      <c r="E1384" t="inlineStr">
        <is>
          <t>TORSBY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17897-2023</t>
        </is>
      </c>
      <c r="B1385" s="1" t="n">
        <v>45039</v>
      </c>
      <c r="C1385" s="1" t="n">
        <v>45472</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18244-2023</t>
        </is>
      </c>
      <c r="B1386" s="1" t="n">
        <v>45041</v>
      </c>
      <c r="C1386" s="1" t="n">
        <v>45472</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18338-2023</t>
        </is>
      </c>
      <c r="B1387" s="1" t="n">
        <v>45041</v>
      </c>
      <c r="C1387" s="1" t="n">
        <v>45472</v>
      </c>
      <c r="D1387" t="inlineStr">
        <is>
          <t>VÄRMLANDS LÄN</t>
        </is>
      </c>
      <c r="E1387" t="inlineStr">
        <is>
          <t>TORSBY</t>
        </is>
      </c>
      <c r="F1387" t="inlineStr">
        <is>
          <t>Bergvik skog väst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18544-2023</t>
        </is>
      </c>
      <c r="B1388" s="1" t="n">
        <v>45041</v>
      </c>
      <c r="C1388" s="1" t="n">
        <v>45472</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18411-2023</t>
        </is>
      </c>
      <c r="B1389" s="1" t="n">
        <v>45042</v>
      </c>
      <c r="C1389" s="1" t="n">
        <v>45472</v>
      </c>
      <c r="D1389" t="inlineStr">
        <is>
          <t>VÄRMLANDS LÄN</t>
        </is>
      </c>
      <c r="E1389" t="inlineStr">
        <is>
          <t>TORSBY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18621-2023</t>
        </is>
      </c>
      <c r="B1390" s="1" t="n">
        <v>45043</v>
      </c>
      <c r="C1390" s="1" t="n">
        <v>45472</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18675-2023</t>
        </is>
      </c>
      <c r="B1391" s="1" t="n">
        <v>45043</v>
      </c>
      <c r="C1391" s="1" t="n">
        <v>45472</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18876-2023</t>
        </is>
      </c>
      <c r="B1392" s="1" t="n">
        <v>45044</v>
      </c>
      <c r="C1392" s="1" t="n">
        <v>45472</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19042-2023</t>
        </is>
      </c>
      <c r="B1393" s="1" t="n">
        <v>45047</v>
      </c>
      <c r="C1393" s="1" t="n">
        <v>45472</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19527-2023</t>
        </is>
      </c>
      <c r="B1394" s="1" t="n">
        <v>45050</v>
      </c>
      <c r="C1394" s="1" t="n">
        <v>45472</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19675-2023</t>
        </is>
      </c>
      <c r="B1395" s="1" t="n">
        <v>45051</v>
      </c>
      <c r="C1395" s="1" t="n">
        <v>45472</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19714-2023</t>
        </is>
      </c>
      <c r="B1396" s="1" t="n">
        <v>45051</v>
      </c>
      <c r="C1396" s="1" t="n">
        <v>45472</v>
      </c>
      <c r="D1396" t="inlineStr">
        <is>
          <t>VÄRMLANDS LÄN</t>
        </is>
      </c>
      <c r="E1396" t="inlineStr">
        <is>
          <t>TORSBY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19998-2023</t>
        </is>
      </c>
      <c r="B1397" s="1" t="n">
        <v>45054</v>
      </c>
      <c r="C1397" s="1" t="n">
        <v>45472</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20130-2023</t>
        </is>
      </c>
      <c r="B1398" s="1" t="n">
        <v>45055</v>
      </c>
      <c r="C1398" s="1" t="n">
        <v>45472</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20107-2023</t>
        </is>
      </c>
      <c r="B1399" s="1" t="n">
        <v>45055</v>
      </c>
      <c r="C1399" s="1" t="n">
        <v>45472</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20120-2023</t>
        </is>
      </c>
      <c r="B1400" s="1" t="n">
        <v>45055</v>
      </c>
      <c r="C1400" s="1" t="n">
        <v>45472</v>
      </c>
      <c r="D1400" t="inlineStr">
        <is>
          <t>VÄRMLANDS LÄN</t>
        </is>
      </c>
      <c r="E1400" t="inlineStr">
        <is>
          <t>TORSBY</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20127-2023</t>
        </is>
      </c>
      <c r="B1401" s="1" t="n">
        <v>45055</v>
      </c>
      <c r="C1401" s="1" t="n">
        <v>45472</v>
      </c>
      <c r="D1401" t="inlineStr">
        <is>
          <t>VÄRMLANDS LÄN</t>
        </is>
      </c>
      <c r="E1401" t="inlineStr">
        <is>
          <t>TORSBY</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20805-2023</t>
        </is>
      </c>
      <c r="B1402" s="1" t="n">
        <v>45055</v>
      </c>
      <c r="C1402" s="1" t="n">
        <v>45472</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20293-2023</t>
        </is>
      </c>
      <c r="B1403" s="1" t="n">
        <v>45056</v>
      </c>
      <c r="C1403" s="1" t="n">
        <v>45472</v>
      </c>
      <c r="D1403" t="inlineStr">
        <is>
          <t>VÄRMLANDS LÄN</t>
        </is>
      </c>
      <c r="E1403" t="inlineStr">
        <is>
          <t>TORSBY</t>
        </is>
      </c>
      <c r="F1403" t="inlineStr">
        <is>
          <t>Kyrkan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20321-2023</t>
        </is>
      </c>
      <c r="B1404" s="1" t="n">
        <v>45056</v>
      </c>
      <c r="C1404" s="1" t="n">
        <v>45472</v>
      </c>
      <c r="D1404" t="inlineStr">
        <is>
          <t>VÄRMLANDS LÄN</t>
        </is>
      </c>
      <c r="E1404" t="inlineStr">
        <is>
          <t>TORSBY</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20393-2023</t>
        </is>
      </c>
      <c r="B1405" s="1" t="n">
        <v>45056</v>
      </c>
      <c r="C1405" s="1" t="n">
        <v>45472</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20298-2023</t>
        </is>
      </c>
      <c r="B1406" s="1" t="n">
        <v>45056</v>
      </c>
      <c r="C1406" s="1" t="n">
        <v>45472</v>
      </c>
      <c r="D1406" t="inlineStr">
        <is>
          <t>VÄRMLANDS LÄN</t>
        </is>
      </c>
      <c r="E1406" t="inlineStr">
        <is>
          <t>TORSBY</t>
        </is>
      </c>
      <c r="F1406" t="inlineStr">
        <is>
          <t>Kyrkan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20847-2023</t>
        </is>
      </c>
      <c r="B1407" s="1" t="n">
        <v>45056</v>
      </c>
      <c r="C1407" s="1" t="n">
        <v>45472</v>
      </c>
      <c r="D1407" t="inlineStr">
        <is>
          <t>VÄRMLANDS LÄN</t>
        </is>
      </c>
      <c r="E1407" t="inlineStr">
        <is>
          <t>TORSBY</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20528-2023</t>
        </is>
      </c>
      <c r="B1408" s="1" t="n">
        <v>45057</v>
      </c>
      <c r="C1408" s="1" t="n">
        <v>45472</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20757-2023</t>
        </is>
      </c>
      <c r="B1409" s="1" t="n">
        <v>45058</v>
      </c>
      <c r="C1409" s="1" t="n">
        <v>45472</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20831-2023</t>
        </is>
      </c>
      <c r="B1410" s="1" t="n">
        <v>45058</v>
      </c>
      <c r="C1410" s="1" t="n">
        <v>45472</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20648-2023</t>
        </is>
      </c>
      <c r="B1411" s="1" t="n">
        <v>45058</v>
      </c>
      <c r="C1411" s="1" t="n">
        <v>45472</v>
      </c>
      <c r="D1411" t="inlineStr">
        <is>
          <t>VÄRMLANDS LÄN</t>
        </is>
      </c>
      <c r="E1411" t="inlineStr">
        <is>
          <t>TORSBY</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20740-2023</t>
        </is>
      </c>
      <c r="B1412" s="1" t="n">
        <v>45058</v>
      </c>
      <c r="C1412" s="1" t="n">
        <v>45472</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20737-2023</t>
        </is>
      </c>
      <c r="B1413" s="1" t="n">
        <v>45058</v>
      </c>
      <c r="C1413" s="1" t="n">
        <v>45472</v>
      </c>
      <c r="D1413" t="inlineStr">
        <is>
          <t>VÄRMLANDS LÄN</t>
        </is>
      </c>
      <c r="E1413" t="inlineStr">
        <is>
          <t>TORSBY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20829-2023</t>
        </is>
      </c>
      <c r="B1414" s="1" t="n">
        <v>45058</v>
      </c>
      <c r="C1414" s="1" t="n">
        <v>45472</v>
      </c>
      <c r="D1414" t="inlineStr">
        <is>
          <t>VÄRMLANDS LÄN</t>
        </is>
      </c>
      <c r="E1414" t="inlineStr">
        <is>
          <t>TORSBY</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20830-2023</t>
        </is>
      </c>
      <c r="B1415" s="1" t="n">
        <v>45058</v>
      </c>
      <c r="C1415" s="1" t="n">
        <v>45472</v>
      </c>
      <c r="D1415" t="inlineStr">
        <is>
          <t>VÄRMLANDS LÄN</t>
        </is>
      </c>
      <c r="E1415" t="inlineStr">
        <is>
          <t>TORSBY</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20679-2023</t>
        </is>
      </c>
      <c r="B1416" s="1" t="n">
        <v>45058</v>
      </c>
      <c r="C1416" s="1" t="n">
        <v>45472</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20721-2023</t>
        </is>
      </c>
      <c r="B1417" s="1" t="n">
        <v>45058</v>
      </c>
      <c r="C1417" s="1" t="n">
        <v>45472</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20733-2023</t>
        </is>
      </c>
      <c r="B1418" s="1" t="n">
        <v>45058</v>
      </c>
      <c r="C1418" s="1" t="n">
        <v>45472</v>
      </c>
      <c r="D1418" t="inlineStr">
        <is>
          <t>VÄRMLANDS LÄN</t>
        </is>
      </c>
      <c r="E1418" t="inlineStr">
        <is>
          <t>TORSBY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20745-2023</t>
        </is>
      </c>
      <c r="B1419" s="1" t="n">
        <v>45058</v>
      </c>
      <c r="C1419" s="1" t="n">
        <v>45472</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21258-2023</t>
        </is>
      </c>
      <c r="B1420" s="1" t="n">
        <v>45058</v>
      </c>
      <c r="C1420" s="1" t="n">
        <v>45472</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21255-2023</t>
        </is>
      </c>
      <c r="B1421" s="1" t="n">
        <v>45058</v>
      </c>
      <c r="C1421" s="1" t="n">
        <v>45472</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20898-2023</t>
        </is>
      </c>
      <c r="B1422" s="1" t="n">
        <v>45059</v>
      </c>
      <c r="C1422" s="1" t="n">
        <v>45472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21076-2023</t>
        </is>
      </c>
      <c r="B1423" s="1" t="n">
        <v>45061</v>
      </c>
      <c r="C1423" s="1" t="n">
        <v>45472</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21033-2023</t>
        </is>
      </c>
      <c r="B1424" s="1" t="n">
        <v>45061</v>
      </c>
      <c r="C1424" s="1" t="n">
        <v>45472</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21078-2023</t>
        </is>
      </c>
      <c r="B1425" s="1" t="n">
        <v>45061</v>
      </c>
      <c r="C1425" s="1" t="n">
        <v>45472</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21158-2023</t>
        </is>
      </c>
      <c r="B1426" s="1" t="n">
        <v>45062</v>
      </c>
      <c r="C1426" s="1" t="n">
        <v>45472</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21189-2023</t>
        </is>
      </c>
      <c r="B1427" s="1" t="n">
        <v>45062</v>
      </c>
      <c r="C1427" s="1" t="n">
        <v>45472</v>
      </c>
      <c r="D1427" t="inlineStr">
        <is>
          <t>VÄRMLANDS LÄN</t>
        </is>
      </c>
      <c r="E1427" t="inlineStr">
        <is>
          <t>TORSBY</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21154-2023</t>
        </is>
      </c>
      <c r="B1428" s="1" t="n">
        <v>45062</v>
      </c>
      <c r="C1428" s="1" t="n">
        <v>45472</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21409-2023</t>
        </is>
      </c>
      <c r="B1429" s="1" t="n">
        <v>45063</v>
      </c>
      <c r="C1429" s="1" t="n">
        <v>45472</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21365-2023</t>
        </is>
      </c>
      <c r="B1430" s="1" t="n">
        <v>45063</v>
      </c>
      <c r="C1430" s="1" t="n">
        <v>45472</v>
      </c>
      <c r="D1430" t="inlineStr">
        <is>
          <t>VÄRMLANDS LÄN</t>
        </is>
      </c>
      <c r="E1430" t="inlineStr">
        <is>
          <t>TORSBY</t>
        </is>
      </c>
      <c r="F1430" t="inlineStr">
        <is>
          <t>Kyrkan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21390-2023</t>
        </is>
      </c>
      <c r="B1431" s="1" t="n">
        <v>45063</v>
      </c>
      <c r="C1431" s="1" t="n">
        <v>45472</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21411-2023</t>
        </is>
      </c>
      <c r="B1432" s="1" t="n">
        <v>45063</v>
      </c>
      <c r="C1432" s="1" t="n">
        <v>45472</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21786-2023</t>
        </is>
      </c>
      <c r="B1433" s="1" t="n">
        <v>45066</v>
      </c>
      <c r="C1433" s="1" t="n">
        <v>45472</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21790-2023</t>
        </is>
      </c>
      <c r="B1434" s="1" t="n">
        <v>45067</v>
      </c>
      <c r="C1434" s="1" t="n">
        <v>45472</v>
      </c>
      <c r="D1434" t="inlineStr">
        <is>
          <t>VÄRMLANDS LÄN</t>
        </is>
      </c>
      <c r="E1434" t="inlineStr">
        <is>
          <t>TORSBY</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21839-2023</t>
        </is>
      </c>
      <c r="B1435" s="1" t="n">
        <v>45068</v>
      </c>
      <c r="C1435" s="1" t="n">
        <v>45472</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21847-2023</t>
        </is>
      </c>
      <c r="B1436" s="1" t="n">
        <v>45068</v>
      </c>
      <c r="C1436" s="1" t="n">
        <v>45472</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21988-2023</t>
        </is>
      </c>
      <c r="B1437" s="1" t="n">
        <v>45068</v>
      </c>
      <c r="C1437" s="1" t="n">
        <v>45472</v>
      </c>
      <c r="D1437" t="inlineStr">
        <is>
          <t>VÄRMLANDS LÄN</t>
        </is>
      </c>
      <c r="E1437" t="inlineStr">
        <is>
          <t>TORSBY</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21912-2023</t>
        </is>
      </c>
      <c r="B1438" s="1" t="n">
        <v>45068</v>
      </c>
      <c r="C1438" s="1" t="n">
        <v>45472</v>
      </c>
      <c r="D1438" t="inlineStr">
        <is>
          <t>VÄRMLANDS LÄN</t>
        </is>
      </c>
      <c r="E1438" t="inlineStr">
        <is>
          <t>TORSBY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22089-2023</t>
        </is>
      </c>
      <c r="B1439" s="1" t="n">
        <v>45069</v>
      </c>
      <c r="C1439" s="1" t="n">
        <v>45472</v>
      </c>
      <c r="D1439" t="inlineStr">
        <is>
          <t>VÄRMLANDS LÄN</t>
        </is>
      </c>
      <c r="E1439" t="inlineStr">
        <is>
          <t>TORSBY</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22030-2023</t>
        </is>
      </c>
      <c r="B1440" s="1" t="n">
        <v>45069</v>
      </c>
      <c r="C1440" s="1" t="n">
        <v>45472</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22038-2023</t>
        </is>
      </c>
      <c r="B1441" s="1" t="n">
        <v>45069</v>
      </c>
      <c r="C1441" s="1" t="n">
        <v>45472</v>
      </c>
      <c r="D1441" t="inlineStr">
        <is>
          <t>VÄRMLANDS LÄN</t>
        </is>
      </c>
      <c r="E1441" t="inlineStr">
        <is>
          <t>TORSBY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22033-2023</t>
        </is>
      </c>
      <c r="B1442" s="1" t="n">
        <v>45069</v>
      </c>
      <c r="C1442" s="1" t="n">
        <v>45472</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22386-2023</t>
        </is>
      </c>
      <c r="B1443" s="1" t="n">
        <v>45070</v>
      </c>
      <c r="C1443" s="1" t="n">
        <v>45472</v>
      </c>
      <c r="D1443" t="inlineStr">
        <is>
          <t>VÄRMLANDS LÄN</t>
        </is>
      </c>
      <c r="E1443" t="inlineStr">
        <is>
          <t>TORSBY</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22301-2023</t>
        </is>
      </c>
      <c r="B1444" s="1" t="n">
        <v>45070</v>
      </c>
      <c r="C1444" s="1" t="n">
        <v>45472</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23073-2023</t>
        </is>
      </c>
      <c r="B1445" s="1" t="n">
        <v>45070</v>
      </c>
      <c r="C1445" s="1" t="n">
        <v>45472</v>
      </c>
      <c r="D1445" t="inlineStr">
        <is>
          <t>VÄRMLANDS LÄN</t>
        </is>
      </c>
      <c r="E1445" t="inlineStr">
        <is>
          <t>TORSBY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22920-2023</t>
        </is>
      </c>
      <c r="B1446" s="1" t="n">
        <v>45070</v>
      </c>
      <c r="C1446" s="1" t="n">
        <v>45472</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22494-2023</t>
        </is>
      </c>
      <c r="B1447" s="1" t="n">
        <v>45071</v>
      </c>
      <c r="C1447" s="1" t="n">
        <v>45472</v>
      </c>
      <c r="D1447" t="inlineStr">
        <is>
          <t>VÄRMLANDS LÄN</t>
        </is>
      </c>
      <c r="E1447" t="inlineStr">
        <is>
          <t>TORSBY</t>
        </is>
      </c>
      <c r="F1447" t="inlineStr">
        <is>
          <t>Bergvik skog väst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22524-2023</t>
        </is>
      </c>
      <c r="B1448" s="1" t="n">
        <v>45071</v>
      </c>
      <c r="C1448" s="1" t="n">
        <v>45472</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22587-2023</t>
        </is>
      </c>
      <c r="B1449" s="1" t="n">
        <v>45071</v>
      </c>
      <c r="C1449" s="1" t="n">
        <v>45472</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22618-2023</t>
        </is>
      </c>
      <c r="B1450" s="1" t="n">
        <v>45071</v>
      </c>
      <c r="C1450" s="1" t="n">
        <v>45472</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22655-2023</t>
        </is>
      </c>
      <c r="B1451" s="1" t="n">
        <v>45071</v>
      </c>
      <c r="C1451" s="1" t="n">
        <v>45472</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22705-2023</t>
        </is>
      </c>
      <c r="B1452" s="1" t="n">
        <v>45071</v>
      </c>
      <c r="C1452" s="1" t="n">
        <v>45472</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22687-2023</t>
        </is>
      </c>
      <c r="B1453" s="1" t="n">
        <v>45071</v>
      </c>
      <c r="C1453" s="1" t="n">
        <v>45472</v>
      </c>
      <c r="D1453" t="inlineStr">
        <is>
          <t>VÄRMLANDS LÄN</t>
        </is>
      </c>
      <c r="E1453" t="inlineStr">
        <is>
          <t>TORSBY</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22634-2023</t>
        </is>
      </c>
      <c r="B1454" s="1" t="n">
        <v>45071</v>
      </c>
      <c r="C1454" s="1" t="n">
        <v>45472</v>
      </c>
      <c r="D1454" t="inlineStr">
        <is>
          <t>VÄRMLANDS LÄN</t>
        </is>
      </c>
      <c r="E1454" t="inlineStr">
        <is>
          <t>TORSBY</t>
        </is>
      </c>
      <c r="F1454" t="inlineStr">
        <is>
          <t>Bergvik skog väst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22675-2023</t>
        </is>
      </c>
      <c r="B1455" s="1" t="n">
        <v>45071</v>
      </c>
      <c r="C1455" s="1" t="n">
        <v>45472</v>
      </c>
      <c r="D1455" t="inlineStr">
        <is>
          <t>VÄRMLANDS LÄN</t>
        </is>
      </c>
      <c r="E1455" t="inlineStr">
        <is>
          <t>TORSBY</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22702-2023</t>
        </is>
      </c>
      <c r="B1456" s="1" t="n">
        <v>45071</v>
      </c>
      <c r="C1456" s="1" t="n">
        <v>45472</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22939-2023</t>
        </is>
      </c>
      <c r="B1457" s="1" t="n">
        <v>45072</v>
      </c>
      <c r="C1457" s="1" t="n">
        <v>45472</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22943-2023</t>
        </is>
      </c>
      <c r="B1458" s="1" t="n">
        <v>45072</v>
      </c>
      <c r="C1458" s="1" t="n">
        <v>45472</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23572-2023</t>
        </is>
      </c>
      <c r="B1459" s="1" t="n">
        <v>45077</v>
      </c>
      <c r="C1459" s="1" t="n">
        <v>45472</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23624-2023</t>
        </is>
      </c>
      <c r="B1460" s="1" t="n">
        <v>45077</v>
      </c>
      <c r="C1460" s="1" t="n">
        <v>45472</v>
      </c>
      <c r="D1460" t="inlineStr">
        <is>
          <t>VÄRMLANDS LÄN</t>
        </is>
      </c>
      <c r="E1460" t="inlineStr">
        <is>
          <t>TORSBY</t>
        </is>
      </c>
      <c r="F1460" t="inlineStr">
        <is>
          <t>Bergvik skog väst AB</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23894-2023</t>
        </is>
      </c>
      <c r="B1461" s="1" t="n">
        <v>45078</v>
      </c>
      <c r="C1461" s="1" t="n">
        <v>45472</v>
      </c>
      <c r="D1461" t="inlineStr">
        <is>
          <t>VÄRMLANDS LÄN</t>
        </is>
      </c>
      <c r="E1461" t="inlineStr">
        <is>
          <t>TORSBY</t>
        </is>
      </c>
      <c r="F1461" t="inlineStr">
        <is>
          <t>Bergvik skog väst AB</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23912-2023</t>
        </is>
      </c>
      <c r="B1462" s="1" t="n">
        <v>45078</v>
      </c>
      <c r="C1462" s="1" t="n">
        <v>45472</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24244-2023</t>
        </is>
      </c>
      <c r="B1463" s="1" t="n">
        <v>45079</v>
      </c>
      <c r="C1463" s="1" t="n">
        <v>45472</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24170-2023</t>
        </is>
      </c>
      <c r="B1464" s="1" t="n">
        <v>45079</v>
      </c>
      <c r="C1464" s="1" t="n">
        <v>45472</v>
      </c>
      <c r="D1464" t="inlineStr">
        <is>
          <t>VÄRMLANDS LÄN</t>
        </is>
      </c>
      <c r="E1464" t="inlineStr">
        <is>
          <t>TORSBY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24101-2023</t>
        </is>
      </c>
      <c r="B1465" s="1" t="n">
        <v>45079</v>
      </c>
      <c r="C1465" s="1" t="n">
        <v>45472</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24196-2023</t>
        </is>
      </c>
      <c r="B1466" s="1" t="n">
        <v>45079</v>
      </c>
      <c r="C1466" s="1" t="n">
        <v>45472</v>
      </c>
      <c r="D1466" t="inlineStr">
        <is>
          <t>VÄRMLANDS LÄN</t>
        </is>
      </c>
      <c r="E1466" t="inlineStr">
        <is>
          <t>TORSBY</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24518-2023</t>
        </is>
      </c>
      <c r="B1467" s="1" t="n">
        <v>45082</v>
      </c>
      <c r="C1467" s="1" t="n">
        <v>45472</v>
      </c>
      <c r="D1467" t="inlineStr">
        <is>
          <t>VÄRMLANDS LÄN</t>
        </is>
      </c>
      <c r="E1467" t="inlineStr">
        <is>
          <t>TORSBY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24696-2023</t>
        </is>
      </c>
      <c r="B1468" s="1" t="n">
        <v>45084</v>
      </c>
      <c r="C1468" s="1" t="n">
        <v>45472</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45472</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24643-2023</t>
        </is>
      </c>
      <c r="B1470" s="1" t="n">
        <v>45084</v>
      </c>
      <c r="C1470" s="1" t="n">
        <v>45472</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24703-2023</t>
        </is>
      </c>
      <c r="B1471" s="1" t="n">
        <v>45084</v>
      </c>
      <c r="C1471" s="1" t="n">
        <v>45472</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24849-2023</t>
        </is>
      </c>
      <c r="B1472" s="1" t="n">
        <v>45085</v>
      </c>
      <c r="C1472" s="1" t="n">
        <v>45472</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45472</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24876-2023</t>
        </is>
      </c>
      <c r="B1474" s="1" t="n">
        <v>45085</v>
      </c>
      <c r="C1474" s="1" t="n">
        <v>45472</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24909-2023</t>
        </is>
      </c>
      <c r="B1475" s="1" t="n">
        <v>45085</v>
      </c>
      <c r="C1475" s="1" t="n">
        <v>45472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24897-2023</t>
        </is>
      </c>
      <c r="B1476" s="1" t="n">
        <v>45085</v>
      </c>
      <c r="C1476" s="1" t="n">
        <v>45472</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24847-2023</t>
        </is>
      </c>
      <c r="B1477" s="1" t="n">
        <v>45085</v>
      </c>
      <c r="C1477" s="1" t="n">
        <v>45472</v>
      </c>
      <c r="D1477" t="inlineStr">
        <is>
          <t>VÄRMLANDS LÄN</t>
        </is>
      </c>
      <c r="E1477" t="inlineStr">
        <is>
          <t>TORSBY</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24965-2023</t>
        </is>
      </c>
      <c r="B1478" s="1" t="n">
        <v>45085</v>
      </c>
      <c r="C1478" s="1" t="n">
        <v>45472</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24969-2023</t>
        </is>
      </c>
      <c r="B1479" s="1" t="n">
        <v>45085</v>
      </c>
      <c r="C1479" s="1" t="n">
        <v>45472</v>
      </c>
      <c r="D1479" t="inlineStr">
        <is>
          <t>VÄRMLANDS LÄN</t>
        </is>
      </c>
      <c r="E1479" t="inlineStr">
        <is>
          <t>TORSBY</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25001-2023</t>
        </is>
      </c>
      <c r="B1480" s="1" t="n">
        <v>45085</v>
      </c>
      <c r="C1480" s="1" t="n">
        <v>45472</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25068-2023</t>
        </is>
      </c>
      <c r="B1481" s="1" t="n">
        <v>45085</v>
      </c>
      <c r="C1481" s="1" t="n">
        <v>45472</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25163-2023</t>
        </is>
      </c>
      <c r="B1482" s="1" t="n">
        <v>45086</v>
      </c>
      <c r="C1482" s="1" t="n">
        <v>45472</v>
      </c>
      <c r="D1482" t="inlineStr">
        <is>
          <t>VÄRMLANDS LÄN</t>
        </is>
      </c>
      <c r="E1482" t="inlineStr">
        <is>
          <t>TORSBY</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25088-2023</t>
        </is>
      </c>
      <c r="B1483" s="1" t="n">
        <v>45086</v>
      </c>
      <c r="C1483" s="1" t="n">
        <v>45472</v>
      </c>
      <c r="D1483" t="inlineStr">
        <is>
          <t>VÄRMLANDS LÄN</t>
        </is>
      </c>
      <c r="E1483" t="inlineStr">
        <is>
          <t>TORSBY</t>
        </is>
      </c>
      <c r="F1483" t="inlineStr">
        <is>
          <t>Bergvik skog väst AB</t>
        </is>
      </c>
      <c r="G1483" t="n">
        <v>13.9</v>
      </c>
      <c r="H1483" t="n">
        <v>0</v>
      </c>
      <c r="I1483" t="n">
        <v>0</v>
      </c>
      <c r="J1483" t="n">
        <v>0</v>
      </c>
      <c r="K1483" t="n">
        <v>0</v>
      </c>
      <c r="L1483" t="n">
        <v>0</v>
      </c>
      <c r="M1483" t="n">
        <v>0</v>
      </c>
      <c r="N1483" t="n">
        <v>0</v>
      </c>
      <c r="O1483" t="n">
        <v>0</v>
      </c>
      <c r="P1483" t="n">
        <v>0</v>
      </c>
      <c r="Q1483" t="n">
        <v>0</v>
      </c>
      <c r="R1483" s="2" t="inlineStr"/>
    </row>
    <row r="1484" ht="15" customHeight="1">
      <c r="A1484" t="inlineStr">
        <is>
          <t>A 25090-2023</t>
        </is>
      </c>
      <c r="B1484" s="1" t="n">
        <v>45086</v>
      </c>
      <c r="C1484" s="1" t="n">
        <v>45472</v>
      </c>
      <c r="D1484" t="inlineStr">
        <is>
          <t>VÄRMLANDS LÄN</t>
        </is>
      </c>
      <c r="E1484" t="inlineStr">
        <is>
          <t>TORSBY</t>
        </is>
      </c>
      <c r="F1484" t="inlineStr">
        <is>
          <t>Bergvik skog väst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25261-2023</t>
        </is>
      </c>
      <c r="B1485" s="1" t="n">
        <v>45086</v>
      </c>
      <c r="C1485" s="1" t="n">
        <v>45472</v>
      </c>
      <c r="D1485" t="inlineStr">
        <is>
          <t>VÄRMLANDS LÄN</t>
        </is>
      </c>
      <c r="E1485" t="inlineStr">
        <is>
          <t>TORSBY</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25344-2023</t>
        </is>
      </c>
      <c r="B1486" s="1" t="n">
        <v>45087</v>
      </c>
      <c r="C1486" s="1" t="n">
        <v>45472</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25579-2023</t>
        </is>
      </c>
      <c r="B1487" s="1" t="n">
        <v>45089</v>
      </c>
      <c r="C1487" s="1" t="n">
        <v>45472</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26466-2023</t>
        </is>
      </c>
      <c r="B1488" s="1" t="n">
        <v>45089</v>
      </c>
      <c r="C1488" s="1" t="n">
        <v>45472</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26340-2023</t>
        </is>
      </c>
      <c r="B1489" s="1" t="n">
        <v>45091</v>
      </c>
      <c r="C1489" s="1" t="n">
        <v>45472</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26343-2023</t>
        </is>
      </c>
      <c r="B1490" s="1" t="n">
        <v>45091</v>
      </c>
      <c r="C1490" s="1" t="n">
        <v>45472</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26327-2023</t>
        </is>
      </c>
      <c r="B1491" s="1" t="n">
        <v>45091</v>
      </c>
      <c r="C1491" s="1" t="n">
        <v>45472</v>
      </c>
      <c r="D1491" t="inlineStr">
        <is>
          <t>VÄRMLANDS LÄN</t>
        </is>
      </c>
      <c r="E1491" t="inlineStr">
        <is>
          <t>TORSBY</t>
        </is>
      </c>
      <c r="F1491" t="inlineStr">
        <is>
          <t>Bergvik skog väst AB</t>
        </is>
      </c>
      <c r="G1491" t="n">
        <v>33.4</v>
      </c>
      <c r="H1491" t="n">
        <v>0</v>
      </c>
      <c r="I1491" t="n">
        <v>0</v>
      </c>
      <c r="J1491" t="n">
        <v>0</v>
      </c>
      <c r="K1491" t="n">
        <v>0</v>
      </c>
      <c r="L1491" t="n">
        <v>0</v>
      </c>
      <c r="M1491" t="n">
        <v>0</v>
      </c>
      <c r="N1491" t="n">
        <v>0</v>
      </c>
      <c r="O1491" t="n">
        <v>0</v>
      </c>
      <c r="P1491" t="n">
        <v>0</v>
      </c>
      <c r="Q1491" t="n">
        <v>0</v>
      </c>
      <c r="R1491" s="2" t="inlineStr"/>
    </row>
    <row r="1492" ht="15" customHeight="1">
      <c r="A1492" t="inlineStr">
        <is>
          <t>A 26080-2023</t>
        </is>
      </c>
      <c r="B1492" s="1" t="n">
        <v>45091</v>
      </c>
      <c r="C1492" s="1" t="n">
        <v>45472</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26092-2023</t>
        </is>
      </c>
      <c r="B1493" s="1" t="n">
        <v>45091</v>
      </c>
      <c r="C1493" s="1" t="n">
        <v>45472</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26979-2023</t>
        </is>
      </c>
      <c r="B1494" s="1" t="n">
        <v>45091</v>
      </c>
      <c r="C1494" s="1" t="n">
        <v>45472</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26376-2023</t>
        </is>
      </c>
      <c r="B1495" s="1" t="n">
        <v>45092</v>
      </c>
      <c r="C1495" s="1" t="n">
        <v>45472</v>
      </c>
      <c r="D1495" t="inlineStr">
        <is>
          <t>VÄRMLANDS LÄN</t>
        </is>
      </c>
      <c r="E1495" t="inlineStr">
        <is>
          <t>TORSBY</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26616-2023</t>
        </is>
      </c>
      <c r="B1496" s="1" t="n">
        <v>45092</v>
      </c>
      <c r="C1496" s="1" t="n">
        <v>45472</v>
      </c>
      <c r="D1496" t="inlineStr">
        <is>
          <t>VÄRMLANDS LÄN</t>
        </is>
      </c>
      <c r="E1496" t="inlineStr">
        <is>
          <t>TORSBY</t>
        </is>
      </c>
      <c r="F1496" t="inlineStr">
        <is>
          <t>Bergvik skog väst AB</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26814-2023</t>
        </is>
      </c>
      <c r="B1497" s="1" t="n">
        <v>45093</v>
      </c>
      <c r="C1497" s="1" t="n">
        <v>45472</v>
      </c>
      <c r="D1497" t="inlineStr">
        <is>
          <t>VÄRMLANDS LÄN</t>
        </is>
      </c>
      <c r="E1497" t="inlineStr">
        <is>
          <t>TORSBY</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26753-2023</t>
        </is>
      </c>
      <c r="B1498" s="1" t="n">
        <v>45093</v>
      </c>
      <c r="C1498" s="1" t="n">
        <v>45472</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26855-2023</t>
        </is>
      </c>
      <c r="B1499" s="1" t="n">
        <v>45093</v>
      </c>
      <c r="C1499" s="1" t="n">
        <v>45472</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27195-2023</t>
        </is>
      </c>
      <c r="B1500" s="1" t="n">
        <v>45096</v>
      </c>
      <c r="C1500" s="1" t="n">
        <v>45472</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27332-2023</t>
        </is>
      </c>
      <c r="B1501" s="1" t="n">
        <v>45096</v>
      </c>
      <c r="C1501" s="1" t="n">
        <v>45472</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27472-2023</t>
        </is>
      </c>
      <c r="B1502" s="1" t="n">
        <v>45097</v>
      </c>
      <c r="C1502" s="1" t="n">
        <v>45472</v>
      </c>
      <c r="D1502" t="inlineStr">
        <is>
          <t>VÄRMLANDS LÄN</t>
        </is>
      </c>
      <c r="E1502" t="inlineStr">
        <is>
          <t>TORSBY</t>
        </is>
      </c>
      <c r="F1502" t="inlineStr">
        <is>
          <t>Övriga Aktiebolag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27594-2023</t>
        </is>
      </c>
      <c r="B1503" s="1" t="n">
        <v>45097</v>
      </c>
      <c r="C1503" s="1" t="n">
        <v>45472</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27458-2023</t>
        </is>
      </c>
      <c r="B1504" s="1" t="n">
        <v>45097</v>
      </c>
      <c r="C1504" s="1" t="n">
        <v>45472</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27787-2023</t>
        </is>
      </c>
      <c r="B1505" s="1" t="n">
        <v>45098</v>
      </c>
      <c r="C1505" s="1" t="n">
        <v>45472</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27837-2023</t>
        </is>
      </c>
      <c r="B1506" s="1" t="n">
        <v>45098</v>
      </c>
      <c r="C1506" s="1" t="n">
        <v>45472</v>
      </c>
      <c r="D1506" t="inlineStr">
        <is>
          <t>VÄRMLANDS LÄN</t>
        </is>
      </c>
      <c r="E1506" t="inlineStr">
        <is>
          <t>TORSBY</t>
        </is>
      </c>
      <c r="F1506" t="inlineStr">
        <is>
          <t>Bergvik skog väst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27851-2023</t>
        </is>
      </c>
      <c r="B1507" s="1" t="n">
        <v>45098</v>
      </c>
      <c r="C1507" s="1" t="n">
        <v>45472</v>
      </c>
      <c r="D1507" t="inlineStr">
        <is>
          <t>VÄRMLANDS LÄN</t>
        </is>
      </c>
      <c r="E1507" t="inlineStr">
        <is>
          <t>TORSBY</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27920-2023</t>
        </is>
      </c>
      <c r="B1508" s="1" t="n">
        <v>45098</v>
      </c>
      <c r="C1508" s="1" t="n">
        <v>45472</v>
      </c>
      <c r="D1508" t="inlineStr">
        <is>
          <t>VÄRMLANDS LÄN</t>
        </is>
      </c>
      <c r="E1508" t="inlineStr">
        <is>
          <t>TORSBY</t>
        </is>
      </c>
      <c r="F1508" t="inlineStr">
        <is>
          <t>Kyrkan</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28045-2023</t>
        </is>
      </c>
      <c r="B1509" s="1" t="n">
        <v>45099</v>
      </c>
      <c r="C1509" s="1" t="n">
        <v>45472</v>
      </c>
      <c r="D1509" t="inlineStr">
        <is>
          <t>VÄRMLANDS LÄN</t>
        </is>
      </c>
      <c r="E1509" t="inlineStr">
        <is>
          <t>TORSBY</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28074-2023</t>
        </is>
      </c>
      <c r="B1510" s="1" t="n">
        <v>45099</v>
      </c>
      <c r="C1510" s="1" t="n">
        <v>45472</v>
      </c>
      <c r="D1510" t="inlineStr">
        <is>
          <t>VÄRMLANDS LÄN</t>
        </is>
      </c>
      <c r="E1510" t="inlineStr">
        <is>
          <t>TORSBY</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28092-2023</t>
        </is>
      </c>
      <c r="B1511" s="1" t="n">
        <v>45099</v>
      </c>
      <c r="C1511" s="1" t="n">
        <v>45472</v>
      </c>
      <c r="D1511" t="inlineStr">
        <is>
          <t>VÄRMLANDS LÄN</t>
        </is>
      </c>
      <c r="E1511" t="inlineStr">
        <is>
          <t>TORSBY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28251-2023</t>
        </is>
      </c>
      <c r="B1512" s="1" t="n">
        <v>45099</v>
      </c>
      <c r="C1512" s="1" t="n">
        <v>45472</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30142-2023</t>
        </is>
      </c>
      <c r="B1513" s="1" t="n">
        <v>45099</v>
      </c>
      <c r="C1513" s="1" t="n">
        <v>45472</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30148-2023</t>
        </is>
      </c>
      <c r="B1514" s="1" t="n">
        <v>45099</v>
      </c>
      <c r="C1514" s="1" t="n">
        <v>45472</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30151-2023</t>
        </is>
      </c>
      <c r="B1515" s="1" t="n">
        <v>45099</v>
      </c>
      <c r="C1515" s="1" t="n">
        <v>45472</v>
      </c>
      <c r="D1515" t="inlineStr">
        <is>
          <t>VÄRMLANDS LÄN</t>
        </is>
      </c>
      <c r="E1515" t="inlineStr">
        <is>
          <t>TORSBY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28598-2023</t>
        </is>
      </c>
      <c r="B1516" s="1" t="n">
        <v>45103</v>
      </c>
      <c r="C1516" s="1" t="n">
        <v>45472</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28652-2023</t>
        </is>
      </c>
      <c r="B1517" s="1" t="n">
        <v>45103</v>
      </c>
      <c r="C1517" s="1" t="n">
        <v>45472</v>
      </c>
      <c r="D1517" t="inlineStr">
        <is>
          <t>VÄRMLANDS LÄN</t>
        </is>
      </c>
      <c r="E1517" t="inlineStr">
        <is>
          <t>TORSBY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28818-2023</t>
        </is>
      </c>
      <c r="B1518" s="1" t="n">
        <v>45104</v>
      </c>
      <c r="C1518" s="1" t="n">
        <v>45472</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28869-2023</t>
        </is>
      </c>
      <c r="B1519" s="1" t="n">
        <v>45104</v>
      </c>
      <c r="C1519" s="1" t="n">
        <v>45472</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28948-2023</t>
        </is>
      </c>
      <c r="B1520" s="1" t="n">
        <v>45104</v>
      </c>
      <c r="C1520" s="1" t="n">
        <v>45472</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28814-2023</t>
        </is>
      </c>
      <c r="B1521" s="1" t="n">
        <v>45104</v>
      </c>
      <c r="C1521" s="1" t="n">
        <v>45472</v>
      </c>
      <c r="D1521" t="inlineStr">
        <is>
          <t>VÄRMLANDS LÄN</t>
        </is>
      </c>
      <c r="E1521" t="inlineStr">
        <is>
          <t>TORSBY</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45472</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29042-2023</t>
        </is>
      </c>
      <c r="B1523" s="1" t="n">
        <v>45104</v>
      </c>
      <c r="C1523" s="1" t="n">
        <v>45472</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29137-2023</t>
        </is>
      </c>
      <c r="B1524" s="1" t="n">
        <v>45105</v>
      </c>
      <c r="C1524" s="1" t="n">
        <v>45472</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v>
      </c>
      <c r="C1525" s="1" t="n">
        <v>45472</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29506-2023</t>
        </is>
      </c>
      <c r="B1526" s="1" t="n">
        <v>45106</v>
      </c>
      <c r="C1526" s="1" t="n">
        <v>45472</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29581-2023</t>
        </is>
      </c>
      <c r="B1527" s="1" t="n">
        <v>45106</v>
      </c>
      <c r="C1527" s="1" t="n">
        <v>45472</v>
      </c>
      <c r="D1527" t="inlineStr">
        <is>
          <t>VÄRMLANDS LÄN</t>
        </is>
      </c>
      <c r="E1527" t="inlineStr">
        <is>
          <t>TORSBY</t>
        </is>
      </c>
      <c r="F1527" t="inlineStr">
        <is>
          <t>Bergvik skog väst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29594-2023</t>
        </is>
      </c>
      <c r="B1528" s="1" t="n">
        <v>45107</v>
      </c>
      <c r="C1528" s="1" t="n">
        <v>45472</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29545-2023</t>
        </is>
      </c>
      <c r="B1529" s="1" t="n">
        <v>45106</v>
      </c>
      <c r="C1529" s="1" t="n">
        <v>45472</v>
      </c>
      <c r="D1529" t="inlineStr">
        <is>
          <t>VÄRMLANDS LÄN</t>
        </is>
      </c>
      <c r="E1529" t="inlineStr">
        <is>
          <t>TORSBY</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31858-2023</t>
        </is>
      </c>
      <c r="B1530" s="1" t="n">
        <v>45106</v>
      </c>
      <c r="C1530" s="1" t="n">
        <v>45472</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29792-2023</t>
        </is>
      </c>
      <c r="B1531" s="1" t="n">
        <v>45107</v>
      </c>
      <c r="C1531" s="1" t="n">
        <v>45472</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29796-2023</t>
        </is>
      </c>
      <c r="B1532" s="1" t="n">
        <v>45107</v>
      </c>
      <c r="C1532" s="1" t="n">
        <v>45472</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29795-2023</t>
        </is>
      </c>
      <c r="B1533" s="1" t="n">
        <v>45107</v>
      </c>
      <c r="C1533" s="1" t="n">
        <v>45472</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31936-2023</t>
        </is>
      </c>
      <c r="B1534" s="1" t="n">
        <v>45107</v>
      </c>
      <c r="C1534" s="1" t="n">
        <v>45472</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30208-2023</t>
        </is>
      </c>
      <c r="B1535" s="1" t="n">
        <v>45110</v>
      </c>
      <c r="C1535" s="1" t="n">
        <v>45472</v>
      </c>
      <c r="D1535" t="inlineStr">
        <is>
          <t>VÄRMLANDS LÄN</t>
        </is>
      </c>
      <c r="E1535" t="inlineStr">
        <is>
          <t>TORSBY</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30213-2023</t>
        </is>
      </c>
      <c r="B1536" s="1" t="n">
        <v>45110</v>
      </c>
      <c r="C1536" s="1" t="n">
        <v>45472</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30267-2023</t>
        </is>
      </c>
      <c r="B1537" s="1" t="n">
        <v>45110</v>
      </c>
      <c r="C1537" s="1" t="n">
        <v>45472</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30104-2023</t>
        </is>
      </c>
      <c r="B1538" s="1" t="n">
        <v>45110</v>
      </c>
      <c r="C1538" s="1" t="n">
        <v>45472</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45472</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30160-2023</t>
        </is>
      </c>
      <c r="B1540" s="1" t="n">
        <v>45110</v>
      </c>
      <c r="C1540" s="1" t="n">
        <v>45472</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30269-2023</t>
        </is>
      </c>
      <c r="B1541" s="1" t="n">
        <v>45110</v>
      </c>
      <c r="C1541" s="1" t="n">
        <v>45472</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30110-2023</t>
        </is>
      </c>
      <c r="B1542" s="1" t="n">
        <v>45110</v>
      </c>
      <c r="C1542" s="1" t="n">
        <v>45472</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30530-2023</t>
        </is>
      </c>
      <c r="B1543" s="1" t="n">
        <v>45111</v>
      </c>
      <c r="C1543" s="1" t="n">
        <v>45472</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30455-2023</t>
        </is>
      </c>
      <c r="B1544" s="1" t="n">
        <v>45111</v>
      </c>
      <c r="C1544" s="1" t="n">
        <v>45472</v>
      </c>
      <c r="D1544" t="inlineStr">
        <is>
          <t>VÄRMLANDS LÄN</t>
        </is>
      </c>
      <c r="E1544" t="inlineStr">
        <is>
          <t>TORSBY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30370-2023</t>
        </is>
      </c>
      <c r="B1545" s="1" t="n">
        <v>45111</v>
      </c>
      <c r="C1545" s="1" t="n">
        <v>45472</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30531-2023</t>
        </is>
      </c>
      <c r="B1546" s="1" t="n">
        <v>45111</v>
      </c>
      <c r="C1546" s="1" t="n">
        <v>45472</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30344-2023</t>
        </is>
      </c>
      <c r="B1547" s="1" t="n">
        <v>45111</v>
      </c>
      <c r="C1547" s="1" t="n">
        <v>45472</v>
      </c>
      <c r="D1547" t="inlineStr">
        <is>
          <t>VÄRMLANDS LÄN</t>
        </is>
      </c>
      <c r="E1547" t="inlineStr">
        <is>
          <t>TORSBY</t>
        </is>
      </c>
      <c r="F1547" t="inlineStr">
        <is>
          <t>Bergvik skog väst AB</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30670-2023</t>
        </is>
      </c>
      <c r="B1548" s="1" t="n">
        <v>45112</v>
      </c>
      <c r="C1548" s="1" t="n">
        <v>45472</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30624-2023</t>
        </is>
      </c>
      <c r="B1549" s="1" t="n">
        <v>45112</v>
      </c>
      <c r="C1549" s="1" t="n">
        <v>45472</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30741-2023</t>
        </is>
      </c>
      <c r="B1550" s="1" t="n">
        <v>45112</v>
      </c>
      <c r="C1550" s="1" t="n">
        <v>45472</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31052-2023</t>
        </is>
      </c>
      <c r="B1551" s="1" t="n">
        <v>45113</v>
      </c>
      <c r="C1551" s="1" t="n">
        <v>45472</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31112-2023</t>
        </is>
      </c>
      <c r="B1552" s="1" t="n">
        <v>45113</v>
      </c>
      <c r="C1552" s="1" t="n">
        <v>45472</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31465-2023</t>
        </is>
      </c>
      <c r="B1553" s="1" t="n">
        <v>45114</v>
      </c>
      <c r="C1553" s="1" t="n">
        <v>45472</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31547-2023</t>
        </is>
      </c>
      <c r="B1554" s="1" t="n">
        <v>45117</v>
      </c>
      <c r="C1554" s="1" t="n">
        <v>45472</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31548-2023</t>
        </is>
      </c>
      <c r="B1555" s="1" t="n">
        <v>45117</v>
      </c>
      <c r="C1555" s="1" t="n">
        <v>45472</v>
      </c>
      <c r="D1555" t="inlineStr">
        <is>
          <t>VÄRMLANDS LÄN</t>
        </is>
      </c>
      <c r="E1555" t="inlineStr">
        <is>
          <t>TORSBY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33741-2023</t>
        </is>
      </c>
      <c r="B1556" s="1" t="n">
        <v>45119</v>
      </c>
      <c r="C1556" s="1" t="n">
        <v>45472</v>
      </c>
      <c r="D1556" t="inlineStr">
        <is>
          <t>VÄRMLANDS LÄN</t>
        </is>
      </c>
      <c r="E1556" t="inlineStr">
        <is>
          <t>TORSBY</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33738-2023</t>
        </is>
      </c>
      <c r="B1557" s="1" t="n">
        <v>45119</v>
      </c>
      <c r="C1557" s="1" t="n">
        <v>45472</v>
      </c>
      <c r="D1557" t="inlineStr">
        <is>
          <t>VÄRMLANDS LÄN</t>
        </is>
      </c>
      <c r="E1557" t="inlineStr">
        <is>
          <t>TORSBY</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33740-2023</t>
        </is>
      </c>
      <c r="B1558" s="1" t="n">
        <v>45119</v>
      </c>
      <c r="C1558" s="1" t="n">
        <v>45472</v>
      </c>
      <c r="D1558" t="inlineStr">
        <is>
          <t>VÄRMLANDS LÄN</t>
        </is>
      </c>
      <c r="E1558" t="inlineStr">
        <is>
          <t>TORSBY</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33782-2023</t>
        </is>
      </c>
      <c r="B1559" s="1" t="n">
        <v>45120</v>
      </c>
      <c r="C1559" s="1" t="n">
        <v>45472</v>
      </c>
      <c r="D1559" t="inlineStr">
        <is>
          <t>VÄRMLANDS LÄN</t>
        </is>
      </c>
      <c r="E1559" t="inlineStr">
        <is>
          <t>TORSBY</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32576-2023</t>
        </is>
      </c>
      <c r="B1560" s="1" t="n">
        <v>45121</v>
      </c>
      <c r="C1560" s="1" t="n">
        <v>45472</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32584-2023</t>
        </is>
      </c>
      <c r="B1561" s="1" t="n">
        <v>45121</v>
      </c>
      <c r="C1561" s="1" t="n">
        <v>45472</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32805-2023</t>
        </is>
      </c>
      <c r="B1562" s="1" t="n">
        <v>45124</v>
      </c>
      <c r="C1562" s="1" t="n">
        <v>45472</v>
      </c>
      <c r="D1562" t="inlineStr">
        <is>
          <t>VÄRMLANDS LÄN</t>
        </is>
      </c>
      <c r="E1562" t="inlineStr">
        <is>
          <t>TORSBY</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32819-2023</t>
        </is>
      </c>
      <c r="B1563" s="1" t="n">
        <v>45124</v>
      </c>
      <c r="C1563" s="1" t="n">
        <v>45472</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32787-2023</t>
        </is>
      </c>
      <c r="B1564" s="1" t="n">
        <v>45124</v>
      </c>
      <c r="C1564" s="1" t="n">
        <v>45472</v>
      </c>
      <c r="D1564" t="inlineStr">
        <is>
          <t>VÄRMLANDS LÄN</t>
        </is>
      </c>
      <c r="E1564" t="inlineStr">
        <is>
          <t>TORSBY</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32815-2023</t>
        </is>
      </c>
      <c r="B1565" s="1" t="n">
        <v>45124</v>
      </c>
      <c r="C1565" s="1" t="n">
        <v>45472</v>
      </c>
      <c r="D1565" t="inlineStr">
        <is>
          <t>VÄRMLANDS LÄN</t>
        </is>
      </c>
      <c r="E1565" t="inlineStr">
        <is>
          <t>TORSBY</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33758-2023</t>
        </is>
      </c>
      <c r="B1566" s="1" t="n">
        <v>45125</v>
      </c>
      <c r="C1566" s="1" t="n">
        <v>45472</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33072-2023</t>
        </is>
      </c>
      <c r="B1567" s="1" t="n">
        <v>45126</v>
      </c>
      <c r="C1567" s="1" t="n">
        <v>45472</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34097-2023</t>
        </is>
      </c>
      <c r="B1568" s="1" t="n">
        <v>45126</v>
      </c>
      <c r="C1568" s="1" t="n">
        <v>45472</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34104-2023</t>
        </is>
      </c>
      <c r="B1569" s="1" t="n">
        <v>45126</v>
      </c>
      <c r="C1569" s="1" t="n">
        <v>45472</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34105-2023</t>
        </is>
      </c>
      <c r="B1570" s="1" t="n">
        <v>45126</v>
      </c>
      <c r="C1570" s="1" t="n">
        <v>45472</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33263-2023</t>
        </is>
      </c>
      <c r="B1571" s="1" t="n">
        <v>45127</v>
      </c>
      <c r="C1571" s="1" t="n">
        <v>45472</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33249-2023</t>
        </is>
      </c>
      <c r="B1572" s="1" t="n">
        <v>45127</v>
      </c>
      <c r="C1572" s="1" t="n">
        <v>45472</v>
      </c>
      <c r="D1572" t="inlineStr">
        <is>
          <t>VÄRMLANDS LÄN</t>
        </is>
      </c>
      <c r="E1572" t="inlineStr">
        <is>
          <t>TORSBY</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33253-2023</t>
        </is>
      </c>
      <c r="B1573" s="1" t="n">
        <v>45127</v>
      </c>
      <c r="C1573" s="1" t="n">
        <v>45472</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33264-2023</t>
        </is>
      </c>
      <c r="B1574" s="1" t="n">
        <v>45127</v>
      </c>
      <c r="C1574" s="1" t="n">
        <v>45472</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v>
      </c>
      <c r="C1575" s="1" t="n">
        <v>45472</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33574-2023</t>
        </is>
      </c>
      <c r="B1576" s="1" t="n">
        <v>45131</v>
      </c>
      <c r="C1576" s="1" t="n">
        <v>45472</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33645-2023</t>
        </is>
      </c>
      <c r="B1577" s="1" t="n">
        <v>45132</v>
      </c>
      <c r="C1577" s="1" t="n">
        <v>45472</v>
      </c>
      <c r="D1577" t="inlineStr">
        <is>
          <t>VÄRMLANDS LÄN</t>
        </is>
      </c>
      <c r="E1577" t="inlineStr">
        <is>
          <t>TORSBY</t>
        </is>
      </c>
      <c r="F1577" t="inlineStr">
        <is>
          <t>Bergvik skog väst AB</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33656-2023</t>
        </is>
      </c>
      <c r="B1578" s="1" t="n">
        <v>45132</v>
      </c>
      <c r="C1578" s="1" t="n">
        <v>45472</v>
      </c>
      <c r="D1578" t="inlineStr">
        <is>
          <t>VÄRMLANDS LÄN</t>
        </is>
      </c>
      <c r="E1578" t="inlineStr">
        <is>
          <t>TORSBY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33813-2023</t>
        </is>
      </c>
      <c r="B1579" s="1" t="n">
        <v>45133</v>
      </c>
      <c r="C1579" s="1" t="n">
        <v>45472</v>
      </c>
      <c r="D1579" t="inlineStr">
        <is>
          <t>VÄRMLANDS LÄN</t>
        </is>
      </c>
      <c r="E1579" t="inlineStr">
        <is>
          <t>TORSBY</t>
        </is>
      </c>
      <c r="F1579" t="inlineStr">
        <is>
          <t>Bergvik skog väst AB</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33839-2023</t>
        </is>
      </c>
      <c r="B1580" s="1" t="n">
        <v>45133</v>
      </c>
      <c r="C1580" s="1" t="n">
        <v>45472</v>
      </c>
      <c r="D1580" t="inlineStr">
        <is>
          <t>VÄRMLANDS LÄN</t>
        </is>
      </c>
      <c r="E1580" t="inlineStr">
        <is>
          <t>TORSBY</t>
        </is>
      </c>
      <c r="F1580" t="inlineStr">
        <is>
          <t>Bergvik skog väst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33848-2023</t>
        </is>
      </c>
      <c r="B1581" s="1" t="n">
        <v>45133</v>
      </c>
      <c r="C1581" s="1" t="n">
        <v>45472</v>
      </c>
      <c r="D1581" t="inlineStr">
        <is>
          <t>VÄRMLANDS LÄN</t>
        </is>
      </c>
      <c r="E1581" t="inlineStr">
        <is>
          <t>TORSBY</t>
        </is>
      </c>
      <c r="F1581" t="inlineStr">
        <is>
          <t>Bergvik skog väst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34405-2023</t>
        </is>
      </c>
      <c r="B1582" s="1" t="n">
        <v>45139</v>
      </c>
      <c r="C1582" s="1" t="n">
        <v>45472</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34427-2023</t>
        </is>
      </c>
      <c r="B1583" s="1" t="n">
        <v>45139</v>
      </c>
      <c r="C1583" s="1" t="n">
        <v>45472</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34469-2023</t>
        </is>
      </c>
      <c r="B1584" s="1" t="n">
        <v>45139</v>
      </c>
      <c r="C1584" s="1" t="n">
        <v>45472</v>
      </c>
      <c r="D1584" t="inlineStr">
        <is>
          <t>VÄRMLANDS LÄN</t>
        </is>
      </c>
      <c r="E1584" t="inlineStr">
        <is>
          <t>TORSBY</t>
        </is>
      </c>
      <c r="F1584" t="inlineStr">
        <is>
          <t>Bergvik skog väst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34430-2023</t>
        </is>
      </c>
      <c r="B1585" s="1" t="n">
        <v>45139</v>
      </c>
      <c r="C1585" s="1" t="n">
        <v>45472</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34658-2023</t>
        </is>
      </c>
      <c r="B1586" s="1" t="n">
        <v>45140</v>
      </c>
      <c r="C1586" s="1" t="n">
        <v>45472</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34955-2023</t>
        </is>
      </c>
      <c r="B1587" s="1" t="n">
        <v>45142</v>
      </c>
      <c r="C1587" s="1" t="n">
        <v>45472</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35055-2023</t>
        </is>
      </c>
      <c r="B1588" s="1" t="n">
        <v>45145</v>
      </c>
      <c r="C1588" s="1" t="n">
        <v>45472</v>
      </c>
      <c r="D1588" t="inlineStr">
        <is>
          <t>VÄRMLANDS LÄN</t>
        </is>
      </c>
      <c r="E1588" t="inlineStr">
        <is>
          <t>TORSBY</t>
        </is>
      </c>
      <c r="F1588" t="inlineStr">
        <is>
          <t>Bergvik skog väst AB</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35057-2023</t>
        </is>
      </c>
      <c r="B1589" s="1" t="n">
        <v>45145</v>
      </c>
      <c r="C1589" s="1" t="n">
        <v>45472</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35186-2023</t>
        </is>
      </c>
      <c r="B1590" s="1" t="n">
        <v>45145</v>
      </c>
      <c r="C1590" s="1" t="n">
        <v>45472</v>
      </c>
      <c r="D1590" t="inlineStr">
        <is>
          <t>VÄRMLANDS LÄN</t>
        </is>
      </c>
      <c r="E1590" t="inlineStr">
        <is>
          <t>TORSBY</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35115-2023</t>
        </is>
      </c>
      <c r="B1591" s="1" t="n">
        <v>45145</v>
      </c>
      <c r="C1591" s="1" t="n">
        <v>45472</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35120-2023</t>
        </is>
      </c>
      <c r="B1592" s="1" t="n">
        <v>45145</v>
      </c>
      <c r="C1592" s="1" t="n">
        <v>45472</v>
      </c>
      <c r="D1592" t="inlineStr">
        <is>
          <t>VÄRMLANDS LÄN</t>
        </is>
      </c>
      <c r="E1592" t="inlineStr">
        <is>
          <t>TORSBY</t>
        </is>
      </c>
      <c r="G1592" t="n">
        <v>16.9</v>
      </c>
      <c r="H1592" t="n">
        <v>0</v>
      </c>
      <c r="I1592" t="n">
        <v>0</v>
      </c>
      <c r="J1592" t="n">
        <v>0</v>
      </c>
      <c r="K1592" t="n">
        <v>0</v>
      </c>
      <c r="L1592" t="n">
        <v>0</v>
      </c>
      <c r="M1592" t="n">
        <v>0</v>
      </c>
      <c r="N1592" t="n">
        <v>0</v>
      </c>
      <c r="O1592" t="n">
        <v>0</v>
      </c>
      <c r="P1592" t="n">
        <v>0</v>
      </c>
      <c r="Q1592" t="n">
        <v>0</v>
      </c>
      <c r="R1592" s="2" t="inlineStr"/>
    </row>
    <row r="1593" ht="15" customHeight="1">
      <c r="A1593" t="inlineStr">
        <is>
          <t>A 35415-2023</t>
        </is>
      </c>
      <c r="B1593" s="1" t="n">
        <v>45146</v>
      </c>
      <c r="C1593" s="1" t="n">
        <v>45472</v>
      </c>
      <c r="D1593" t="inlineStr">
        <is>
          <t>VÄRMLANDS LÄN</t>
        </is>
      </c>
      <c r="E1593" t="inlineStr">
        <is>
          <t>TORSBY</t>
        </is>
      </c>
      <c r="F1593" t="inlineStr">
        <is>
          <t>Bergvik skog väst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35629-2023</t>
        </is>
      </c>
      <c r="B1594" s="1" t="n">
        <v>45147</v>
      </c>
      <c r="C1594" s="1" t="n">
        <v>45472</v>
      </c>
      <c r="D1594" t="inlineStr">
        <is>
          <t>VÄRMLANDS LÄN</t>
        </is>
      </c>
      <c r="E1594" t="inlineStr">
        <is>
          <t>TORSBY</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35674-2023</t>
        </is>
      </c>
      <c r="B1595" s="1" t="n">
        <v>45147</v>
      </c>
      <c r="C1595" s="1" t="n">
        <v>45472</v>
      </c>
      <c r="D1595" t="inlineStr">
        <is>
          <t>VÄRMLANDS LÄN</t>
        </is>
      </c>
      <c r="E1595" t="inlineStr">
        <is>
          <t>TORSBY</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35553-2023</t>
        </is>
      </c>
      <c r="B1596" s="1" t="n">
        <v>45147</v>
      </c>
      <c r="C1596" s="1" t="n">
        <v>45472</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35934-2023</t>
        </is>
      </c>
      <c r="B1597" s="1" t="n">
        <v>45148</v>
      </c>
      <c r="C1597" s="1" t="n">
        <v>45472</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35938-2023</t>
        </is>
      </c>
      <c r="B1598" s="1" t="n">
        <v>45148</v>
      </c>
      <c r="C1598" s="1" t="n">
        <v>45472</v>
      </c>
      <c r="D1598" t="inlineStr">
        <is>
          <t>VÄRMLANDS LÄN</t>
        </is>
      </c>
      <c r="E1598" t="inlineStr">
        <is>
          <t>TORSBY</t>
        </is>
      </c>
      <c r="F1598" t="inlineStr">
        <is>
          <t>Bergvik skog väst AB</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36043-2023</t>
        </is>
      </c>
      <c r="B1599" s="1" t="n">
        <v>45148</v>
      </c>
      <c r="C1599" s="1" t="n">
        <v>45472</v>
      </c>
      <c r="D1599" t="inlineStr">
        <is>
          <t>VÄRMLANDS LÄN</t>
        </is>
      </c>
      <c r="E1599" t="inlineStr">
        <is>
          <t>TORSBY</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36050-2023</t>
        </is>
      </c>
      <c r="B1600" s="1" t="n">
        <v>45149</v>
      </c>
      <c r="C1600" s="1" t="n">
        <v>45472</v>
      </c>
      <c r="D1600" t="inlineStr">
        <is>
          <t>VÄRMLANDS LÄN</t>
        </is>
      </c>
      <c r="E1600" t="inlineStr">
        <is>
          <t>TORSBY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36062-2023</t>
        </is>
      </c>
      <c r="B1601" s="1" t="n">
        <v>45149</v>
      </c>
      <c r="C1601" s="1" t="n">
        <v>45472</v>
      </c>
      <c r="D1601" t="inlineStr">
        <is>
          <t>VÄRMLANDS LÄN</t>
        </is>
      </c>
      <c r="E1601" t="inlineStr">
        <is>
          <t>TORSBY</t>
        </is>
      </c>
      <c r="F1601" t="inlineStr">
        <is>
          <t>Bergvik skog väst AB</t>
        </is>
      </c>
      <c r="G1601" t="n">
        <v>21.3</v>
      </c>
      <c r="H1601" t="n">
        <v>0</v>
      </c>
      <c r="I1601" t="n">
        <v>0</v>
      </c>
      <c r="J1601" t="n">
        <v>0</v>
      </c>
      <c r="K1601" t="n">
        <v>0</v>
      </c>
      <c r="L1601" t="n">
        <v>0</v>
      </c>
      <c r="M1601" t="n">
        <v>0</v>
      </c>
      <c r="N1601" t="n">
        <v>0</v>
      </c>
      <c r="O1601" t="n">
        <v>0</v>
      </c>
      <c r="P1601" t="n">
        <v>0</v>
      </c>
      <c r="Q1601" t="n">
        <v>0</v>
      </c>
      <c r="R1601" s="2" t="inlineStr"/>
    </row>
    <row r="1602" ht="15" customHeight="1">
      <c r="A1602" t="inlineStr">
        <is>
          <t>A 36239-2023</t>
        </is>
      </c>
      <c r="B1602" s="1" t="n">
        <v>45150</v>
      </c>
      <c r="C1602" s="1" t="n">
        <v>45472</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36462-2023</t>
        </is>
      </c>
      <c r="B1603" s="1" t="n">
        <v>45152</v>
      </c>
      <c r="C1603" s="1" t="n">
        <v>45472</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36582-2023</t>
        </is>
      </c>
      <c r="B1604" s="1" t="n">
        <v>45153</v>
      </c>
      <c r="C1604" s="1" t="n">
        <v>45472</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36598-2023</t>
        </is>
      </c>
      <c r="B1605" s="1" t="n">
        <v>45153</v>
      </c>
      <c r="C1605" s="1" t="n">
        <v>45472</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36552-2023</t>
        </is>
      </c>
      <c r="B1606" s="1" t="n">
        <v>45153</v>
      </c>
      <c r="C1606" s="1" t="n">
        <v>45472</v>
      </c>
      <c r="D1606" t="inlineStr">
        <is>
          <t>VÄRMLANDS LÄN</t>
        </is>
      </c>
      <c r="E1606" t="inlineStr">
        <is>
          <t>TORSBY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36674-2023</t>
        </is>
      </c>
      <c r="B1607" s="1" t="n">
        <v>45153</v>
      </c>
      <c r="C1607" s="1" t="n">
        <v>45472</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36736-2023</t>
        </is>
      </c>
      <c r="B1608" s="1" t="n">
        <v>45153</v>
      </c>
      <c r="C1608" s="1" t="n">
        <v>45472</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36729-2023</t>
        </is>
      </c>
      <c r="B1609" s="1" t="n">
        <v>45153</v>
      </c>
      <c r="C1609" s="1" t="n">
        <v>45472</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36827-2023</t>
        </is>
      </c>
      <c r="B1610" s="1" t="n">
        <v>45154</v>
      </c>
      <c r="C1610" s="1" t="n">
        <v>45472</v>
      </c>
      <c r="D1610" t="inlineStr">
        <is>
          <t>VÄRMLANDS LÄN</t>
        </is>
      </c>
      <c r="E1610" t="inlineStr">
        <is>
          <t>TORSBY</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36897-2023</t>
        </is>
      </c>
      <c r="B1611" s="1" t="n">
        <v>45154</v>
      </c>
      <c r="C1611" s="1" t="n">
        <v>45472</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36947-2023</t>
        </is>
      </c>
      <c r="B1612" s="1" t="n">
        <v>45154</v>
      </c>
      <c r="C1612" s="1" t="n">
        <v>45472</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37081-2023</t>
        </is>
      </c>
      <c r="B1613" s="1" t="n">
        <v>45155</v>
      </c>
      <c r="C1613" s="1" t="n">
        <v>45472</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37188-2023</t>
        </is>
      </c>
      <c r="B1614" s="1" t="n">
        <v>45155</v>
      </c>
      <c r="C1614" s="1" t="n">
        <v>45472</v>
      </c>
      <c r="D1614" t="inlineStr">
        <is>
          <t>VÄRMLANDS LÄN</t>
        </is>
      </c>
      <c r="E1614" t="inlineStr">
        <is>
          <t>TORSBY</t>
        </is>
      </c>
      <c r="F1614" t="inlineStr">
        <is>
          <t>Bergvik skog väst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37346-2023</t>
        </is>
      </c>
      <c r="B1615" s="1" t="n">
        <v>45156</v>
      </c>
      <c r="C1615" s="1" t="n">
        <v>45472</v>
      </c>
      <c r="D1615" t="inlineStr">
        <is>
          <t>VÄRMLANDS LÄN</t>
        </is>
      </c>
      <c r="E1615" t="inlineStr">
        <is>
          <t>TORSBY</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37357-2023</t>
        </is>
      </c>
      <c r="B1616" s="1" t="n">
        <v>45156</v>
      </c>
      <c r="C1616" s="1" t="n">
        <v>45472</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37305-2023</t>
        </is>
      </c>
      <c r="B1617" s="1" t="n">
        <v>45156</v>
      </c>
      <c r="C1617" s="1" t="n">
        <v>45472</v>
      </c>
      <c r="D1617" t="inlineStr">
        <is>
          <t>VÄRMLANDS LÄN</t>
        </is>
      </c>
      <c r="E1617" t="inlineStr">
        <is>
          <t>TORSBY</t>
        </is>
      </c>
      <c r="F1617" t="inlineStr">
        <is>
          <t>Bergvik skog väst AB</t>
        </is>
      </c>
      <c r="G1617" t="n">
        <v>28.8</v>
      </c>
      <c r="H1617" t="n">
        <v>0</v>
      </c>
      <c r="I1617" t="n">
        <v>0</v>
      </c>
      <c r="J1617" t="n">
        <v>0</v>
      </c>
      <c r="K1617" t="n">
        <v>0</v>
      </c>
      <c r="L1617" t="n">
        <v>0</v>
      </c>
      <c r="M1617" t="n">
        <v>0</v>
      </c>
      <c r="N1617" t="n">
        <v>0</v>
      </c>
      <c r="O1617" t="n">
        <v>0</v>
      </c>
      <c r="P1617" t="n">
        <v>0</v>
      </c>
      <c r="Q1617" t="n">
        <v>0</v>
      </c>
      <c r="R1617" s="2" t="inlineStr"/>
    </row>
    <row r="1618" ht="15" customHeight="1">
      <c r="A1618" t="inlineStr">
        <is>
          <t>A 37314-2023</t>
        </is>
      </c>
      <c r="B1618" s="1" t="n">
        <v>45156</v>
      </c>
      <c r="C1618" s="1" t="n">
        <v>45472</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37359-2023</t>
        </is>
      </c>
      <c r="B1619" s="1" t="n">
        <v>45156</v>
      </c>
      <c r="C1619" s="1" t="n">
        <v>45472</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37705-2023</t>
        </is>
      </c>
      <c r="B1620" s="1" t="n">
        <v>45159</v>
      </c>
      <c r="C1620" s="1" t="n">
        <v>45472</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37604-2023</t>
        </is>
      </c>
      <c r="B1621" s="1" t="n">
        <v>45159</v>
      </c>
      <c r="C1621" s="1" t="n">
        <v>45472</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v>
      </c>
      <c r="C1622" s="1" t="n">
        <v>45472</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37822-2023</t>
        </is>
      </c>
      <c r="B1623" s="1" t="n">
        <v>45160</v>
      </c>
      <c r="C1623" s="1" t="n">
        <v>45472</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38085-2023</t>
        </is>
      </c>
      <c r="B1624" s="1" t="n">
        <v>45160</v>
      </c>
      <c r="C1624" s="1" t="n">
        <v>45472</v>
      </c>
      <c r="D1624" t="inlineStr">
        <is>
          <t>VÄRMLANDS LÄN</t>
        </is>
      </c>
      <c r="E1624" t="inlineStr">
        <is>
          <t>TORSBY</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37936-2023</t>
        </is>
      </c>
      <c r="B1625" s="1" t="n">
        <v>45160</v>
      </c>
      <c r="C1625" s="1" t="n">
        <v>45472</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38084-2023</t>
        </is>
      </c>
      <c r="B1626" s="1" t="n">
        <v>45160</v>
      </c>
      <c r="C1626" s="1" t="n">
        <v>45472</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38044-2023</t>
        </is>
      </c>
      <c r="B1627" s="1" t="n">
        <v>45160</v>
      </c>
      <c r="C1627" s="1" t="n">
        <v>45472</v>
      </c>
      <c r="D1627" t="inlineStr">
        <is>
          <t>VÄRMLANDS LÄN</t>
        </is>
      </c>
      <c r="E1627" t="inlineStr">
        <is>
          <t>TORSBY</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38086-2023</t>
        </is>
      </c>
      <c r="B1628" s="1" t="n">
        <v>45160</v>
      </c>
      <c r="C1628" s="1" t="n">
        <v>45472</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38252-2023</t>
        </is>
      </c>
      <c r="B1629" s="1" t="n">
        <v>45161</v>
      </c>
      <c r="C1629" s="1" t="n">
        <v>45472</v>
      </c>
      <c r="D1629" t="inlineStr">
        <is>
          <t>VÄRMLANDS LÄN</t>
        </is>
      </c>
      <c r="E1629" t="inlineStr">
        <is>
          <t>TORSBY</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38232-2023</t>
        </is>
      </c>
      <c r="B1630" s="1" t="n">
        <v>45161</v>
      </c>
      <c r="C1630" s="1" t="n">
        <v>45472</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38257-2023</t>
        </is>
      </c>
      <c r="B1631" s="1" t="n">
        <v>45161</v>
      </c>
      <c r="C1631" s="1" t="n">
        <v>45472</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38263-2023</t>
        </is>
      </c>
      <c r="B1632" s="1" t="n">
        <v>45161</v>
      </c>
      <c r="C1632" s="1" t="n">
        <v>45472</v>
      </c>
      <c r="D1632" t="inlineStr">
        <is>
          <t>VÄRMLANDS LÄN</t>
        </is>
      </c>
      <c r="E1632" t="inlineStr">
        <is>
          <t>TORSBY</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38286-2023</t>
        </is>
      </c>
      <c r="B1633" s="1" t="n">
        <v>45161</v>
      </c>
      <c r="C1633" s="1" t="n">
        <v>45472</v>
      </c>
      <c r="D1633" t="inlineStr">
        <is>
          <t>VÄRMLANDS LÄN</t>
        </is>
      </c>
      <c r="E1633" t="inlineStr">
        <is>
          <t>TORSBY</t>
        </is>
      </c>
      <c r="F1633" t="inlineStr">
        <is>
          <t>Kyrkan</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45472</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38641-2023</t>
        </is>
      </c>
      <c r="B1635" s="1" t="n">
        <v>45162</v>
      </c>
      <c r="C1635" s="1" t="n">
        <v>45472</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38637-2023</t>
        </is>
      </c>
      <c r="B1636" s="1" t="n">
        <v>45162</v>
      </c>
      <c r="C1636" s="1" t="n">
        <v>45472</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38668-2023</t>
        </is>
      </c>
      <c r="B1637" s="1" t="n">
        <v>45162</v>
      </c>
      <c r="C1637" s="1" t="n">
        <v>45472</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39408-2023</t>
        </is>
      </c>
      <c r="B1638" s="1" t="n">
        <v>45163</v>
      </c>
      <c r="C1638" s="1" t="n">
        <v>45472</v>
      </c>
      <c r="D1638" t="inlineStr">
        <is>
          <t>VÄRMLANDS LÄN</t>
        </is>
      </c>
      <c r="E1638" t="inlineStr">
        <is>
          <t>TORSBY</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38991-2023</t>
        </is>
      </c>
      <c r="B1639" s="1" t="n">
        <v>45163</v>
      </c>
      <c r="C1639" s="1" t="n">
        <v>45472</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38722-2023</t>
        </is>
      </c>
      <c r="B1640" s="1" t="n">
        <v>45163</v>
      </c>
      <c r="C1640" s="1" t="n">
        <v>45472</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38979-2023</t>
        </is>
      </c>
      <c r="B1641" s="1" t="n">
        <v>45163</v>
      </c>
      <c r="C1641" s="1" t="n">
        <v>45472</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39131-2023</t>
        </is>
      </c>
      <c r="B1642" s="1" t="n">
        <v>45165</v>
      </c>
      <c r="C1642" s="1" t="n">
        <v>45472</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39134-2023</t>
        </is>
      </c>
      <c r="B1643" s="1" t="n">
        <v>45165</v>
      </c>
      <c r="C1643" s="1" t="n">
        <v>45472</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39390-2023</t>
        </is>
      </c>
      <c r="B1644" s="1" t="n">
        <v>45166</v>
      </c>
      <c r="C1644" s="1" t="n">
        <v>45472</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39339-2023</t>
        </is>
      </c>
      <c r="B1645" s="1" t="n">
        <v>45166</v>
      </c>
      <c r="C1645" s="1" t="n">
        <v>45472</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39374-2023</t>
        </is>
      </c>
      <c r="B1646" s="1" t="n">
        <v>45166</v>
      </c>
      <c r="C1646" s="1" t="n">
        <v>45472</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39677-2023</t>
        </is>
      </c>
      <c r="B1647" s="1" t="n">
        <v>45166</v>
      </c>
      <c r="C1647" s="1" t="n">
        <v>45472</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39648-2023</t>
        </is>
      </c>
      <c r="B1648" s="1" t="n">
        <v>45167</v>
      </c>
      <c r="C1648" s="1" t="n">
        <v>45472</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39732-2023</t>
        </is>
      </c>
      <c r="B1649" s="1" t="n">
        <v>45167</v>
      </c>
      <c r="C1649" s="1" t="n">
        <v>45472</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39921-2023</t>
        </is>
      </c>
      <c r="B1650" s="1" t="n">
        <v>45168</v>
      </c>
      <c r="C1650" s="1" t="n">
        <v>45472</v>
      </c>
      <c r="D1650" t="inlineStr">
        <is>
          <t>VÄRMLANDS LÄN</t>
        </is>
      </c>
      <c r="E1650" t="inlineStr">
        <is>
          <t>TORSBY</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39910-2023</t>
        </is>
      </c>
      <c r="B1651" s="1" t="n">
        <v>45168</v>
      </c>
      <c r="C1651" s="1" t="n">
        <v>45472</v>
      </c>
      <c r="D1651" t="inlineStr">
        <is>
          <t>VÄRMLANDS LÄN</t>
        </is>
      </c>
      <c r="E1651" t="inlineStr">
        <is>
          <t>TORSBY</t>
        </is>
      </c>
      <c r="F1651" t="inlineStr">
        <is>
          <t>Kyrkan</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40007-2023</t>
        </is>
      </c>
      <c r="B1652" s="1" t="n">
        <v>45168</v>
      </c>
      <c r="C1652" s="1" t="n">
        <v>45472</v>
      </c>
      <c r="D1652" t="inlineStr">
        <is>
          <t>VÄRMLANDS LÄN</t>
        </is>
      </c>
      <c r="E1652" t="inlineStr">
        <is>
          <t>TORSBY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39969-2023</t>
        </is>
      </c>
      <c r="B1653" s="1" t="n">
        <v>45168</v>
      </c>
      <c r="C1653" s="1" t="n">
        <v>45472</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40207-2023</t>
        </is>
      </c>
      <c r="B1654" s="1" t="n">
        <v>45169</v>
      </c>
      <c r="C1654" s="1" t="n">
        <v>45472</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40228-2023</t>
        </is>
      </c>
      <c r="B1655" s="1" t="n">
        <v>45169</v>
      </c>
      <c r="C1655" s="1" t="n">
        <v>45472</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40222-2023</t>
        </is>
      </c>
      <c r="B1656" s="1" t="n">
        <v>45169</v>
      </c>
      <c r="C1656" s="1" t="n">
        <v>45472</v>
      </c>
      <c r="D1656" t="inlineStr">
        <is>
          <t>VÄRMLANDS LÄN</t>
        </is>
      </c>
      <c r="E1656" t="inlineStr">
        <is>
          <t>TORSBY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40468-2023</t>
        </is>
      </c>
      <c r="B1657" s="1" t="n">
        <v>45170</v>
      </c>
      <c r="C1657" s="1" t="n">
        <v>45472</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40512-2023</t>
        </is>
      </c>
      <c r="B1658" s="1" t="n">
        <v>45170</v>
      </c>
      <c r="C1658" s="1" t="n">
        <v>45472</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40470-2023</t>
        </is>
      </c>
      <c r="B1659" s="1" t="n">
        <v>45170</v>
      </c>
      <c r="C1659" s="1" t="n">
        <v>45472</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40538-2023</t>
        </is>
      </c>
      <c r="B1660" s="1" t="n">
        <v>45170</v>
      </c>
      <c r="C1660" s="1" t="n">
        <v>45472</v>
      </c>
      <c r="D1660" t="inlineStr">
        <is>
          <t>VÄRMLANDS LÄN</t>
        </is>
      </c>
      <c r="E1660" t="inlineStr">
        <is>
          <t>TORSBY</t>
        </is>
      </c>
      <c r="F1660" t="inlineStr">
        <is>
          <t>Bergvik skog väst AB</t>
        </is>
      </c>
      <c r="G1660" t="n">
        <v>31.4</v>
      </c>
      <c r="H1660" t="n">
        <v>0</v>
      </c>
      <c r="I1660" t="n">
        <v>0</v>
      </c>
      <c r="J1660" t="n">
        <v>0</v>
      </c>
      <c r="K1660" t="n">
        <v>0</v>
      </c>
      <c r="L1660" t="n">
        <v>0</v>
      </c>
      <c r="M1660" t="n">
        <v>0</v>
      </c>
      <c r="N1660" t="n">
        <v>0</v>
      </c>
      <c r="O1660" t="n">
        <v>0</v>
      </c>
      <c r="P1660" t="n">
        <v>0</v>
      </c>
      <c r="Q1660" t="n">
        <v>0</v>
      </c>
      <c r="R1660" s="2" t="inlineStr"/>
    </row>
    <row r="1661" ht="15" customHeight="1">
      <c r="A1661" t="inlineStr">
        <is>
          <t>A 41469-2023</t>
        </is>
      </c>
      <c r="B1661" s="1" t="n">
        <v>45170</v>
      </c>
      <c r="C1661" s="1" t="n">
        <v>45472</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40858-2023</t>
        </is>
      </c>
      <c r="B1662" s="1" t="n">
        <v>45173</v>
      </c>
      <c r="C1662" s="1" t="n">
        <v>45472</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40971-2023</t>
        </is>
      </c>
      <c r="B1663" s="1" t="n">
        <v>45173</v>
      </c>
      <c r="C1663" s="1" t="n">
        <v>45472</v>
      </c>
      <c r="D1663" t="inlineStr">
        <is>
          <t>VÄRMLANDS LÄN</t>
        </is>
      </c>
      <c r="E1663" t="inlineStr">
        <is>
          <t>TORSBY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41096-2023</t>
        </is>
      </c>
      <c r="B1664" s="1" t="n">
        <v>45173</v>
      </c>
      <c r="C1664" s="1" t="n">
        <v>45472</v>
      </c>
      <c r="D1664" t="inlineStr">
        <is>
          <t>VÄRMLANDS LÄN</t>
        </is>
      </c>
      <c r="E1664" t="inlineStr">
        <is>
          <t>TORSBY</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41056-2023</t>
        </is>
      </c>
      <c r="B1665" s="1" t="n">
        <v>45173</v>
      </c>
      <c r="C1665" s="1" t="n">
        <v>45472</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45472</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41050-2023</t>
        </is>
      </c>
      <c r="B1667" s="1" t="n">
        <v>45173</v>
      </c>
      <c r="C1667" s="1" t="n">
        <v>45472</v>
      </c>
      <c r="D1667" t="inlineStr">
        <is>
          <t>VÄRMLANDS LÄN</t>
        </is>
      </c>
      <c r="E1667" t="inlineStr">
        <is>
          <t>TORSBY</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41059-2023</t>
        </is>
      </c>
      <c r="B1668" s="1" t="n">
        <v>45173</v>
      </c>
      <c r="C1668" s="1" t="n">
        <v>45472</v>
      </c>
      <c r="D1668" t="inlineStr">
        <is>
          <t>VÄRMLANDS LÄN</t>
        </is>
      </c>
      <c r="E1668" t="inlineStr">
        <is>
          <t>TORSBY</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41156-2023</t>
        </is>
      </c>
      <c r="B1669" s="1" t="n">
        <v>45174</v>
      </c>
      <c r="C1669" s="1" t="n">
        <v>45472</v>
      </c>
      <c r="D1669" t="inlineStr">
        <is>
          <t>VÄRMLANDS LÄN</t>
        </is>
      </c>
      <c r="E1669" t="inlineStr">
        <is>
          <t>TORSBY</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41160-2023</t>
        </is>
      </c>
      <c r="B1670" s="1" t="n">
        <v>45174</v>
      </c>
      <c r="C1670" s="1" t="n">
        <v>45472</v>
      </c>
      <c r="D1670" t="inlineStr">
        <is>
          <t>VÄRMLANDS LÄN</t>
        </is>
      </c>
      <c r="E1670" t="inlineStr">
        <is>
          <t>TORSBY</t>
        </is>
      </c>
      <c r="F1670" t="inlineStr">
        <is>
          <t>Kyrkan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41246-2023</t>
        </is>
      </c>
      <c r="B1671" s="1" t="n">
        <v>45174</v>
      </c>
      <c r="C1671" s="1" t="n">
        <v>45472</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41270-2023</t>
        </is>
      </c>
      <c r="B1672" s="1" t="n">
        <v>45174</v>
      </c>
      <c r="C1672" s="1" t="n">
        <v>45472</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42069-2023</t>
        </is>
      </c>
      <c r="B1673" s="1" t="n">
        <v>45174</v>
      </c>
      <c r="C1673" s="1" t="n">
        <v>45472</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42060-2023</t>
        </is>
      </c>
      <c r="B1674" s="1" t="n">
        <v>45174</v>
      </c>
      <c r="C1674" s="1" t="n">
        <v>45472</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41488-2023</t>
        </is>
      </c>
      <c r="B1675" s="1" t="n">
        <v>45175</v>
      </c>
      <c r="C1675" s="1" t="n">
        <v>45472</v>
      </c>
      <c r="D1675" t="inlineStr">
        <is>
          <t>VÄRMLANDS LÄN</t>
        </is>
      </c>
      <c r="E1675" t="inlineStr">
        <is>
          <t>TORSBY</t>
        </is>
      </c>
      <c r="F1675" t="inlineStr">
        <is>
          <t>Kyrkan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41438-2023</t>
        </is>
      </c>
      <c r="B1676" s="1" t="n">
        <v>45175</v>
      </c>
      <c r="C1676" s="1" t="n">
        <v>45472</v>
      </c>
      <c r="D1676" t="inlineStr">
        <is>
          <t>VÄRMLANDS LÄN</t>
        </is>
      </c>
      <c r="E1676" t="inlineStr">
        <is>
          <t>TORSBY</t>
        </is>
      </c>
      <c r="F1676" t="inlineStr">
        <is>
          <t>Kyrkan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41431-2023</t>
        </is>
      </c>
      <c r="B1677" s="1" t="n">
        <v>45175</v>
      </c>
      <c r="C1677" s="1" t="n">
        <v>45472</v>
      </c>
      <c r="D1677" t="inlineStr">
        <is>
          <t>VÄRMLANDS LÄN</t>
        </is>
      </c>
      <c r="E1677" t="inlineStr">
        <is>
          <t>TORSBY</t>
        </is>
      </c>
      <c r="F1677" t="inlineStr">
        <is>
          <t>Bergvik skog väst AB</t>
        </is>
      </c>
      <c r="G1677" t="n">
        <v>14.7</v>
      </c>
      <c r="H1677" t="n">
        <v>0</v>
      </c>
      <c r="I1677" t="n">
        <v>0</v>
      </c>
      <c r="J1677" t="n">
        <v>0</v>
      </c>
      <c r="K1677" t="n">
        <v>0</v>
      </c>
      <c r="L1677" t="n">
        <v>0</v>
      </c>
      <c r="M1677" t="n">
        <v>0</v>
      </c>
      <c r="N1677" t="n">
        <v>0</v>
      </c>
      <c r="O1677" t="n">
        <v>0</v>
      </c>
      <c r="P1677" t="n">
        <v>0</v>
      </c>
      <c r="Q1677" t="n">
        <v>0</v>
      </c>
      <c r="R1677" s="2" t="inlineStr"/>
    </row>
    <row r="1678" ht="15" customHeight="1">
      <c r="A1678" t="inlineStr">
        <is>
          <t>A 41867-2023</t>
        </is>
      </c>
      <c r="B1678" s="1" t="n">
        <v>45176</v>
      </c>
      <c r="C1678" s="1" t="n">
        <v>45472</v>
      </c>
      <c r="D1678" t="inlineStr">
        <is>
          <t>VÄRMLANDS LÄN</t>
        </is>
      </c>
      <c r="E1678" t="inlineStr">
        <is>
          <t>TORSBY</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41833-2023</t>
        </is>
      </c>
      <c r="B1679" s="1" t="n">
        <v>45176</v>
      </c>
      <c r="C1679" s="1" t="n">
        <v>45472</v>
      </c>
      <c r="D1679" t="inlineStr">
        <is>
          <t>VÄRMLANDS LÄN</t>
        </is>
      </c>
      <c r="E1679" t="inlineStr">
        <is>
          <t>TORSBY</t>
        </is>
      </c>
      <c r="F1679" t="inlineStr">
        <is>
          <t>Bergvik skog väst AB</t>
        </is>
      </c>
      <c r="G1679" t="n">
        <v>21.7</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v>
      </c>
      <c r="C1680" s="1" t="n">
        <v>45472</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41885-2023</t>
        </is>
      </c>
      <c r="B1681" s="1" t="n">
        <v>45176</v>
      </c>
      <c r="C1681" s="1" t="n">
        <v>45472</v>
      </c>
      <c r="D1681" t="inlineStr">
        <is>
          <t>VÄRMLANDS LÄN</t>
        </is>
      </c>
      <c r="E1681" t="inlineStr">
        <is>
          <t>TORSBY</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41843-2023</t>
        </is>
      </c>
      <c r="B1682" s="1" t="n">
        <v>45176</v>
      </c>
      <c r="C1682" s="1" t="n">
        <v>45472</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41868-2023</t>
        </is>
      </c>
      <c r="B1683" s="1" t="n">
        <v>45176</v>
      </c>
      <c r="C1683" s="1" t="n">
        <v>45472</v>
      </c>
      <c r="D1683" t="inlineStr">
        <is>
          <t>VÄRMLANDS LÄN</t>
        </is>
      </c>
      <c r="E1683" t="inlineStr">
        <is>
          <t>TORSBY</t>
        </is>
      </c>
      <c r="F1683" t="inlineStr">
        <is>
          <t>Bergvik skog väst AB</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42062-2023</t>
        </is>
      </c>
      <c r="B1684" s="1" t="n">
        <v>45177</v>
      </c>
      <c r="C1684" s="1" t="n">
        <v>45472</v>
      </c>
      <c r="D1684" t="inlineStr">
        <is>
          <t>VÄRMLANDS LÄN</t>
        </is>
      </c>
      <c r="E1684" t="inlineStr">
        <is>
          <t>TORSBY</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42245-2023</t>
        </is>
      </c>
      <c r="B1685" s="1" t="n">
        <v>45180</v>
      </c>
      <c r="C1685" s="1" t="n">
        <v>45472</v>
      </c>
      <c r="D1685" t="inlineStr">
        <is>
          <t>VÄRMLANDS LÄN</t>
        </is>
      </c>
      <c r="E1685" t="inlineStr">
        <is>
          <t>TORSBY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42473-2023</t>
        </is>
      </c>
      <c r="B1686" s="1" t="n">
        <v>45180</v>
      </c>
      <c r="C1686" s="1" t="n">
        <v>45472</v>
      </c>
      <c r="D1686" t="inlineStr">
        <is>
          <t>VÄRMLANDS LÄN</t>
        </is>
      </c>
      <c r="E1686" t="inlineStr">
        <is>
          <t>TORSBY</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42403-2023</t>
        </is>
      </c>
      <c r="B1687" s="1" t="n">
        <v>45180</v>
      </c>
      <c r="C1687" s="1" t="n">
        <v>45472</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42420-2023</t>
        </is>
      </c>
      <c r="B1688" s="1" t="n">
        <v>45180</v>
      </c>
      <c r="C1688" s="1" t="n">
        <v>45472</v>
      </c>
      <c r="D1688" t="inlineStr">
        <is>
          <t>VÄRMLANDS LÄN</t>
        </is>
      </c>
      <c r="E1688" t="inlineStr">
        <is>
          <t>TORSBY</t>
        </is>
      </c>
      <c r="F1688" t="inlineStr">
        <is>
          <t>Bergvik skog väst AB</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43532-2023</t>
        </is>
      </c>
      <c r="B1689" s="1" t="n">
        <v>45181</v>
      </c>
      <c r="C1689" s="1" t="n">
        <v>45472</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43529-2023</t>
        </is>
      </c>
      <c r="B1690" s="1" t="n">
        <v>45181</v>
      </c>
      <c r="C1690" s="1" t="n">
        <v>45472</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43527-2023</t>
        </is>
      </c>
      <c r="B1691" s="1" t="n">
        <v>45181</v>
      </c>
      <c r="C1691" s="1" t="n">
        <v>45472</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43536-2023</t>
        </is>
      </c>
      <c r="B1692" s="1" t="n">
        <v>45181</v>
      </c>
      <c r="C1692" s="1" t="n">
        <v>45472</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43528-2023</t>
        </is>
      </c>
      <c r="B1693" s="1" t="n">
        <v>45181</v>
      </c>
      <c r="C1693" s="1" t="n">
        <v>45472</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42645-2023</t>
        </is>
      </c>
      <c r="B1694" s="1" t="n">
        <v>45181</v>
      </c>
      <c r="C1694" s="1" t="n">
        <v>45472</v>
      </c>
      <c r="D1694" t="inlineStr">
        <is>
          <t>VÄRMLANDS LÄN</t>
        </is>
      </c>
      <c r="E1694" t="inlineStr">
        <is>
          <t>TORSBY</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42652-2023</t>
        </is>
      </c>
      <c r="B1695" s="1" t="n">
        <v>45181</v>
      </c>
      <c r="C1695" s="1" t="n">
        <v>45472</v>
      </c>
      <c r="D1695" t="inlineStr">
        <is>
          <t>VÄRMLANDS LÄN</t>
        </is>
      </c>
      <c r="E1695" t="inlineStr">
        <is>
          <t>TORSBY</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42656-2023</t>
        </is>
      </c>
      <c r="B1696" s="1" t="n">
        <v>45181</v>
      </c>
      <c r="C1696" s="1" t="n">
        <v>45472</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42581-2023</t>
        </is>
      </c>
      <c r="B1697" s="1" t="n">
        <v>45181</v>
      </c>
      <c r="C1697" s="1" t="n">
        <v>45472</v>
      </c>
      <c r="D1697" t="inlineStr">
        <is>
          <t>VÄRMLANDS LÄN</t>
        </is>
      </c>
      <c r="E1697" t="inlineStr">
        <is>
          <t>TORSBY</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42613-2023</t>
        </is>
      </c>
      <c r="B1698" s="1" t="n">
        <v>45181</v>
      </c>
      <c r="C1698" s="1" t="n">
        <v>45472</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42635-2023</t>
        </is>
      </c>
      <c r="B1699" s="1" t="n">
        <v>45181</v>
      </c>
      <c r="C1699" s="1" t="n">
        <v>45472</v>
      </c>
      <c r="D1699" t="inlineStr">
        <is>
          <t>VÄRMLANDS LÄN</t>
        </is>
      </c>
      <c r="E1699" t="inlineStr">
        <is>
          <t>TORSBY</t>
        </is>
      </c>
      <c r="G1699" t="n">
        <v>16.1</v>
      </c>
      <c r="H1699" t="n">
        <v>0</v>
      </c>
      <c r="I1699" t="n">
        <v>0</v>
      </c>
      <c r="J1699" t="n">
        <v>0</v>
      </c>
      <c r="K1699" t="n">
        <v>0</v>
      </c>
      <c r="L1699" t="n">
        <v>0</v>
      </c>
      <c r="M1699" t="n">
        <v>0</v>
      </c>
      <c r="N1699" t="n">
        <v>0</v>
      </c>
      <c r="O1699" t="n">
        <v>0</v>
      </c>
      <c r="P1699" t="n">
        <v>0</v>
      </c>
      <c r="Q1699" t="n">
        <v>0</v>
      </c>
      <c r="R1699" s="2" t="inlineStr"/>
    </row>
    <row r="1700" ht="15" customHeight="1">
      <c r="A1700" t="inlineStr">
        <is>
          <t>A 42658-2023</t>
        </is>
      </c>
      <c r="B1700" s="1" t="n">
        <v>45181</v>
      </c>
      <c r="C1700" s="1" t="n">
        <v>45472</v>
      </c>
      <c r="D1700" t="inlineStr">
        <is>
          <t>VÄRMLANDS LÄN</t>
        </is>
      </c>
      <c r="E1700" t="inlineStr">
        <is>
          <t>TORSBY</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42710-2023</t>
        </is>
      </c>
      <c r="B1701" s="1" t="n">
        <v>45181</v>
      </c>
      <c r="C1701" s="1" t="n">
        <v>45472</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42632-2023</t>
        </is>
      </c>
      <c r="B1702" s="1" t="n">
        <v>45181</v>
      </c>
      <c r="C1702" s="1" t="n">
        <v>45472</v>
      </c>
      <c r="D1702" t="inlineStr">
        <is>
          <t>VÄRMLANDS LÄN</t>
        </is>
      </c>
      <c r="E1702" t="inlineStr">
        <is>
          <t>TORSBY</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42944-2023</t>
        </is>
      </c>
      <c r="B1703" s="1" t="n">
        <v>45182</v>
      </c>
      <c r="C1703" s="1" t="n">
        <v>45472</v>
      </c>
      <c r="D1703" t="inlineStr">
        <is>
          <t>VÄRMLANDS LÄN</t>
        </is>
      </c>
      <c r="E1703" t="inlineStr">
        <is>
          <t>TORSBY</t>
        </is>
      </c>
      <c r="F1703" t="inlineStr">
        <is>
          <t>Bergvik skog väst AB</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43084-2023</t>
        </is>
      </c>
      <c r="B1704" s="1" t="n">
        <v>45182</v>
      </c>
      <c r="C1704" s="1" t="n">
        <v>45472</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44083-2023</t>
        </is>
      </c>
      <c r="B1705" s="1" t="n">
        <v>45182</v>
      </c>
      <c r="C1705" s="1" t="n">
        <v>45472</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44094-2023</t>
        </is>
      </c>
      <c r="B1706" s="1" t="n">
        <v>45182</v>
      </c>
      <c r="C1706" s="1" t="n">
        <v>45472</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v>
      </c>
      <c r="C1707" s="1" t="n">
        <v>45472</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43361-2023</t>
        </is>
      </c>
      <c r="B1708" s="1" t="n">
        <v>45183</v>
      </c>
      <c r="C1708" s="1" t="n">
        <v>45472</v>
      </c>
      <c r="D1708" t="inlineStr">
        <is>
          <t>VÄRMLANDS LÄN</t>
        </is>
      </c>
      <c r="E1708" t="inlineStr">
        <is>
          <t>TORSBY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43540-2023</t>
        </is>
      </c>
      <c r="B1709" s="1" t="n">
        <v>45184</v>
      </c>
      <c r="C1709" s="1" t="n">
        <v>45472</v>
      </c>
      <c r="D1709" t="inlineStr">
        <is>
          <t>VÄRMLANDS LÄN</t>
        </is>
      </c>
      <c r="E1709" t="inlineStr">
        <is>
          <t>TORSBY</t>
        </is>
      </c>
      <c r="F1709" t="inlineStr">
        <is>
          <t>Bergvik skog väst AB</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43562-2023</t>
        </is>
      </c>
      <c r="B1710" s="1" t="n">
        <v>45184</v>
      </c>
      <c r="C1710" s="1" t="n">
        <v>45472</v>
      </c>
      <c r="D1710" t="inlineStr">
        <is>
          <t>VÄRMLANDS LÄN</t>
        </is>
      </c>
      <c r="E1710" t="inlineStr">
        <is>
          <t>TORSBY</t>
        </is>
      </c>
      <c r="F1710" t="inlineStr">
        <is>
          <t>Kommuner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43599-2023</t>
        </is>
      </c>
      <c r="B1711" s="1" t="n">
        <v>45184</v>
      </c>
      <c r="C1711" s="1" t="n">
        <v>45472</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43663-2023</t>
        </is>
      </c>
      <c r="B1712" s="1" t="n">
        <v>45187</v>
      </c>
      <c r="C1712" s="1" t="n">
        <v>45472</v>
      </c>
      <c r="D1712" t="inlineStr">
        <is>
          <t>VÄRMLANDS LÄN</t>
        </is>
      </c>
      <c r="E1712" t="inlineStr">
        <is>
          <t>TORSBY</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43670-2023</t>
        </is>
      </c>
      <c r="B1713" s="1" t="n">
        <v>45187</v>
      </c>
      <c r="C1713" s="1" t="n">
        <v>45472</v>
      </c>
      <c r="D1713" t="inlineStr">
        <is>
          <t>VÄRMLANDS LÄN</t>
        </is>
      </c>
      <c r="E1713" t="inlineStr">
        <is>
          <t>TORSBY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44047-2023</t>
        </is>
      </c>
      <c r="B1714" s="1" t="n">
        <v>45188</v>
      </c>
      <c r="C1714" s="1" t="n">
        <v>45472</v>
      </c>
      <c r="D1714" t="inlineStr">
        <is>
          <t>VÄRMLANDS LÄN</t>
        </is>
      </c>
      <c r="E1714" t="inlineStr">
        <is>
          <t>TORSBY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44150-2023</t>
        </is>
      </c>
      <c r="B1715" s="1" t="n">
        <v>45188</v>
      </c>
      <c r="C1715" s="1" t="n">
        <v>45472</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44044-2023</t>
        </is>
      </c>
      <c r="B1716" s="1" t="n">
        <v>45188</v>
      </c>
      <c r="C1716" s="1" t="n">
        <v>45472</v>
      </c>
      <c r="D1716" t="inlineStr">
        <is>
          <t>VÄRMLANDS LÄN</t>
        </is>
      </c>
      <c r="E1716" t="inlineStr">
        <is>
          <t>TORSBY</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44127-2023</t>
        </is>
      </c>
      <c r="B1717" s="1" t="n">
        <v>45188</v>
      </c>
      <c r="C1717" s="1" t="n">
        <v>45472</v>
      </c>
      <c r="D1717" t="inlineStr">
        <is>
          <t>VÄRMLANDS LÄN</t>
        </is>
      </c>
      <c r="E1717" t="inlineStr">
        <is>
          <t>TORSBY</t>
        </is>
      </c>
      <c r="F1717" t="inlineStr">
        <is>
          <t>Bergvik skog väst AB</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44262-2023</t>
        </is>
      </c>
      <c r="B1718" s="1" t="n">
        <v>45188</v>
      </c>
      <c r="C1718" s="1" t="n">
        <v>45472</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44113-2023</t>
        </is>
      </c>
      <c r="B1719" s="1" t="n">
        <v>45188</v>
      </c>
      <c r="C1719" s="1" t="n">
        <v>45472</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44424-2023</t>
        </is>
      </c>
      <c r="B1720" s="1" t="n">
        <v>45189</v>
      </c>
      <c r="C1720" s="1" t="n">
        <v>45472</v>
      </c>
      <c r="D1720" t="inlineStr">
        <is>
          <t>VÄRMLANDS LÄN</t>
        </is>
      </c>
      <c r="E1720" t="inlineStr">
        <is>
          <t>TORSBY</t>
        </is>
      </c>
      <c r="F1720" t="inlineStr">
        <is>
          <t>Kyrkan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44497-2023</t>
        </is>
      </c>
      <c r="B1721" s="1" t="n">
        <v>45189</v>
      </c>
      <c r="C1721" s="1" t="n">
        <v>45472</v>
      </c>
      <c r="D1721" t="inlineStr">
        <is>
          <t>VÄRMLANDS LÄN</t>
        </is>
      </c>
      <c r="E1721" t="inlineStr">
        <is>
          <t>TORSBY</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44562-2023</t>
        </is>
      </c>
      <c r="B1722" s="1" t="n">
        <v>45189</v>
      </c>
      <c r="C1722" s="1" t="n">
        <v>45472</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44641-2023</t>
        </is>
      </c>
      <c r="B1723" s="1" t="n">
        <v>45189</v>
      </c>
      <c r="C1723" s="1" t="n">
        <v>45472</v>
      </c>
      <c r="D1723" t="inlineStr">
        <is>
          <t>VÄRMLANDS LÄN</t>
        </is>
      </c>
      <c r="E1723" t="inlineStr">
        <is>
          <t>TORSBY</t>
        </is>
      </c>
      <c r="F1723" t="inlineStr">
        <is>
          <t>Bergvik skog väst AB</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44645-2023</t>
        </is>
      </c>
      <c r="B1724" s="1" t="n">
        <v>45189</v>
      </c>
      <c r="C1724" s="1" t="n">
        <v>45472</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44670-2023</t>
        </is>
      </c>
      <c r="B1725" s="1" t="n">
        <v>45189</v>
      </c>
      <c r="C1725" s="1" t="n">
        <v>45472</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44710-2023</t>
        </is>
      </c>
      <c r="B1726" s="1" t="n">
        <v>45190</v>
      </c>
      <c r="C1726" s="1" t="n">
        <v>45472</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44730-2023</t>
        </is>
      </c>
      <c r="B1727" s="1" t="n">
        <v>45190</v>
      </c>
      <c r="C1727" s="1" t="n">
        <v>45472</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45224-2023</t>
        </is>
      </c>
      <c r="B1728" s="1" t="n">
        <v>45191</v>
      </c>
      <c r="C1728" s="1" t="n">
        <v>45472</v>
      </c>
      <c r="D1728" t="inlineStr">
        <is>
          <t>VÄRMLANDS LÄN</t>
        </is>
      </c>
      <c r="E1728" t="inlineStr">
        <is>
          <t>TORSBY</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45041-2023</t>
        </is>
      </c>
      <c r="B1729" s="1" t="n">
        <v>45191</v>
      </c>
      <c r="C1729" s="1" t="n">
        <v>45472</v>
      </c>
      <c r="D1729" t="inlineStr">
        <is>
          <t>VÄRMLANDS LÄN</t>
        </is>
      </c>
      <c r="E1729" t="inlineStr">
        <is>
          <t>TORSBY</t>
        </is>
      </c>
      <c r="F1729" t="inlineStr">
        <is>
          <t>Kyrkan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45152-2023</t>
        </is>
      </c>
      <c r="B1730" s="1" t="n">
        <v>45191</v>
      </c>
      <c r="C1730" s="1" t="n">
        <v>45472</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45169-2023</t>
        </is>
      </c>
      <c r="B1731" s="1" t="n">
        <v>45191</v>
      </c>
      <c r="C1731" s="1" t="n">
        <v>45472</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45231-2023</t>
        </is>
      </c>
      <c r="B1732" s="1" t="n">
        <v>45191</v>
      </c>
      <c r="C1732" s="1" t="n">
        <v>45472</v>
      </c>
      <c r="D1732" t="inlineStr">
        <is>
          <t>VÄRMLANDS LÄN</t>
        </is>
      </c>
      <c r="E1732" t="inlineStr">
        <is>
          <t>TORSBY</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45228-2023</t>
        </is>
      </c>
      <c r="B1733" s="1" t="n">
        <v>45191</v>
      </c>
      <c r="C1733" s="1" t="n">
        <v>45472</v>
      </c>
      <c r="D1733" t="inlineStr">
        <is>
          <t>VÄRMLANDS LÄN</t>
        </is>
      </c>
      <c r="E1733" t="inlineStr">
        <is>
          <t>TORSBY</t>
        </is>
      </c>
      <c r="F1733" t="inlineStr">
        <is>
          <t>Bergvik skog väst AB</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45587-2023</t>
        </is>
      </c>
      <c r="B1734" s="1" t="n">
        <v>45194</v>
      </c>
      <c r="C1734" s="1" t="n">
        <v>45472</v>
      </c>
      <c r="D1734" t="inlineStr">
        <is>
          <t>VÄRMLANDS LÄN</t>
        </is>
      </c>
      <c r="E1734" t="inlineStr">
        <is>
          <t>TORSBY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45399-2023</t>
        </is>
      </c>
      <c r="B1735" s="1" t="n">
        <v>45194</v>
      </c>
      <c r="C1735" s="1" t="n">
        <v>45472</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45563-2023</t>
        </is>
      </c>
      <c r="B1736" s="1" t="n">
        <v>45194</v>
      </c>
      <c r="C1736" s="1" t="n">
        <v>45472</v>
      </c>
      <c r="D1736" t="inlineStr">
        <is>
          <t>VÄRMLANDS LÄN</t>
        </is>
      </c>
      <c r="E1736" t="inlineStr">
        <is>
          <t>TORSBY</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45765-2023</t>
        </is>
      </c>
      <c r="B1737" s="1" t="n">
        <v>45195</v>
      </c>
      <c r="C1737" s="1" t="n">
        <v>45472</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45872-2023</t>
        </is>
      </c>
      <c r="B1738" s="1" t="n">
        <v>45195</v>
      </c>
      <c r="C1738" s="1" t="n">
        <v>45472</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45775-2023</t>
        </is>
      </c>
      <c r="B1739" s="1" t="n">
        <v>45195</v>
      </c>
      <c r="C1739" s="1" t="n">
        <v>45472</v>
      </c>
      <c r="D1739" t="inlineStr">
        <is>
          <t>VÄRMLANDS LÄN</t>
        </is>
      </c>
      <c r="E1739" t="inlineStr">
        <is>
          <t>TORSBY</t>
        </is>
      </c>
      <c r="F1739" t="inlineStr">
        <is>
          <t>Bergvik skog väst AB</t>
        </is>
      </c>
      <c r="G1739" t="n">
        <v>34.2</v>
      </c>
      <c r="H1739" t="n">
        <v>0</v>
      </c>
      <c r="I1739" t="n">
        <v>0</v>
      </c>
      <c r="J1739" t="n">
        <v>0</v>
      </c>
      <c r="K1739" t="n">
        <v>0</v>
      </c>
      <c r="L1739" t="n">
        <v>0</v>
      </c>
      <c r="M1739" t="n">
        <v>0</v>
      </c>
      <c r="N1739" t="n">
        <v>0</v>
      </c>
      <c r="O1739" t="n">
        <v>0</v>
      </c>
      <c r="P1739" t="n">
        <v>0</v>
      </c>
      <c r="Q1739" t="n">
        <v>0</v>
      </c>
      <c r="R1739" s="2" t="inlineStr"/>
    </row>
    <row r="1740" ht="15" customHeight="1">
      <c r="A1740" t="inlineStr">
        <is>
          <t>A 46003-2023</t>
        </is>
      </c>
      <c r="B1740" s="1" t="n">
        <v>45196</v>
      </c>
      <c r="C1740" s="1" t="n">
        <v>45472</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46048-2023</t>
        </is>
      </c>
      <c r="B1741" s="1" t="n">
        <v>45196</v>
      </c>
      <c r="C1741" s="1" t="n">
        <v>45472</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46001-2023</t>
        </is>
      </c>
      <c r="B1742" s="1" t="n">
        <v>45196</v>
      </c>
      <c r="C1742" s="1" t="n">
        <v>45472</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46202-2023</t>
        </is>
      </c>
      <c r="B1743" s="1" t="n">
        <v>45196</v>
      </c>
      <c r="C1743" s="1" t="n">
        <v>45472</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46233-2023</t>
        </is>
      </c>
      <c r="B1744" s="1" t="n">
        <v>45196</v>
      </c>
      <c r="C1744" s="1" t="n">
        <v>45472</v>
      </c>
      <c r="D1744" t="inlineStr">
        <is>
          <t>VÄRMLANDS LÄN</t>
        </is>
      </c>
      <c r="E1744" t="inlineStr">
        <is>
          <t>TORSBY</t>
        </is>
      </c>
      <c r="F1744" t="inlineStr">
        <is>
          <t>Kyrkan</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46127-2023</t>
        </is>
      </c>
      <c r="B1745" s="1" t="n">
        <v>45196</v>
      </c>
      <c r="C1745" s="1" t="n">
        <v>45472</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46199-2023</t>
        </is>
      </c>
      <c r="B1746" s="1" t="n">
        <v>45196</v>
      </c>
      <c r="C1746" s="1" t="n">
        <v>45472</v>
      </c>
      <c r="D1746" t="inlineStr">
        <is>
          <t>VÄRMLANDS LÄN</t>
        </is>
      </c>
      <c r="E1746" t="inlineStr">
        <is>
          <t>TORSBY</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46220-2023</t>
        </is>
      </c>
      <c r="B1747" s="1" t="n">
        <v>45196</v>
      </c>
      <c r="C1747" s="1" t="n">
        <v>45472</v>
      </c>
      <c r="D1747" t="inlineStr">
        <is>
          <t>VÄRMLANDS LÄN</t>
        </is>
      </c>
      <c r="E1747" t="inlineStr">
        <is>
          <t>TORSBY</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46156-2023</t>
        </is>
      </c>
      <c r="B1748" s="1" t="n">
        <v>45196</v>
      </c>
      <c r="C1748" s="1" t="n">
        <v>45472</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46180-2023</t>
        </is>
      </c>
      <c r="B1749" s="1" t="n">
        <v>45196</v>
      </c>
      <c r="C1749" s="1" t="n">
        <v>45472</v>
      </c>
      <c r="D1749" t="inlineStr">
        <is>
          <t>VÄRMLANDS LÄN</t>
        </is>
      </c>
      <c r="E1749" t="inlineStr">
        <is>
          <t>TORSBY</t>
        </is>
      </c>
      <c r="F1749" t="inlineStr">
        <is>
          <t>Bergvik skog väst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46195-2023</t>
        </is>
      </c>
      <c r="B1750" s="1" t="n">
        <v>45196</v>
      </c>
      <c r="C1750" s="1" t="n">
        <v>45472</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46221-2023</t>
        </is>
      </c>
      <c r="B1751" s="1" t="n">
        <v>45196</v>
      </c>
      <c r="C1751" s="1" t="n">
        <v>45472</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47227-2023</t>
        </is>
      </c>
      <c r="B1752" s="1" t="n">
        <v>45196</v>
      </c>
      <c r="C1752" s="1" t="n">
        <v>45472</v>
      </c>
      <c r="D1752" t="inlineStr">
        <is>
          <t>VÄRMLANDS LÄN</t>
        </is>
      </c>
      <c r="E1752" t="inlineStr">
        <is>
          <t>TORSBY</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46424-2023</t>
        </is>
      </c>
      <c r="B1753" s="1" t="n">
        <v>45197</v>
      </c>
      <c r="C1753" s="1" t="n">
        <v>45472</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46449-2023</t>
        </is>
      </c>
      <c r="B1754" s="1" t="n">
        <v>45197</v>
      </c>
      <c r="C1754" s="1" t="n">
        <v>45472</v>
      </c>
      <c r="D1754" t="inlineStr">
        <is>
          <t>VÄRMLANDS LÄN</t>
        </is>
      </c>
      <c r="E1754" t="inlineStr">
        <is>
          <t>TORSBY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46509-2023</t>
        </is>
      </c>
      <c r="B1755" s="1" t="n">
        <v>45197</v>
      </c>
      <c r="C1755" s="1" t="n">
        <v>45472</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46489-2023</t>
        </is>
      </c>
      <c r="B1756" s="1" t="n">
        <v>45197</v>
      </c>
      <c r="C1756" s="1" t="n">
        <v>45472</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47119-2023</t>
        </is>
      </c>
      <c r="B1757" s="1" t="n">
        <v>45201</v>
      </c>
      <c r="C1757" s="1" t="n">
        <v>45472</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row>
    <row r="1758" ht="15" customHeight="1">
      <c r="A1758" t="inlineStr">
        <is>
          <t>A 46880-2023</t>
        </is>
      </c>
      <c r="B1758" s="1" t="n">
        <v>45201</v>
      </c>
      <c r="C1758" s="1" t="n">
        <v>45472</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46938-2023</t>
        </is>
      </c>
      <c r="B1759" s="1" t="n">
        <v>45201</v>
      </c>
      <c r="C1759" s="1" t="n">
        <v>45472</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47077-2023</t>
        </is>
      </c>
      <c r="B1760" s="1" t="n">
        <v>45201</v>
      </c>
      <c r="C1760" s="1" t="n">
        <v>45472</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47275-2023</t>
        </is>
      </c>
      <c r="B1761" s="1" t="n">
        <v>45202</v>
      </c>
      <c r="C1761" s="1" t="n">
        <v>45472</v>
      </c>
      <c r="D1761" t="inlineStr">
        <is>
          <t>VÄRMLANDS LÄN</t>
        </is>
      </c>
      <c r="E1761" t="inlineStr">
        <is>
          <t>TORSBY</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47241-2023</t>
        </is>
      </c>
      <c r="B1762" s="1" t="n">
        <v>45202</v>
      </c>
      <c r="C1762" s="1" t="n">
        <v>45472</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47355-2023</t>
        </is>
      </c>
      <c r="B1763" s="1" t="n">
        <v>45202</v>
      </c>
      <c r="C1763" s="1" t="n">
        <v>45472</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47401-2023</t>
        </is>
      </c>
      <c r="B1764" s="1" t="n">
        <v>45202</v>
      </c>
      <c r="C1764" s="1" t="n">
        <v>45472</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47737-2023</t>
        </is>
      </c>
      <c r="B1765" s="1" t="n">
        <v>45203</v>
      </c>
      <c r="C1765" s="1" t="n">
        <v>45472</v>
      </c>
      <c r="D1765" t="inlineStr">
        <is>
          <t>VÄRMLANDS LÄN</t>
        </is>
      </c>
      <c r="E1765" t="inlineStr">
        <is>
          <t>TORSBY</t>
        </is>
      </c>
      <c r="F1765" t="inlineStr">
        <is>
          <t>Bergvik skog väst AB</t>
        </is>
      </c>
      <c r="G1765" t="n">
        <v>24.4</v>
      </c>
      <c r="H1765" t="n">
        <v>0</v>
      </c>
      <c r="I1765" t="n">
        <v>0</v>
      </c>
      <c r="J1765" t="n">
        <v>0</v>
      </c>
      <c r="K1765" t="n">
        <v>0</v>
      </c>
      <c r="L1765" t="n">
        <v>0</v>
      </c>
      <c r="M1765" t="n">
        <v>0</v>
      </c>
      <c r="N1765" t="n">
        <v>0</v>
      </c>
      <c r="O1765" t="n">
        <v>0</v>
      </c>
      <c r="P1765" t="n">
        <v>0</v>
      </c>
      <c r="Q1765" t="n">
        <v>0</v>
      </c>
      <c r="R1765" s="2" t="inlineStr"/>
    </row>
    <row r="1766" ht="15" customHeight="1">
      <c r="A1766" t="inlineStr">
        <is>
          <t>A 47615-2023</t>
        </is>
      </c>
      <c r="B1766" s="1" t="n">
        <v>45203</v>
      </c>
      <c r="C1766" s="1" t="n">
        <v>45472</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47730-2023</t>
        </is>
      </c>
      <c r="B1767" s="1" t="n">
        <v>45203</v>
      </c>
      <c r="C1767" s="1" t="n">
        <v>45472</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47734-2023</t>
        </is>
      </c>
      <c r="B1768" s="1" t="n">
        <v>45203</v>
      </c>
      <c r="C1768" s="1" t="n">
        <v>45472</v>
      </c>
      <c r="D1768" t="inlineStr">
        <is>
          <t>VÄRMLANDS LÄN</t>
        </is>
      </c>
      <c r="E1768" t="inlineStr">
        <is>
          <t>TORSBY</t>
        </is>
      </c>
      <c r="F1768" t="inlineStr">
        <is>
          <t>Bergvik skog väst AB</t>
        </is>
      </c>
      <c r="G1768" t="n">
        <v>23.3</v>
      </c>
      <c r="H1768" t="n">
        <v>0</v>
      </c>
      <c r="I1768" t="n">
        <v>0</v>
      </c>
      <c r="J1768" t="n">
        <v>0</v>
      </c>
      <c r="K1768" t="n">
        <v>0</v>
      </c>
      <c r="L1768" t="n">
        <v>0</v>
      </c>
      <c r="M1768" t="n">
        <v>0</v>
      </c>
      <c r="N1768" t="n">
        <v>0</v>
      </c>
      <c r="O1768" t="n">
        <v>0</v>
      </c>
      <c r="P1768" t="n">
        <v>0</v>
      </c>
      <c r="Q1768" t="n">
        <v>0</v>
      </c>
      <c r="R1768" s="2" t="inlineStr"/>
    </row>
    <row r="1769" ht="15" customHeight="1">
      <c r="A1769" t="inlineStr">
        <is>
          <t>A 48724-2023</t>
        </is>
      </c>
      <c r="B1769" s="1" t="n">
        <v>45203</v>
      </c>
      <c r="C1769" s="1" t="n">
        <v>45472</v>
      </c>
      <c r="D1769" t="inlineStr">
        <is>
          <t>VÄRMLANDS LÄN</t>
        </is>
      </c>
      <c r="E1769" t="inlineStr">
        <is>
          <t>TORSBY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47842-2023</t>
        </is>
      </c>
      <c r="B1770" s="1" t="n">
        <v>45204</v>
      </c>
      <c r="C1770" s="1" t="n">
        <v>45472</v>
      </c>
      <c r="D1770" t="inlineStr">
        <is>
          <t>VÄRMLANDS LÄN</t>
        </is>
      </c>
      <c r="E1770" t="inlineStr">
        <is>
          <t>TORSBY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v>
      </c>
      <c r="C1771" s="1" t="n">
        <v>45472</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48145-2023</t>
        </is>
      </c>
      <c r="B1772" s="1" t="n">
        <v>45205</v>
      </c>
      <c r="C1772" s="1" t="n">
        <v>45472</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48236-2023</t>
        </is>
      </c>
      <c r="B1773" s="1" t="n">
        <v>45205</v>
      </c>
      <c r="C1773" s="1" t="n">
        <v>45472</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48155-2023</t>
        </is>
      </c>
      <c r="B1774" s="1" t="n">
        <v>45205</v>
      </c>
      <c r="C1774" s="1" t="n">
        <v>45472</v>
      </c>
      <c r="D1774" t="inlineStr">
        <is>
          <t>VÄRMLANDS LÄN</t>
        </is>
      </c>
      <c r="E1774" t="inlineStr">
        <is>
          <t>TORSBY</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48170-2023</t>
        </is>
      </c>
      <c r="B1775" s="1" t="n">
        <v>45205</v>
      </c>
      <c r="C1775" s="1" t="n">
        <v>45472</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48324-2023</t>
        </is>
      </c>
      <c r="B1776" s="1" t="n">
        <v>45205</v>
      </c>
      <c r="C1776" s="1" t="n">
        <v>45472</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48381-2023</t>
        </is>
      </c>
      <c r="B1777" s="1" t="n">
        <v>45205</v>
      </c>
      <c r="C1777" s="1" t="n">
        <v>45472</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48384-2023</t>
        </is>
      </c>
      <c r="B1778" s="1" t="n">
        <v>45205</v>
      </c>
      <c r="C1778" s="1" t="n">
        <v>45472</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48383-2023</t>
        </is>
      </c>
      <c r="B1779" s="1" t="n">
        <v>45205</v>
      </c>
      <c r="C1779" s="1" t="n">
        <v>45472</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48456-2023</t>
        </is>
      </c>
      <c r="B1780" s="1" t="n">
        <v>45206</v>
      </c>
      <c r="C1780" s="1" t="n">
        <v>45472</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48625-2023</t>
        </is>
      </c>
      <c r="B1781" s="1" t="n">
        <v>45208</v>
      </c>
      <c r="C1781" s="1" t="n">
        <v>45472</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48727-2023</t>
        </is>
      </c>
      <c r="B1782" s="1" t="n">
        <v>45208</v>
      </c>
      <c r="C1782" s="1" t="n">
        <v>45472</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48753-2023</t>
        </is>
      </c>
      <c r="B1783" s="1" t="n">
        <v>45208</v>
      </c>
      <c r="C1783" s="1" t="n">
        <v>45472</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48762-2023</t>
        </is>
      </c>
      <c r="B1784" s="1" t="n">
        <v>45208</v>
      </c>
      <c r="C1784" s="1" t="n">
        <v>45472</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49717-2023</t>
        </is>
      </c>
      <c r="B1785" s="1" t="n">
        <v>45208</v>
      </c>
      <c r="C1785" s="1" t="n">
        <v>45472</v>
      </c>
      <c r="D1785" t="inlineStr">
        <is>
          <t>VÄRMLANDS LÄN</t>
        </is>
      </c>
      <c r="E1785" t="inlineStr">
        <is>
          <t>TORSBY</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50166-2023</t>
        </is>
      </c>
      <c r="B1786" s="1" t="n">
        <v>45208</v>
      </c>
      <c r="C1786" s="1" t="n">
        <v>45472</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50149-2023</t>
        </is>
      </c>
      <c r="B1787" s="1" t="n">
        <v>45208</v>
      </c>
      <c r="C1787" s="1" t="n">
        <v>45472</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48805-2023</t>
        </is>
      </c>
      <c r="B1788" s="1" t="n">
        <v>45209</v>
      </c>
      <c r="C1788" s="1" t="n">
        <v>45472</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48842-2023</t>
        </is>
      </c>
      <c r="B1789" s="1" t="n">
        <v>45209</v>
      </c>
      <c r="C1789" s="1" t="n">
        <v>45472</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49170-2023</t>
        </is>
      </c>
      <c r="B1790" s="1" t="n">
        <v>45210</v>
      </c>
      <c r="C1790" s="1" t="n">
        <v>45472</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49179-2023</t>
        </is>
      </c>
      <c r="B1791" s="1" t="n">
        <v>45210</v>
      </c>
      <c r="C1791" s="1" t="n">
        <v>45472</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49296-2023</t>
        </is>
      </c>
      <c r="B1792" s="1" t="n">
        <v>45210</v>
      </c>
      <c r="C1792" s="1" t="n">
        <v>45472</v>
      </c>
      <c r="D1792" t="inlineStr">
        <is>
          <t>VÄRMLANDS LÄN</t>
        </is>
      </c>
      <c r="E1792" t="inlineStr">
        <is>
          <t>TORSBY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51079-2023</t>
        </is>
      </c>
      <c r="B1793" s="1" t="n">
        <v>45211</v>
      </c>
      <c r="C1793" s="1" t="n">
        <v>45472</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49755-2023</t>
        </is>
      </c>
      <c r="B1794" s="1" t="n">
        <v>45212</v>
      </c>
      <c r="C1794" s="1" t="n">
        <v>45472</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49777-2023</t>
        </is>
      </c>
      <c r="B1795" s="1" t="n">
        <v>45212</v>
      </c>
      <c r="C1795" s="1" t="n">
        <v>45472</v>
      </c>
      <c r="D1795" t="inlineStr">
        <is>
          <t>VÄRMLANDS LÄN</t>
        </is>
      </c>
      <c r="E1795" t="inlineStr">
        <is>
          <t>TORSBY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49815-2023</t>
        </is>
      </c>
      <c r="B1796" s="1" t="n">
        <v>45212</v>
      </c>
      <c r="C1796" s="1" t="n">
        <v>45472</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49745-2023</t>
        </is>
      </c>
      <c r="B1797" s="1" t="n">
        <v>45212</v>
      </c>
      <c r="C1797" s="1" t="n">
        <v>45472</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51144-2023</t>
        </is>
      </c>
      <c r="B1798" s="1" t="n">
        <v>45212</v>
      </c>
      <c r="C1798" s="1" t="n">
        <v>45472</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49982-2023</t>
        </is>
      </c>
      <c r="B1799" s="1" t="n">
        <v>45215</v>
      </c>
      <c r="C1799" s="1" t="n">
        <v>45472</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50147-2023</t>
        </is>
      </c>
      <c r="B1800" s="1" t="n">
        <v>45215</v>
      </c>
      <c r="C1800" s="1" t="n">
        <v>45472</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50138-2023</t>
        </is>
      </c>
      <c r="B1801" s="1" t="n">
        <v>45215</v>
      </c>
      <c r="C1801" s="1" t="n">
        <v>45472</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50144-2023</t>
        </is>
      </c>
      <c r="B1802" s="1" t="n">
        <v>45215</v>
      </c>
      <c r="C1802" s="1" t="n">
        <v>45472</v>
      </c>
      <c r="D1802" t="inlineStr">
        <is>
          <t>VÄRMLANDS LÄN</t>
        </is>
      </c>
      <c r="E1802" t="inlineStr">
        <is>
          <t>TORSBY</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50171-2023</t>
        </is>
      </c>
      <c r="B1803" s="1" t="n">
        <v>45215</v>
      </c>
      <c r="C1803" s="1" t="n">
        <v>45472</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50445-2023</t>
        </is>
      </c>
      <c r="B1804" s="1" t="n">
        <v>45216</v>
      </c>
      <c r="C1804" s="1" t="n">
        <v>45472</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50429-2023</t>
        </is>
      </c>
      <c r="B1805" s="1" t="n">
        <v>45216</v>
      </c>
      <c r="C1805" s="1" t="n">
        <v>45472</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50439-2023</t>
        </is>
      </c>
      <c r="B1806" s="1" t="n">
        <v>45216</v>
      </c>
      <c r="C1806" s="1" t="n">
        <v>45472</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50660-2023</t>
        </is>
      </c>
      <c r="B1807" s="1" t="n">
        <v>45217</v>
      </c>
      <c r="C1807" s="1" t="n">
        <v>45472</v>
      </c>
      <c r="D1807" t="inlineStr">
        <is>
          <t>VÄRMLANDS LÄN</t>
        </is>
      </c>
      <c r="E1807" t="inlineStr">
        <is>
          <t>TORSBY</t>
        </is>
      </c>
      <c r="F1807" t="inlineStr">
        <is>
          <t>Bergvik skog väst AB</t>
        </is>
      </c>
      <c r="G1807" t="n">
        <v>26.5</v>
      </c>
      <c r="H1807" t="n">
        <v>0</v>
      </c>
      <c r="I1807" t="n">
        <v>0</v>
      </c>
      <c r="J1807" t="n">
        <v>0</v>
      </c>
      <c r="K1807" t="n">
        <v>0</v>
      </c>
      <c r="L1807" t="n">
        <v>0</v>
      </c>
      <c r="M1807" t="n">
        <v>0</v>
      </c>
      <c r="N1807" t="n">
        <v>0</v>
      </c>
      <c r="O1807" t="n">
        <v>0</v>
      </c>
      <c r="P1807" t="n">
        <v>0</v>
      </c>
      <c r="Q1807" t="n">
        <v>0</v>
      </c>
      <c r="R1807" s="2" t="inlineStr"/>
    </row>
    <row r="1808" ht="15" customHeight="1">
      <c r="A1808" t="inlineStr">
        <is>
          <t>A 50523-2023</t>
        </is>
      </c>
      <c r="B1808" s="1" t="n">
        <v>45217</v>
      </c>
      <c r="C1808" s="1" t="n">
        <v>45472</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50608-2023</t>
        </is>
      </c>
      <c r="B1809" s="1" t="n">
        <v>45217</v>
      </c>
      <c r="C1809" s="1" t="n">
        <v>45472</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v>
      </c>
      <c r="C1810" s="1" t="n">
        <v>45472</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v>
      </c>
      <c r="C1811" s="1" t="n">
        <v>45472</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50973-2023</t>
        </is>
      </c>
      <c r="B1812" s="1" t="n">
        <v>45218</v>
      </c>
      <c r="C1812" s="1" t="n">
        <v>45472</v>
      </c>
      <c r="D1812" t="inlineStr">
        <is>
          <t>VÄRMLANDS LÄN</t>
        </is>
      </c>
      <c r="E1812" t="inlineStr">
        <is>
          <t>TORSBY</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51199-2023</t>
        </is>
      </c>
      <c r="B1813" s="1" t="n">
        <v>45219</v>
      </c>
      <c r="C1813" s="1" t="n">
        <v>45472</v>
      </c>
      <c r="D1813" t="inlineStr">
        <is>
          <t>VÄRMLANDS LÄN</t>
        </is>
      </c>
      <c r="E1813" t="inlineStr">
        <is>
          <t>TORSBY</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51215-2023</t>
        </is>
      </c>
      <c r="B1814" s="1" t="n">
        <v>45219</v>
      </c>
      <c r="C1814" s="1" t="n">
        <v>45472</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51343-2023</t>
        </is>
      </c>
      <c r="B1815" s="1" t="n">
        <v>45219</v>
      </c>
      <c r="C1815" s="1" t="n">
        <v>45472</v>
      </c>
      <c r="D1815" t="inlineStr">
        <is>
          <t>VÄRMLANDS LÄN</t>
        </is>
      </c>
      <c r="E1815" t="inlineStr">
        <is>
          <t>TORSBY</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51386-2023</t>
        </is>
      </c>
      <c r="B1816" s="1" t="n">
        <v>45219</v>
      </c>
      <c r="C1816" s="1" t="n">
        <v>45472</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51309-2023</t>
        </is>
      </c>
      <c r="B1817" s="1" t="n">
        <v>45219</v>
      </c>
      <c r="C1817" s="1" t="n">
        <v>45472</v>
      </c>
      <c r="D1817" t="inlineStr">
        <is>
          <t>VÄRMLANDS LÄN</t>
        </is>
      </c>
      <c r="E1817" t="inlineStr">
        <is>
          <t>TORSBY</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51751-2023</t>
        </is>
      </c>
      <c r="B1818" s="1" t="n">
        <v>45222</v>
      </c>
      <c r="C1818" s="1" t="n">
        <v>45472</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51788-2023</t>
        </is>
      </c>
      <c r="B1819" s="1" t="n">
        <v>45222</v>
      </c>
      <c r="C1819" s="1" t="n">
        <v>45472</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51753-2023</t>
        </is>
      </c>
      <c r="B1820" s="1" t="n">
        <v>45222</v>
      </c>
      <c r="C1820" s="1" t="n">
        <v>45472</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52078-2023</t>
        </is>
      </c>
      <c r="B1821" s="1" t="n">
        <v>45223</v>
      </c>
      <c r="C1821" s="1" t="n">
        <v>45472</v>
      </c>
      <c r="D1821" t="inlineStr">
        <is>
          <t>VÄRMLANDS LÄN</t>
        </is>
      </c>
      <c r="E1821" t="inlineStr">
        <is>
          <t>TORSBY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52050-2023</t>
        </is>
      </c>
      <c r="B1822" s="1" t="n">
        <v>45223</v>
      </c>
      <c r="C1822" s="1" t="n">
        <v>45472</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52067-2023</t>
        </is>
      </c>
      <c r="B1823" s="1" t="n">
        <v>45223</v>
      </c>
      <c r="C1823" s="1" t="n">
        <v>45472</v>
      </c>
      <c r="D1823" t="inlineStr">
        <is>
          <t>VÄRMLANDS LÄN</t>
        </is>
      </c>
      <c r="E1823" t="inlineStr">
        <is>
          <t>TORSBY</t>
        </is>
      </c>
      <c r="F1823" t="inlineStr">
        <is>
          <t>Bergvik skog väst AB</t>
        </is>
      </c>
      <c r="G1823" t="n">
        <v>40.4</v>
      </c>
      <c r="H1823" t="n">
        <v>0</v>
      </c>
      <c r="I1823" t="n">
        <v>0</v>
      </c>
      <c r="J1823" t="n">
        <v>0</v>
      </c>
      <c r="K1823" t="n">
        <v>0</v>
      </c>
      <c r="L1823" t="n">
        <v>0</v>
      </c>
      <c r="M1823" t="n">
        <v>0</v>
      </c>
      <c r="N1823" t="n">
        <v>0</v>
      </c>
      <c r="O1823" t="n">
        <v>0</v>
      </c>
      <c r="P1823" t="n">
        <v>0</v>
      </c>
      <c r="Q1823" t="n">
        <v>0</v>
      </c>
      <c r="R1823" s="2" t="inlineStr"/>
    </row>
    <row r="1824" ht="15" customHeight="1">
      <c r="A1824" t="inlineStr">
        <is>
          <t>A 53499-2023</t>
        </is>
      </c>
      <c r="B1824" s="1" t="n">
        <v>45223</v>
      </c>
      <c r="C1824" s="1" t="n">
        <v>45472</v>
      </c>
      <c r="D1824" t="inlineStr">
        <is>
          <t>VÄRMLANDS LÄN</t>
        </is>
      </c>
      <c r="E1824" t="inlineStr">
        <is>
          <t>TORSBY</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52275-2023</t>
        </is>
      </c>
      <c r="B1825" s="1" t="n">
        <v>45224</v>
      </c>
      <c r="C1825" s="1" t="n">
        <v>45472</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52385-2023</t>
        </is>
      </c>
      <c r="B1826" s="1" t="n">
        <v>45224</v>
      </c>
      <c r="C1826" s="1" t="n">
        <v>45472</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53652-2023</t>
        </is>
      </c>
      <c r="B1827" s="1" t="n">
        <v>45224</v>
      </c>
      <c r="C1827" s="1" t="n">
        <v>45472</v>
      </c>
      <c r="D1827" t="inlineStr">
        <is>
          <t>VÄRMLANDS LÄN</t>
        </is>
      </c>
      <c r="E1827" t="inlineStr">
        <is>
          <t>TORSBY</t>
        </is>
      </c>
      <c r="F1827" t="inlineStr">
        <is>
          <t>Övriga statliga verk och myndigheter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52541-2023</t>
        </is>
      </c>
      <c r="B1828" s="1" t="n">
        <v>45225</v>
      </c>
      <c r="C1828" s="1" t="n">
        <v>45472</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52580-2023</t>
        </is>
      </c>
      <c r="B1829" s="1" t="n">
        <v>45225</v>
      </c>
      <c r="C1829" s="1" t="n">
        <v>45472</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52555-2023</t>
        </is>
      </c>
      <c r="B1830" s="1" t="n">
        <v>45225</v>
      </c>
      <c r="C1830" s="1" t="n">
        <v>45472</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52532-2023</t>
        </is>
      </c>
      <c r="B1831" s="1" t="n">
        <v>45225</v>
      </c>
      <c r="C1831" s="1" t="n">
        <v>45472</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45472</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52984-2023</t>
        </is>
      </c>
      <c r="B1833" s="1" t="n">
        <v>45226</v>
      </c>
      <c r="C1833" s="1" t="n">
        <v>45472</v>
      </c>
      <c r="D1833" t="inlineStr">
        <is>
          <t>VÄRMLANDS LÄN</t>
        </is>
      </c>
      <c r="E1833" t="inlineStr">
        <is>
          <t>TORSBY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52982-2023</t>
        </is>
      </c>
      <c r="B1834" s="1" t="n">
        <v>45226</v>
      </c>
      <c r="C1834" s="1" t="n">
        <v>45472</v>
      </c>
      <c r="D1834" t="inlineStr">
        <is>
          <t>VÄRMLANDS LÄN</t>
        </is>
      </c>
      <c r="E1834" t="inlineStr">
        <is>
          <t>TORSBY</t>
        </is>
      </c>
      <c r="G1834" t="n">
        <v>35.5</v>
      </c>
      <c r="H1834" t="n">
        <v>0</v>
      </c>
      <c r="I1834" t="n">
        <v>0</v>
      </c>
      <c r="J1834" t="n">
        <v>0</v>
      </c>
      <c r="K1834" t="n">
        <v>0</v>
      </c>
      <c r="L1834" t="n">
        <v>0</v>
      </c>
      <c r="M1834" t="n">
        <v>0</v>
      </c>
      <c r="N1834" t="n">
        <v>0</v>
      </c>
      <c r="O1834" t="n">
        <v>0</v>
      </c>
      <c r="P1834" t="n">
        <v>0</v>
      </c>
      <c r="Q1834" t="n">
        <v>0</v>
      </c>
      <c r="R1834" s="2" t="inlineStr"/>
    </row>
    <row r="1835" ht="15" customHeight="1">
      <c r="A1835" t="inlineStr">
        <is>
          <t>A 52810-2023</t>
        </is>
      </c>
      <c r="B1835" s="1" t="n">
        <v>45226</v>
      </c>
      <c r="C1835" s="1" t="n">
        <v>45472</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53103-2023</t>
        </is>
      </c>
      <c r="B1836" s="1" t="n">
        <v>45228</v>
      </c>
      <c r="C1836" s="1" t="n">
        <v>45472</v>
      </c>
      <c r="D1836" t="inlineStr">
        <is>
          <t>VÄRMLANDS LÄN</t>
        </is>
      </c>
      <c r="E1836" t="inlineStr">
        <is>
          <t>TORSBY</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53116-2023</t>
        </is>
      </c>
      <c r="B1837" s="1" t="n">
        <v>45228</v>
      </c>
      <c r="C1837" s="1" t="n">
        <v>45472</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53346-2023</t>
        </is>
      </c>
      <c r="B1838" s="1" t="n">
        <v>45229</v>
      </c>
      <c r="C1838" s="1" t="n">
        <v>45472</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54879-2023</t>
        </is>
      </c>
      <c r="B1839" s="1" t="n">
        <v>45229</v>
      </c>
      <c r="C1839" s="1" t="n">
        <v>45472</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54822-2023</t>
        </is>
      </c>
      <c r="B1840" s="1" t="n">
        <v>45229</v>
      </c>
      <c r="C1840" s="1" t="n">
        <v>45472</v>
      </c>
      <c r="D1840" t="inlineStr">
        <is>
          <t>VÄRMLANDS LÄN</t>
        </is>
      </c>
      <c r="E1840" t="inlineStr">
        <is>
          <t>TORSBY</t>
        </is>
      </c>
      <c r="F1840" t="inlineStr">
        <is>
          <t>Övriga Aktiebolag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53557-2023</t>
        </is>
      </c>
      <c r="B1841" s="1" t="n">
        <v>45230</v>
      </c>
      <c r="C1841" s="1" t="n">
        <v>45472</v>
      </c>
      <c r="D1841" t="inlineStr">
        <is>
          <t>VÄRMLANDS LÄN</t>
        </is>
      </c>
      <c r="E1841" t="inlineStr">
        <is>
          <t>TORSBY</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53495-2023</t>
        </is>
      </c>
      <c r="B1842" s="1" t="n">
        <v>45230</v>
      </c>
      <c r="C1842" s="1" t="n">
        <v>45472</v>
      </c>
      <c r="D1842" t="inlineStr">
        <is>
          <t>VÄRMLANDS LÄN</t>
        </is>
      </c>
      <c r="E1842" t="inlineStr">
        <is>
          <t>TORSBY</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53794-2023</t>
        </is>
      </c>
      <c r="B1843" s="1" t="n">
        <v>45231</v>
      </c>
      <c r="C1843" s="1" t="n">
        <v>45472</v>
      </c>
      <c r="D1843" t="inlineStr">
        <is>
          <t>VÄRMLANDS LÄN</t>
        </is>
      </c>
      <c r="E1843" t="inlineStr">
        <is>
          <t>TORSBY</t>
        </is>
      </c>
      <c r="G1843" t="n">
        <v>17.3</v>
      </c>
      <c r="H1843" t="n">
        <v>0</v>
      </c>
      <c r="I1843" t="n">
        <v>0</v>
      </c>
      <c r="J1843" t="n">
        <v>0</v>
      </c>
      <c r="K1843" t="n">
        <v>0</v>
      </c>
      <c r="L1843" t="n">
        <v>0</v>
      </c>
      <c r="M1843" t="n">
        <v>0</v>
      </c>
      <c r="N1843" t="n">
        <v>0</v>
      </c>
      <c r="O1843" t="n">
        <v>0</v>
      </c>
      <c r="P1843" t="n">
        <v>0</v>
      </c>
      <c r="Q1843" t="n">
        <v>0</v>
      </c>
      <c r="R1843" s="2" t="inlineStr"/>
    </row>
    <row r="1844" ht="15" customHeight="1">
      <c r="A1844" t="inlineStr">
        <is>
          <t>A 53921-2023</t>
        </is>
      </c>
      <c r="B1844" s="1" t="n">
        <v>45231</v>
      </c>
      <c r="C1844" s="1" t="n">
        <v>45472</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53945-2023</t>
        </is>
      </c>
      <c r="B1845" s="1" t="n">
        <v>45231</v>
      </c>
      <c r="C1845" s="1" t="n">
        <v>45472</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53922-2023</t>
        </is>
      </c>
      <c r="B1846" s="1" t="n">
        <v>45231</v>
      </c>
      <c r="C1846" s="1" t="n">
        <v>45472</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54162-2023</t>
        </is>
      </c>
      <c r="B1847" s="1" t="n">
        <v>45232</v>
      </c>
      <c r="C1847" s="1" t="n">
        <v>45472</v>
      </c>
      <c r="D1847" t="inlineStr">
        <is>
          <t>VÄRMLANDS LÄN</t>
        </is>
      </c>
      <c r="E1847" t="inlineStr">
        <is>
          <t>TORSBY</t>
        </is>
      </c>
      <c r="F1847" t="inlineStr">
        <is>
          <t>Bergvik skog väst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54262-2023</t>
        </is>
      </c>
      <c r="B1848" s="1" t="n">
        <v>45232</v>
      </c>
      <c r="C1848" s="1" t="n">
        <v>45472</v>
      </c>
      <c r="D1848" t="inlineStr">
        <is>
          <t>VÄRMLANDS LÄN</t>
        </is>
      </c>
      <c r="E1848" t="inlineStr">
        <is>
          <t>TORSBY</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54223-2023</t>
        </is>
      </c>
      <c r="B1849" s="1" t="n">
        <v>45232</v>
      </c>
      <c r="C1849" s="1" t="n">
        <v>45472</v>
      </c>
      <c r="D1849" t="inlineStr">
        <is>
          <t>VÄRMLANDS LÄN</t>
        </is>
      </c>
      <c r="E1849" t="inlineStr">
        <is>
          <t>TORSBY</t>
        </is>
      </c>
      <c r="F1849" t="inlineStr">
        <is>
          <t>Bergvik skog väst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54191-2023</t>
        </is>
      </c>
      <c r="B1850" s="1" t="n">
        <v>45232</v>
      </c>
      <c r="C1850" s="1" t="n">
        <v>45472</v>
      </c>
      <c r="D1850" t="inlineStr">
        <is>
          <t>VÄRMLANDS LÄN</t>
        </is>
      </c>
      <c r="E1850" t="inlineStr">
        <is>
          <t>TORSBY</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54204-2023</t>
        </is>
      </c>
      <c r="B1851" s="1" t="n">
        <v>45232</v>
      </c>
      <c r="C1851" s="1" t="n">
        <v>45472</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v>
      </c>
      <c r="C1852" s="1" t="n">
        <v>45472</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54551-2023</t>
        </is>
      </c>
      <c r="B1853" s="1" t="n">
        <v>45233</v>
      </c>
      <c r="C1853" s="1" t="n">
        <v>45472</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54442-2023</t>
        </is>
      </c>
      <c r="B1854" s="1" t="n">
        <v>45233</v>
      </c>
      <c r="C1854" s="1" t="n">
        <v>45472</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54386-2023</t>
        </is>
      </c>
      <c r="B1855" s="1" t="n">
        <v>45233</v>
      </c>
      <c r="C1855" s="1" t="n">
        <v>45472</v>
      </c>
      <c r="D1855" t="inlineStr">
        <is>
          <t>VÄRMLANDS LÄN</t>
        </is>
      </c>
      <c r="E1855" t="inlineStr">
        <is>
          <t>TORSBY</t>
        </is>
      </c>
      <c r="F1855" t="inlineStr">
        <is>
          <t>Bergvik skog väst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54528-2023</t>
        </is>
      </c>
      <c r="B1856" s="1" t="n">
        <v>45233</v>
      </c>
      <c r="C1856" s="1" t="n">
        <v>45472</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54562-2023</t>
        </is>
      </c>
      <c r="B1857" s="1" t="n">
        <v>45233</v>
      </c>
      <c r="C1857" s="1" t="n">
        <v>45472</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54532-2023</t>
        </is>
      </c>
      <c r="B1858" s="1" t="n">
        <v>45233</v>
      </c>
      <c r="C1858" s="1" t="n">
        <v>45472</v>
      </c>
      <c r="D1858" t="inlineStr">
        <is>
          <t>VÄRMLANDS LÄN</t>
        </is>
      </c>
      <c r="E1858" t="inlineStr">
        <is>
          <t>TORSBY</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54525-2023</t>
        </is>
      </c>
      <c r="B1859" s="1" t="n">
        <v>45233</v>
      </c>
      <c r="C1859" s="1" t="n">
        <v>45472</v>
      </c>
      <c r="D1859" t="inlineStr">
        <is>
          <t>VÄRMLANDS LÄN</t>
        </is>
      </c>
      <c r="E1859" t="inlineStr">
        <is>
          <t>TORSBY</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54487-2023</t>
        </is>
      </c>
      <c r="B1860" s="1" t="n">
        <v>45233</v>
      </c>
      <c r="C1860" s="1" t="n">
        <v>45472</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54409-2023</t>
        </is>
      </c>
      <c r="B1861" s="1" t="n">
        <v>45233</v>
      </c>
      <c r="C1861" s="1" t="n">
        <v>45472</v>
      </c>
      <c r="D1861" t="inlineStr">
        <is>
          <t>VÄRMLANDS LÄN</t>
        </is>
      </c>
      <c r="E1861" t="inlineStr">
        <is>
          <t>TORSBY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54714-2023</t>
        </is>
      </c>
      <c r="B1862" s="1" t="n">
        <v>45236</v>
      </c>
      <c r="C1862" s="1" t="n">
        <v>45472</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54766-2023</t>
        </is>
      </c>
      <c r="B1863" s="1" t="n">
        <v>45236</v>
      </c>
      <c r="C1863" s="1" t="n">
        <v>45472</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54777-2023</t>
        </is>
      </c>
      <c r="B1864" s="1" t="n">
        <v>45236</v>
      </c>
      <c r="C1864" s="1" t="n">
        <v>45472</v>
      </c>
      <c r="D1864" t="inlineStr">
        <is>
          <t>VÄRMLANDS LÄN</t>
        </is>
      </c>
      <c r="E1864" t="inlineStr">
        <is>
          <t>TORSBY</t>
        </is>
      </c>
      <c r="F1864" t="inlineStr">
        <is>
          <t>Bergvik skog väst AB</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54876-2023</t>
        </is>
      </c>
      <c r="B1865" s="1" t="n">
        <v>45236</v>
      </c>
      <c r="C1865" s="1" t="n">
        <v>45472</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54708-2023</t>
        </is>
      </c>
      <c r="B1866" s="1" t="n">
        <v>45236</v>
      </c>
      <c r="C1866" s="1" t="n">
        <v>45472</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55031-2023</t>
        </is>
      </c>
      <c r="B1867" s="1" t="n">
        <v>45237</v>
      </c>
      <c r="C1867" s="1" t="n">
        <v>45472</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55100-2023</t>
        </is>
      </c>
      <c r="B1868" s="1" t="n">
        <v>45237</v>
      </c>
      <c r="C1868" s="1" t="n">
        <v>45472</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55401-2023</t>
        </is>
      </c>
      <c r="B1869" s="1" t="n">
        <v>45238</v>
      </c>
      <c r="C1869" s="1" t="n">
        <v>45472</v>
      </c>
      <c r="D1869" t="inlineStr">
        <is>
          <t>VÄRMLANDS LÄN</t>
        </is>
      </c>
      <c r="E1869" t="inlineStr">
        <is>
          <t>TORSBY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55461-2023</t>
        </is>
      </c>
      <c r="B1870" s="1" t="n">
        <v>45238</v>
      </c>
      <c r="C1870" s="1" t="n">
        <v>45472</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55480-2023</t>
        </is>
      </c>
      <c r="B1871" s="1" t="n">
        <v>45238</v>
      </c>
      <c r="C1871" s="1" t="n">
        <v>45472</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55485-2023</t>
        </is>
      </c>
      <c r="B1872" s="1" t="n">
        <v>45238</v>
      </c>
      <c r="C1872" s="1" t="n">
        <v>45472</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55478-2023</t>
        </is>
      </c>
      <c r="B1873" s="1" t="n">
        <v>45238</v>
      </c>
      <c r="C1873" s="1" t="n">
        <v>45472</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55522-2023</t>
        </is>
      </c>
      <c r="B1874" s="1" t="n">
        <v>45238</v>
      </c>
      <c r="C1874" s="1" t="n">
        <v>45472</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55527-2023</t>
        </is>
      </c>
      <c r="B1875" s="1" t="n">
        <v>45238</v>
      </c>
      <c r="C1875" s="1" t="n">
        <v>45472</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56716-2023</t>
        </is>
      </c>
      <c r="B1876" s="1" t="n">
        <v>45238</v>
      </c>
      <c r="C1876" s="1" t="n">
        <v>45472</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56712-2023</t>
        </is>
      </c>
      <c r="B1877" s="1" t="n">
        <v>45238</v>
      </c>
      <c r="C1877" s="1" t="n">
        <v>45472</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55447-2023</t>
        </is>
      </c>
      <c r="B1878" s="1" t="n">
        <v>45238</v>
      </c>
      <c r="C1878" s="1" t="n">
        <v>45472</v>
      </c>
      <c r="D1878" t="inlineStr">
        <is>
          <t>VÄRMLANDS LÄN</t>
        </is>
      </c>
      <c r="E1878" t="inlineStr">
        <is>
          <t>TORSBY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56714-2023</t>
        </is>
      </c>
      <c r="B1879" s="1" t="n">
        <v>45238</v>
      </c>
      <c r="C1879" s="1" t="n">
        <v>45472</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55759-2023</t>
        </is>
      </c>
      <c r="B1880" s="1" t="n">
        <v>45239</v>
      </c>
      <c r="C1880" s="1" t="n">
        <v>45472</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57092-2023</t>
        </is>
      </c>
      <c r="B1881" s="1" t="n">
        <v>45239</v>
      </c>
      <c r="C1881" s="1" t="n">
        <v>45472</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57091-2023</t>
        </is>
      </c>
      <c r="B1882" s="1" t="n">
        <v>45239</v>
      </c>
      <c r="C1882" s="1" t="n">
        <v>45472</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56889-2023</t>
        </is>
      </c>
      <c r="B1883" s="1" t="n">
        <v>45239</v>
      </c>
      <c r="C1883" s="1" t="n">
        <v>45472</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55727-2023</t>
        </is>
      </c>
      <c r="B1884" s="1" t="n">
        <v>45239</v>
      </c>
      <c r="C1884" s="1" t="n">
        <v>45472</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56164-2023</t>
        </is>
      </c>
      <c r="B1885" s="1" t="n">
        <v>45240</v>
      </c>
      <c r="C1885" s="1" t="n">
        <v>45472</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v>
      </c>
      <c r="C1886" s="1" t="n">
        <v>45472</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56116-2023</t>
        </is>
      </c>
      <c r="B1887" s="1" t="n">
        <v>45240</v>
      </c>
      <c r="C1887" s="1" t="n">
        <v>45472</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56021-2023</t>
        </is>
      </c>
      <c r="B1888" s="1" t="n">
        <v>45240</v>
      </c>
      <c r="C1888" s="1" t="n">
        <v>45472</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56426-2023</t>
        </is>
      </c>
      <c r="B1889" s="1" t="n">
        <v>45243</v>
      </c>
      <c r="C1889" s="1" t="n">
        <v>45472</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56724-2023</t>
        </is>
      </c>
      <c r="B1890" s="1" t="n">
        <v>45244</v>
      </c>
      <c r="C1890" s="1" t="n">
        <v>45472</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56880-2023</t>
        </is>
      </c>
      <c r="B1891" s="1" t="n">
        <v>45244</v>
      </c>
      <c r="C1891" s="1" t="n">
        <v>45472</v>
      </c>
      <c r="D1891" t="inlineStr">
        <is>
          <t>VÄRMLANDS LÄN</t>
        </is>
      </c>
      <c r="E1891" t="inlineStr">
        <is>
          <t>TORSBY</t>
        </is>
      </c>
      <c r="F1891" t="inlineStr">
        <is>
          <t>Övriga Aktiebolag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56881-2023</t>
        </is>
      </c>
      <c r="B1892" s="1" t="n">
        <v>45244</v>
      </c>
      <c r="C1892" s="1" t="n">
        <v>45472</v>
      </c>
      <c r="D1892" t="inlineStr">
        <is>
          <t>VÄRMLANDS LÄN</t>
        </is>
      </c>
      <c r="E1892" t="inlineStr">
        <is>
          <t>TORSBY</t>
        </is>
      </c>
      <c r="F1892" t="inlineStr">
        <is>
          <t>Övriga Aktiebolag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56875-2023</t>
        </is>
      </c>
      <c r="B1893" s="1" t="n">
        <v>45244</v>
      </c>
      <c r="C1893" s="1" t="n">
        <v>45472</v>
      </c>
      <c r="D1893" t="inlineStr">
        <is>
          <t>VÄRMLANDS LÄN</t>
        </is>
      </c>
      <c r="E1893" t="inlineStr">
        <is>
          <t>TORSBY</t>
        </is>
      </c>
      <c r="F1893" t="inlineStr">
        <is>
          <t>Övriga Aktiebolag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56811-2023</t>
        </is>
      </c>
      <c r="B1894" s="1" t="n">
        <v>45244</v>
      </c>
      <c r="C1894" s="1" t="n">
        <v>45472</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56815-2023</t>
        </is>
      </c>
      <c r="B1895" s="1" t="n">
        <v>45244</v>
      </c>
      <c r="C1895" s="1" t="n">
        <v>45472</v>
      </c>
      <c r="D1895" t="inlineStr">
        <is>
          <t>VÄRMLANDS LÄN</t>
        </is>
      </c>
      <c r="E1895" t="inlineStr">
        <is>
          <t>TORSBY</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56902-2023</t>
        </is>
      </c>
      <c r="B1896" s="1" t="n">
        <v>45244</v>
      </c>
      <c r="C1896" s="1" t="n">
        <v>45472</v>
      </c>
      <c r="D1896" t="inlineStr">
        <is>
          <t>VÄRMLANDS LÄN</t>
        </is>
      </c>
      <c r="E1896" t="inlineStr">
        <is>
          <t>TORSBY</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56970-2023</t>
        </is>
      </c>
      <c r="B1897" s="1" t="n">
        <v>45244</v>
      </c>
      <c r="C1897" s="1" t="n">
        <v>45472</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57017-2023</t>
        </is>
      </c>
      <c r="B1898" s="1" t="n">
        <v>45244</v>
      </c>
      <c r="C1898" s="1" t="n">
        <v>45472</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57117-2023</t>
        </is>
      </c>
      <c r="B1899" s="1" t="n">
        <v>45245</v>
      </c>
      <c r="C1899" s="1" t="n">
        <v>45472</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57143-2023</t>
        </is>
      </c>
      <c r="B1900" s="1" t="n">
        <v>45245</v>
      </c>
      <c r="C1900" s="1" t="n">
        <v>45472</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57345-2023</t>
        </is>
      </c>
      <c r="B1901" s="1" t="n">
        <v>45245</v>
      </c>
      <c r="C1901" s="1" t="n">
        <v>45472</v>
      </c>
      <c r="D1901" t="inlineStr">
        <is>
          <t>VÄRMLANDS LÄN</t>
        </is>
      </c>
      <c r="E1901" t="inlineStr">
        <is>
          <t>TORSBY</t>
        </is>
      </c>
      <c r="F1901" t="inlineStr">
        <is>
          <t>Bergvik skog väst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57135-2023</t>
        </is>
      </c>
      <c r="B1902" s="1" t="n">
        <v>45245</v>
      </c>
      <c r="C1902" s="1" t="n">
        <v>45472</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57216-2023</t>
        </is>
      </c>
      <c r="B1903" s="1" t="n">
        <v>45245</v>
      </c>
      <c r="C1903" s="1" t="n">
        <v>45472</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57538-2023</t>
        </is>
      </c>
      <c r="B1904" s="1" t="n">
        <v>45246</v>
      </c>
      <c r="C1904" s="1" t="n">
        <v>45472</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57547-2023</t>
        </is>
      </c>
      <c r="B1905" s="1" t="n">
        <v>45246</v>
      </c>
      <c r="C1905" s="1" t="n">
        <v>45472</v>
      </c>
      <c r="D1905" t="inlineStr">
        <is>
          <t>VÄRMLANDS LÄN</t>
        </is>
      </c>
      <c r="E1905" t="inlineStr">
        <is>
          <t>TORSBY</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57569-2023</t>
        </is>
      </c>
      <c r="B1906" s="1" t="n">
        <v>45246</v>
      </c>
      <c r="C1906" s="1" t="n">
        <v>45472</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v>
      </c>
      <c r="C1907" s="1" t="n">
        <v>45472</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57642-2023</t>
        </is>
      </c>
      <c r="B1908" s="1" t="n">
        <v>45246</v>
      </c>
      <c r="C1908" s="1" t="n">
        <v>45472</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57921-2023</t>
        </is>
      </c>
      <c r="B1909" s="1" t="n">
        <v>45247</v>
      </c>
      <c r="C1909" s="1" t="n">
        <v>45472</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58013-2023</t>
        </is>
      </c>
      <c r="B1910" s="1" t="n">
        <v>45247</v>
      </c>
      <c r="C1910" s="1" t="n">
        <v>45472</v>
      </c>
      <c r="D1910" t="inlineStr">
        <is>
          <t>VÄRMLANDS LÄN</t>
        </is>
      </c>
      <c r="E1910" t="inlineStr">
        <is>
          <t>TORSBY</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57980-2023</t>
        </is>
      </c>
      <c r="B1911" s="1" t="n">
        <v>45247</v>
      </c>
      <c r="C1911" s="1" t="n">
        <v>45472</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57990-2023</t>
        </is>
      </c>
      <c r="B1912" s="1" t="n">
        <v>45247</v>
      </c>
      <c r="C1912" s="1" t="n">
        <v>45472</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58037-2023</t>
        </is>
      </c>
      <c r="B1913" s="1" t="n">
        <v>45247</v>
      </c>
      <c r="C1913" s="1" t="n">
        <v>45472</v>
      </c>
      <c r="D1913" t="inlineStr">
        <is>
          <t>VÄRMLANDS LÄN</t>
        </is>
      </c>
      <c r="E1913" t="inlineStr">
        <is>
          <t>TORSBY</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58600-2023</t>
        </is>
      </c>
      <c r="B1914" s="1" t="n">
        <v>45247</v>
      </c>
      <c r="C1914" s="1" t="n">
        <v>45472</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58185-2023</t>
        </is>
      </c>
      <c r="B1915" s="1" t="n">
        <v>45250</v>
      </c>
      <c r="C1915" s="1" t="n">
        <v>45472</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58386-2023</t>
        </is>
      </c>
      <c r="B1916" s="1" t="n">
        <v>45250</v>
      </c>
      <c r="C1916" s="1" t="n">
        <v>45472</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58430-2023</t>
        </is>
      </c>
      <c r="B1917" s="1" t="n">
        <v>45250</v>
      </c>
      <c r="C1917" s="1" t="n">
        <v>45472</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58438-2023</t>
        </is>
      </c>
      <c r="B1918" s="1" t="n">
        <v>45250</v>
      </c>
      <c r="C1918" s="1" t="n">
        <v>45472</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58394-2023</t>
        </is>
      </c>
      <c r="B1919" s="1" t="n">
        <v>45250</v>
      </c>
      <c r="C1919" s="1" t="n">
        <v>45472</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58235-2023</t>
        </is>
      </c>
      <c r="B1920" s="1" t="n">
        <v>45250</v>
      </c>
      <c r="C1920" s="1" t="n">
        <v>45472</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58429-2023</t>
        </is>
      </c>
      <c r="B1921" s="1" t="n">
        <v>45250</v>
      </c>
      <c r="C1921" s="1" t="n">
        <v>45472</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58378-2023</t>
        </is>
      </c>
      <c r="B1922" s="1" t="n">
        <v>45250</v>
      </c>
      <c r="C1922" s="1" t="n">
        <v>45472</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58383-2023</t>
        </is>
      </c>
      <c r="B1923" s="1" t="n">
        <v>45250</v>
      </c>
      <c r="C1923" s="1" t="n">
        <v>45472</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59256-2023</t>
        </is>
      </c>
      <c r="B1924" s="1" t="n">
        <v>45251</v>
      </c>
      <c r="C1924" s="1" t="n">
        <v>45472</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59239-2023</t>
        </is>
      </c>
      <c r="B1925" s="1" t="n">
        <v>45253</v>
      </c>
      <c r="C1925" s="1" t="n">
        <v>45472</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59236-2023</t>
        </is>
      </c>
      <c r="B1926" s="1" t="n">
        <v>45253</v>
      </c>
      <c r="C1926" s="1" t="n">
        <v>45472</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59488-2023</t>
        </is>
      </c>
      <c r="B1927" s="1" t="n">
        <v>45254</v>
      </c>
      <c r="C1927" s="1" t="n">
        <v>45472</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59781-2023</t>
        </is>
      </c>
      <c r="B1928" s="1" t="n">
        <v>45257</v>
      </c>
      <c r="C1928" s="1" t="n">
        <v>45472</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59941-2023</t>
        </is>
      </c>
      <c r="B1929" s="1" t="n">
        <v>45257</v>
      </c>
      <c r="C1929" s="1" t="n">
        <v>45472</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59872-2023</t>
        </is>
      </c>
      <c r="B1930" s="1" t="n">
        <v>45257</v>
      </c>
      <c r="C1930" s="1" t="n">
        <v>45472</v>
      </c>
      <c r="D1930" t="inlineStr">
        <is>
          <t>VÄRMLANDS LÄN</t>
        </is>
      </c>
      <c r="E1930" t="inlineStr">
        <is>
          <t>TORSBY</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v>
      </c>
      <c r="C1931" s="1" t="n">
        <v>45472</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60046-2023</t>
        </is>
      </c>
      <c r="B1932" s="1" t="n">
        <v>45258</v>
      </c>
      <c r="C1932" s="1" t="n">
        <v>45472</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60100-2023</t>
        </is>
      </c>
      <c r="B1933" s="1" t="n">
        <v>45258</v>
      </c>
      <c r="C1933" s="1" t="n">
        <v>45472</v>
      </c>
      <c r="D1933" t="inlineStr">
        <is>
          <t>VÄRMLANDS LÄN</t>
        </is>
      </c>
      <c r="E1933" t="inlineStr">
        <is>
          <t>TORSBY</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60088-2023</t>
        </is>
      </c>
      <c r="B1934" s="1" t="n">
        <v>45258</v>
      </c>
      <c r="C1934" s="1" t="n">
        <v>45472</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60133-2023</t>
        </is>
      </c>
      <c r="B1935" s="1" t="n">
        <v>45258</v>
      </c>
      <c r="C1935" s="1" t="n">
        <v>45472</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60314-2023</t>
        </is>
      </c>
      <c r="B1936" s="1" t="n">
        <v>45258</v>
      </c>
      <c r="C1936" s="1" t="n">
        <v>45472</v>
      </c>
      <c r="D1936" t="inlineStr">
        <is>
          <t>VÄRMLANDS LÄN</t>
        </is>
      </c>
      <c r="E1936" t="inlineStr">
        <is>
          <t>TORSBY</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60523-2023</t>
        </is>
      </c>
      <c r="B1937" s="1" t="n">
        <v>45259</v>
      </c>
      <c r="C1937" s="1" t="n">
        <v>45472</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60486-2023</t>
        </is>
      </c>
      <c r="B1938" s="1" t="n">
        <v>45259</v>
      </c>
      <c r="C1938" s="1" t="n">
        <v>45472</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60525-2023</t>
        </is>
      </c>
      <c r="B1939" s="1" t="n">
        <v>45259</v>
      </c>
      <c r="C1939" s="1" t="n">
        <v>45472</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61157-2023</t>
        </is>
      </c>
      <c r="B1940" s="1" t="n">
        <v>45262</v>
      </c>
      <c r="C1940" s="1" t="n">
        <v>45472</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61164-2023</t>
        </is>
      </c>
      <c r="B1941" s="1" t="n">
        <v>45262</v>
      </c>
      <c r="C1941" s="1" t="n">
        <v>45472</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61229-2023</t>
        </is>
      </c>
      <c r="B1942" s="1" t="n">
        <v>45264</v>
      </c>
      <c r="C1942" s="1" t="n">
        <v>45472</v>
      </c>
      <c r="D1942" t="inlineStr">
        <is>
          <t>VÄRMLANDS LÄN</t>
        </is>
      </c>
      <c r="E1942" t="inlineStr">
        <is>
          <t>TORSBY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61256-2023</t>
        </is>
      </c>
      <c r="B1943" s="1" t="n">
        <v>45264</v>
      </c>
      <c r="C1943" s="1" t="n">
        <v>45472</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61370-2023</t>
        </is>
      </c>
      <c r="B1944" s="1" t="n">
        <v>45264</v>
      </c>
      <c r="C1944" s="1" t="n">
        <v>45472</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61923-2023</t>
        </is>
      </c>
      <c r="B1945" s="1" t="n">
        <v>45266</v>
      </c>
      <c r="C1945" s="1" t="n">
        <v>45472</v>
      </c>
      <c r="D1945" t="inlineStr">
        <is>
          <t>VÄRMLANDS LÄN</t>
        </is>
      </c>
      <c r="E1945" t="inlineStr">
        <is>
          <t>TORSBY</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61921-2023</t>
        </is>
      </c>
      <c r="B1946" s="1" t="n">
        <v>45266</v>
      </c>
      <c r="C1946" s="1" t="n">
        <v>45472</v>
      </c>
      <c r="D1946" t="inlineStr">
        <is>
          <t>VÄRMLANDS LÄN</t>
        </is>
      </c>
      <c r="E1946" t="inlineStr">
        <is>
          <t>TORSBY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62037-2023</t>
        </is>
      </c>
      <c r="B1947" s="1" t="n">
        <v>45266</v>
      </c>
      <c r="C1947" s="1" t="n">
        <v>45472</v>
      </c>
      <c r="D1947" t="inlineStr">
        <is>
          <t>VÄRMLANDS LÄN</t>
        </is>
      </c>
      <c r="E1947" t="inlineStr">
        <is>
          <t>TORSBY</t>
        </is>
      </c>
      <c r="F1947" t="inlineStr">
        <is>
          <t>Bergvik skog väst AB</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62258-2023</t>
        </is>
      </c>
      <c r="B1948" s="1" t="n">
        <v>45266</v>
      </c>
      <c r="C1948" s="1" t="n">
        <v>45472</v>
      </c>
      <c r="D1948" t="inlineStr">
        <is>
          <t>VÄRMLANDS LÄN</t>
        </is>
      </c>
      <c r="E1948" t="inlineStr">
        <is>
          <t>TORSBY</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62250-2023</t>
        </is>
      </c>
      <c r="B1949" s="1" t="n">
        <v>45266</v>
      </c>
      <c r="C1949" s="1" t="n">
        <v>45472</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62274-2023</t>
        </is>
      </c>
      <c r="B1950" s="1" t="n">
        <v>45267</v>
      </c>
      <c r="C1950" s="1" t="n">
        <v>45472</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62168-2023</t>
        </is>
      </c>
      <c r="B1951" s="1" t="n">
        <v>45267</v>
      </c>
      <c r="C1951" s="1" t="n">
        <v>45472</v>
      </c>
      <c r="D1951" t="inlineStr">
        <is>
          <t>VÄRMLANDS LÄN</t>
        </is>
      </c>
      <c r="E1951" t="inlineStr">
        <is>
          <t>TORSBY</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62210-2023</t>
        </is>
      </c>
      <c r="B1952" s="1" t="n">
        <v>45267</v>
      </c>
      <c r="C1952" s="1" t="n">
        <v>45472</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62236-2023</t>
        </is>
      </c>
      <c r="B1953" s="1" t="n">
        <v>45267</v>
      </c>
      <c r="C1953" s="1" t="n">
        <v>45472</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62240-2023</t>
        </is>
      </c>
      <c r="B1954" s="1" t="n">
        <v>45267</v>
      </c>
      <c r="C1954" s="1" t="n">
        <v>45472</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62317-2023</t>
        </is>
      </c>
      <c r="B1955" s="1" t="n">
        <v>45267</v>
      </c>
      <c r="C1955" s="1" t="n">
        <v>45472</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62507-2023</t>
        </is>
      </c>
      <c r="B1956" s="1" t="n">
        <v>45267</v>
      </c>
      <c r="C1956" s="1" t="n">
        <v>45472</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62387-2023</t>
        </is>
      </c>
      <c r="B1957" s="1" t="n">
        <v>45268</v>
      </c>
      <c r="C1957" s="1" t="n">
        <v>45472</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62445-2023</t>
        </is>
      </c>
      <c r="B1958" s="1" t="n">
        <v>45268</v>
      </c>
      <c r="C1958" s="1" t="n">
        <v>45472</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62510-2023</t>
        </is>
      </c>
      <c r="B1959" s="1" t="n">
        <v>45268</v>
      </c>
      <c r="C1959" s="1" t="n">
        <v>45472</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62618-2023</t>
        </is>
      </c>
      <c r="B1960" s="1" t="n">
        <v>45271</v>
      </c>
      <c r="C1960" s="1" t="n">
        <v>45472</v>
      </c>
      <c r="D1960" t="inlineStr">
        <is>
          <t>VÄRMLANDS LÄN</t>
        </is>
      </c>
      <c r="E1960" t="inlineStr">
        <is>
          <t>TORSBY</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62957-2023</t>
        </is>
      </c>
      <c r="B1961" s="1" t="n">
        <v>45271</v>
      </c>
      <c r="C1961" s="1" t="n">
        <v>45472</v>
      </c>
      <c r="D1961" t="inlineStr">
        <is>
          <t>VÄRMLANDS LÄN</t>
        </is>
      </c>
      <c r="E1961" t="inlineStr">
        <is>
          <t>TORSBY</t>
        </is>
      </c>
      <c r="F1961" t="inlineStr">
        <is>
          <t>Övriga statliga verk och myndigheter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62950-2023</t>
        </is>
      </c>
      <c r="B1962" s="1" t="n">
        <v>45271</v>
      </c>
      <c r="C1962" s="1" t="n">
        <v>45472</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63030-2023</t>
        </is>
      </c>
      <c r="B1963" s="1" t="n">
        <v>45272</v>
      </c>
      <c r="C1963" s="1" t="n">
        <v>45472</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63031-2023</t>
        </is>
      </c>
      <c r="B1964" s="1" t="n">
        <v>45272</v>
      </c>
      <c r="C1964" s="1" t="n">
        <v>45472</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63028-2023</t>
        </is>
      </c>
      <c r="B1965" s="1" t="n">
        <v>45272</v>
      </c>
      <c r="C1965" s="1" t="n">
        <v>45472</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63032-2023</t>
        </is>
      </c>
      <c r="B1966" s="1" t="n">
        <v>45272</v>
      </c>
      <c r="C1966" s="1" t="n">
        <v>45472</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45472</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63160-2023</t>
        </is>
      </c>
      <c r="B1968" s="1" t="n">
        <v>45273</v>
      </c>
      <c r="C1968" s="1" t="n">
        <v>45472</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63146-2023</t>
        </is>
      </c>
      <c r="B1969" s="1" t="n">
        <v>45273</v>
      </c>
      <c r="C1969" s="1" t="n">
        <v>45472</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63266-2023</t>
        </is>
      </c>
      <c r="B1970" s="1" t="n">
        <v>45273</v>
      </c>
      <c r="C1970" s="1" t="n">
        <v>45472</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v>
      </c>
      <c r="C1971" s="1" t="n">
        <v>45472</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63244-2023</t>
        </is>
      </c>
      <c r="B1972" s="1" t="n">
        <v>45273</v>
      </c>
      <c r="C1972" s="1" t="n">
        <v>45472</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63158-2023</t>
        </is>
      </c>
      <c r="B1973" s="1" t="n">
        <v>45273</v>
      </c>
      <c r="C1973" s="1" t="n">
        <v>45472</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63363-2023</t>
        </is>
      </c>
      <c r="B1974" s="1" t="n">
        <v>45273</v>
      </c>
      <c r="C1974" s="1" t="n">
        <v>45472</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63399-2023</t>
        </is>
      </c>
      <c r="B1975" s="1" t="n">
        <v>45274</v>
      </c>
      <c r="C1975" s="1" t="n">
        <v>45472</v>
      </c>
      <c r="D1975" t="inlineStr">
        <is>
          <t>VÄRMLANDS LÄN</t>
        </is>
      </c>
      <c r="E1975" t="inlineStr">
        <is>
          <t>TORSBY</t>
        </is>
      </c>
      <c r="F1975" t="inlineStr">
        <is>
          <t>Bergvik skog väst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63409-2023</t>
        </is>
      </c>
      <c r="B1976" s="1" t="n">
        <v>45274</v>
      </c>
      <c r="C1976" s="1" t="n">
        <v>45472</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63821-2023</t>
        </is>
      </c>
      <c r="B1977" s="1" t="n">
        <v>45275</v>
      </c>
      <c r="C1977" s="1" t="n">
        <v>45472</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63820-2023</t>
        </is>
      </c>
      <c r="B1978" s="1" t="n">
        <v>45278</v>
      </c>
      <c r="C1978" s="1" t="n">
        <v>45472</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63866-2023</t>
        </is>
      </c>
      <c r="B1979" s="1" t="n">
        <v>45278</v>
      </c>
      <c r="C1979" s="1" t="n">
        <v>45472</v>
      </c>
      <c r="D1979" t="inlineStr">
        <is>
          <t>VÄRMLANDS LÄN</t>
        </is>
      </c>
      <c r="E1979" t="inlineStr">
        <is>
          <t>TORSBY</t>
        </is>
      </c>
      <c r="F1979" t="inlineStr">
        <is>
          <t>Bergvik skog väst AB</t>
        </is>
      </c>
      <c r="G1979" t="n">
        <v>58.2</v>
      </c>
      <c r="H1979" t="n">
        <v>0</v>
      </c>
      <c r="I1979" t="n">
        <v>0</v>
      </c>
      <c r="J1979" t="n">
        <v>0</v>
      </c>
      <c r="K1979" t="n">
        <v>0</v>
      </c>
      <c r="L1979" t="n">
        <v>0</v>
      </c>
      <c r="M1979" t="n">
        <v>0</v>
      </c>
      <c r="N1979" t="n">
        <v>0</v>
      </c>
      <c r="O1979" t="n">
        <v>0</v>
      </c>
      <c r="P1979" t="n">
        <v>0</v>
      </c>
      <c r="Q1979" t="n">
        <v>0</v>
      </c>
      <c r="R1979" s="2" t="inlineStr"/>
    </row>
    <row r="1980" ht="15" customHeight="1">
      <c r="A1980" t="inlineStr">
        <is>
          <t>A 63955-2023</t>
        </is>
      </c>
      <c r="B1980" s="1" t="n">
        <v>45278</v>
      </c>
      <c r="C1980" s="1" t="n">
        <v>45472</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63967-2023</t>
        </is>
      </c>
      <c r="B1981" s="1" t="n">
        <v>45278</v>
      </c>
      <c r="C1981" s="1" t="n">
        <v>45472</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64162-2023</t>
        </is>
      </c>
      <c r="B1982" s="1" t="n">
        <v>45279</v>
      </c>
      <c r="C1982" s="1" t="n">
        <v>45472</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64432-2023</t>
        </is>
      </c>
      <c r="B1983" s="1" t="n">
        <v>45280</v>
      </c>
      <c r="C1983" s="1" t="n">
        <v>45472</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64389-2023</t>
        </is>
      </c>
      <c r="B1984" s="1" t="n">
        <v>45280</v>
      </c>
      <c r="C1984" s="1" t="n">
        <v>45472</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64454-2023</t>
        </is>
      </c>
      <c r="B1985" s="1" t="n">
        <v>45280</v>
      </c>
      <c r="C1985" s="1" t="n">
        <v>45472</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64395-2023</t>
        </is>
      </c>
      <c r="B1986" s="1" t="n">
        <v>45280</v>
      </c>
      <c r="C1986" s="1" t="n">
        <v>45472</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64400-2023</t>
        </is>
      </c>
      <c r="B1987" s="1" t="n">
        <v>45280</v>
      </c>
      <c r="C1987" s="1" t="n">
        <v>45472</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64429-2023</t>
        </is>
      </c>
      <c r="B1988" s="1" t="n">
        <v>45280</v>
      </c>
      <c r="C1988" s="1" t="n">
        <v>45472</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64590-2023</t>
        </is>
      </c>
      <c r="B1989" s="1" t="n">
        <v>45281</v>
      </c>
      <c r="C1989" s="1" t="n">
        <v>45472</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64602-2023</t>
        </is>
      </c>
      <c r="B1990" s="1" t="n">
        <v>45281</v>
      </c>
      <c r="C1990" s="1" t="n">
        <v>45472</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64641-2023</t>
        </is>
      </c>
      <c r="B1991" s="1" t="n">
        <v>45281</v>
      </c>
      <c r="C1991" s="1" t="n">
        <v>45472</v>
      </c>
      <c r="D1991" t="inlineStr">
        <is>
          <t>VÄRMLANDS LÄN</t>
        </is>
      </c>
      <c r="E1991" t="inlineStr">
        <is>
          <t>TORSBY</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64671-2023</t>
        </is>
      </c>
      <c r="B1992" s="1" t="n">
        <v>45281</v>
      </c>
      <c r="C1992" s="1" t="n">
        <v>45472</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64664-2023</t>
        </is>
      </c>
      <c r="B1993" s="1" t="n">
        <v>45281</v>
      </c>
      <c r="C1993" s="1" t="n">
        <v>45472</v>
      </c>
      <c r="D1993" t="inlineStr">
        <is>
          <t>VÄRMLANDS LÄN</t>
        </is>
      </c>
      <c r="E1993" t="inlineStr">
        <is>
          <t>TORSBY</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64672-2023</t>
        </is>
      </c>
      <c r="B1994" s="1" t="n">
        <v>45281</v>
      </c>
      <c r="C1994" s="1" t="n">
        <v>45472</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64640-2023</t>
        </is>
      </c>
      <c r="B1995" s="1" t="n">
        <v>45281</v>
      </c>
      <c r="C1995" s="1" t="n">
        <v>45472</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65081-2023</t>
        </is>
      </c>
      <c r="B1996" s="1" t="n">
        <v>45288</v>
      </c>
      <c r="C1996" s="1" t="n">
        <v>45472</v>
      </c>
      <c r="D1996" t="inlineStr">
        <is>
          <t>VÄRMLANDS LÄN</t>
        </is>
      </c>
      <c r="E1996" t="inlineStr">
        <is>
          <t>TORSBY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65134-2023</t>
        </is>
      </c>
      <c r="B1997" s="1" t="n">
        <v>45288</v>
      </c>
      <c r="C1997" s="1" t="n">
        <v>45472</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65204-2023</t>
        </is>
      </c>
      <c r="B1998" s="1" t="n">
        <v>45289</v>
      </c>
      <c r="C1998" s="1" t="n">
        <v>45472</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173-2024</t>
        </is>
      </c>
      <c r="B1999" s="1" t="n">
        <v>45294</v>
      </c>
      <c r="C1999" s="1" t="n">
        <v>45472</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119-2024</t>
        </is>
      </c>
      <c r="B2000" s="1" t="n">
        <v>45294</v>
      </c>
      <c r="C2000" s="1" t="n">
        <v>45472</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144-2024</t>
        </is>
      </c>
      <c r="B2001" s="1" t="n">
        <v>45294</v>
      </c>
      <c r="C2001" s="1" t="n">
        <v>45472</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234-2024</t>
        </is>
      </c>
      <c r="B2002" s="1" t="n">
        <v>45294</v>
      </c>
      <c r="C2002" s="1" t="n">
        <v>45472</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176-2024</t>
        </is>
      </c>
      <c r="B2003" s="1" t="n">
        <v>45294</v>
      </c>
      <c r="C2003" s="1" t="n">
        <v>45472</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235-2024</t>
        </is>
      </c>
      <c r="B2004" s="1" t="n">
        <v>45294</v>
      </c>
      <c r="C2004" s="1" t="n">
        <v>45472</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236-2024</t>
        </is>
      </c>
      <c r="B2005" s="1" t="n">
        <v>45294</v>
      </c>
      <c r="C2005" s="1" t="n">
        <v>45472</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266-2024</t>
        </is>
      </c>
      <c r="B2006" s="1" t="n">
        <v>45295</v>
      </c>
      <c r="C2006" s="1" t="n">
        <v>45472</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276-2024</t>
        </is>
      </c>
      <c r="B2007" s="1" t="n">
        <v>45295</v>
      </c>
      <c r="C2007" s="1" t="n">
        <v>45472</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324-2024</t>
        </is>
      </c>
      <c r="B2008" s="1" t="n">
        <v>45295</v>
      </c>
      <c r="C2008" s="1" t="n">
        <v>45472</v>
      </c>
      <c r="D2008" t="inlineStr">
        <is>
          <t>VÄRMLANDS LÄN</t>
        </is>
      </c>
      <c r="E2008" t="inlineStr">
        <is>
          <t>TORSBY</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423-2024</t>
        </is>
      </c>
      <c r="B2009" s="1" t="n">
        <v>45296</v>
      </c>
      <c r="C2009" s="1" t="n">
        <v>45472</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45472</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737-2024</t>
        </is>
      </c>
      <c r="B2011" s="1" t="n">
        <v>45300</v>
      </c>
      <c r="C2011" s="1" t="n">
        <v>45472</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714-2024</t>
        </is>
      </c>
      <c r="B2012" s="1" t="n">
        <v>45300</v>
      </c>
      <c r="C2012" s="1" t="n">
        <v>45472</v>
      </c>
      <c r="D2012" t="inlineStr">
        <is>
          <t>VÄRMLANDS LÄN</t>
        </is>
      </c>
      <c r="E2012" t="inlineStr">
        <is>
          <t>TORSBY</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731-2024</t>
        </is>
      </c>
      <c r="B2013" s="1" t="n">
        <v>45300</v>
      </c>
      <c r="C2013" s="1" t="n">
        <v>45472</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924-2024</t>
        </is>
      </c>
      <c r="B2014" s="1" t="n">
        <v>45301</v>
      </c>
      <c r="C2014" s="1" t="n">
        <v>45472</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869-2024</t>
        </is>
      </c>
      <c r="B2015" s="1" t="n">
        <v>45301</v>
      </c>
      <c r="C2015" s="1" t="n">
        <v>45472</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877-2024</t>
        </is>
      </c>
      <c r="B2016" s="1" t="n">
        <v>45301</v>
      </c>
      <c r="C2016" s="1" t="n">
        <v>45472</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1001-2024</t>
        </is>
      </c>
      <c r="B2017" s="1" t="n">
        <v>45301</v>
      </c>
      <c r="C2017" s="1" t="n">
        <v>45472</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894-2024</t>
        </is>
      </c>
      <c r="B2018" s="1" t="n">
        <v>45301</v>
      </c>
      <c r="C2018" s="1" t="n">
        <v>45472</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1042-2024</t>
        </is>
      </c>
      <c r="B2019" s="1" t="n">
        <v>45301</v>
      </c>
      <c r="C2019" s="1" t="n">
        <v>45472</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1046-2024</t>
        </is>
      </c>
      <c r="B2020" s="1" t="n">
        <v>45301</v>
      </c>
      <c r="C2020" s="1" t="n">
        <v>45472</v>
      </c>
      <c r="D2020" t="inlineStr">
        <is>
          <t>VÄRMLANDS LÄN</t>
        </is>
      </c>
      <c r="E2020" t="inlineStr">
        <is>
          <t>TORSBY</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1041-2024</t>
        </is>
      </c>
      <c r="B2021" s="1" t="n">
        <v>45301</v>
      </c>
      <c r="C2021" s="1" t="n">
        <v>45472</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1040-2024</t>
        </is>
      </c>
      <c r="B2022" s="1" t="n">
        <v>45301</v>
      </c>
      <c r="C2022" s="1" t="n">
        <v>45472</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1080-2024</t>
        </is>
      </c>
      <c r="B2023" s="1" t="n">
        <v>45302</v>
      </c>
      <c r="C2023" s="1" t="n">
        <v>45472</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1086-2024</t>
        </is>
      </c>
      <c r="B2024" s="1" t="n">
        <v>45302</v>
      </c>
      <c r="C2024" s="1" t="n">
        <v>45472</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1091-2024</t>
        </is>
      </c>
      <c r="B2025" s="1" t="n">
        <v>45302</v>
      </c>
      <c r="C2025" s="1" t="n">
        <v>45472</v>
      </c>
      <c r="D2025" t="inlineStr">
        <is>
          <t>VÄRMLANDS LÄN</t>
        </is>
      </c>
      <c r="E2025" t="inlineStr">
        <is>
          <t>TORSBY</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1243-2024</t>
        </is>
      </c>
      <c r="B2026" s="1" t="n">
        <v>45302</v>
      </c>
      <c r="C2026" s="1" t="n">
        <v>45472</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1154-2024</t>
        </is>
      </c>
      <c r="B2027" s="1" t="n">
        <v>45302</v>
      </c>
      <c r="C2027" s="1" t="n">
        <v>45472</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1090-2024</t>
        </is>
      </c>
      <c r="B2028" s="1" t="n">
        <v>45302</v>
      </c>
      <c r="C2028" s="1" t="n">
        <v>45472</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1094-2024</t>
        </is>
      </c>
      <c r="B2029" s="1" t="n">
        <v>45302</v>
      </c>
      <c r="C2029" s="1" t="n">
        <v>45472</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1232-2024</t>
        </is>
      </c>
      <c r="B2030" s="1" t="n">
        <v>45302</v>
      </c>
      <c r="C2030" s="1" t="n">
        <v>45472</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1236-2024</t>
        </is>
      </c>
      <c r="B2031" s="1" t="n">
        <v>45302</v>
      </c>
      <c r="C2031" s="1" t="n">
        <v>45472</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1275-2024</t>
        </is>
      </c>
      <c r="B2032" s="1" t="n">
        <v>45302</v>
      </c>
      <c r="C2032" s="1" t="n">
        <v>45472</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1363-2024</t>
        </is>
      </c>
      <c r="B2033" s="1" t="n">
        <v>45303</v>
      </c>
      <c r="C2033" s="1" t="n">
        <v>45472</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1527-2024</t>
        </is>
      </c>
      <c r="B2034" s="1" t="n">
        <v>45306</v>
      </c>
      <c r="C2034" s="1" t="n">
        <v>45472</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1522-2024</t>
        </is>
      </c>
      <c r="B2035" s="1" t="n">
        <v>45306</v>
      </c>
      <c r="C2035" s="1" t="n">
        <v>45472</v>
      </c>
      <c r="D2035" t="inlineStr">
        <is>
          <t>VÄRMLANDS LÄN</t>
        </is>
      </c>
      <c r="E2035" t="inlineStr">
        <is>
          <t>TORSBY</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1547-2024</t>
        </is>
      </c>
      <c r="B2036" s="1" t="n">
        <v>45306</v>
      </c>
      <c r="C2036" s="1" t="n">
        <v>45472</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1528-2024</t>
        </is>
      </c>
      <c r="B2037" s="1" t="n">
        <v>45306</v>
      </c>
      <c r="C2037" s="1" t="n">
        <v>45472</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1637-2024</t>
        </is>
      </c>
      <c r="B2038" s="1" t="n">
        <v>45306</v>
      </c>
      <c r="C2038" s="1" t="n">
        <v>45472</v>
      </c>
      <c r="D2038" t="inlineStr">
        <is>
          <t>VÄRMLANDS LÄN</t>
        </is>
      </c>
      <c r="E2038" t="inlineStr">
        <is>
          <t>TORSBY</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1608-2024</t>
        </is>
      </c>
      <c r="B2039" s="1" t="n">
        <v>45306</v>
      </c>
      <c r="C2039" s="1" t="n">
        <v>45472</v>
      </c>
      <c r="D2039" t="inlineStr">
        <is>
          <t>VÄRMLANDS LÄN</t>
        </is>
      </c>
      <c r="E2039" t="inlineStr">
        <is>
          <t>TORSBY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1700-2024</t>
        </is>
      </c>
      <c r="B2040" s="1" t="n">
        <v>45307</v>
      </c>
      <c r="C2040" s="1" t="n">
        <v>45472</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45472</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1757-2024</t>
        </is>
      </c>
      <c r="B2042" s="1" t="n">
        <v>45307</v>
      </c>
      <c r="C2042" s="1" t="n">
        <v>45472</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1970-2024</t>
        </is>
      </c>
      <c r="B2043" s="1" t="n">
        <v>45308</v>
      </c>
      <c r="C2043" s="1" t="n">
        <v>45472</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2155-2024</t>
        </is>
      </c>
      <c r="B2044" s="1" t="n">
        <v>45309</v>
      </c>
      <c r="C2044" s="1" t="n">
        <v>45472</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v>
      </c>
      <c r="C2045" s="1" t="n">
        <v>45472</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2308-2024</t>
        </is>
      </c>
      <c r="B2046" s="1" t="n">
        <v>45310</v>
      </c>
      <c r="C2046" s="1" t="n">
        <v>45472</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2328-2024</t>
        </is>
      </c>
      <c r="B2047" s="1" t="n">
        <v>45310</v>
      </c>
      <c r="C2047" s="1" t="n">
        <v>45472</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2466-2024</t>
        </is>
      </c>
      <c r="B2048" s="1" t="n">
        <v>45313</v>
      </c>
      <c r="C2048" s="1" t="n">
        <v>45472</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2689-2024</t>
        </is>
      </c>
      <c r="B2049" s="1" t="n">
        <v>45314</v>
      </c>
      <c r="C2049" s="1" t="n">
        <v>45472</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2784-2024</t>
        </is>
      </c>
      <c r="B2050" s="1" t="n">
        <v>45314</v>
      </c>
      <c r="C2050" s="1" t="n">
        <v>45472</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2662-2024</t>
        </is>
      </c>
      <c r="B2051" s="1" t="n">
        <v>45314</v>
      </c>
      <c r="C2051" s="1" t="n">
        <v>45472</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2870-2024</t>
        </is>
      </c>
      <c r="B2052" s="1" t="n">
        <v>45315</v>
      </c>
      <c r="C2052" s="1" t="n">
        <v>45472</v>
      </c>
      <c r="D2052" t="inlineStr">
        <is>
          <t>VÄRMLANDS LÄN</t>
        </is>
      </c>
      <c r="E2052" t="inlineStr">
        <is>
          <t>TORSBY</t>
        </is>
      </c>
      <c r="F2052" t="inlineStr">
        <is>
          <t>Bergvik skog väst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3106-2024</t>
        </is>
      </c>
      <c r="B2053" s="1" t="n">
        <v>45316</v>
      </c>
      <c r="C2053" s="1" t="n">
        <v>45472</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3069-2024</t>
        </is>
      </c>
      <c r="B2054" s="1" t="n">
        <v>45316</v>
      </c>
      <c r="C2054" s="1" t="n">
        <v>45472</v>
      </c>
      <c r="D2054" t="inlineStr">
        <is>
          <t>VÄRMLANDS LÄN</t>
        </is>
      </c>
      <c r="E2054" t="inlineStr">
        <is>
          <t>TORSBY</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3326-2024</t>
        </is>
      </c>
      <c r="B2055" s="1" t="n">
        <v>45317</v>
      </c>
      <c r="C2055" s="1" t="n">
        <v>45472</v>
      </c>
      <c r="D2055" t="inlineStr">
        <is>
          <t>VÄRMLANDS LÄN</t>
        </is>
      </c>
      <c r="E2055" t="inlineStr">
        <is>
          <t>TORSBY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3298-2024</t>
        </is>
      </c>
      <c r="B2056" s="1" t="n">
        <v>45317</v>
      </c>
      <c r="C2056" s="1" t="n">
        <v>45472</v>
      </c>
      <c r="D2056" t="inlineStr">
        <is>
          <t>VÄRMLANDS LÄN</t>
        </is>
      </c>
      <c r="E2056" t="inlineStr">
        <is>
          <t>TORSBY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3331-2024</t>
        </is>
      </c>
      <c r="B2057" s="1" t="n">
        <v>45317</v>
      </c>
      <c r="C2057" s="1" t="n">
        <v>45472</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3591-2024</t>
        </is>
      </c>
      <c r="B2058" s="1" t="n">
        <v>45320</v>
      </c>
      <c r="C2058" s="1" t="n">
        <v>45472</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3479-2024</t>
        </is>
      </c>
      <c r="B2059" s="1" t="n">
        <v>45320</v>
      </c>
      <c r="C2059" s="1" t="n">
        <v>45472</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3536-2024</t>
        </is>
      </c>
      <c r="B2060" s="1" t="n">
        <v>45320</v>
      </c>
      <c r="C2060" s="1" t="n">
        <v>45472</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3590-2024</t>
        </is>
      </c>
      <c r="B2061" s="1" t="n">
        <v>45320</v>
      </c>
      <c r="C2061" s="1" t="n">
        <v>45472</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3608-2024</t>
        </is>
      </c>
      <c r="B2062" s="1" t="n">
        <v>45320</v>
      </c>
      <c r="C2062" s="1" t="n">
        <v>45472</v>
      </c>
      <c r="D2062" t="inlineStr">
        <is>
          <t>VÄRMLANDS LÄN</t>
        </is>
      </c>
      <c r="E2062" t="inlineStr">
        <is>
          <t>TORSBY</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3678-2024</t>
        </is>
      </c>
      <c r="B2063" s="1" t="n">
        <v>45321</v>
      </c>
      <c r="C2063" s="1" t="n">
        <v>45472</v>
      </c>
      <c r="D2063" t="inlineStr">
        <is>
          <t>VÄRMLANDS LÄN</t>
        </is>
      </c>
      <c r="E2063" t="inlineStr">
        <is>
          <t>TORSBY</t>
        </is>
      </c>
      <c r="G2063" t="n">
        <v>24.6</v>
      </c>
      <c r="H2063" t="n">
        <v>0</v>
      </c>
      <c r="I2063" t="n">
        <v>0</v>
      </c>
      <c r="J2063" t="n">
        <v>0</v>
      </c>
      <c r="K2063" t="n">
        <v>0</v>
      </c>
      <c r="L2063" t="n">
        <v>0</v>
      </c>
      <c r="M2063" t="n">
        <v>0</v>
      </c>
      <c r="N2063" t="n">
        <v>0</v>
      </c>
      <c r="O2063" t="n">
        <v>0</v>
      </c>
      <c r="P2063" t="n">
        <v>0</v>
      </c>
      <c r="Q2063" t="n">
        <v>0</v>
      </c>
      <c r="R2063" s="2" t="inlineStr"/>
    </row>
    <row r="2064" ht="15" customHeight="1">
      <c r="A2064" t="inlineStr">
        <is>
          <t>A 3672-2024</t>
        </is>
      </c>
      <c r="B2064" s="1" t="n">
        <v>45321</v>
      </c>
      <c r="C2064" s="1" t="n">
        <v>45472</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3720-2024</t>
        </is>
      </c>
      <c r="B2065" s="1" t="n">
        <v>45321</v>
      </c>
      <c r="C2065" s="1" t="n">
        <v>45472</v>
      </c>
      <c r="D2065" t="inlineStr">
        <is>
          <t>VÄRMLANDS LÄN</t>
        </is>
      </c>
      <c r="E2065" t="inlineStr">
        <is>
          <t>TORSBY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3724-2024</t>
        </is>
      </c>
      <c r="B2066" s="1" t="n">
        <v>45321</v>
      </c>
      <c r="C2066" s="1" t="n">
        <v>45472</v>
      </c>
      <c r="D2066" t="inlineStr">
        <is>
          <t>VÄRMLANDS LÄN</t>
        </is>
      </c>
      <c r="E2066" t="inlineStr">
        <is>
          <t>TORSBY</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3673-2024</t>
        </is>
      </c>
      <c r="B2067" s="1" t="n">
        <v>45321</v>
      </c>
      <c r="C2067" s="1" t="n">
        <v>45472</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3750-2024</t>
        </is>
      </c>
      <c r="B2068" s="1" t="n">
        <v>45321</v>
      </c>
      <c r="C2068" s="1" t="n">
        <v>45472</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3734-2024</t>
        </is>
      </c>
      <c r="B2069" s="1" t="n">
        <v>45321</v>
      </c>
      <c r="C2069" s="1" t="n">
        <v>45472</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3822-2024</t>
        </is>
      </c>
      <c r="B2070" s="1" t="n">
        <v>45321</v>
      </c>
      <c r="C2070" s="1" t="n">
        <v>45472</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3922-2024</t>
        </is>
      </c>
      <c r="B2071" s="1" t="n">
        <v>45322</v>
      </c>
      <c r="C2071" s="1" t="n">
        <v>45472</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4030-2024</t>
        </is>
      </c>
      <c r="B2072" s="1" t="n">
        <v>45323</v>
      </c>
      <c r="C2072" s="1" t="n">
        <v>45472</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4070-2024</t>
        </is>
      </c>
      <c r="B2073" s="1" t="n">
        <v>45323</v>
      </c>
      <c r="C2073" s="1" t="n">
        <v>45472</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4078-2024</t>
        </is>
      </c>
      <c r="B2074" s="1" t="n">
        <v>45323</v>
      </c>
      <c r="C2074" s="1" t="n">
        <v>45472</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v>
      </c>
      <c r="C2075" s="1" t="n">
        <v>45472</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4219-2024</t>
        </is>
      </c>
      <c r="B2076" s="1" t="n">
        <v>45324</v>
      </c>
      <c r="C2076" s="1" t="n">
        <v>45472</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4908-2024</t>
        </is>
      </c>
      <c r="B2077" s="1" t="n">
        <v>45329</v>
      </c>
      <c r="C2077" s="1" t="n">
        <v>45472</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4918-2024</t>
        </is>
      </c>
      <c r="B2078" s="1" t="n">
        <v>45329</v>
      </c>
      <c r="C2078" s="1" t="n">
        <v>45472</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4920-2024</t>
        </is>
      </c>
      <c r="B2079" s="1" t="n">
        <v>45329</v>
      </c>
      <c r="C2079" s="1" t="n">
        <v>45472</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4913-2024</t>
        </is>
      </c>
      <c r="B2080" s="1" t="n">
        <v>45329</v>
      </c>
      <c r="C2080" s="1" t="n">
        <v>45472</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5115-2024</t>
        </is>
      </c>
      <c r="B2081" s="1" t="n">
        <v>45330</v>
      </c>
      <c r="C2081" s="1" t="n">
        <v>45472</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5351-2024</t>
        </is>
      </c>
      <c r="B2082" s="1" t="n">
        <v>45331</v>
      </c>
      <c r="C2082" s="1" t="n">
        <v>45472</v>
      </c>
      <c r="D2082" t="inlineStr">
        <is>
          <t>VÄRMLANDS LÄN</t>
        </is>
      </c>
      <c r="E2082" t="inlineStr">
        <is>
          <t>TORSBY</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5509-2024</t>
        </is>
      </c>
      <c r="B2083" s="1" t="n">
        <v>45334</v>
      </c>
      <c r="C2083" s="1" t="n">
        <v>45472</v>
      </c>
      <c r="D2083" t="inlineStr">
        <is>
          <t>VÄRMLANDS LÄN</t>
        </is>
      </c>
      <c r="E2083" t="inlineStr">
        <is>
          <t>TORSBY</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5814-2024</t>
        </is>
      </c>
      <c r="B2084" s="1" t="n">
        <v>45335</v>
      </c>
      <c r="C2084" s="1" t="n">
        <v>45472</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5863-2024</t>
        </is>
      </c>
      <c r="B2085" s="1" t="n">
        <v>45335</v>
      </c>
      <c r="C2085" s="1" t="n">
        <v>45472</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5948-2024</t>
        </is>
      </c>
      <c r="B2086" s="1" t="n">
        <v>45336</v>
      </c>
      <c r="C2086" s="1" t="n">
        <v>45472</v>
      </c>
      <c r="D2086" t="inlineStr">
        <is>
          <t>VÄRMLANDS LÄN</t>
        </is>
      </c>
      <c r="E2086" t="inlineStr">
        <is>
          <t>TORSBY</t>
        </is>
      </c>
      <c r="F2086" t="inlineStr">
        <is>
          <t>Bergvik skog väst AB</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v>
      </c>
      <c r="C2087" s="1" t="n">
        <v>45472</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6371-2024</t>
        </is>
      </c>
      <c r="B2088" s="1" t="n">
        <v>45338</v>
      </c>
      <c r="C2088" s="1" t="n">
        <v>45472</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45472</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6646-2024</t>
        </is>
      </c>
      <c r="B2090" s="1" t="n">
        <v>45341</v>
      </c>
      <c r="C2090" s="1" t="n">
        <v>45472</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6675-2024</t>
        </is>
      </c>
      <c r="B2091" s="1" t="n">
        <v>45341</v>
      </c>
      <c r="C2091" s="1" t="n">
        <v>45472</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6828-2024</t>
        </is>
      </c>
      <c r="B2092" s="1" t="n">
        <v>45342</v>
      </c>
      <c r="C2092" s="1" t="n">
        <v>45472</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6943-2024</t>
        </is>
      </c>
      <c r="B2093" s="1" t="n">
        <v>45343</v>
      </c>
      <c r="C2093" s="1" t="n">
        <v>45472</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6942-2024</t>
        </is>
      </c>
      <c r="B2094" s="1" t="n">
        <v>45343</v>
      </c>
      <c r="C2094" s="1" t="n">
        <v>45472</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7221-2024</t>
        </is>
      </c>
      <c r="B2095" s="1" t="n">
        <v>45344</v>
      </c>
      <c r="C2095" s="1" t="n">
        <v>45472</v>
      </c>
      <c r="D2095" t="inlineStr">
        <is>
          <t>VÄRMLANDS LÄN</t>
        </is>
      </c>
      <c r="E2095" t="inlineStr">
        <is>
          <t>TORSBY</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7490-2024</t>
        </is>
      </c>
      <c r="B2096" s="1" t="n">
        <v>45346</v>
      </c>
      <c r="C2096" s="1" t="n">
        <v>45472</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7494-2024</t>
        </is>
      </c>
      <c r="B2097" s="1" t="n">
        <v>45346</v>
      </c>
      <c r="C2097" s="1" t="n">
        <v>45472</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7487-2024</t>
        </is>
      </c>
      <c r="B2098" s="1" t="n">
        <v>45346</v>
      </c>
      <c r="C2098" s="1" t="n">
        <v>45472</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7491-2024</t>
        </is>
      </c>
      <c r="B2099" s="1" t="n">
        <v>45346</v>
      </c>
      <c r="C2099" s="1" t="n">
        <v>45472</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7489-2024</t>
        </is>
      </c>
      <c r="B2100" s="1" t="n">
        <v>45346</v>
      </c>
      <c r="C2100" s="1" t="n">
        <v>45472</v>
      </c>
      <c r="D2100" t="inlineStr">
        <is>
          <t>VÄRMLANDS LÄN</t>
        </is>
      </c>
      <c r="E2100" t="inlineStr">
        <is>
          <t>TORSBY</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7493-2024</t>
        </is>
      </c>
      <c r="B2101" s="1" t="n">
        <v>45346</v>
      </c>
      <c r="C2101" s="1" t="n">
        <v>45472</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7488-2024</t>
        </is>
      </c>
      <c r="B2102" s="1" t="n">
        <v>45346</v>
      </c>
      <c r="C2102" s="1" t="n">
        <v>45472</v>
      </c>
      <c r="D2102" t="inlineStr">
        <is>
          <t>VÄRMLANDS LÄN</t>
        </is>
      </c>
      <c r="E2102" t="inlineStr">
        <is>
          <t>TORSBY</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7500-2024</t>
        </is>
      </c>
      <c r="B2103" s="1" t="n">
        <v>45347</v>
      </c>
      <c r="C2103" s="1" t="n">
        <v>45472</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7651-2024</t>
        </is>
      </c>
      <c r="B2104" s="1" t="n">
        <v>45348</v>
      </c>
      <c r="C2104" s="1" t="n">
        <v>45472</v>
      </c>
      <c r="D2104" t="inlineStr">
        <is>
          <t>VÄRMLANDS LÄN</t>
        </is>
      </c>
      <c r="E2104" t="inlineStr">
        <is>
          <t>TORSBY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7636-2024</t>
        </is>
      </c>
      <c r="B2105" s="1" t="n">
        <v>45348</v>
      </c>
      <c r="C2105" s="1" t="n">
        <v>45472</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7676-2024</t>
        </is>
      </c>
      <c r="B2106" s="1" t="n">
        <v>45348</v>
      </c>
      <c r="C2106" s="1" t="n">
        <v>45472</v>
      </c>
      <c r="D2106" t="inlineStr">
        <is>
          <t>VÄRMLANDS LÄN</t>
        </is>
      </c>
      <c r="E2106" t="inlineStr">
        <is>
          <t>TORSBY</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7677-2024</t>
        </is>
      </c>
      <c r="B2107" s="1" t="n">
        <v>45348</v>
      </c>
      <c r="C2107" s="1" t="n">
        <v>45472</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7757-2024</t>
        </is>
      </c>
      <c r="B2108" s="1" t="n">
        <v>45349</v>
      </c>
      <c r="C2108" s="1" t="n">
        <v>45472</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7927-2024</t>
        </is>
      </c>
      <c r="B2109" s="1" t="n">
        <v>45350</v>
      </c>
      <c r="C2109" s="1" t="n">
        <v>45472</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8012-2024</t>
        </is>
      </c>
      <c r="B2110" s="1" t="n">
        <v>45350</v>
      </c>
      <c r="C2110" s="1" t="n">
        <v>45472</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8625-2024</t>
        </is>
      </c>
      <c r="B2111" s="1" t="n">
        <v>45355</v>
      </c>
      <c r="C2111" s="1" t="n">
        <v>45472</v>
      </c>
      <c r="D2111" t="inlineStr">
        <is>
          <t>VÄRMLANDS LÄN</t>
        </is>
      </c>
      <c r="E2111" t="inlineStr">
        <is>
          <t>TORSBY</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8728-2024</t>
        </is>
      </c>
      <c r="B2112" s="1" t="n">
        <v>45356</v>
      </c>
      <c r="C2112" s="1" t="n">
        <v>45472</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8720-2024</t>
        </is>
      </c>
      <c r="B2113" s="1" t="n">
        <v>45356</v>
      </c>
      <c r="C2113" s="1" t="n">
        <v>45472</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8725-2024</t>
        </is>
      </c>
      <c r="B2114" s="1" t="n">
        <v>45356</v>
      </c>
      <c r="C2114" s="1" t="n">
        <v>45472</v>
      </c>
      <c r="D2114" t="inlineStr">
        <is>
          <t>VÄRMLANDS LÄN</t>
        </is>
      </c>
      <c r="E2114" t="inlineStr">
        <is>
          <t>TORSBY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8719-2024</t>
        </is>
      </c>
      <c r="B2115" s="1" t="n">
        <v>45356</v>
      </c>
      <c r="C2115" s="1" t="n">
        <v>45472</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9203-2024</t>
        </is>
      </c>
      <c r="B2116" s="1" t="n">
        <v>45358</v>
      </c>
      <c r="C2116" s="1" t="n">
        <v>45472</v>
      </c>
      <c r="D2116" t="inlineStr">
        <is>
          <t>VÄRMLANDS LÄN</t>
        </is>
      </c>
      <c r="E2116" t="inlineStr">
        <is>
          <t>TORSBY</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9381-2024</t>
        </is>
      </c>
      <c r="B2117" s="1" t="n">
        <v>45359</v>
      </c>
      <c r="C2117" s="1" t="n">
        <v>45472</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9764-2024</t>
        </is>
      </c>
      <c r="B2118" s="1" t="n">
        <v>45362</v>
      </c>
      <c r="C2118" s="1" t="n">
        <v>45472</v>
      </c>
      <c r="D2118" t="inlineStr">
        <is>
          <t>VÄRMLANDS LÄN</t>
        </is>
      </c>
      <c r="E2118" t="inlineStr">
        <is>
          <t>TORSBY</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9799-2024</t>
        </is>
      </c>
      <c r="B2119" s="1" t="n">
        <v>45362</v>
      </c>
      <c r="C2119" s="1" t="n">
        <v>45472</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v>
      </c>
      <c r="C2120" s="1" t="n">
        <v>45472</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9797-2024</t>
        </is>
      </c>
      <c r="B2121" s="1" t="n">
        <v>45362</v>
      </c>
      <c r="C2121" s="1" t="n">
        <v>45472</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9902-2024</t>
        </is>
      </c>
      <c r="B2122" s="1" t="n">
        <v>45363</v>
      </c>
      <c r="C2122" s="1" t="n">
        <v>45472</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9900-2024</t>
        </is>
      </c>
      <c r="B2123" s="1" t="n">
        <v>45363</v>
      </c>
      <c r="C2123" s="1" t="n">
        <v>45472</v>
      </c>
      <c r="D2123" t="inlineStr">
        <is>
          <t>VÄRMLANDS LÄN</t>
        </is>
      </c>
      <c r="E2123" t="inlineStr">
        <is>
          <t>TORSBY</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9904-2024</t>
        </is>
      </c>
      <c r="B2124" s="1" t="n">
        <v>45363</v>
      </c>
      <c r="C2124" s="1" t="n">
        <v>45472</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9908-2024</t>
        </is>
      </c>
      <c r="B2125" s="1" t="n">
        <v>45363</v>
      </c>
      <c r="C2125" s="1" t="n">
        <v>45472</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9912-2024</t>
        </is>
      </c>
      <c r="B2126" s="1" t="n">
        <v>45363</v>
      </c>
      <c r="C2126" s="1" t="n">
        <v>45472</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9871-2024</t>
        </is>
      </c>
      <c r="B2127" s="1" t="n">
        <v>45363</v>
      </c>
      <c r="C2127" s="1" t="n">
        <v>45472</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10011-2024</t>
        </is>
      </c>
      <c r="B2128" s="1" t="n">
        <v>45363</v>
      </c>
      <c r="C2128" s="1" t="n">
        <v>45472</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10304-2024</t>
        </is>
      </c>
      <c r="B2129" s="1" t="n">
        <v>45365</v>
      </c>
      <c r="C2129" s="1" t="n">
        <v>45472</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10372-2024</t>
        </is>
      </c>
      <c r="B2130" s="1" t="n">
        <v>45365</v>
      </c>
      <c r="C2130" s="1" t="n">
        <v>45472</v>
      </c>
      <c r="D2130" t="inlineStr">
        <is>
          <t>VÄRMLANDS LÄN</t>
        </is>
      </c>
      <c r="E2130" t="inlineStr">
        <is>
          <t>TORSBY</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10380-2024</t>
        </is>
      </c>
      <c r="B2131" s="1" t="n">
        <v>45365</v>
      </c>
      <c r="C2131" s="1" t="n">
        <v>45472</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10466-2024</t>
        </is>
      </c>
      <c r="B2132" s="1" t="n">
        <v>45366</v>
      </c>
      <c r="C2132" s="1" t="n">
        <v>45472</v>
      </c>
      <c r="D2132" t="inlineStr">
        <is>
          <t>VÄRMLANDS LÄN</t>
        </is>
      </c>
      <c r="E2132" t="inlineStr">
        <is>
          <t>TORSBY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10589-2024</t>
        </is>
      </c>
      <c r="B2133" s="1" t="n">
        <v>45366</v>
      </c>
      <c r="C2133" s="1" t="n">
        <v>45472</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10587-2024</t>
        </is>
      </c>
      <c r="B2134" s="1" t="n">
        <v>45366</v>
      </c>
      <c r="C2134" s="1" t="n">
        <v>45472</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10684-2024</t>
        </is>
      </c>
      <c r="B2135" s="1" t="n">
        <v>45369</v>
      </c>
      <c r="C2135" s="1" t="n">
        <v>45472</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10895-2024</t>
        </is>
      </c>
      <c r="B2136" s="1" t="n">
        <v>45370</v>
      </c>
      <c r="C2136" s="1" t="n">
        <v>45472</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11121-2024</t>
        </is>
      </c>
      <c r="B2137" s="1" t="n">
        <v>45371</v>
      </c>
      <c r="C2137" s="1" t="n">
        <v>45472</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11153-2024</t>
        </is>
      </c>
      <c r="B2138" s="1" t="n">
        <v>45371</v>
      </c>
      <c r="C2138" s="1" t="n">
        <v>45472</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45472</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11143-2024</t>
        </is>
      </c>
      <c r="B2140" s="1" t="n">
        <v>45371</v>
      </c>
      <c r="C2140" s="1" t="n">
        <v>45472</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11187-2024</t>
        </is>
      </c>
      <c r="B2141" s="1" t="n">
        <v>45371</v>
      </c>
      <c r="C2141" s="1" t="n">
        <v>45472</v>
      </c>
      <c r="D2141" t="inlineStr">
        <is>
          <t>VÄRMLANDS LÄN</t>
        </is>
      </c>
      <c r="E2141" t="inlineStr">
        <is>
          <t>TORSBY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11211-2024</t>
        </is>
      </c>
      <c r="B2142" s="1" t="n">
        <v>45371</v>
      </c>
      <c r="C2142" s="1" t="n">
        <v>45472</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11227-2024</t>
        </is>
      </c>
      <c r="B2143" s="1" t="n">
        <v>45371</v>
      </c>
      <c r="C2143" s="1" t="n">
        <v>45472</v>
      </c>
      <c r="D2143" t="inlineStr">
        <is>
          <t>VÄRMLANDS LÄN</t>
        </is>
      </c>
      <c r="E2143" t="inlineStr">
        <is>
          <t>TORSBY</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11235-2024</t>
        </is>
      </c>
      <c r="B2144" s="1" t="n">
        <v>45371</v>
      </c>
      <c r="C2144" s="1" t="n">
        <v>45472</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11214-2024</t>
        </is>
      </c>
      <c r="B2145" s="1" t="n">
        <v>45371</v>
      </c>
      <c r="C2145" s="1" t="n">
        <v>45472</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11222-2024</t>
        </is>
      </c>
      <c r="B2146" s="1" t="n">
        <v>45371</v>
      </c>
      <c r="C2146" s="1" t="n">
        <v>45472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11242-2024</t>
        </is>
      </c>
      <c r="B2147" s="1" t="n">
        <v>45371</v>
      </c>
      <c r="C2147" s="1" t="n">
        <v>45472</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11253-2024</t>
        </is>
      </c>
      <c r="B2148" s="1" t="n">
        <v>45371</v>
      </c>
      <c r="C2148" s="1" t="n">
        <v>45472</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11259-2024</t>
        </is>
      </c>
      <c r="B2149" s="1" t="n">
        <v>45371</v>
      </c>
      <c r="C2149" s="1" t="n">
        <v>45472</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11172-2024</t>
        </is>
      </c>
      <c r="B2150" s="1" t="n">
        <v>45371</v>
      </c>
      <c r="C2150" s="1" t="n">
        <v>45472</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11380-2024</t>
        </is>
      </c>
      <c r="B2151" s="1" t="n">
        <v>45372</v>
      </c>
      <c r="C2151" s="1" t="n">
        <v>45472</v>
      </c>
      <c r="D2151" t="inlineStr">
        <is>
          <t>VÄRMLANDS LÄN</t>
        </is>
      </c>
      <c r="E2151" t="inlineStr">
        <is>
          <t>TORSBY</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11575-2024</t>
        </is>
      </c>
      <c r="B2152" s="1" t="n">
        <v>45373</v>
      </c>
      <c r="C2152" s="1" t="n">
        <v>45472</v>
      </c>
      <c r="D2152" t="inlineStr">
        <is>
          <t>VÄRMLANDS LÄN</t>
        </is>
      </c>
      <c r="E2152" t="inlineStr">
        <is>
          <t>TORSBY</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11706-2024</t>
        </is>
      </c>
      <c r="B2153" s="1" t="n">
        <v>45373</v>
      </c>
      <c r="C2153" s="1" t="n">
        <v>45472</v>
      </c>
      <c r="D2153" t="inlineStr">
        <is>
          <t>VÄRMLANDS LÄN</t>
        </is>
      </c>
      <c r="E2153" t="inlineStr">
        <is>
          <t>TORSBY</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11776-2024</t>
        </is>
      </c>
      <c r="B2154" s="1" t="n">
        <v>45374</v>
      </c>
      <c r="C2154" s="1" t="n">
        <v>45472</v>
      </c>
      <c r="D2154" t="inlineStr">
        <is>
          <t>VÄRMLANDS LÄN</t>
        </is>
      </c>
      <c r="E2154" t="inlineStr">
        <is>
          <t>TORSBY</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11814-2024</t>
        </is>
      </c>
      <c r="B2155" s="1" t="n">
        <v>45376</v>
      </c>
      <c r="C2155" s="1" t="n">
        <v>45472</v>
      </c>
      <c r="D2155" t="inlineStr">
        <is>
          <t>VÄRMLANDS LÄN</t>
        </is>
      </c>
      <c r="E2155" t="inlineStr">
        <is>
          <t>TORSBY</t>
        </is>
      </c>
      <c r="F2155" t="inlineStr">
        <is>
          <t>Bergvik skog väst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11850-2024</t>
        </is>
      </c>
      <c r="B2156" s="1" t="n">
        <v>45376</v>
      </c>
      <c r="C2156" s="1" t="n">
        <v>45472</v>
      </c>
      <c r="D2156" t="inlineStr">
        <is>
          <t>VÄRMLANDS LÄN</t>
        </is>
      </c>
      <c r="E2156" t="inlineStr">
        <is>
          <t>TORSBY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11878-2024</t>
        </is>
      </c>
      <c r="B2157" s="1" t="n">
        <v>45376</v>
      </c>
      <c r="C2157" s="1" t="n">
        <v>45472</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12104-2024</t>
        </is>
      </c>
      <c r="B2158" s="1" t="n">
        <v>45377</v>
      </c>
      <c r="C2158" s="1" t="n">
        <v>45472</v>
      </c>
      <c r="D2158" t="inlineStr">
        <is>
          <t>VÄRMLANDS LÄN</t>
        </is>
      </c>
      <c r="E2158" t="inlineStr">
        <is>
          <t>TORSBY</t>
        </is>
      </c>
      <c r="F2158" t="inlineStr">
        <is>
          <t>Bergvik skog väst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12107-2024</t>
        </is>
      </c>
      <c r="B2159" s="1" t="n">
        <v>45377</v>
      </c>
      <c r="C2159" s="1" t="n">
        <v>45472</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12051-2024</t>
        </is>
      </c>
      <c r="B2160" s="1" t="n">
        <v>45377</v>
      </c>
      <c r="C2160" s="1" t="n">
        <v>45472</v>
      </c>
      <c r="D2160" t="inlineStr">
        <is>
          <t>VÄRMLANDS LÄN</t>
        </is>
      </c>
      <c r="E2160" t="inlineStr">
        <is>
          <t>TORSBY</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12509-2024</t>
        </is>
      </c>
      <c r="B2161" s="1" t="n">
        <v>45379</v>
      </c>
      <c r="C2161" s="1" t="n">
        <v>45472</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12503-2024</t>
        </is>
      </c>
      <c r="B2162" s="1" t="n">
        <v>45379</v>
      </c>
      <c r="C2162" s="1" t="n">
        <v>45472</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12684-2024</t>
        </is>
      </c>
      <c r="B2163" s="1" t="n">
        <v>45384</v>
      </c>
      <c r="C2163" s="1" t="n">
        <v>45472</v>
      </c>
      <c r="D2163" t="inlineStr">
        <is>
          <t>VÄRMLANDS LÄN</t>
        </is>
      </c>
      <c r="E2163" t="inlineStr">
        <is>
          <t>TORSBY</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12701-2024</t>
        </is>
      </c>
      <c r="B2164" s="1" t="n">
        <v>45384</v>
      </c>
      <c r="C2164" s="1" t="n">
        <v>45472</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12989-2024</t>
        </is>
      </c>
      <c r="B2165" s="1" t="n">
        <v>45385</v>
      </c>
      <c r="C2165" s="1" t="n">
        <v>45472</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13211-2024</t>
        </is>
      </c>
      <c r="B2166" s="1" t="n">
        <v>45386</v>
      </c>
      <c r="C2166" s="1" t="n">
        <v>45472</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13262-2024</t>
        </is>
      </c>
      <c r="B2167" s="1" t="n">
        <v>45386</v>
      </c>
      <c r="C2167" s="1" t="n">
        <v>45472</v>
      </c>
      <c r="D2167" t="inlineStr">
        <is>
          <t>VÄRMLANDS LÄN</t>
        </is>
      </c>
      <c r="E2167" t="inlineStr">
        <is>
          <t>TORSBY</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13186-2024</t>
        </is>
      </c>
      <c r="B2168" s="1" t="n">
        <v>45386</v>
      </c>
      <c r="C2168" s="1" t="n">
        <v>45472</v>
      </c>
      <c r="D2168" t="inlineStr">
        <is>
          <t>VÄRMLANDS LÄN</t>
        </is>
      </c>
      <c r="E2168" t="inlineStr">
        <is>
          <t>TORSBY</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13206-2024</t>
        </is>
      </c>
      <c r="B2169" s="1" t="n">
        <v>45386</v>
      </c>
      <c r="C2169" s="1" t="n">
        <v>45472</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13435-2024</t>
        </is>
      </c>
      <c r="B2170" s="1" t="n">
        <v>45387</v>
      </c>
      <c r="C2170" s="1" t="n">
        <v>45472</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13619-2024</t>
        </is>
      </c>
      <c r="B2171" s="1" t="n">
        <v>45390</v>
      </c>
      <c r="C2171" s="1" t="n">
        <v>45472</v>
      </c>
      <c r="D2171" t="inlineStr">
        <is>
          <t>VÄRMLANDS LÄN</t>
        </is>
      </c>
      <c r="E2171" t="inlineStr">
        <is>
          <t>TORSBY</t>
        </is>
      </c>
      <c r="F2171" t="inlineStr">
        <is>
          <t>Bergvik skog väst AB</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13848-2024</t>
        </is>
      </c>
      <c r="B2172" s="1" t="n">
        <v>45390</v>
      </c>
      <c r="C2172" s="1" t="n">
        <v>45472</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13847-2024</t>
        </is>
      </c>
      <c r="B2173" s="1" t="n">
        <v>45390</v>
      </c>
      <c r="C2173" s="1" t="n">
        <v>45472</v>
      </c>
      <c r="D2173" t="inlineStr">
        <is>
          <t>VÄRMLANDS LÄN</t>
        </is>
      </c>
      <c r="E2173" t="inlineStr">
        <is>
          <t>TORSBY</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13797-2024</t>
        </is>
      </c>
      <c r="B2174" s="1" t="n">
        <v>45391</v>
      </c>
      <c r="C2174" s="1" t="n">
        <v>45472</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14023-2024</t>
        </is>
      </c>
      <c r="B2175" s="1" t="n">
        <v>45392</v>
      </c>
      <c r="C2175" s="1" t="n">
        <v>45472</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13965-2024</t>
        </is>
      </c>
      <c r="B2176" s="1" t="n">
        <v>45392</v>
      </c>
      <c r="C2176" s="1" t="n">
        <v>45472</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14052-2024</t>
        </is>
      </c>
      <c r="B2177" s="1" t="n">
        <v>45392</v>
      </c>
      <c r="C2177" s="1" t="n">
        <v>45472</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14063-2024</t>
        </is>
      </c>
      <c r="B2178" s="1" t="n">
        <v>45392</v>
      </c>
      <c r="C2178" s="1" t="n">
        <v>45472</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14283-2024</t>
        </is>
      </c>
      <c r="B2179" s="1" t="n">
        <v>45393</v>
      </c>
      <c r="C2179" s="1" t="n">
        <v>45472</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14440-2024</t>
        </is>
      </c>
      <c r="B2180" s="1" t="n">
        <v>45394</v>
      </c>
      <c r="C2180" s="1" t="n">
        <v>45472</v>
      </c>
      <c r="D2180" t="inlineStr">
        <is>
          <t>VÄRMLANDS LÄN</t>
        </is>
      </c>
      <c r="E2180" t="inlineStr">
        <is>
          <t>TORSBY</t>
        </is>
      </c>
      <c r="F2180" t="inlineStr">
        <is>
          <t>Bergvik skog väst AB</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14393-2024</t>
        </is>
      </c>
      <c r="B2181" s="1" t="n">
        <v>45394</v>
      </c>
      <c r="C2181" s="1" t="n">
        <v>45472</v>
      </c>
      <c r="D2181" t="inlineStr">
        <is>
          <t>VÄRMLANDS LÄN</t>
        </is>
      </c>
      <c r="E2181" t="inlineStr">
        <is>
          <t>TORSBY</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14453-2024</t>
        </is>
      </c>
      <c r="B2182" s="1" t="n">
        <v>45394</v>
      </c>
      <c r="C2182" s="1" t="n">
        <v>45472</v>
      </c>
      <c r="D2182" t="inlineStr">
        <is>
          <t>VÄRMLANDS LÄN</t>
        </is>
      </c>
      <c r="E2182" t="inlineStr">
        <is>
          <t>TORSBY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14730-2024</t>
        </is>
      </c>
      <c r="B2183" s="1" t="n">
        <v>45397</v>
      </c>
      <c r="C2183" s="1" t="n">
        <v>45472</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14763-2024</t>
        </is>
      </c>
      <c r="B2184" s="1" t="n">
        <v>45397</v>
      </c>
      <c r="C2184" s="1" t="n">
        <v>45472</v>
      </c>
      <c r="D2184" t="inlineStr">
        <is>
          <t>VÄRMLANDS LÄN</t>
        </is>
      </c>
      <c r="E2184" t="inlineStr">
        <is>
          <t>TORSBY</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14872-2024</t>
        </is>
      </c>
      <c r="B2185" s="1" t="n">
        <v>45398</v>
      </c>
      <c r="C2185" s="1" t="n">
        <v>45472</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14831-2024</t>
        </is>
      </c>
      <c r="B2186" s="1" t="n">
        <v>45398</v>
      </c>
      <c r="C2186" s="1" t="n">
        <v>45472</v>
      </c>
      <c r="D2186" t="inlineStr">
        <is>
          <t>VÄRMLANDS LÄN</t>
        </is>
      </c>
      <c r="E2186" t="inlineStr">
        <is>
          <t>TORSBY</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14949-2024</t>
        </is>
      </c>
      <c r="B2187" s="1" t="n">
        <v>45398</v>
      </c>
      <c r="C2187" s="1" t="n">
        <v>45472</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14882-2024</t>
        </is>
      </c>
      <c r="B2188" s="1" t="n">
        <v>45398</v>
      </c>
      <c r="C2188" s="1" t="n">
        <v>45472</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14860-2024</t>
        </is>
      </c>
      <c r="B2189" s="1" t="n">
        <v>45398</v>
      </c>
      <c r="C2189" s="1" t="n">
        <v>45472</v>
      </c>
      <c r="D2189" t="inlineStr">
        <is>
          <t>VÄRMLANDS LÄN</t>
        </is>
      </c>
      <c r="E2189" t="inlineStr">
        <is>
          <t>TORSBY</t>
        </is>
      </c>
      <c r="F2189" t="inlineStr">
        <is>
          <t>Kyrkan</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15083-2024</t>
        </is>
      </c>
      <c r="B2190" s="1" t="n">
        <v>45399</v>
      </c>
      <c r="C2190" s="1" t="n">
        <v>45472</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15052-2024</t>
        </is>
      </c>
      <c r="B2191" s="1" t="n">
        <v>45399</v>
      </c>
      <c r="C2191" s="1" t="n">
        <v>45472</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15064-2024</t>
        </is>
      </c>
      <c r="B2192" s="1" t="n">
        <v>45399</v>
      </c>
      <c r="C2192" s="1" t="n">
        <v>45472</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15101-2024</t>
        </is>
      </c>
      <c r="B2193" s="1" t="n">
        <v>45399</v>
      </c>
      <c r="C2193" s="1" t="n">
        <v>45472</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15061-2024</t>
        </is>
      </c>
      <c r="B2194" s="1" t="n">
        <v>45399</v>
      </c>
      <c r="C2194" s="1" t="n">
        <v>45472</v>
      </c>
      <c r="D2194" t="inlineStr">
        <is>
          <t>VÄRMLANDS LÄN</t>
        </is>
      </c>
      <c r="E2194" t="inlineStr">
        <is>
          <t>TORSBY</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15126-2024</t>
        </is>
      </c>
      <c r="B2195" s="1" t="n">
        <v>45399</v>
      </c>
      <c r="C2195" s="1" t="n">
        <v>45472</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15127-2024</t>
        </is>
      </c>
      <c r="B2196" s="1" t="n">
        <v>45399</v>
      </c>
      <c r="C2196" s="1" t="n">
        <v>45472</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15182-2024</t>
        </is>
      </c>
      <c r="B2197" s="1" t="n">
        <v>45400</v>
      </c>
      <c r="C2197" s="1" t="n">
        <v>45472</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15180-2024</t>
        </is>
      </c>
      <c r="B2198" s="1" t="n">
        <v>45400</v>
      </c>
      <c r="C2198" s="1" t="n">
        <v>45472</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15222-2024</t>
        </is>
      </c>
      <c r="B2199" s="1" t="n">
        <v>45400</v>
      </c>
      <c r="C2199" s="1" t="n">
        <v>45472</v>
      </c>
      <c r="D2199" t="inlineStr">
        <is>
          <t>VÄRMLANDS LÄN</t>
        </is>
      </c>
      <c r="E2199" t="inlineStr">
        <is>
          <t>TORSBY</t>
        </is>
      </c>
      <c r="F2199" t="inlineStr">
        <is>
          <t>Bergvik skog väst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15274-2024</t>
        </is>
      </c>
      <c r="B2200" s="1" t="n">
        <v>45400</v>
      </c>
      <c r="C2200" s="1" t="n">
        <v>45472</v>
      </c>
      <c r="D2200" t="inlineStr">
        <is>
          <t>VÄRMLANDS LÄN</t>
        </is>
      </c>
      <c r="E2200" t="inlineStr">
        <is>
          <t>TORSBY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15293-2024</t>
        </is>
      </c>
      <c r="B2201" s="1" t="n">
        <v>45400</v>
      </c>
      <c r="C2201" s="1" t="n">
        <v>45472</v>
      </c>
      <c r="D2201" t="inlineStr">
        <is>
          <t>VÄRMLANDS LÄN</t>
        </is>
      </c>
      <c r="E2201" t="inlineStr">
        <is>
          <t>TORSBY</t>
        </is>
      </c>
      <c r="F2201" t="inlineStr">
        <is>
          <t>Bergvik skog väst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15175-2024</t>
        </is>
      </c>
      <c r="B2202" s="1" t="n">
        <v>45400</v>
      </c>
      <c r="C2202" s="1" t="n">
        <v>45472</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15315-2024</t>
        </is>
      </c>
      <c r="B2203" s="1" t="n">
        <v>45400</v>
      </c>
      <c r="C2203" s="1" t="n">
        <v>45472</v>
      </c>
      <c r="D2203" t="inlineStr">
        <is>
          <t>VÄRMLANDS LÄN</t>
        </is>
      </c>
      <c r="E2203" t="inlineStr">
        <is>
          <t>TORSBY</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15320-2024</t>
        </is>
      </c>
      <c r="B2204" s="1" t="n">
        <v>45400</v>
      </c>
      <c r="C2204" s="1" t="n">
        <v>45472</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15425-2024</t>
        </is>
      </c>
      <c r="B2205" s="1" t="n">
        <v>45401</v>
      </c>
      <c r="C2205" s="1" t="n">
        <v>45472</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15503-2024</t>
        </is>
      </c>
      <c r="B2206" s="1" t="n">
        <v>45401</v>
      </c>
      <c r="C2206" s="1" t="n">
        <v>45472</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15465-2024</t>
        </is>
      </c>
      <c r="B2207" s="1" t="n">
        <v>45401</v>
      </c>
      <c r="C2207" s="1" t="n">
        <v>45472</v>
      </c>
      <c r="D2207" t="inlineStr">
        <is>
          <t>VÄRMLANDS LÄN</t>
        </is>
      </c>
      <c r="E2207" t="inlineStr">
        <is>
          <t>TORSBY</t>
        </is>
      </c>
      <c r="F2207" t="inlineStr">
        <is>
          <t>Bergvik skog väst AB</t>
        </is>
      </c>
      <c r="G2207" t="n">
        <v>24.6</v>
      </c>
      <c r="H2207" t="n">
        <v>0</v>
      </c>
      <c r="I2207" t="n">
        <v>0</v>
      </c>
      <c r="J2207" t="n">
        <v>0</v>
      </c>
      <c r="K2207" t="n">
        <v>0</v>
      </c>
      <c r="L2207" t="n">
        <v>0</v>
      </c>
      <c r="M2207" t="n">
        <v>0</v>
      </c>
      <c r="N2207" t="n">
        <v>0</v>
      </c>
      <c r="O2207" t="n">
        <v>0</v>
      </c>
      <c r="P2207" t="n">
        <v>0</v>
      </c>
      <c r="Q2207" t="n">
        <v>0</v>
      </c>
      <c r="R2207" s="2" t="inlineStr"/>
    </row>
    <row r="2208" ht="15" customHeight="1">
      <c r="A2208" t="inlineStr">
        <is>
          <t>A 15730-2024</t>
        </is>
      </c>
      <c r="B2208" s="1" t="n">
        <v>45404</v>
      </c>
      <c r="C2208" s="1" t="n">
        <v>45472</v>
      </c>
      <c r="D2208" t="inlineStr">
        <is>
          <t>VÄRMLANDS LÄN</t>
        </is>
      </c>
      <c r="E2208" t="inlineStr">
        <is>
          <t>TORSBY</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15758-2024</t>
        </is>
      </c>
      <c r="B2209" s="1" t="n">
        <v>45404</v>
      </c>
      <c r="C2209" s="1" t="n">
        <v>45472</v>
      </c>
      <c r="D2209" t="inlineStr">
        <is>
          <t>VÄRMLANDS LÄN</t>
        </is>
      </c>
      <c r="E2209" t="inlineStr">
        <is>
          <t>TORSBY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15943-2024</t>
        </is>
      </c>
      <c r="B2210" s="1" t="n">
        <v>45405</v>
      </c>
      <c r="C2210" s="1" t="n">
        <v>45472</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15896-2024</t>
        </is>
      </c>
      <c r="B2211" s="1" t="n">
        <v>45405</v>
      </c>
      <c r="C2211" s="1" t="n">
        <v>45472</v>
      </c>
      <c r="D2211" t="inlineStr">
        <is>
          <t>VÄRMLANDS LÄN</t>
        </is>
      </c>
      <c r="E2211" t="inlineStr">
        <is>
          <t>TORSBY</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15892-2024</t>
        </is>
      </c>
      <c r="B2212" s="1" t="n">
        <v>45405</v>
      </c>
      <c r="C2212" s="1" t="n">
        <v>45472</v>
      </c>
      <c r="D2212" t="inlineStr">
        <is>
          <t>VÄRMLANDS LÄN</t>
        </is>
      </c>
      <c r="E2212" t="inlineStr">
        <is>
          <t>TORSBY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15899-2024</t>
        </is>
      </c>
      <c r="B2213" s="1" t="n">
        <v>45405</v>
      </c>
      <c r="C2213" s="1" t="n">
        <v>45472</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15874-2024</t>
        </is>
      </c>
      <c r="B2214" s="1" t="n">
        <v>45405</v>
      </c>
      <c r="C2214" s="1" t="n">
        <v>45472</v>
      </c>
      <c r="D2214" t="inlineStr">
        <is>
          <t>VÄRMLANDS LÄN</t>
        </is>
      </c>
      <c r="E2214" t="inlineStr">
        <is>
          <t>TORSBY</t>
        </is>
      </c>
      <c r="F2214" t="inlineStr">
        <is>
          <t>Bergvik skog väst AB</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16073-2024</t>
        </is>
      </c>
      <c r="B2215" s="1" t="n">
        <v>45406</v>
      </c>
      <c r="C2215" s="1" t="n">
        <v>45472</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16369-2024</t>
        </is>
      </c>
      <c r="B2216" s="1" t="n">
        <v>45407</v>
      </c>
      <c r="C2216" s="1" t="n">
        <v>45472</v>
      </c>
      <c r="D2216" t="inlineStr">
        <is>
          <t>VÄRMLANDS LÄN</t>
        </is>
      </c>
      <c r="E2216" t="inlineStr">
        <is>
          <t>TORSBY</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16517-2024</t>
        </is>
      </c>
      <c r="B2217" s="1" t="n">
        <v>45408</v>
      </c>
      <c r="C2217" s="1" t="n">
        <v>45472</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16585-2024</t>
        </is>
      </c>
      <c r="B2218" s="1" t="n">
        <v>45408</v>
      </c>
      <c r="C2218" s="1" t="n">
        <v>45472</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16654-2024</t>
        </is>
      </c>
      <c r="B2219" s="1" t="n">
        <v>45408</v>
      </c>
      <c r="C2219" s="1" t="n">
        <v>45472</v>
      </c>
      <c r="D2219" t="inlineStr">
        <is>
          <t>VÄRMLANDS LÄN</t>
        </is>
      </c>
      <c r="E2219" t="inlineStr">
        <is>
          <t>TORSBY</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16488-2024</t>
        </is>
      </c>
      <c r="B2220" s="1" t="n">
        <v>45408</v>
      </c>
      <c r="C2220" s="1" t="n">
        <v>45472</v>
      </c>
      <c r="D2220" t="inlineStr">
        <is>
          <t>VÄRMLANDS LÄN</t>
        </is>
      </c>
      <c r="E2220" t="inlineStr">
        <is>
          <t>TORSBY</t>
        </is>
      </c>
      <c r="F2220" t="inlineStr">
        <is>
          <t>Bergvik skog väst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16544-2024</t>
        </is>
      </c>
      <c r="B2221" s="1" t="n">
        <v>45408</v>
      </c>
      <c r="C2221" s="1" t="n">
        <v>45472</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16592-2024</t>
        </is>
      </c>
      <c r="B2222" s="1" t="n">
        <v>45408</v>
      </c>
      <c r="C2222" s="1" t="n">
        <v>45472</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16583-2024</t>
        </is>
      </c>
      <c r="B2223" s="1" t="n">
        <v>45408</v>
      </c>
      <c r="C2223" s="1" t="n">
        <v>45472</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16591-2024</t>
        </is>
      </c>
      <c r="B2224" s="1" t="n">
        <v>45408</v>
      </c>
      <c r="C2224" s="1" t="n">
        <v>45472</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16586-2024</t>
        </is>
      </c>
      <c r="B2225" s="1" t="n">
        <v>45408</v>
      </c>
      <c r="C2225" s="1" t="n">
        <v>45472</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16730-2024</t>
        </is>
      </c>
      <c r="B2226" s="1" t="n">
        <v>45410</v>
      </c>
      <c r="C2226" s="1" t="n">
        <v>45472</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16891-2024</t>
        </is>
      </c>
      <c r="B2227" s="1" t="n">
        <v>45411</v>
      </c>
      <c r="C2227" s="1" t="n">
        <v>45472</v>
      </c>
      <c r="D2227" t="inlineStr">
        <is>
          <t>VÄRMLANDS LÄN</t>
        </is>
      </c>
      <c r="E2227" t="inlineStr">
        <is>
          <t>TORSBY</t>
        </is>
      </c>
      <c r="F2227" t="inlineStr">
        <is>
          <t>Bergvik skog väst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16961-2024</t>
        </is>
      </c>
      <c r="B2228" s="1" t="n">
        <v>45412</v>
      </c>
      <c r="C2228" s="1" t="n">
        <v>45472</v>
      </c>
      <c r="D2228" t="inlineStr">
        <is>
          <t>VÄRMLANDS LÄN</t>
        </is>
      </c>
      <c r="E2228" t="inlineStr">
        <is>
          <t>TORSBY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16841-2024</t>
        </is>
      </c>
      <c r="B2229" s="1" t="n">
        <v>45411</v>
      </c>
      <c r="C2229" s="1" t="n">
        <v>45472</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16780-2024</t>
        </is>
      </c>
      <c r="B2230" s="1" t="n">
        <v>45411</v>
      </c>
      <c r="C2230" s="1" t="n">
        <v>45472</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16789-2024</t>
        </is>
      </c>
      <c r="B2231" s="1" t="n">
        <v>45411</v>
      </c>
      <c r="C2231" s="1" t="n">
        <v>45472</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17008-2024</t>
        </is>
      </c>
      <c r="B2232" s="1" t="n">
        <v>45412</v>
      </c>
      <c r="C2232" s="1" t="n">
        <v>45472</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17001-2024</t>
        </is>
      </c>
      <c r="B2233" s="1" t="n">
        <v>45412</v>
      </c>
      <c r="C2233" s="1" t="n">
        <v>45472</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17083-2024</t>
        </is>
      </c>
      <c r="B2234" s="1" t="n">
        <v>45412</v>
      </c>
      <c r="C2234" s="1" t="n">
        <v>45472</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17024-2024</t>
        </is>
      </c>
      <c r="B2235" s="1" t="n">
        <v>45412</v>
      </c>
      <c r="C2235" s="1" t="n">
        <v>45472</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17017-2024</t>
        </is>
      </c>
      <c r="B2236" s="1" t="n">
        <v>45412</v>
      </c>
      <c r="C2236" s="1" t="n">
        <v>45472</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17047-2024</t>
        </is>
      </c>
      <c r="B2237" s="1" t="n">
        <v>45412</v>
      </c>
      <c r="C2237" s="1" t="n">
        <v>45472</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17265-2024</t>
        </is>
      </c>
      <c r="B2238" s="1" t="n">
        <v>45414</v>
      </c>
      <c r="C2238" s="1" t="n">
        <v>45472</v>
      </c>
      <c r="D2238" t="inlineStr">
        <is>
          <t>VÄRMLANDS LÄN</t>
        </is>
      </c>
      <c r="E2238" t="inlineStr">
        <is>
          <t>TORSBY</t>
        </is>
      </c>
      <c r="F2238" t="inlineStr">
        <is>
          <t>Bergvik skog väst AB</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17285-2024</t>
        </is>
      </c>
      <c r="B2239" s="1" t="n">
        <v>45414</v>
      </c>
      <c r="C2239" s="1" t="n">
        <v>45472</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17233-2024</t>
        </is>
      </c>
      <c r="B2240" s="1" t="n">
        <v>45414</v>
      </c>
      <c r="C2240" s="1" t="n">
        <v>45472</v>
      </c>
      <c r="D2240" t="inlineStr">
        <is>
          <t>VÄRMLANDS LÄN</t>
        </is>
      </c>
      <c r="E2240" t="inlineStr">
        <is>
          <t>TORSBY</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17390-2024</t>
        </is>
      </c>
      <c r="B2241" s="1" t="n">
        <v>45414</v>
      </c>
      <c r="C2241" s="1" t="n">
        <v>45472</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17364-2024</t>
        </is>
      </c>
      <c r="B2242" s="1" t="n">
        <v>45414</v>
      </c>
      <c r="C2242" s="1" t="n">
        <v>45472</v>
      </c>
      <c r="D2242" t="inlineStr">
        <is>
          <t>VÄRMLANDS LÄN</t>
        </is>
      </c>
      <c r="E2242" t="inlineStr">
        <is>
          <t>TORSBY</t>
        </is>
      </c>
      <c r="F2242" t="inlineStr">
        <is>
          <t>Bergvik skog väst AB</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17556-2024</t>
        </is>
      </c>
      <c r="B2243" s="1" t="n">
        <v>45415</v>
      </c>
      <c r="C2243" s="1" t="n">
        <v>45472</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17525-2024</t>
        </is>
      </c>
      <c r="B2244" s="1" t="n">
        <v>45415</v>
      </c>
      <c r="C2244" s="1" t="n">
        <v>45472</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17562-2024</t>
        </is>
      </c>
      <c r="B2245" s="1" t="n">
        <v>45415</v>
      </c>
      <c r="C2245" s="1" t="n">
        <v>45472</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17450-2024</t>
        </is>
      </c>
      <c r="B2246" s="1" t="n">
        <v>45415</v>
      </c>
      <c r="C2246" s="1" t="n">
        <v>45472</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17530-2024</t>
        </is>
      </c>
      <c r="B2247" s="1" t="n">
        <v>45415</v>
      </c>
      <c r="C2247" s="1" t="n">
        <v>45472</v>
      </c>
      <c r="D2247" t="inlineStr">
        <is>
          <t>VÄRMLANDS LÄN</t>
        </is>
      </c>
      <c r="E2247" t="inlineStr">
        <is>
          <t>TORSBY</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17687-2024</t>
        </is>
      </c>
      <c r="B2248" s="1" t="n">
        <v>45418</v>
      </c>
      <c r="C2248" s="1" t="n">
        <v>45472</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17717-2024</t>
        </is>
      </c>
      <c r="B2249" s="1" t="n">
        <v>45418</v>
      </c>
      <c r="C2249" s="1" t="n">
        <v>45472</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17959-2024</t>
        </is>
      </c>
      <c r="B2250" s="1" t="n">
        <v>45419</v>
      </c>
      <c r="C2250" s="1" t="n">
        <v>45472</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17921-2024</t>
        </is>
      </c>
      <c r="B2251" s="1" t="n">
        <v>45419</v>
      </c>
      <c r="C2251" s="1" t="n">
        <v>45472</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17837-2024</t>
        </is>
      </c>
      <c r="B2252" s="1" t="n">
        <v>45419</v>
      </c>
      <c r="C2252" s="1" t="n">
        <v>45472</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17879-2024</t>
        </is>
      </c>
      <c r="B2253" s="1" t="n">
        <v>45419</v>
      </c>
      <c r="C2253" s="1" t="n">
        <v>45472</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17931-2024</t>
        </is>
      </c>
      <c r="B2254" s="1" t="n">
        <v>45419</v>
      </c>
      <c r="C2254" s="1" t="n">
        <v>45472</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18125-2024</t>
        </is>
      </c>
      <c r="B2255" s="1" t="n">
        <v>45420</v>
      </c>
      <c r="C2255" s="1" t="n">
        <v>45472</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18155-2024</t>
        </is>
      </c>
      <c r="B2256" s="1" t="n">
        <v>45420</v>
      </c>
      <c r="C2256" s="1" t="n">
        <v>45472</v>
      </c>
      <c r="D2256" t="inlineStr">
        <is>
          <t>VÄRMLANDS LÄN</t>
        </is>
      </c>
      <c r="E2256" t="inlineStr">
        <is>
          <t>TORSBY</t>
        </is>
      </c>
      <c r="F2256" t="inlineStr">
        <is>
          <t>Bergvik skog väst AB</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18339-2024</t>
        </is>
      </c>
      <c r="B2257" s="1" t="n">
        <v>45422</v>
      </c>
      <c r="C2257" s="1" t="n">
        <v>45472</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18330-2024</t>
        </is>
      </c>
      <c r="B2258" s="1" t="n">
        <v>45422</v>
      </c>
      <c r="C2258" s="1" t="n">
        <v>45472</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18308-2024</t>
        </is>
      </c>
      <c r="B2259" s="1" t="n">
        <v>45422</v>
      </c>
      <c r="C2259" s="1" t="n">
        <v>45472</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18337-2024</t>
        </is>
      </c>
      <c r="B2260" s="1" t="n">
        <v>45422</v>
      </c>
      <c r="C2260" s="1" t="n">
        <v>45472</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18422-2024</t>
        </is>
      </c>
      <c r="B2261" s="1" t="n">
        <v>45425</v>
      </c>
      <c r="C2261" s="1" t="n">
        <v>45472</v>
      </c>
      <c r="D2261" t="inlineStr">
        <is>
          <t>VÄRMLANDS LÄN</t>
        </is>
      </c>
      <c r="E2261" t="inlineStr">
        <is>
          <t>TORSBY</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18682-2024</t>
        </is>
      </c>
      <c r="B2262" s="1" t="n">
        <v>45426</v>
      </c>
      <c r="C2262" s="1" t="n">
        <v>45472</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18883-2024</t>
        </is>
      </c>
      <c r="B2263" s="1" t="n">
        <v>45426</v>
      </c>
      <c r="C2263" s="1" t="n">
        <v>45472</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18855-2024</t>
        </is>
      </c>
      <c r="B2264" s="1" t="n">
        <v>45426</v>
      </c>
      <c r="C2264" s="1" t="n">
        <v>45472</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18890-2024</t>
        </is>
      </c>
      <c r="B2265" s="1" t="n">
        <v>45427</v>
      </c>
      <c r="C2265" s="1" t="n">
        <v>45472</v>
      </c>
      <c r="D2265" t="inlineStr">
        <is>
          <t>VÄRMLANDS LÄN</t>
        </is>
      </c>
      <c r="E2265" t="inlineStr">
        <is>
          <t>TORSBY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18953-2024</t>
        </is>
      </c>
      <c r="B2266" s="1" t="n">
        <v>45427</v>
      </c>
      <c r="C2266" s="1" t="n">
        <v>45472</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18959-2024</t>
        </is>
      </c>
      <c r="B2267" s="1" t="n">
        <v>45427</v>
      </c>
      <c r="C2267" s="1" t="n">
        <v>45472</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18955-2024</t>
        </is>
      </c>
      <c r="B2268" s="1" t="n">
        <v>45427</v>
      </c>
      <c r="C2268" s="1" t="n">
        <v>45472</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18897-2024</t>
        </is>
      </c>
      <c r="B2269" s="1" t="n">
        <v>45427</v>
      </c>
      <c r="C2269" s="1" t="n">
        <v>45472</v>
      </c>
      <c r="D2269" t="inlineStr">
        <is>
          <t>VÄRMLANDS LÄN</t>
        </is>
      </c>
      <c r="E2269" t="inlineStr">
        <is>
          <t>TORSBY</t>
        </is>
      </c>
      <c r="F2269" t="inlineStr">
        <is>
          <t>Övriga statliga verk och myndigheter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19029-2024</t>
        </is>
      </c>
      <c r="B2270" s="1" t="n">
        <v>45427</v>
      </c>
      <c r="C2270" s="1" t="n">
        <v>45472</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19136-2024</t>
        </is>
      </c>
      <c r="B2271" s="1" t="n">
        <v>45428</v>
      </c>
      <c r="C2271" s="1" t="n">
        <v>45472</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19251-2024</t>
        </is>
      </c>
      <c r="B2272" s="1" t="n">
        <v>45428</v>
      </c>
      <c r="C2272" s="1" t="n">
        <v>45472</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19215-2024</t>
        </is>
      </c>
      <c r="B2273" s="1" t="n">
        <v>45428</v>
      </c>
      <c r="C2273" s="1" t="n">
        <v>45472</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19665-2024</t>
        </is>
      </c>
      <c r="B2274" s="1" t="n">
        <v>45432</v>
      </c>
      <c r="C2274" s="1" t="n">
        <v>45472</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19887-2024</t>
        </is>
      </c>
      <c r="B2275" s="1" t="n">
        <v>45433</v>
      </c>
      <c r="C2275" s="1" t="n">
        <v>45472</v>
      </c>
      <c r="D2275" t="inlineStr">
        <is>
          <t>VÄRMLANDS LÄN</t>
        </is>
      </c>
      <c r="E2275" t="inlineStr">
        <is>
          <t>TORSBY</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20440-2024</t>
        </is>
      </c>
      <c r="B2276" s="1" t="n">
        <v>45435</v>
      </c>
      <c r="C2276" s="1" t="n">
        <v>45472</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20472-2024</t>
        </is>
      </c>
      <c r="B2277" s="1" t="n">
        <v>45435</v>
      </c>
      <c r="C2277" s="1" t="n">
        <v>45472</v>
      </c>
      <c r="D2277" t="inlineStr">
        <is>
          <t>VÄRMLANDS LÄN</t>
        </is>
      </c>
      <c r="E2277" t="inlineStr">
        <is>
          <t>TORSBY</t>
        </is>
      </c>
      <c r="F2277" t="inlineStr">
        <is>
          <t>Bergvik skog väst AB</t>
        </is>
      </c>
      <c r="G2277" t="n">
        <v>46.1</v>
      </c>
      <c r="H2277" t="n">
        <v>0</v>
      </c>
      <c r="I2277" t="n">
        <v>0</v>
      </c>
      <c r="J2277" t="n">
        <v>0</v>
      </c>
      <c r="K2277" t="n">
        <v>0</v>
      </c>
      <c r="L2277" t="n">
        <v>0</v>
      </c>
      <c r="M2277" t="n">
        <v>0</v>
      </c>
      <c r="N2277" t="n">
        <v>0</v>
      </c>
      <c r="O2277" t="n">
        <v>0</v>
      </c>
      <c r="P2277" t="n">
        <v>0</v>
      </c>
      <c r="Q2277" t="n">
        <v>0</v>
      </c>
      <c r="R2277" s="2" t="inlineStr"/>
    </row>
    <row r="2278" ht="15" customHeight="1">
      <c r="A2278" t="inlineStr">
        <is>
          <t>A 20645-2024</t>
        </is>
      </c>
      <c r="B2278" s="1" t="n">
        <v>45436</v>
      </c>
      <c r="C2278" s="1" t="n">
        <v>45472</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20725-2024</t>
        </is>
      </c>
      <c r="B2279" s="1" t="n">
        <v>45436</v>
      </c>
      <c r="C2279" s="1" t="n">
        <v>45472</v>
      </c>
      <c r="D2279" t="inlineStr">
        <is>
          <t>VÄRMLANDS LÄN</t>
        </is>
      </c>
      <c r="E2279" t="inlineStr">
        <is>
          <t>TORSBY</t>
        </is>
      </c>
      <c r="F2279" t="inlineStr">
        <is>
          <t>Bergvik skog väst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20633-2024</t>
        </is>
      </c>
      <c r="B2280" s="1" t="n">
        <v>45436</v>
      </c>
      <c r="C2280" s="1" t="n">
        <v>45472</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20537-2024</t>
        </is>
      </c>
      <c r="B2281" s="1" t="n">
        <v>45436</v>
      </c>
      <c r="C2281" s="1" t="n">
        <v>45472</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20647-2024</t>
        </is>
      </c>
      <c r="B2282" s="1" t="n">
        <v>45436</v>
      </c>
      <c r="C2282" s="1" t="n">
        <v>45472</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20872-2024</t>
        </is>
      </c>
      <c r="B2283" s="1" t="n">
        <v>45439</v>
      </c>
      <c r="C2283" s="1" t="n">
        <v>45472</v>
      </c>
      <c r="D2283" t="inlineStr">
        <is>
          <t>VÄRMLANDS LÄN</t>
        </is>
      </c>
      <c r="E2283" t="inlineStr">
        <is>
          <t>TORSBY</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21013-2024</t>
        </is>
      </c>
      <c r="B2284" s="1" t="n">
        <v>45439</v>
      </c>
      <c r="C2284" s="1" t="n">
        <v>45472</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20982-2024</t>
        </is>
      </c>
      <c r="B2285" s="1" t="n">
        <v>45439</v>
      </c>
      <c r="C2285" s="1" t="n">
        <v>45472</v>
      </c>
      <c r="D2285" t="inlineStr">
        <is>
          <t>VÄRMLANDS LÄN</t>
        </is>
      </c>
      <c r="E2285" t="inlineStr">
        <is>
          <t>TORSBY</t>
        </is>
      </c>
      <c r="F2285" t="inlineStr">
        <is>
          <t>Bergvik skog väst AB</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20985-2024</t>
        </is>
      </c>
      <c r="B2286" s="1" t="n">
        <v>45439</v>
      </c>
      <c r="C2286" s="1" t="n">
        <v>45472</v>
      </c>
      <c r="D2286" t="inlineStr">
        <is>
          <t>VÄRMLANDS LÄN</t>
        </is>
      </c>
      <c r="E2286" t="inlineStr">
        <is>
          <t>TORSBY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20968-2024</t>
        </is>
      </c>
      <c r="B2287" s="1" t="n">
        <v>45439</v>
      </c>
      <c r="C2287" s="1" t="n">
        <v>45472</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21280-2024</t>
        </is>
      </c>
      <c r="B2288" s="1" t="n">
        <v>45440</v>
      </c>
      <c r="C2288" s="1" t="n">
        <v>45472</v>
      </c>
      <c r="D2288" t="inlineStr">
        <is>
          <t>VÄRMLANDS LÄN</t>
        </is>
      </c>
      <c r="E2288" t="inlineStr">
        <is>
          <t>TORSBY</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21297-2024</t>
        </is>
      </c>
      <c r="B2289" s="1" t="n">
        <v>45440</v>
      </c>
      <c r="C2289" s="1" t="n">
        <v>45472</v>
      </c>
      <c r="D2289" t="inlineStr">
        <is>
          <t>VÄRMLANDS LÄN</t>
        </is>
      </c>
      <c r="E2289" t="inlineStr">
        <is>
          <t>TORSBY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21308-2024</t>
        </is>
      </c>
      <c r="B2290" s="1" t="n">
        <v>45440</v>
      </c>
      <c r="C2290" s="1" t="n">
        <v>45472</v>
      </c>
      <c r="D2290" t="inlineStr">
        <is>
          <t>VÄRMLANDS LÄN</t>
        </is>
      </c>
      <c r="E2290" t="inlineStr">
        <is>
          <t>TORSBY</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21518-2024</t>
        </is>
      </c>
      <c r="B2291" s="1" t="n">
        <v>45441</v>
      </c>
      <c r="C2291" s="1" t="n">
        <v>45472</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21542-2024</t>
        </is>
      </c>
      <c r="B2292" s="1" t="n">
        <v>45441</v>
      </c>
      <c r="C2292" s="1" t="n">
        <v>45472</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21580-2024</t>
        </is>
      </c>
      <c r="B2293" s="1" t="n">
        <v>45441</v>
      </c>
      <c r="C2293" s="1" t="n">
        <v>45472</v>
      </c>
      <c r="D2293" t="inlineStr">
        <is>
          <t>VÄRMLANDS LÄN</t>
        </is>
      </c>
      <c r="E2293" t="inlineStr">
        <is>
          <t>TORSBY</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21586-2024</t>
        </is>
      </c>
      <c r="B2294" s="1" t="n">
        <v>45441</v>
      </c>
      <c r="C2294" s="1" t="n">
        <v>45472</v>
      </c>
      <c r="D2294" t="inlineStr">
        <is>
          <t>VÄRMLANDS LÄN</t>
        </is>
      </c>
      <c r="E2294" t="inlineStr">
        <is>
          <t>TORSBY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45472</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21585-2024</t>
        </is>
      </c>
      <c r="B2296" s="1" t="n">
        <v>45441</v>
      </c>
      <c r="C2296" s="1" t="n">
        <v>45472</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21587-2024</t>
        </is>
      </c>
      <c r="B2297" s="1" t="n">
        <v>45441</v>
      </c>
      <c r="C2297" s="1" t="n">
        <v>45472</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21757-2024</t>
        </is>
      </c>
      <c r="B2298" s="1" t="n">
        <v>45442</v>
      </c>
      <c r="C2298" s="1" t="n">
        <v>45472</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21825-2024</t>
        </is>
      </c>
      <c r="B2299" s="1" t="n">
        <v>45442</v>
      </c>
      <c r="C2299" s="1" t="n">
        <v>45472</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21829-2024</t>
        </is>
      </c>
      <c r="B2300" s="1" t="n">
        <v>45442</v>
      </c>
      <c r="C2300" s="1" t="n">
        <v>45472</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21744-2024</t>
        </is>
      </c>
      <c r="B2301" s="1" t="n">
        <v>45442</v>
      </c>
      <c r="C2301" s="1" t="n">
        <v>45472</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21828-2024</t>
        </is>
      </c>
      <c r="B2302" s="1" t="n">
        <v>45442</v>
      </c>
      <c r="C2302" s="1" t="n">
        <v>45472</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21930-2024</t>
        </is>
      </c>
      <c r="B2303" s="1" t="n">
        <v>45443</v>
      </c>
      <c r="C2303" s="1" t="n">
        <v>45472</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22421-2024</t>
        </is>
      </c>
      <c r="B2304" s="1" t="n">
        <v>45446</v>
      </c>
      <c r="C2304" s="1" t="n">
        <v>45472</v>
      </c>
      <c r="D2304" t="inlineStr">
        <is>
          <t>VÄRMLANDS LÄN</t>
        </is>
      </c>
      <c r="E2304" t="inlineStr">
        <is>
          <t>TORSBY</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22426-2024</t>
        </is>
      </c>
      <c r="B2305" s="1" t="n">
        <v>45446</v>
      </c>
      <c r="C2305" s="1" t="n">
        <v>45472</v>
      </c>
      <c r="D2305" t="inlineStr">
        <is>
          <t>VÄRMLANDS LÄN</t>
        </is>
      </c>
      <c r="E2305" t="inlineStr">
        <is>
          <t>TORSBY</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45472</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45472</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22525-2024</t>
        </is>
      </c>
      <c r="B2308" s="1" t="n">
        <v>45447</v>
      </c>
      <c r="C2308" s="1" t="n">
        <v>45472</v>
      </c>
      <c r="D2308" t="inlineStr">
        <is>
          <t>VÄRMLANDS LÄN</t>
        </is>
      </c>
      <c r="E2308" t="inlineStr">
        <is>
          <t>TORSBY</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22536-2024</t>
        </is>
      </c>
      <c r="B2309" s="1" t="n">
        <v>45447</v>
      </c>
      <c r="C2309" s="1" t="n">
        <v>45472</v>
      </c>
      <c r="D2309" t="inlineStr">
        <is>
          <t>VÄRMLANDS LÄN</t>
        </is>
      </c>
      <c r="E2309" t="inlineStr">
        <is>
          <t>TORSBY</t>
        </is>
      </c>
      <c r="G2309" t="n">
        <v>25.2</v>
      </c>
      <c r="H2309" t="n">
        <v>0</v>
      </c>
      <c r="I2309" t="n">
        <v>0</v>
      </c>
      <c r="J2309" t="n">
        <v>0</v>
      </c>
      <c r="K2309" t="n">
        <v>0</v>
      </c>
      <c r="L2309" t="n">
        <v>0</v>
      </c>
      <c r="M2309" t="n">
        <v>0</v>
      </c>
      <c r="N2309" t="n">
        <v>0</v>
      </c>
      <c r="O2309" t="n">
        <v>0</v>
      </c>
      <c r="P2309" t="n">
        <v>0</v>
      </c>
      <c r="Q2309" t="n">
        <v>0</v>
      </c>
      <c r="R2309" s="2" t="inlineStr"/>
    </row>
    <row r="2310" ht="15" customHeight="1">
      <c r="A2310" t="inlineStr">
        <is>
          <t>A 22565-2024</t>
        </is>
      </c>
      <c r="B2310" s="1" t="n">
        <v>45447</v>
      </c>
      <c r="C2310" s="1" t="n">
        <v>45472</v>
      </c>
      <c r="D2310" t="inlineStr">
        <is>
          <t>VÄRMLANDS LÄN</t>
        </is>
      </c>
      <c r="E2310" t="inlineStr">
        <is>
          <t>TORSBY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22729-2024</t>
        </is>
      </c>
      <c r="B2311" s="1" t="n">
        <v>45448</v>
      </c>
      <c r="C2311" s="1" t="n">
        <v>45472</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22844-2024</t>
        </is>
      </c>
      <c r="B2312" s="1" t="n">
        <v>45448</v>
      </c>
      <c r="C2312" s="1" t="n">
        <v>45472</v>
      </c>
      <c r="D2312" t="inlineStr">
        <is>
          <t>VÄRMLANDS LÄN</t>
        </is>
      </c>
      <c r="E2312" t="inlineStr">
        <is>
          <t>TORSBY</t>
        </is>
      </c>
      <c r="F2312" t="inlineStr">
        <is>
          <t>Bergvik skog väst AB</t>
        </is>
      </c>
      <c r="G2312" t="n">
        <v>16.3</v>
      </c>
      <c r="H2312" t="n">
        <v>0</v>
      </c>
      <c r="I2312" t="n">
        <v>0</v>
      </c>
      <c r="J2312" t="n">
        <v>0</v>
      </c>
      <c r="K2312" t="n">
        <v>0</v>
      </c>
      <c r="L2312" t="n">
        <v>0</v>
      </c>
      <c r="M2312" t="n">
        <v>0</v>
      </c>
      <c r="N2312" t="n">
        <v>0</v>
      </c>
      <c r="O2312" t="n">
        <v>0</v>
      </c>
      <c r="P2312" t="n">
        <v>0</v>
      </c>
      <c r="Q2312" t="n">
        <v>0</v>
      </c>
      <c r="R2312" s="2" t="inlineStr"/>
    </row>
    <row r="2313" ht="15" customHeight="1">
      <c r="A2313" t="inlineStr">
        <is>
          <t>A 22843-2024</t>
        </is>
      </c>
      <c r="B2313" s="1" t="n">
        <v>45448</v>
      </c>
      <c r="C2313" s="1" t="n">
        <v>45472</v>
      </c>
      <c r="D2313" t="inlineStr">
        <is>
          <t>VÄRMLANDS LÄN</t>
        </is>
      </c>
      <c r="E2313" t="inlineStr">
        <is>
          <t>TORSBY</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22973-2024</t>
        </is>
      </c>
      <c r="B2314" s="1" t="n">
        <v>45449</v>
      </c>
      <c r="C2314" s="1" t="n">
        <v>45472</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23044-2024</t>
        </is>
      </c>
      <c r="B2315" s="1" t="n">
        <v>45450</v>
      </c>
      <c r="C2315" s="1" t="n">
        <v>45472</v>
      </c>
      <c r="D2315" t="inlineStr">
        <is>
          <t>VÄRMLANDS LÄN</t>
        </is>
      </c>
      <c r="E2315" t="inlineStr">
        <is>
          <t>TORSBY</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23042-2024</t>
        </is>
      </c>
      <c r="B2316" s="1" t="n">
        <v>45450</v>
      </c>
      <c r="C2316" s="1" t="n">
        <v>45472</v>
      </c>
      <c r="D2316" t="inlineStr">
        <is>
          <t>VÄRMLANDS LÄN</t>
        </is>
      </c>
      <c r="E2316" t="inlineStr">
        <is>
          <t>TORSBY</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23108-2024</t>
        </is>
      </c>
      <c r="B2317" s="1" t="n">
        <v>45450</v>
      </c>
      <c r="C2317" s="1" t="n">
        <v>45472</v>
      </c>
      <c r="D2317" t="inlineStr">
        <is>
          <t>VÄRMLANDS LÄN</t>
        </is>
      </c>
      <c r="E2317" t="inlineStr">
        <is>
          <t>TORSBY</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23106-2024</t>
        </is>
      </c>
      <c r="B2318" s="1" t="n">
        <v>45450</v>
      </c>
      <c r="C2318" s="1" t="n">
        <v>45472</v>
      </c>
      <c r="D2318" t="inlineStr">
        <is>
          <t>VÄRMLANDS LÄN</t>
        </is>
      </c>
      <c r="E2318" t="inlineStr">
        <is>
          <t>TORSBY</t>
        </is>
      </c>
      <c r="F2318" t="inlineStr">
        <is>
          <t>Bergvik skog väst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23133-2024</t>
        </is>
      </c>
      <c r="B2319" s="1" t="n">
        <v>45450</v>
      </c>
      <c r="C2319" s="1" t="n">
        <v>45472</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23423-2024</t>
        </is>
      </c>
      <c r="B2320" s="1" t="n">
        <v>45453</v>
      </c>
      <c r="C2320" s="1" t="n">
        <v>45472</v>
      </c>
      <c r="D2320" t="inlineStr">
        <is>
          <t>VÄRMLANDS LÄN</t>
        </is>
      </c>
      <c r="E2320" t="inlineStr">
        <is>
          <t>TORSBY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23746-2024</t>
        </is>
      </c>
      <c r="B2321" s="1" t="n">
        <v>45454</v>
      </c>
      <c r="C2321" s="1" t="n">
        <v>45472</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23719-2024</t>
        </is>
      </c>
      <c r="B2322" s="1" t="n">
        <v>45454</v>
      </c>
      <c r="C2322" s="1" t="n">
        <v>45472</v>
      </c>
      <c r="D2322" t="inlineStr">
        <is>
          <t>VÄRMLANDS LÄN</t>
        </is>
      </c>
      <c r="E2322" t="inlineStr">
        <is>
          <t>TORSBY</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45472</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23820-2024</t>
        </is>
      </c>
      <c r="B2324" s="1" t="n">
        <v>45455</v>
      </c>
      <c r="C2324" s="1" t="n">
        <v>45472</v>
      </c>
      <c r="D2324" t="inlineStr">
        <is>
          <t>VÄRMLANDS LÄN</t>
        </is>
      </c>
      <c r="E2324" t="inlineStr">
        <is>
          <t>TORSBY</t>
        </is>
      </c>
      <c r="F2324" t="inlineStr">
        <is>
          <t>Kyrkan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23824-2024</t>
        </is>
      </c>
      <c r="B2325" s="1" t="n">
        <v>45455</v>
      </c>
      <c r="C2325" s="1" t="n">
        <v>45472</v>
      </c>
      <c r="D2325" t="inlineStr">
        <is>
          <t>VÄRMLANDS LÄN</t>
        </is>
      </c>
      <c r="E2325" t="inlineStr">
        <is>
          <t>TORSBY</t>
        </is>
      </c>
      <c r="F2325" t="inlineStr">
        <is>
          <t>Kyrkan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23835-2024</t>
        </is>
      </c>
      <c r="B2326" s="1" t="n">
        <v>45455</v>
      </c>
      <c r="C2326" s="1" t="n">
        <v>45472</v>
      </c>
      <c r="D2326" t="inlineStr">
        <is>
          <t>VÄRMLANDS LÄN</t>
        </is>
      </c>
      <c r="E2326" t="inlineStr">
        <is>
          <t>TORSBY</t>
        </is>
      </c>
      <c r="F2326" t="inlineStr">
        <is>
          <t>Bergvik skog väst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45472</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23843-2024</t>
        </is>
      </c>
      <c r="B2328" s="1" t="n">
        <v>45455</v>
      </c>
      <c r="C2328" s="1" t="n">
        <v>45472</v>
      </c>
      <c r="D2328" t="inlineStr">
        <is>
          <t>VÄRMLANDS LÄN</t>
        </is>
      </c>
      <c r="E2328" t="inlineStr">
        <is>
          <t>TORSBY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45472</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23996-2024</t>
        </is>
      </c>
      <c r="B2330" s="1" t="n">
        <v>45456</v>
      </c>
      <c r="C2330" s="1" t="n">
        <v>45472</v>
      </c>
      <c r="D2330" t="inlineStr">
        <is>
          <t>VÄRMLANDS LÄN</t>
        </is>
      </c>
      <c r="E2330" t="inlineStr">
        <is>
          <t>TORSBY</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24087-2024</t>
        </is>
      </c>
      <c r="B2331" s="1" t="n">
        <v>45456</v>
      </c>
      <c r="C2331" s="1" t="n">
        <v>45472</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24113-2024</t>
        </is>
      </c>
      <c r="B2332" s="1" t="n">
        <v>45456</v>
      </c>
      <c r="C2332" s="1" t="n">
        <v>45472</v>
      </c>
      <c r="D2332" t="inlineStr">
        <is>
          <t>VÄRMLANDS LÄN</t>
        </is>
      </c>
      <c r="E2332" t="inlineStr">
        <is>
          <t>TORSBY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24148-2024</t>
        </is>
      </c>
      <c r="B2333" s="1" t="n">
        <v>45456</v>
      </c>
      <c r="C2333" s="1" t="n">
        <v>45472</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24020-2024</t>
        </is>
      </c>
      <c r="B2334" s="1" t="n">
        <v>45456</v>
      </c>
      <c r="C2334" s="1" t="n">
        <v>45472</v>
      </c>
      <c r="D2334" t="inlineStr">
        <is>
          <t>VÄRMLANDS LÄN</t>
        </is>
      </c>
      <c r="E2334" t="inlineStr">
        <is>
          <t>TORSBY</t>
        </is>
      </c>
      <c r="F2334" t="inlineStr">
        <is>
          <t>Bergvik skog väst AB</t>
        </is>
      </c>
      <c r="G2334" t="n">
        <v>19.4</v>
      </c>
      <c r="H2334" t="n">
        <v>0</v>
      </c>
      <c r="I2334" t="n">
        <v>0</v>
      </c>
      <c r="J2334" t="n">
        <v>0</v>
      </c>
      <c r="K2334" t="n">
        <v>0</v>
      </c>
      <c r="L2334" t="n">
        <v>0</v>
      </c>
      <c r="M2334" t="n">
        <v>0</v>
      </c>
      <c r="N2334" t="n">
        <v>0</v>
      </c>
      <c r="O2334" t="n">
        <v>0</v>
      </c>
      <c r="P2334" t="n">
        <v>0</v>
      </c>
      <c r="Q2334" t="n">
        <v>0</v>
      </c>
      <c r="R2334" s="2" t="inlineStr"/>
    </row>
    <row r="2335" ht="15" customHeight="1">
      <c r="A2335" t="inlineStr">
        <is>
          <t>A 24004-2024</t>
        </is>
      </c>
      <c r="B2335" s="1" t="n">
        <v>45456</v>
      </c>
      <c r="C2335" s="1" t="n">
        <v>45472</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45472</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24261-2024</t>
        </is>
      </c>
      <c r="B2337" s="1" t="n">
        <v>45457</v>
      </c>
      <c r="C2337" s="1" t="n">
        <v>45472</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24267-2024</t>
        </is>
      </c>
      <c r="B2338" s="1" t="n">
        <v>45457</v>
      </c>
      <c r="C2338" s="1" t="n">
        <v>45472</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45472</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24490-2024</t>
        </is>
      </c>
      <c r="B2340" s="1" t="n">
        <v>45459</v>
      </c>
      <c r="C2340" s="1" t="n">
        <v>45472</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24493-2024</t>
        </is>
      </c>
      <c r="B2341" s="1" t="n">
        <v>45459</v>
      </c>
      <c r="C2341" s="1" t="n">
        <v>45472</v>
      </c>
      <c r="D2341" t="inlineStr">
        <is>
          <t>VÄRMLANDS LÄN</t>
        </is>
      </c>
      <c r="E2341" t="inlineStr">
        <is>
          <t>TORSBY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24636-2024</t>
        </is>
      </c>
      <c r="B2342" s="1" t="n">
        <v>45460</v>
      </c>
      <c r="C2342" s="1" t="n">
        <v>45472</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24630-2024</t>
        </is>
      </c>
      <c r="B2343" s="1" t="n">
        <v>45460</v>
      </c>
      <c r="C2343" s="1" t="n">
        <v>45472</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45472</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24717-2024</t>
        </is>
      </c>
      <c r="B2345" s="1" t="n">
        <v>45460</v>
      </c>
      <c r="C2345" s="1" t="n">
        <v>45472</v>
      </c>
      <c r="D2345" t="inlineStr">
        <is>
          <t>VÄRMLANDS LÄN</t>
        </is>
      </c>
      <c r="E2345" t="inlineStr">
        <is>
          <t>TORSBY</t>
        </is>
      </c>
      <c r="F2345" t="inlineStr">
        <is>
          <t>Övriga statliga verk och myndigheter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24657-2024</t>
        </is>
      </c>
      <c r="B2346" s="1" t="n">
        <v>45460</v>
      </c>
      <c r="C2346" s="1" t="n">
        <v>45472</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24723-2024</t>
        </is>
      </c>
      <c r="B2347" s="1" t="n">
        <v>45460</v>
      </c>
      <c r="C2347" s="1" t="n">
        <v>45472</v>
      </c>
      <c r="D2347" t="inlineStr">
        <is>
          <t>VÄRMLANDS LÄN</t>
        </is>
      </c>
      <c r="E2347" t="inlineStr">
        <is>
          <t>TORSBY</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24851-2024</t>
        </is>
      </c>
      <c r="B2348" s="1" t="n">
        <v>45461</v>
      </c>
      <c r="C2348" s="1" t="n">
        <v>45472</v>
      </c>
      <c r="D2348" t="inlineStr">
        <is>
          <t>VÄRMLANDS LÄN</t>
        </is>
      </c>
      <c r="E2348" t="inlineStr">
        <is>
          <t>TORSBY</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24995-2024</t>
        </is>
      </c>
      <c r="B2349" s="1" t="n">
        <v>45461</v>
      </c>
      <c r="C2349" s="1" t="n">
        <v>45472</v>
      </c>
      <c r="D2349" t="inlineStr">
        <is>
          <t>VÄRMLANDS LÄN</t>
        </is>
      </c>
      <c r="E2349" t="inlineStr">
        <is>
          <t>TORSBY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25316-2024</t>
        </is>
      </c>
      <c r="B2350" s="1" t="n">
        <v>45462</v>
      </c>
      <c r="C2350" s="1" t="n">
        <v>45472</v>
      </c>
      <c r="D2350" t="inlineStr">
        <is>
          <t>VÄRMLANDS LÄN</t>
        </is>
      </c>
      <c r="E2350" t="inlineStr">
        <is>
          <t>TORSBY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25264-2024</t>
        </is>
      </c>
      <c r="B2351" s="1" t="n">
        <v>45462</v>
      </c>
      <c r="C2351" s="1" t="n">
        <v>45472</v>
      </c>
      <c r="D2351" t="inlineStr">
        <is>
          <t>VÄRMLANDS LÄN</t>
        </is>
      </c>
      <c r="E2351" t="inlineStr">
        <is>
          <t>TORSBY</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25090-2024</t>
        </is>
      </c>
      <c r="B2352" s="1" t="n">
        <v>45462</v>
      </c>
      <c r="C2352" s="1" t="n">
        <v>45472</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45472</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25194-2024</t>
        </is>
      </c>
      <c r="B2354" s="1" t="n">
        <v>45462</v>
      </c>
      <c r="C2354" s="1" t="n">
        <v>45472</v>
      </c>
      <c r="D2354" t="inlineStr">
        <is>
          <t>VÄRMLANDS LÄN</t>
        </is>
      </c>
      <c r="E2354" t="inlineStr">
        <is>
          <t>TORSBY</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25355-2024</t>
        </is>
      </c>
      <c r="B2355" s="1" t="n">
        <v>45463</v>
      </c>
      <c r="C2355" s="1" t="n">
        <v>45472</v>
      </c>
      <c r="D2355" t="inlineStr">
        <is>
          <t>VÄRMLANDS LÄN</t>
        </is>
      </c>
      <c r="E2355" t="inlineStr">
        <is>
          <t>TORSBY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25504-2024</t>
        </is>
      </c>
      <c r="B2356" s="1" t="n">
        <v>45463</v>
      </c>
      <c r="C2356" s="1" t="n">
        <v>45472</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25629-2024</t>
        </is>
      </c>
      <c r="B2357" s="1" t="n">
        <v>45463</v>
      </c>
      <c r="C2357" s="1" t="n">
        <v>45472</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25827-2024</t>
        </is>
      </c>
      <c r="B2358" s="1" t="n">
        <v>45467</v>
      </c>
      <c r="C2358" s="1" t="n">
        <v>45472</v>
      </c>
      <c r="D2358" t="inlineStr">
        <is>
          <t>VÄRMLANDS LÄN</t>
        </is>
      </c>
      <c r="E2358" t="inlineStr">
        <is>
          <t>TORSBY</t>
        </is>
      </c>
      <c r="G2358" t="n">
        <v>20.5</v>
      </c>
      <c r="H2358" t="n">
        <v>0</v>
      </c>
      <c r="I2358" t="n">
        <v>0</v>
      </c>
      <c r="J2358" t="n">
        <v>0</v>
      </c>
      <c r="K2358" t="n">
        <v>0</v>
      </c>
      <c r="L2358" t="n">
        <v>0</v>
      </c>
      <c r="M2358" t="n">
        <v>0</v>
      </c>
      <c r="N2358" t="n">
        <v>0</v>
      </c>
      <c r="O2358" t="n">
        <v>0</v>
      </c>
      <c r="P2358" t="n">
        <v>0</v>
      </c>
      <c r="Q2358" t="n">
        <v>0</v>
      </c>
      <c r="R2358" s="2" t="inlineStr"/>
    </row>
    <row r="2359" ht="15" customHeight="1">
      <c r="A2359" t="inlineStr">
        <is>
          <t>A 25898-2024</t>
        </is>
      </c>
      <c r="B2359" s="1" t="n">
        <v>45467</v>
      </c>
      <c r="C2359" s="1" t="n">
        <v>45472</v>
      </c>
      <c r="D2359" t="inlineStr">
        <is>
          <t>VÄRMLANDS LÄN</t>
        </is>
      </c>
      <c r="E2359" t="inlineStr">
        <is>
          <t>TORSBY</t>
        </is>
      </c>
      <c r="G2359" t="n">
        <v>27.6</v>
      </c>
      <c r="H2359" t="n">
        <v>0</v>
      </c>
      <c r="I2359" t="n">
        <v>0</v>
      </c>
      <c r="J2359" t="n">
        <v>0</v>
      </c>
      <c r="K2359" t="n">
        <v>0</v>
      </c>
      <c r="L2359" t="n">
        <v>0</v>
      </c>
      <c r="M2359" t="n">
        <v>0</v>
      </c>
      <c r="N2359" t="n">
        <v>0</v>
      </c>
      <c r="O2359" t="n">
        <v>0</v>
      </c>
      <c r="P2359" t="n">
        <v>0</v>
      </c>
      <c r="Q2359" t="n">
        <v>0</v>
      </c>
      <c r="R2359" s="2" t="inlineStr"/>
    </row>
    <row r="2360" ht="15" customHeight="1">
      <c r="A2360" t="inlineStr">
        <is>
          <t>A 25932-2024</t>
        </is>
      </c>
      <c r="B2360" s="1" t="n">
        <v>45467</v>
      </c>
      <c r="C2360" s="1" t="n">
        <v>45472</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25933-2024</t>
        </is>
      </c>
      <c r="B2361" s="1" t="n">
        <v>45467</v>
      </c>
      <c r="C2361" s="1" t="n">
        <v>45472</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25949-2024</t>
        </is>
      </c>
      <c r="B2362" s="1" t="n">
        <v>45467</v>
      </c>
      <c r="C2362" s="1" t="n">
        <v>45472</v>
      </c>
      <c r="D2362" t="inlineStr">
        <is>
          <t>VÄRMLANDS LÄN</t>
        </is>
      </c>
      <c r="E2362" t="inlineStr">
        <is>
          <t>TORSBY</t>
        </is>
      </c>
      <c r="F2362" t="inlineStr">
        <is>
          <t>Bergvik skog väst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26042-2024</t>
        </is>
      </c>
      <c r="B2363" s="1" t="n">
        <v>45468</v>
      </c>
      <c r="C2363" s="1" t="n">
        <v>45472</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26086-2024</t>
        </is>
      </c>
      <c r="B2364" s="1" t="n">
        <v>45468</v>
      </c>
      <c r="C2364" s="1" t="n">
        <v>45472</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26124-2024</t>
        </is>
      </c>
      <c r="B2365" s="1" t="n">
        <v>45468</v>
      </c>
      <c r="C2365" s="1" t="n">
        <v>45472</v>
      </c>
      <c r="D2365" t="inlineStr">
        <is>
          <t>VÄRMLANDS LÄN</t>
        </is>
      </c>
      <c r="E2365" t="inlineStr">
        <is>
          <t>TORSBY</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45472</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26186-2024</t>
        </is>
      </c>
      <c r="B2367" s="1" t="n">
        <v>45468</v>
      </c>
      <c r="C2367" s="1" t="n">
        <v>45472</v>
      </c>
      <c r="D2367" t="inlineStr">
        <is>
          <t>VÄRMLANDS LÄN</t>
        </is>
      </c>
      <c r="E2367" t="inlineStr">
        <is>
          <t>TORSBY</t>
        </is>
      </c>
      <c r="F2367" t="inlineStr">
        <is>
          <t>Bergvik skog väst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26634-2024</t>
        </is>
      </c>
      <c r="B2368" s="1" t="n">
        <v>45469</v>
      </c>
      <c r="C2368" s="1" t="n">
        <v>45472</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26799-2024</t>
        </is>
      </c>
      <c r="B2369" s="1" t="n">
        <v>45470</v>
      </c>
      <c r="C2369" s="1" t="n">
        <v>45472</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26807-2024</t>
        </is>
      </c>
      <c r="B2370" s="1" t="n">
        <v>45470</v>
      </c>
      <c r="C2370" s="1" t="n">
        <v>45472</v>
      </c>
      <c r="D2370" t="inlineStr">
        <is>
          <t>VÄRMLANDS LÄN</t>
        </is>
      </c>
      <c r="E2370" t="inlineStr">
        <is>
          <t>TORSBY</t>
        </is>
      </c>
      <c r="F2370" t="inlineStr">
        <is>
          <t>Bergvik skog väst AB</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45472</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45472</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27038-2024</t>
        </is>
      </c>
      <c r="B2373" s="1" t="n">
        <v>45471</v>
      </c>
      <c r="C2373" s="1" t="n">
        <v>45472</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27045-2024</t>
        </is>
      </c>
      <c r="B2374" s="1" t="n">
        <v>45471</v>
      </c>
      <c r="C2374" s="1" t="n">
        <v>45472</v>
      </c>
      <c r="D2374" t="inlineStr">
        <is>
          <t>VÄRMLANDS LÄN</t>
        </is>
      </c>
      <c r="E2374" t="inlineStr">
        <is>
          <t>TORSBY</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27078-2024</t>
        </is>
      </c>
      <c r="B2375" s="1" t="n">
        <v>45471</v>
      </c>
      <c r="C2375" s="1" t="n">
        <v>45472</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27086-2024</t>
        </is>
      </c>
      <c r="B2376" s="1" t="n">
        <v>45471</v>
      </c>
      <c r="C2376" s="1" t="n">
        <v>45472</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27090-2024</t>
        </is>
      </c>
      <c r="B2377" s="1" t="n">
        <v>45471</v>
      </c>
      <c r="C2377" s="1" t="n">
        <v>45472</v>
      </c>
      <c r="D2377" t="inlineStr">
        <is>
          <t>VÄRMLANDS LÄN</t>
        </is>
      </c>
      <c r="E2377" t="inlineStr">
        <is>
          <t>TORSBY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27096-2024</t>
        </is>
      </c>
      <c r="B2378" s="1" t="n">
        <v>45471</v>
      </c>
      <c r="C2378" s="1" t="n">
        <v>45472</v>
      </c>
      <c r="D2378" t="inlineStr">
        <is>
          <t>VÄRMLANDS LÄN</t>
        </is>
      </c>
      <c r="E2378" t="inlineStr">
        <is>
          <t>TORSBY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27101-2024</t>
        </is>
      </c>
      <c r="B2379" s="1" t="n">
        <v>45471</v>
      </c>
      <c r="C2379" s="1" t="n">
        <v>45472</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27111-2024</t>
        </is>
      </c>
      <c r="B2380" s="1" t="n">
        <v>45471</v>
      </c>
      <c r="C2380" s="1" t="n">
        <v>45472</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27116-2024</t>
        </is>
      </c>
      <c r="B2381" s="1" t="n">
        <v>45471</v>
      </c>
      <c r="C2381" s="1" t="n">
        <v>45472</v>
      </c>
      <c r="D2381" t="inlineStr">
        <is>
          <t>VÄRMLANDS LÄN</t>
        </is>
      </c>
      <c r="E2381" t="inlineStr">
        <is>
          <t>TORSBY</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27120-2024</t>
        </is>
      </c>
      <c r="B2382" s="1" t="n">
        <v>45471</v>
      </c>
      <c r="C2382" s="1" t="n">
        <v>45472</v>
      </c>
      <c r="D2382" t="inlineStr">
        <is>
          <t>VÄRMLANDS LÄN</t>
        </is>
      </c>
      <c r="E2382" t="inlineStr">
        <is>
          <t>TORSBY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27124-2024</t>
        </is>
      </c>
      <c r="B2383" s="1" t="n">
        <v>45471</v>
      </c>
      <c r="C2383" s="1" t="n">
        <v>45472</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27144-2024</t>
        </is>
      </c>
      <c r="B2384" s="1" t="n">
        <v>45471</v>
      </c>
      <c r="C2384" s="1" t="n">
        <v>45472</v>
      </c>
      <c r="D2384" t="inlineStr">
        <is>
          <t>VÄRMLANDS LÄN</t>
        </is>
      </c>
      <c r="E2384" t="inlineStr">
        <is>
          <t>TORSBY</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27187-2024</t>
        </is>
      </c>
      <c r="B2385" s="1" t="n">
        <v>45471</v>
      </c>
      <c r="C2385" s="1" t="n">
        <v>45472</v>
      </c>
      <c r="D2385" t="inlineStr">
        <is>
          <t>VÄRMLANDS LÄN</t>
        </is>
      </c>
      <c r="E2385" t="inlineStr">
        <is>
          <t>TORSBY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27270-2024</t>
        </is>
      </c>
      <c r="B2386" s="1" t="n">
        <v>45471</v>
      </c>
      <c r="C2386" s="1" t="n">
        <v>45472</v>
      </c>
      <c r="D2386" t="inlineStr">
        <is>
          <t>VÄRMLANDS LÄN</t>
        </is>
      </c>
      <c r="E2386" t="inlineStr">
        <is>
          <t>TORSBY</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27273-2024</t>
        </is>
      </c>
      <c r="B2387" s="1" t="n">
        <v>45471</v>
      </c>
      <c r="C2387" s="1" t="n">
        <v>45472</v>
      </c>
      <c r="D2387" t="inlineStr">
        <is>
          <t>VÄRMLANDS LÄN</t>
        </is>
      </c>
      <c r="E2387" t="inlineStr">
        <is>
          <t>TORSBY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27275-2024</t>
        </is>
      </c>
      <c r="B2388" s="1" t="n">
        <v>45471</v>
      </c>
      <c r="C2388" s="1" t="n">
        <v>45472</v>
      </c>
      <c r="D2388" t="inlineStr">
        <is>
          <t>VÄRMLANDS LÄN</t>
        </is>
      </c>
      <c r="E2388" t="inlineStr">
        <is>
          <t>TORSBY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27291-2024</t>
        </is>
      </c>
      <c r="B2389" s="1" t="n">
        <v>45472</v>
      </c>
      <c r="C2389" s="1" t="n">
        <v>45472</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c r="A2390" t="inlineStr">
        <is>
          <t>A 27292-2024</t>
        </is>
      </c>
      <c r="B2390" s="1" t="n">
        <v>45472</v>
      </c>
      <c r="C2390" s="1" t="n">
        <v>45472</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2024-06-29T13:56:12Z</dcterms:created>
  <dcterms:modified xmlns:dcterms="http://purl.org/dc/terms/" xmlns:xsi="http://www.w3.org/2001/XMLSchema-instance" xsi:type="dcterms:W3CDTF">2024-06-29T13:56:14Z</dcterms:modified>
</cp:coreProperties>
</file>