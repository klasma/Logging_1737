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45575</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45575</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45575</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30301-2024</t>
        </is>
      </c>
      <c r="B12" s="1" t="n">
        <v>45490</v>
      </c>
      <c r="C12" s="1" t="n">
        <v>45575</v>
      </c>
      <c r="D12" t="inlineStr">
        <is>
          <t>VÄRMLANDS LÄN</t>
        </is>
      </c>
      <c r="E12" t="inlineStr">
        <is>
          <t>TORSBY</t>
        </is>
      </c>
      <c r="F12" t="inlineStr">
        <is>
          <t>Bergvik skog väst AB</t>
        </is>
      </c>
      <c r="G12" t="n">
        <v>16.3</v>
      </c>
      <c r="H12" t="n">
        <v>3</v>
      </c>
      <c r="I12" t="n">
        <v>8</v>
      </c>
      <c r="J12" t="n">
        <v>2</v>
      </c>
      <c r="K12" t="n">
        <v>0</v>
      </c>
      <c r="L12" t="n">
        <v>0</v>
      </c>
      <c r="M12" t="n">
        <v>0</v>
      </c>
      <c r="N12" t="n">
        <v>0</v>
      </c>
      <c r="O12" t="n">
        <v>2</v>
      </c>
      <c r="P12" t="n">
        <v>0</v>
      </c>
      <c r="Q12" t="n">
        <v>13</v>
      </c>
      <c r="R12" s="2" t="inlineStr">
        <is>
          <t>Dofttaggsvamp
Myskmåra
Bårdlav
Dvärghäxört
Fjällig taggsvamp s.str.
Kransrams
Skinnlav
Svart trolldruva
Underviol
Vårärt
Fläcknycklar
Nattviol
Blåsippa</t>
        </is>
      </c>
      <c r="S12">
        <f>HYPERLINK("https://klasma.github.io/Logging_1737/artfynd/A 30301-2024 artfynd.xlsx", "A 30301-2024")</f>
        <v/>
      </c>
      <c r="T12">
        <f>HYPERLINK("https://klasma.github.io/Logging_1737/kartor/A 30301-2024 karta.png", "A 30301-2024")</f>
        <v/>
      </c>
      <c r="V12">
        <f>HYPERLINK("https://klasma.github.io/Logging_1737/klagomål/A 30301-2024 FSC-klagomål.docx", "A 30301-2024")</f>
        <v/>
      </c>
      <c r="W12">
        <f>HYPERLINK("https://klasma.github.io/Logging_1737/klagomålsmail/A 30301-2024 FSC-klagomål mail.docx", "A 30301-2024")</f>
        <v/>
      </c>
      <c r="X12">
        <f>HYPERLINK("https://klasma.github.io/Logging_1737/tillsyn/A 30301-2024 tillsynsbegäran.docx", "A 30301-2024")</f>
        <v/>
      </c>
      <c r="Y12">
        <f>HYPERLINK("https://klasma.github.io/Logging_1737/tillsynsmail/A 30301-2024 tillsynsbegäran mail.docx", "A 30301-2024")</f>
        <v/>
      </c>
    </row>
    <row r="13" ht="15" customHeight="1">
      <c r="A13" t="inlineStr">
        <is>
          <t>A 33211-2024</t>
        </is>
      </c>
      <c r="B13" s="1" t="n">
        <v>45518</v>
      </c>
      <c r="C13" s="1" t="n">
        <v>45575</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37737-2024</t>
        </is>
      </c>
      <c r="B14" s="1" t="n">
        <v>45541</v>
      </c>
      <c r="C14" s="1" t="n">
        <v>45575</v>
      </c>
      <c r="D14" t="inlineStr">
        <is>
          <t>VÄRMLANDS LÄN</t>
        </is>
      </c>
      <c r="E14" t="inlineStr">
        <is>
          <t>TORSBY</t>
        </is>
      </c>
      <c r="F14" t="inlineStr">
        <is>
          <t>Bergvik skog väst AB</t>
        </is>
      </c>
      <c r="G14" t="n">
        <v>15.4</v>
      </c>
      <c r="H14" t="n">
        <v>1</v>
      </c>
      <c r="I14" t="n">
        <v>10</v>
      </c>
      <c r="J14" t="n">
        <v>1</v>
      </c>
      <c r="K14" t="n">
        <v>0</v>
      </c>
      <c r="L14" t="n">
        <v>1</v>
      </c>
      <c r="M14" t="n">
        <v>0</v>
      </c>
      <c r="N14" t="n">
        <v>0</v>
      </c>
      <c r="O14" t="n">
        <v>2</v>
      </c>
      <c r="P14" t="n">
        <v>1</v>
      </c>
      <c r="Q14" t="n">
        <v>13</v>
      </c>
      <c r="R14" s="2" t="inlineStr">
        <is>
          <t>Ask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row>
    <row r="15" ht="15" customHeight="1">
      <c r="A15" t="inlineStr">
        <is>
          <t>A 9075-2023</t>
        </is>
      </c>
      <c r="B15" s="1" t="n">
        <v>44979</v>
      </c>
      <c r="C15" s="1" t="n">
        <v>45575</v>
      </c>
      <c r="D15" t="inlineStr">
        <is>
          <t>VÄRMLANDS LÄN</t>
        </is>
      </c>
      <c r="E15" t="inlineStr">
        <is>
          <t>TORSBY</t>
        </is>
      </c>
      <c r="G15" t="n">
        <v>11.9</v>
      </c>
      <c r="H15" t="n">
        <v>2</v>
      </c>
      <c r="I15" t="n">
        <v>2</v>
      </c>
      <c r="J15" t="n">
        <v>9</v>
      </c>
      <c r="K15" t="n">
        <v>0</v>
      </c>
      <c r="L15" t="n">
        <v>0</v>
      </c>
      <c r="M15" t="n">
        <v>0</v>
      </c>
      <c r="N15" t="n">
        <v>0</v>
      </c>
      <c r="O15" t="n">
        <v>9</v>
      </c>
      <c r="P15" t="n">
        <v>0</v>
      </c>
      <c r="Q15" t="n">
        <v>12</v>
      </c>
      <c r="R15" s="2" t="inlineStr">
        <is>
          <t>Garnlav
Kolflarnlav
Motaggsvamp
Mörk kolflarnlav
Skrovlig taggsvamp
Spillkråka
Svartvit taggsvamp
Vedskivlav
Violettgrå tagellav
Dropptaggsvamp
Nästlav
Grönsiska</t>
        </is>
      </c>
      <c r="S15">
        <f>HYPERLINK("https://klasma.github.io/Logging_1737/artfynd/A 9075-2023 artfynd.xlsx", "A 9075-2023")</f>
        <v/>
      </c>
      <c r="T15">
        <f>HYPERLINK("https://klasma.github.io/Logging_1737/kartor/A 9075-2023 karta.png", "A 9075-2023")</f>
        <v/>
      </c>
      <c r="V15">
        <f>HYPERLINK("https://klasma.github.io/Logging_1737/klagomål/A 9075-2023 FSC-klagomål.docx", "A 9075-2023")</f>
        <v/>
      </c>
      <c r="W15">
        <f>HYPERLINK("https://klasma.github.io/Logging_1737/klagomålsmail/A 9075-2023 FSC-klagomål mail.docx", "A 9075-2023")</f>
        <v/>
      </c>
      <c r="X15">
        <f>HYPERLINK("https://klasma.github.io/Logging_1737/tillsyn/A 9075-2023 tillsynsbegäran.docx", "A 9075-2023")</f>
        <v/>
      </c>
      <c r="Y15">
        <f>HYPERLINK("https://klasma.github.io/Logging_1737/tillsynsmail/A 9075-2023 tillsynsbegäran mail.docx", "A 9075-2023")</f>
        <v/>
      </c>
      <c r="Z15">
        <f>HYPERLINK("https://klasma.github.io/Logging_1737/fåglar/A 9075-2023 prioriterade fågelarter.docx", "A 9075-2023")</f>
        <v/>
      </c>
    </row>
    <row r="16" ht="15" customHeight="1">
      <c r="A16" t="inlineStr">
        <is>
          <t>A 44460-2023</t>
        </is>
      </c>
      <c r="B16" s="1" t="n">
        <v>45189</v>
      </c>
      <c r="C16" s="1" t="n">
        <v>45575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12370-2022</t>
        </is>
      </c>
      <c r="B17" s="1" t="n">
        <v>44637</v>
      </c>
      <c r="C17" s="1" t="n">
        <v>45575</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31203-2022</t>
        </is>
      </c>
      <c r="B18" s="1" t="n">
        <v>44770</v>
      </c>
      <c r="C18" s="1" t="n">
        <v>45575</v>
      </c>
      <c r="D18" t="inlineStr">
        <is>
          <t>VÄRMLANDS LÄN</t>
        </is>
      </c>
      <c r="E18" t="inlineStr">
        <is>
          <t>TORSBY</t>
        </is>
      </c>
      <c r="G18" t="n">
        <v>33.5</v>
      </c>
      <c r="H18" t="n">
        <v>0</v>
      </c>
      <c r="I18" t="n">
        <v>3</v>
      </c>
      <c r="J18" t="n">
        <v>7</v>
      </c>
      <c r="K18" t="n">
        <v>0</v>
      </c>
      <c r="L18" t="n">
        <v>0</v>
      </c>
      <c r="M18" t="n">
        <v>0</v>
      </c>
      <c r="N18" t="n">
        <v>0</v>
      </c>
      <c r="O18" t="n">
        <v>7</v>
      </c>
      <c r="P18" t="n">
        <v>0</v>
      </c>
      <c r="Q18" t="n">
        <v>10</v>
      </c>
      <c r="R18" s="2" t="inlineStr">
        <is>
          <t>Garnlav
Kolflarnlav
Lunglav
Mörk kolflarnlav
Skrovellav
Tallticka
Vedskivlav
Bårdlav
Skinnlav
Skuggblåslav</t>
        </is>
      </c>
      <c r="S18">
        <f>HYPERLINK("https://klasma.github.io/Logging_1737/artfynd/A 31203-2022 artfynd.xlsx", "A 31203-2022")</f>
        <v/>
      </c>
      <c r="T18">
        <f>HYPERLINK("https://klasma.github.io/Logging_1737/kartor/A 31203-2022 karta.png", "A 31203-2022")</f>
        <v/>
      </c>
      <c r="V18">
        <f>HYPERLINK("https://klasma.github.io/Logging_1737/klagomål/A 31203-2022 FSC-klagomål.docx", "A 31203-2022")</f>
        <v/>
      </c>
      <c r="W18">
        <f>HYPERLINK("https://klasma.github.io/Logging_1737/klagomålsmail/A 31203-2022 FSC-klagomål mail.docx", "A 31203-2022")</f>
        <v/>
      </c>
      <c r="X18">
        <f>HYPERLINK("https://klasma.github.io/Logging_1737/tillsyn/A 31203-2022 tillsynsbegäran.docx", "A 31203-2022")</f>
        <v/>
      </c>
      <c r="Y18">
        <f>HYPERLINK("https://klasma.github.io/Logging_1737/tillsynsmail/A 31203-2022 tillsynsbegäran mail.docx", "A 31203-2022")</f>
        <v/>
      </c>
    </row>
    <row r="19" ht="15" customHeight="1">
      <c r="A19" t="inlineStr">
        <is>
          <t>A 42488-2022</t>
        </is>
      </c>
      <c r="B19" s="1" t="n">
        <v>44831</v>
      </c>
      <c r="C19" s="1" t="n">
        <v>45575</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26793-2020</t>
        </is>
      </c>
      <c r="B20" s="1" t="n">
        <v>43990</v>
      </c>
      <c r="C20" s="1" t="n">
        <v>45575</v>
      </c>
      <c r="D20" t="inlineStr">
        <is>
          <t>VÄRMLANDS LÄN</t>
        </is>
      </c>
      <c r="E20" t="inlineStr">
        <is>
          <t>TORSBY</t>
        </is>
      </c>
      <c r="G20" t="n">
        <v>19</v>
      </c>
      <c r="H20" t="n">
        <v>2</v>
      </c>
      <c r="I20" t="n">
        <v>6</v>
      </c>
      <c r="J20" t="n">
        <v>1</v>
      </c>
      <c r="K20" t="n">
        <v>0</v>
      </c>
      <c r="L20" t="n">
        <v>0</v>
      </c>
      <c r="M20" t="n">
        <v>0</v>
      </c>
      <c r="N20" t="n">
        <v>0</v>
      </c>
      <c r="O20" t="n">
        <v>1</v>
      </c>
      <c r="P20" t="n">
        <v>0</v>
      </c>
      <c r="Q20" t="n">
        <v>9</v>
      </c>
      <c r="R20" s="2" t="inlineStr">
        <is>
          <t>Myskmåra
Dvärghäxört
Hässleklocka
Svart trolldruva
Tibast
Underviol
Vårärt
Fläcknycklar
Blåsippa</t>
        </is>
      </c>
      <c r="S20">
        <f>HYPERLINK("https://klasma.github.io/Logging_1737/artfynd/A 26793-2020 artfynd.xlsx", "A 26793-2020")</f>
        <v/>
      </c>
      <c r="T20">
        <f>HYPERLINK("https://klasma.github.io/Logging_1737/kartor/A 26793-2020 karta.png", "A 26793-2020")</f>
        <v/>
      </c>
      <c r="V20">
        <f>HYPERLINK("https://klasma.github.io/Logging_1737/klagomål/A 26793-2020 FSC-klagomål.docx", "A 26793-2020")</f>
        <v/>
      </c>
      <c r="W20">
        <f>HYPERLINK("https://klasma.github.io/Logging_1737/klagomålsmail/A 26793-2020 FSC-klagomål mail.docx", "A 26793-2020")</f>
        <v/>
      </c>
      <c r="X20">
        <f>HYPERLINK("https://klasma.github.io/Logging_1737/tillsyn/A 26793-2020 tillsynsbegäran.docx", "A 26793-2020")</f>
        <v/>
      </c>
      <c r="Y20">
        <f>HYPERLINK("https://klasma.github.io/Logging_1737/tillsynsmail/A 26793-2020 tillsynsbegäran mail.docx", "A 26793-2020")</f>
        <v/>
      </c>
    </row>
    <row r="21" ht="15" customHeight="1">
      <c r="A21" t="inlineStr">
        <is>
          <t>A 60716-2021</t>
        </is>
      </c>
      <c r="B21" s="1" t="n">
        <v>44496</v>
      </c>
      <c r="C21" s="1" t="n">
        <v>45575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22230-2022</t>
        </is>
      </c>
      <c r="B22" s="1" t="n">
        <v>44712</v>
      </c>
      <c r="C22" s="1" t="n">
        <v>45575</v>
      </c>
      <c r="D22" t="inlineStr">
        <is>
          <t>VÄRMLANDS LÄN</t>
        </is>
      </c>
      <c r="E22" t="inlineStr">
        <is>
          <t>TORSBY</t>
        </is>
      </c>
      <c r="G22" t="n">
        <v>2.1</v>
      </c>
      <c r="H22" t="n">
        <v>1</v>
      </c>
      <c r="I22" t="n">
        <v>3</v>
      </c>
      <c r="J22" t="n">
        <v>5</v>
      </c>
      <c r="K22" t="n">
        <v>1</v>
      </c>
      <c r="L22" t="n">
        <v>0</v>
      </c>
      <c r="M22" t="n">
        <v>0</v>
      </c>
      <c r="N22" t="n">
        <v>0</v>
      </c>
      <c r="O22" t="n">
        <v>6</v>
      </c>
      <c r="P22" t="n">
        <v>1</v>
      </c>
      <c r="Q22" t="n">
        <v>9</v>
      </c>
      <c r="R22" s="2" t="inlineStr">
        <is>
          <t>Knärot
Dvärgbägarlav
Gammelgransskål
Garnlav
Lunglav
Tallticka
Korallblylav
Skuggblåslav
Stuplav</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row>
    <row r="23" ht="15" customHeight="1">
      <c r="A23" t="inlineStr">
        <is>
          <t>A 28033-2024</t>
        </is>
      </c>
      <c r="B23" s="1" t="n">
        <v>45476</v>
      </c>
      <c r="C23" s="1" t="n">
        <v>45575</v>
      </c>
      <c r="D23" t="inlineStr">
        <is>
          <t>VÄRMLANDS LÄN</t>
        </is>
      </c>
      <c r="E23" t="inlineStr">
        <is>
          <t>TORSBY</t>
        </is>
      </c>
      <c r="G23" t="n">
        <v>17.7</v>
      </c>
      <c r="H23" t="n">
        <v>1</v>
      </c>
      <c r="I23" t="n">
        <v>2</v>
      </c>
      <c r="J23" t="n">
        <v>7</v>
      </c>
      <c r="K23" t="n">
        <v>0</v>
      </c>
      <c r="L23" t="n">
        <v>0</v>
      </c>
      <c r="M23" t="n">
        <v>0</v>
      </c>
      <c r="N23" t="n">
        <v>0</v>
      </c>
      <c r="O23" t="n">
        <v>7</v>
      </c>
      <c r="P23" t="n">
        <v>0</v>
      </c>
      <c r="Q23" t="n">
        <v>9</v>
      </c>
      <c r="R23" s="2" t="inlineStr">
        <is>
          <t>Doftskinn
Gammelgransskål
Garnlav
Granticka
Lunglav
Tretåig hackspett
Violettgrå tagellav
Skuggblåslav
Vedticka</t>
        </is>
      </c>
      <c r="S23">
        <f>HYPERLINK("https://klasma.github.io/Logging_1737/artfynd/A 28033-2024 artfynd.xlsx", "A 28033-2024")</f>
        <v/>
      </c>
      <c r="T23">
        <f>HYPERLINK("https://klasma.github.io/Logging_1737/kartor/A 28033-2024 karta.png", "A 28033-2024")</f>
        <v/>
      </c>
      <c r="V23">
        <f>HYPERLINK("https://klasma.github.io/Logging_1737/klagomål/A 28033-2024 FSC-klagomål.docx", "A 28033-2024")</f>
        <v/>
      </c>
      <c r="W23">
        <f>HYPERLINK("https://klasma.github.io/Logging_1737/klagomålsmail/A 28033-2024 FSC-klagomål mail.docx", "A 28033-2024")</f>
        <v/>
      </c>
      <c r="X23">
        <f>HYPERLINK("https://klasma.github.io/Logging_1737/tillsyn/A 28033-2024 tillsynsbegäran.docx", "A 28033-2024")</f>
        <v/>
      </c>
      <c r="Y23">
        <f>HYPERLINK("https://klasma.github.io/Logging_1737/tillsynsmail/A 28033-2024 tillsynsbegäran mail.docx", "A 28033-2024")</f>
        <v/>
      </c>
      <c r="Z23">
        <f>HYPERLINK("https://klasma.github.io/Logging_1737/fåglar/A 28033-2024 prioriterade fågelarter.docx", "A 28033-2024")</f>
        <v/>
      </c>
    </row>
    <row r="24" ht="15" customHeight="1">
      <c r="A24" t="inlineStr">
        <is>
          <t>A 171-2021</t>
        </is>
      </c>
      <c r="B24" s="1" t="n">
        <v>44200</v>
      </c>
      <c r="C24" s="1" t="n">
        <v>45575</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45575</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45575</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45575</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45575</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45575</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45575</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45575</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45575</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45575</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45575</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45575</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41279-2021</t>
        </is>
      </c>
      <c r="B36" s="1" t="n">
        <v>44424</v>
      </c>
      <c r="C36" s="1" t="n">
        <v>45575</v>
      </c>
      <c r="D36" t="inlineStr">
        <is>
          <t>VÄRMLANDS LÄN</t>
        </is>
      </c>
      <c r="E36" t="inlineStr">
        <is>
          <t>TORSBY</t>
        </is>
      </c>
      <c r="G36" t="n">
        <v>9.699999999999999</v>
      </c>
      <c r="H36" t="n">
        <v>1</v>
      </c>
      <c r="I36" t="n">
        <v>1</v>
      </c>
      <c r="J36" t="n">
        <v>4</v>
      </c>
      <c r="K36" t="n">
        <v>0</v>
      </c>
      <c r="L36" t="n">
        <v>0</v>
      </c>
      <c r="M36" t="n">
        <v>0</v>
      </c>
      <c r="N36" t="n">
        <v>0</v>
      </c>
      <c r="O36" t="n">
        <v>4</v>
      </c>
      <c r="P36" t="n">
        <v>0</v>
      </c>
      <c r="Q36" t="n">
        <v>5</v>
      </c>
      <c r="R36" s="2" t="inlineStr">
        <is>
          <t>Gammelgransskål
Garnlav
Tretåig hackspett
Vedskivlav
Vedticka</t>
        </is>
      </c>
      <c r="S36">
        <f>HYPERLINK("https://klasma.github.io/Logging_1737/artfynd/A 41279-2021 artfynd.xlsx", "A 41279-2021")</f>
        <v/>
      </c>
      <c r="T36">
        <f>HYPERLINK("https://klasma.github.io/Logging_1737/kartor/A 41279-2021 karta.png", "A 41279-2021")</f>
        <v/>
      </c>
      <c r="V36">
        <f>HYPERLINK("https://klasma.github.io/Logging_1737/klagomål/A 41279-2021 FSC-klagomål.docx", "A 41279-2021")</f>
        <v/>
      </c>
      <c r="W36">
        <f>HYPERLINK("https://klasma.github.io/Logging_1737/klagomålsmail/A 41279-2021 FSC-klagomål mail.docx", "A 41279-2021")</f>
        <v/>
      </c>
      <c r="X36">
        <f>HYPERLINK("https://klasma.github.io/Logging_1737/tillsyn/A 41279-2021 tillsynsbegäran.docx", "A 41279-2021")</f>
        <v/>
      </c>
      <c r="Y36">
        <f>HYPERLINK("https://klasma.github.io/Logging_1737/tillsynsmail/A 41279-2021 tillsynsbegäran mail.docx", "A 41279-2021")</f>
        <v/>
      </c>
      <c r="Z36">
        <f>HYPERLINK("https://klasma.github.io/Logging_1737/fåglar/A 41279-2021 prioriterade fågelarter.docx", "A 41279-2021")</f>
        <v/>
      </c>
    </row>
    <row r="37" ht="15" customHeight="1">
      <c r="A37" t="inlineStr">
        <is>
          <t>A 49109-2021</t>
        </is>
      </c>
      <c r="B37" s="1" t="n">
        <v>44453</v>
      </c>
      <c r="C37" s="1" t="n">
        <v>45575</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45575</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4972-2022</t>
        </is>
      </c>
      <c r="B39" s="1" t="n">
        <v>44593</v>
      </c>
      <c r="C39" s="1" t="n">
        <v>45575</v>
      </c>
      <c r="D39" t="inlineStr">
        <is>
          <t>VÄRMLANDS LÄN</t>
        </is>
      </c>
      <c r="E39" t="inlineStr">
        <is>
          <t>TORSBY</t>
        </is>
      </c>
      <c r="G39" t="n">
        <v>10.7</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4972-2022 artfynd.xlsx", "A 4972-2022")</f>
        <v/>
      </c>
      <c r="T39">
        <f>HYPERLINK("https://klasma.github.io/Logging_1737/kartor/A 4972-2022 karta.png", "A 4972-2022")</f>
        <v/>
      </c>
      <c r="V39">
        <f>HYPERLINK("https://klasma.github.io/Logging_1737/klagomål/A 4972-2022 FSC-klagomål.docx", "A 4972-2022")</f>
        <v/>
      </c>
      <c r="W39">
        <f>HYPERLINK("https://klasma.github.io/Logging_1737/klagomålsmail/A 4972-2022 FSC-klagomål mail.docx", "A 4972-2022")</f>
        <v/>
      </c>
      <c r="X39">
        <f>HYPERLINK("https://klasma.github.io/Logging_1737/tillsyn/A 4972-2022 tillsynsbegäran.docx", "A 4972-2022")</f>
        <v/>
      </c>
      <c r="Y39">
        <f>HYPERLINK("https://klasma.github.io/Logging_1737/tillsynsmail/A 4972-2022 tillsynsbegäran mail.docx", "A 4972-2022")</f>
        <v/>
      </c>
    </row>
    <row r="40" ht="15" customHeight="1">
      <c r="A40" t="inlineStr">
        <is>
          <t>A 9573-2023</t>
        </is>
      </c>
      <c r="B40" s="1" t="n">
        <v>44982</v>
      </c>
      <c r="C40" s="1" t="n">
        <v>45575</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54109-2023</t>
        </is>
      </c>
      <c r="B41" s="1" t="n">
        <v>45232</v>
      </c>
      <c r="C41" s="1" t="n">
        <v>45575</v>
      </c>
      <c r="D41" t="inlineStr">
        <is>
          <t>VÄRMLANDS LÄN</t>
        </is>
      </c>
      <c r="E41" t="inlineStr">
        <is>
          <t>TORSBY</t>
        </is>
      </c>
      <c r="F41" t="inlineStr">
        <is>
          <t>Bergvik skog väst AB</t>
        </is>
      </c>
      <c r="G41" t="n">
        <v>26.6</v>
      </c>
      <c r="H41" t="n">
        <v>0</v>
      </c>
      <c r="I41" t="n">
        <v>0</v>
      </c>
      <c r="J41" t="n">
        <v>0</v>
      </c>
      <c r="K41" t="n">
        <v>2</v>
      </c>
      <c r="L41" t="n">
        <v>3</v>
      </c>
      <c r="M41" t="n">
        <v>0</v>
      </c>
      <c r="N41" t="n">
        <v>0</v>
      </c>
      <c r="O41" t="n">
        <v>5</v>
      </c>
      <c r="P41" t="n">
        <v>5</v>
      </c>
      <c r="Q41" t="n">
        <v>5</v>
      </c>
      <c r="R41" s="2" t="inlineStr">
        <is>
          <t>Gulgrå fibbla
Kopparbergsfibbla
Stråltandad fibbla
Skinkfibbla
Vitbandad fibbla</t>
        </is>
      </c>
      <c r="S41">
        <f>HYPERLINK("https://klasma.github.io/Logging_1737/artfynd/A 54109-2023 artfynd.xlsx", "A 54109-2023")</f>
        <v/>
      </c>
      <c r="T41">
        <f>HYPERLINK("https://klasma.github.io/Logging_1737/kartor/A 54109-2023 karta.png", "A 54109-2023")</f>
        <v/>
      </c>
      <c r="V41">
        <f>HYPERLINK("https://klasma.github.io/Logging_1737/klagomål/A 54109-2023 FSC-klagomål.docx", "A 54109-2023")</f>
        <v/>
      </c>
      <c r="W41">
        <f>HYPERLINK("https://klasma.github.io/Logging_1737/klagomålsmail/A 54109-2023 FSC-klagomål mail.docx", "A 54109-2023")</f>
        <v/>
      </c>
      <c r="X41">
        <f>HYPERLINK("https://klasma.github.io/Logging_1737/tillsyn/A 54109-2023 tillsynsbegäran.docx", "A 54109-2023")</f>
        <v/>
      </c>
      <c r="Y41">
        <f>HYPERLINK("https://klasma.github.io/Logging_1737/tillsynsmail/A 54109-2023 tillsynsbegäran mail.docx", "A 54109-2023")</f>
        <v/>
      </c>
    </row>
    <row r="42" ht="15" customHeight="1">
      <c r="A42" t="inlineStr">
        <is>
          <t>A 62275-2023</t>
        </is>
      </c>
      <c r="B42" s="1" t="n">
        <v>45267</v>
      </c>
      <c r="C42" s="1" t="n">
        <v>45575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173-2021</t>
        </is>
      </c>
      <c r="B43" s="1" t="n">
        <v>44200</v>
      </c>
      <c r="C43" s="1" t="n">
        <v>45575</v>
      </c>
      <c r="D43" t="inlineStr">
        <is>
          <t>VÄRMLANDS LÄN</t>
        </is>
      </c>
      <c r="E43" t="inlineStr">
        <is>
          <t>TORSBY</t>
        </is>
      </c>
      <c r="G43" t="n">
        <v>6.8</v>
      </c>
      <c r="H43" t="n">
        <v>0</v>
      </c>
      <c r="I43" t="n">
        <v>1</v>
      </c>
      <c r="J43" t="n">
        <v>3</v>
      </c>
      <c r="K43" t="n">
        <v>0</v>
      </c>
      <c r="L43" t="n">
        <v>0</v>
      </c>
      <c r="M43" t="n">
        <v>0</v>
      </c>
      <c r="N43" t="n">
        <v>0</v>
      </c>
      <c r="O43" t="n">
        <v>3</v>
      </c>
      <c r="P43" t="n">
        <v>0</v>
      </c>
      <c r="Q43" t="n">
        <v>4</v>
      </c>
      <c r="R43" s="2" t="inlineStr">
        <is>
          <t>Gammelgransskål
Garnlav
Violettgrå tagellav
Vedticka</t>
        </is>
      </c>
      <c r="S43">
        <f>HYPERLINK("https://klasma.github.io/Logging_1737/artfynd/A 173-2021 artfynd.xlsx", "A 173-2021")</f>
        <v/>
      </c>
      <c r="T43">
        <f>HYPERLINK("https://klasma.github.io/Logging_1737/kartor/A 173-2021 karta.png", "A 173-2021")</f>
        <v/>
      </c>
      <c r="V43">
        <f>HYPERLINK("https://klasma.github.io/Logging_1737/klagomål/A 173-2021 FSC-klagomål.docx", "A 173-2021")</f>
        <v/>
      </c>
      <c r="W43">
        <f>HYPERLINK("https://klasma.github.io/Logging_1737/klagomålsmail/A 173-2021 FSC-klagomål mail.docx", "A 173-2021")</f>
        <v/>
      </c>
      <c r="X43">
        <f>HYPERLINK("https://klasma.github.io/Logging_1737/tillsyn/A 173-2021 tillsynsbegäran.docx", "A 173-2021")</f>
        <v/>
      </c>
      <c r="Y43">
        <f>HYPERLINK("https://klasma.github.io/Logging_1737/tillsynsmail/A 173-2021 tillsynsbegäran mail.docx", "A 173-2021")</f>
        <v/>
      </c>
    </row>
    <row r="44" ht="15" customHeight="1">
      <c r="A44" t="inlineStr">
        <is>
          <t>A 42501-2022</t>
        </is>
      </c>
      <c r="B44" s="1" t="n">
        <v>44831</v>
      </c>
      <c r="C44" s="1" t="n">
        <v>45575</v>
      </c>
      <c r="D44" t="inlineStr">
        <is>
          <t>VÄRMLANDS LÄN</t>
        </is>
      </c>
      <c r="E44" t="inlineStr">
        <is>
          <t>TORSBY</t>
        </is>
      </c>
      <c r="F44" t="inlineStr">
        <is>
          <t>Kommuner</t>
        </is>
      </c>
      <c r="G44" t="n">
        <v>2.4</v>
      </c>
      <c r="H44" t="n">
        <v>0</v>
      </c>
      <c r="I44" t="n">
        <v>1</v>
      </c>
      <c r="J44" t="n">
        <v>3</v>
      </c>
      <c r="K44" t="n">
        <v>0</v>
      </c>
      <c r="L44" t="n">
        <v>0</v>
      </c>
      <c r="M44" t="n">
        <v>0</v>
      </c>
      <c r="N44" t="n">
        <v>0</v>
      </c>
      <c r="O44" t="n">
        <v>3</v>
      </c>
      <c r="P44" t="n">
        <v>0</v>
      </c>
      <c r="Q44" t="n">
        <v>4</v>
      </c>
      <c r="R44" s="2" t="inlineStr">
        <is>
          <t>Garnlav
Mörk kolflarnlav
Vedtrappmossa
Skuggblåslav</t>
        </is>
      </c>
      <c r="S44">
        <f>HYPERLINK("https://klasma.github.io/Logging_1737/artfynd/A 42501-2022 artfynd.xlsx", "A 42501-2022")</f>
        <v/>
      </c>
      <c r="T44">
        <f>HYPERLINK("https://klasma.github.io/Logging_1737/kartor/A 42501-2022 karta.png", "A 42501-2022")</f>
        <v/>
      </c>
      <c r="V44">
        <f>HYPERLINK("https://klasma.github.io/Logging_1737/klagomål/A 42501-2022 FSC-klagomål.docx", "A 42501-2022")</f>
        <v/>
      </c>
      <c r="W44">
        <f>HYPERLINK("https://klasma.github.io/Logging_1737/klagomålsmail/A 42501-2022 FSC-klagomål mail.docx", "A 42501-2022")</f>
        <v/>
      </c>
      <c r="X44">
        <f>HYPERLINK("https://klasma.github.io/Logging_1737/tillsyn/A 42501-2022 tillsynsbegäran.docx", "A 42501-2022")</f>
        <v/>
      </c>
      <c r="Y44">
        <f>HYPERLINK("https://klasma.github.io/Logging_1737/tillsynsmail/A 42501-2022 tillsynsbegäran mail.docx", "A 42501-2022")</f>
        <v/>
      </c>
    </row>
    <row r="45" ht="15" customHeight="1">
      <c r="A45" t="inlineStr">
        <is>
          <t>A 54297-2022</t>
        </is>
      </c>
      <c r="B45" s="1" t="n">
        <v>44882</v>
      </c>
      <c r="C45" s="1" t="n">
        <v>45575</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16134-2023</t>
        </is>
      </c>
      <c r="B46" s="1" t="n">
        <v>45021</v>
      </c>
      <c r="C46" s="1" t="n">
        <v>45575</v>
      </c>
      <c r="D46" t="inlineStr">
        <is>
          <t>VÄRMLANDS LÄN</t>
        </is>
      </c>
      <c r="E46" t="inlineStr">
        <is>
          <t>TORSBY</t>
        </is>
      </c>
      <c r="G46" t="n">
        <v>15.5</v>
      </c>
      <c r="H46" t="n">
        <v>0</v>
      </c>
      <c r="I46" t="n">
        <v>1</v>
      </c>
      <c r="J46" t="n">
        <v>3</v>
      </c>
      <c r="K46" t="n">
        <v>0</v>
      </c>
      <c r="L46" t="n">
        <v>0</v>
      </c>
      <c r="M46" t="n">
        <v>0</v>
      </c>
      <c r="N46" t="n">
        <v>0</v>
      </c>
      <c r="O46" t="n">
        <v>3</v>
      </c>
      <c r="P46" t="n">
        <v>0</v>
      </c>
      <c r="Q46" t="n">
        <v>4</v>
      </c>
      <c r="R46" s="2" t="inlineStr">
        <is>
          <t>Skrovlig taggsvamp
Svartvit taggsvamp
Vitgrynig nållav
Dropptaggsvamp</t>
        </is>
      </c>
      <c r="S46">
        <f>HYPERLINK("https://klasma.github.io/Logging_1737/artfynd/A 16134-2023 artfynd.xlsx", "A 16134-2023")</f>
        <v/>
      </c>
      <c r="T46">
        <f>HYPERLINK("https://klasma.github.io/Logging_1737/kartor/A 16134-2023 karta.png", "A 16134-2023")</f>
        <v/>
      </c>
      <c r="V46">
        <f>HYPERLINK("https://klasma.github.io/Logging_1737/klagomål/A 16134-2023 FSC-klagomål.docx", "A 16134-2023")</f>
        <v/>
      </c>
      <c r="W46">
        <f>HYPERLINK("https://klasma.github.io/Logging_1737/klagomålsmail/A 16134-2023 FSC-klagomål mail.docx", "A 16134-2023")</f>
        <v/>
      </c>
      <c r="X46">
        <f>HYPERLINK("https://klasma.github.io/Logging_1737/tillsyn/A 16134-2023 tillsynsbegäran.docx", "A 16134-2023")</f>
        <v/>
      </c>
      <c r="Y46">
        <f>HYPERLINK("https://klasma.github.io/Logging_1737/tillsynsmail/A 16134-2023 tillsynsbegäran mail.docx", "A 16134-2023")</f>
        <v/>
      </c>
    </row>
    <row r="47" ht="15" customHeight="1">
      <c r="A47" t="inlineStr">
        <is>
          <t>A 25899-2024</t>
        </is>
      </c>
      <c r="B47" s="1" t="n">
        <v>45467</v>
      </c>
      <c r="C47" s="1" t="n">
        <v>45575</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37041-2024</t>
        </is>
      </c>
      <c r="B48" s="1" t="n">
        <v>45539</v>
      </c>
      <c r="C48" s="1" t="n">
        <v>45575</v>
      </c>
      <c r="D48" t="inlineStr">
        <is>
          <t>VÄRMLANDS LÄN</t>
        </is>
      </c>
      <c r="E48" t="inlineStr">
        <is>
          <t>TORSBY</t>
        </is>
      </c>
      <c r="G48" t="n">
        <v>1.5</v>
      </c>
      <c r="H48" t="n">
        <v>1</v>
      </c>
      <c r="I48" t="n">
        <v>1</v>
      </c>
      <c r="J48" t="n">
        <v>2</v>
      </c>
      <c r="K48" t="n">
        <v>1</v>
      </c>
      <c r="L48" t="n">
        <v>0</v>
      </c>
      <c r="M48" t="n">
        <v>0</v>
      </c>
      <c r="N48" t="n">
        <v>0</v>
      </c>
      <c r="O48" t="n">
        <v>3</v>
      </c>
      <c r="P48" t="n">
        <v>1</v>
      </c>
      <c r="Q48" t="n">
        <v>4</v>
      </c>
      <c r="R48" s="2" t="inlineStr">
        <is>
          <t>Knärot
Garnlav
Ullticka
Vedticka</t>
        </is>
      </c>
      <c r="S48">
        <f>HYPERLINK("https://klasma.github.io/Logging_1737/artfynd/A 37041-2024 artfynd.xlsx", "A 37041-2024")</f>
        <v/>
      </c>
      <c r="T48">
        <f>HYPERLINK("https://klasma.github.io/Logging_1737/kartor/A 37041-2024 karta.png", "A 37041-2024")</f>
        <v/>
      </c>
      <c r="U48">
        <f>HYPERLINK("https://klasma.github.io/Logging_1737/knärot/A 37041-2024 karta knärot.png", "A 37041-2024")</f>
        <v/>
      </c>
      <c r="V48">
        <f>HYPERLINK("https://klasma.github.io/Logging_1737/klagomål/A 37041-2024 FSC-klagomål.docx", "A 37041-2024")</f>
        <v/>
      </c>
      <c r="W48">
        <f>HYPERLINK("https://klasma.github.io/Logging_1737/klagomålsmail/A 37041-2024 FSC-klagomål mail.docx", "A 37041-2024")</f>
        <v/>
      </c>
      <c r="X48">
        <f>HYPERLINK("https://klasma.github.io/Logging_1737/tillsyn/A 37041-2024 tillsynsbegäran.docx", "A 37041-2024")</f>
        <v/>
      </c>
      <c r="Y48">
        <f>HYPERLINK("https://klasma.github.io/Logging_1737/tillsynsmail/A 37041-2024 tillsynsbegäran mail.docx", "A 37041-2024")</f>
        <v/>
      </c>
    </row>
    <row r="49" ht="15" customHeight="1">
      <c r="A49" t="inlineStr">
        <is>
          <t>A 43385-2024</t>
        </is>
      </c>
      <c r="B49" s="1" t="n">
        <v>45568</v>
      </c>
      <c r="C49" s="1" t="n">
        <v>45575</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24010-2019</t>
        </is>
      </c>
      <c r="B50" s="1" t="n">
        <v>43598</v>
      </c>
      <c r="C50" s="1" t="n">
        <v>45575</v>
      </c>
      <c r="D50" t="inlineStr">
        <is>
          <t>VÄRMLANDS LÄN</t>
        </is>
      </c>
      <c r="E50" t="inlineStr">
        <is>
          <t>TORSBY</t>
        </is>
      </c>
      <c r="G50" t="n">
        <v>2.2</v>
      </c>
      <c r="H50" t="n">
        <v>0</v>
      </c>
      <c r="I50" t="n">
        <v>0</v>
      </c>
      <c r="J50" t="n">
        <v>3</v>
      </c>
      <c r="K50" t="n">
        <v>0</v>
      </c>
      <c r="L50" t="n">
        <v>0</v>
      </c>
      <c r="M50" t="n">
        <v>0</v>
      </c>
      <c r="N50" t="n">
        <v>0</v>
      </c>
      <c r="O50" t="n">
        <v>3</v>
      </c>
      <c r="P50" t="n">
        <v>0</v>
      </c>
      <c r="Q50" t="n">
        <v>3</v>
      </c>
      <c r="R50" s="2" t="inlineStr">
        <is>
          <t>Garnlav
Kolflarnlav
Vedskivlav</t>
        </is>
      </c>
      <c r="S50">
        <f>HYPERLINK("https://klasma.github.io/Logging_1737/artfynd/A 24010-2019 artfynd.xlsx", "A 24010-2019")</f>
        <v/>
      </c>
      <c r="T50">
        <f>HYPERLINK("https://klasma.github.io/Logging_1737/kartor/A 24010-2019 karta.png", "A 24010-2019")</f>
        <v/>
      </c>
      <c r="V50">
        <f>HYPERLINK("https://klasma.github.io/Logging_1737/klagomål/A 24010-2019 FSC-klagomål.docx", "A 24010-2019")</f>
        <v/>
      </c>
      <c r="W50">
        <f>HYPERLINK("https://klasma.github.io/Logging_1737/klagomålsmail/A 24010-2019 FSC-klagomål mail.docx", "A 24010-2019")</f>
        <v/>
      </c>
      <c r="X50">
        <f>HYPERLINK("https://klasma.github.io/Logging_1737/tillsyn/A 24010-2019 tillsynsbegäran.docx", "A 24010-2019")</f>
        <v/>
      </c>
      <c r="Y50">
        <f>HYPERLINK("https://klasma.github.io/Logging_1737/tillsynsmail/A 24010-2019 tillsynsbegäran mail.docx", "A 24010-2019")</f>
        <v/>
      </c>
    </row>
    <row r="51" ht="15" customHeight="1">
      <c r="A51" t="inlineStr">
        <is>
          <t>A 26919-2019</t>
        </is>
      </c>
      <c r="B51" s="1" t="n">
        <v>43613</v>
      </c>
      <c r="C51" s="1" t="n">
        <v>45575</v>
      </c>
      <c r="D51" t="inlineStr">
        <is>
          <t>VÄRMLANDS LÄN</t>
        </is>
      </c>
      <c r="E51" t="inlineStr">
        <is>
          <t>TORSBY</t>
        </is>
      </c>
      <c r="G51" t="n">
        <v>4.6</v>
      </c>
      <c r="H51" t="n">
        <v>0</v>
      </c>
      <c r="I51" t="n">
        <v>0</v>
      </c>
      <c r="J51" t="n">
        <v>2</v>
      </c>
      <c r="K51" t="n">
        <v>0</v>
      </c>
      <c r="L51" t="n">
        <v>1</v>
      </c>
      <c r="M51" t="n">
        <v>0</v>
      </c>
      <c r="N51" t="n">
        <v>0</v>
      </c>
      <c r="O51" t="n">
        <v>3</v>
      </c>
      <c r="P51" t="n">
        <v>1</v>
      </c>
      <c r="Q51" t="n">
        <v>3</v>
      </c>
      <c r="R51" s="2" t="inlineStr">
        <is>
          <t>Broktagel
Lunglav
Violettgrå tagellav</t>
        </is>
      </c>
      <c r="S51">
        <f>HYPERLINK("https://klasma.github.io/Logging_1737/artfynd/A 26919-2019 artfynd.xlsx", "A 26919-2019")</f>
        <v/>
      </c>
      <c r="T51">
        <f>HYPERLINK("https://klasma.github.io/Logging_1737/kartor/A 26919-2019 karta.png", "A 26919-2019")</f>
        <v/>
      </c>
      <c r="V51">
        <f>HYPERLINK("https://klasma.github.io/Logging_1737/klagomål/A 26919-2019 FSC-klagomål.docx", "A 26919-2019")</f>
        <v/>
      </c>
      <c r="W51">
        <f>HYPERLINK("https://klasma.github.io/Logging_1737/klagomålsmail/A 26919-2019 FSC-klagomål mail.docx", "A 26919-2019")</f>
        <v/>
      </c>
      <c r="X51">
        <f>HYPERLINK("https://klasma.github.io/Logging_1737/tillsyn/A 26919-2019 tillsynsbegäran.docx", "A 26919-2019")</f>
        <v/>
      </c>
      <c r="Y51">
        <f>HYPERLINK("https://klasma.github.io/Logging_1737/tillsynsmail/A 26919-2019 tillsynsbegäran mail.docx", "A 26919-2019")</f>
        <v/>
      </c>
    </row>
    <row r="52" ht="15" customHeight="1">
      <c r="A52" t="inlineStr">
        <is>
          <t>A 32928-2019</t>
        </is>
      </c>
      <c r="B52" s="1" t="n">
        <v>43648</v>
      </c>
      <c r="C52" s="1" t="n">
        <v>45575</v>
      </c>
      <c r="D52" t="inlineStr">
        <is>
          <t>VÄRMLANDS LÄN</t>
        </is>
      </c>
      <c r="E52" t="inlineStr">
        <is>
          <t>TORSBY</t>
        </is>
      </c>
      <c r="G52" t="n">
        <v>5.3</v>
      </c>
      <c r="H52" t="n">
        <v>0</v>
      </c>
      <c r="I52" t="n">
        <v>0</v>
      </c>
      <c r="J52" t="n">
        <v>3</v>
      </c>
      <c r="K52" t="n">
        <v>0</v>
      </c>
      <c r="L52" t="n">
        <v>0</v>
      </c>
      <c r="M52" t="n">
        <v>0</v>
      </c>
      <c r="N52" t="n">
        <v>0</v>
      </c>
      <c r="O52" t="n">
        <v>3</v>
      </c>
      <c r="P52" t="n">
        <v>0</v>
      </c>
      <c r="Q52" t="n">
        <v>3</v>
      </c>
      <c r="R52" s="2" t="inlineStr">
        <is>
          <t>Garnlav
Lunglav
Skrovellav</t>
        </is>
      </c>
      <c r="S52">
        <f>HYPERLINK("https://klasma.github.io/Logging_1737/artfynd/A 32928-2019 artfynd.xlsx", "A 32928-2019")</f>
        <v/>
      </c>
      <c r="T52">
        <f>HYPERLINK("https://klasma.github.io/Logging_1737/kartor/A 32928-2019 karta.png", "A 32928-2019")</f>
        <v/>
      </c>
      <c r="V52">
        <f>HYPERLINK("https://klasma.github.io/Logging_1737/klagomål/A 32928-2019 FSC-klagomål.docx", "A 32928-2019")</f>
        <v/>
      </c>
      <c r="W52">
        <f>HYPERLINK("https://klasma.github.io/Logging_1737/klagomålsmail/A 32928-2019 FSC-klagomål mail.docx", "A 32928-2019")</f>
        <v/>
      </c>
      <c r="X52">
        <f>HYPERLINK("https://klasma.github.io/Logging_1737/tillsyn/A 32928-2019 tillsynsbegäran.docx", "A 32928-2019")</f>
        <v/>
      </c>
      <c r="Y52">
        <f>HYPERLINK("https://klasma.github.io/Logging_1737/tillsynsmail/A 32928-2019 tillsynsbegäran mail.docx", "A 32928-2019")</f>
        <v/>
      </c>
    </row>
    <row r="53" ht="15" customHeight="1">
      <c r="A53" t="inlineStr">
        <is>
          <t>A 38932-2019</t>
        </is>
      </c>
      <c r="B53" s="1" t="n">
        <v>43689</v>
      </c>
      <c r="C53" s="1" t="n">
        <v>45575</v>
      </c>
      <c r="D53" t="inlineStr">
        <is>
          <t>VÄRMLANDS LÄN</t>
        </is>
      </c>
      <c r="E53" t="inlineStr">
        <is>
          <t>TORSBY</t>
        </is>
      </c>
      <c r="G53" t="n">
        <v>1.3</v>
      </c>
      <c r="H53" t="n">
        <v>3</v>
      </c>
      <c r="I53" t="n">
        <v>0</v>
      </c>
      <c r="J53" t="n">
        <v>3</v>
      </c>
      <c r="K53" t="n">
        <v>0</v>
      </c>
      <c r="L53" t="n">
        <v>0</v>
      </c>
      <c r="M53" t="n">
        <v>0</v>
      </c>
      <c r="N53" t="n">
        <v>0</v>
      </c>
      <c r="O53" t="n">
        <v>3</v>
      </c>
      <c r="P53" t="n">
        <v>0</v>
      </c>
      <c r="Q53" t="n">
        <v>3</v>
      </c>
      <c r="R53" s="2" t="inlineStr">
        <is>
          <t>Buskskvätta
Grönsångare
Gulsparv</t>
        </is>
      </c>
      <c r="S53">
        <f>HYPERLINK("https://klasma.github.io/Logging_1737/artfynd/A 38932-2019 artfynd.xlsx", "A 38932-2019")</f>
        <v/>
      </c>
      <c r="T53">
        <f>HYPERLINK("https://klasma.github.io/Logging_1737/kartor/A 38932-2019 karta.png", "A 38932-2019")</f>
        <v/>
      </c>
      <c r="V53">
        <f>HYPERLINK("https://klasma.github.io/Logging_1737/klagomål/A 38932-2019 FSC-klagomål.docx", "A 38932-2019")</f>
        <v/>
      </c>
      <c r="W53">
        <f>HYPERLINK("https://klasma.github.io/Logging_1737/klagomålsmail/A 38932-2019 FSC-klagomål mail.docx", "A 38932-2019")</f>
        <v/>
      </c>
      <c r="X53">
        <f>HYPERLINK("https://klasma.github.io/Logging_1737/tillsyn/A 38932-2019 tillsynsbegäran.docx", "A 38932-2019")</f>
        <v/>
      </c>
      <c r="Y53">
        <f>HYPERLINK("https://klasma.github.io/Logging_1737/tillsynsmail/A 38932-2019 tillsynsbegäran mail.docx", "A 38932-2019")</f>
        <v/>
      </c>
      <c r="Z53">
        <f>HYPERLINK("https://klasma.github.io/Logging_1737/fåglar/A 38932-2019 prioriterade fågelarter.docx", "A 38932-2019")</f>
        <v/>
      </c>
    </row>
    <row r="54" ht="15" customHeight="1">
      <c r="A54" t="inlineStr">
        <is>
          <t>A 65913-2019</t>
        </is>
      </c>
      <c r="B54" s="1" t="n">
        <v>43805</v>
      </c>
      <c r="C54" s="1" t="n">
        <v>45575</v>
      </c>
      <c r="D54" t="inlineStr">
        <is>
          <t>VÄRMLANDS LÄN</t>
        </is>
      </c>
      <c r="E54" t="inlineStr">
        <is>
          <t>TORSBY</t>
        </is>
      </c>
      <c r="G54" t="n">
        <v>2.9</v>
      </c>
      <c r="H54" t="n">
        <v>3</v>
      </c>
      <c r="I54" t="n">
        <v>0</v>
      </c>
      <c r="J54" t="n">
        <v>3</v>
      </c>
      <c r="K54" t="n">
        <v>0</v>
      </c>
      <c r="L54" t="n">
        <v>0</v>
      </c>
      <c r="M54" t="n">
        <v>0</v>
      </c>
      <c r="N54" t="n">
        <v>0</v>
      </c>
      <c r="O54" t="n">
        <v>3</v>
      </c>
      <c r="P54" t="n">
        <v>0</v>
      </c>
      <c r="Q54" t="n">
        <v>3</v>
      </c>
      <c r="R54" s="2" t="inlineStr">
        <is>
          <t>Kråka
Spillkråka
Talltita</t>
        </is>
      </c>
      <c r="S54">
        <f>HYPERLINK("https://klasma.github.io/Logging_1737/artfynd/A 65913-2019 artfynd.xlsx", "A 65913-2019")</f>
        <v/>
      </c>
      <c r="T54">
        <f>HYPERLINK("https://klasma.github.io/Logging_1737/kartor/A 65913-2019 karta.png", "A 65913-2019")</f>
        <v/>
      </c>
      <c r="V54">
        <f>HYPERLINK("https://klasma.github.io/Logging_1737/klagomål/A 65913-2019 FSC-klagomål.docx", "A 65913-2019")</f>
        <v/>
      </c>
      <c r="W54">
        <f>HYPERLINK("https://klasma.github.io/Logging_1737/klagomålsmail/A 65913-2019 FSC-klagomål mail.docx", "A 65913-2019")</f>
        <v/>
      </c>
      <c r="X54">
        <f>HYPERLINK("https://klasma.github.io/Logging_1737/tillsyn/A 65913-2019 tillsynsbegäran.docx", "A 65913-2019")</f>
        <v/>
      </c>
      <c r="Y54">
        <f>HYPERLINK("https://klasma.github.io/Logging_1737/tillsynsmail/A 65913-2019 tillsynsbegäran mail.docx", "A 65913-2019")</f>
        <v/>
      </c>
      <c r="Z54">
        <f>HYPERLINK("https://klasma.github.io/Logging_1737/fåglar/A 65913-2019 prioriterade fågelarter.docx", "A 65913-2019")</f>
        <v/>
      </c>
    </row>
    <row r="55" ht="15" customHeight="1">
      <c r="A55" t="inlineStr">
        <is>
          <t>A 10035-2020</t>
        </is>
      </c>
      <c r="B55" s="1" t="n">
        <v>43882</v>
      </c>
      <c r="C55" s="1" t="n">
        <v>45575</v>
      </c>
      <c r="D55" t="inlineStr">
        <is>
          <t>VÄRMLANDS LÄN</t>
        </is>
      </c>
      <c r="E55" t="inlineStr">
        <is>
          <t>TORSBY</t>
        </is>
      </c>
      <c r="F55" t="inlineStr">
        <is>
          <t>Kyrkan</t>
        </is>
      </c>
      <c r="G55" t="n">
        <v>11.2</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10035-2020 artfynd.xlsx", "A 10035-2020")</f>
        <v/>
      </c>
      <c r="T55">
        <f>HYPERLINK("https://klasma.github.io/Logging_1737/kartor/A 10035-2020 karta.png", "A 10035-2020")</f>
        <v/>
      </c>
      <c r="V55">
        <f>HYPERLINK("https://klasma.github.io/Logging_1737/klagomål/A 10035-2020 FSC-klagomål.docx", "A 10035-2020")</f>
        <v/>
      </c>
      <c r="W55">
        <f>HYPERLINK("https://klasma.github.io/Logging_1737/klagomålsmail/A 10035-2020 FSC-klagomål mail.docx", "A 10035-2020")</f>
        <v/>
      </c>
      <c r="X55">
        <f>HYPERLINK("https://klasma.github.io/Logging_1737/tillsyn/A 10035-2020 tillsynsbegäran.docx", "A 10035-2020")</f>
        <v/>
      </c>
      <c r="Y55">
        <f>HYPERLINK("https://klasma.github.io/Logging_1737/tillsynsmail/A 10035-2020 tillsynsbegäran mail.docx", "A 10035-2020")</f>
        <v/>
      </c>
    </row>
    <row r="56" ht="15" customHeight="1">
      <c r="A56" t="inlineStr">
        <is>
          <t>A 46200-2020</t>
        </is>
      </c>
      <c r="B56" s="1" t="n">
        <v>44092</v>
      </c>
      <c r="C56" s="1" t="n">
        <v>45575</v>
      </c>
      <c r="D56" t="inlineStr">
        <is>
          <t>VÄRMLANDS LÄN</t>
        </is>
      </c>
      <c r="E56" t="inlineStr">
        <is>
          <t>TORSBY</t>
        </is>
      </c>
      <c r="F56" t="inlineStr">
        <is>
          <t>Bergvik skog väst AB</t>
        </is>
      </c>
      <c r="G56" t="n">
        <v>8.6</v>
      </c>
      <c r="H56" t="n">
        <v>0</v>
      </c>
      <c r="I56" t="n">
        <v>1</v>
      </c>
      <c r="J56" t="n">
        <v>2</v>
      </c>
      <c r="K56" t="n">
        <v>0</v>
      </c>
      <c r="L56" t="n">
        <v>0</v>
      </c>
      <c r="M56" t="n">
        <v>0</v>
      </c>
      <c r="N56" t="n">
        <v>0</v>
      </c>
      <c r="O56" t="n">
        <v>2</v>
      </c>
      <c r="P56" t="n">
        <v>0</v>
      </c>
      <c r="Q56" t="n">
        <v>3</v>
      </c>
      <c r="R56" s="2" t="inlineStr">
        <is>
          <t>Myskmåra
Spatelfibbla
Kransrams</t>
        </is>
      </c>
      <c r="S56">
        <f>HYPERLINK("https://klasma.github.io/Logging_1737/artfynd/A 46200-2020 artfynd.xlsx", "A 46200-2020")</f>
        <v/>
      </c>
      <c r="T56">
        <f>HYPERLINK("https://klasma.github.io/Logging_1737/kartor/A 46200-2020 karta.png", "A 46200-2020")</f>
        <v/>
      </c>
      <c r="V56">
        <f>HYPERLINK("https://klasma.github.io/Logging_1737/klagomål/A 46200-2020 FSC-klagomål.docx", "A 46200-2020")</f>
        <v/>
      </c>
      <c r="W56">
        <f>HYPERLINK("https://klasma.github.io/Logging_1737/klagomålsmail/A 46200-2020 FSC-klagomål mail.docx", "A 46200-2020")</f>
        <v/>
      </c>
      <c r="X56">
        <f>HYPERLINK("https://klasma.github.io/Logging_1737/tillsyn/A 46200-2020 tillsynsbegäran.docx", "A 46200-2020")</f>
        <v/>
      </c>
      <c r="Y56">
        <f>HYPERLINK("https://klasma.github.io/Logging_1737/tillsynsmail/A 46200-2020 tillsynsbegäran mail.docx", "A 46200-2020")</f>
        <v/>
      </c>
    </row>
    <row r="57" ht="15" customHeight="1">
      <c r="A57" t="inlineStr">
        <is>
          <t>A 4555-2021</t>
        </is>
      </c>
      <c r="B57" s="1" t="n">
        <v>44224</v>
      </c>
      <c r="C57" s="1" t="n">
        <v>45575</v>
      </c>
      <c r="D57" t="inlineStr">
        <is>
          <t>VÄRMLANDS LÄN</t>
        </is>
      </c>
      <c r="E57" t="inlineStr">
        <is>
          <t>TORSBY</t>
        </is>
      </c>
      <c r="G57" t="n">
        <v>11.3</v>
      </c>
      <c r="H57" t="n">
        <v>0</v>
      </c>
      <c r="I57" t="n">
        <v>0</v>
      </c>
      <c r="J57" t="n">
        <v>3</v>
      </c>
      <c r="K57" t="n">
        <v>0</v>
      </c>
      <c r="L57" t="n">
        <v>0</v>
      </c>
      <c r="M57" t="n">
        <v>0</v>
      </c>
      <c r="N57" t="n">
        <v>0</v>
      </c>
      <c r="O57" t="n">
        <v>3</v>
      </c>
      <c r="P57" t="n">
        <v>0</v>
      </c>
      <c r="Q57" t="n">
        <v>3</v>
      </c>
      <c r="R57" s="2" t="inlineStr">
        <is>
          <t>Garnlav
Lunglav
Violettgrå tagellav</t>
        </is>
      </c>
      <c r="S57">
        <f>HYPERLINK("https://klasma.github.io/Logging_1737/artfynd/A 4555-2021 artfynd.xlsx", "A 4555-2021")</f>
        <v/>
      </c>
      <c r="T57">
        <f>HYPERLINK("https://klasma.github.io/Logging_1737/kartor/A 4555-2021 karta.png", "A 4555-2021")</f>
        <v/>
      </c>
      <c r="V57">
        <f>HYPERLINK("https://klasma.github.io/Logging_1737/klagomål/A 4555-2021 FSC-klagomål.docx", "A 4555-2021")</f>
        <v/>
      </c>
      <c r="W57">
        <f>HYPERLINK("https://klasma.github.io/Logging_1737/klagomålsmail/A 4555-2021 FSC-klagomål mail.docx", "A 4555-2021")</f>
        <v/>
      </c>
      <c r="X57">
        <f>HYPERLINK("https://klasma.github.io/Logging_1737/tillsyn/A 4555-2021 tillsynsbegäran.docx", "A 4555-2021")</f>
        <v/>
      </c>
      <c r="Y57">
        <f>HYPERLINK("https://klasma.github.io/Logging_1737/tillsynsmail/A 4555-2021 tillsynsbegäran mail.docx", "A 4555-2021")</f>
        <v/>
      </c>
    </row>
    <row r="58" ht="15" customHeight="1">
      <c r="A58" t="inlineStr">
        <is>
          <t>A 16545-2021</t>
        </is>
      </c>
      <c r="B58" s="1" t="n">
        <v>44293</v>
      </c>
      <c r="C58" s="1" t="n">
        <v>45575</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67528-2021</t>
        </is>
      </c>
      <c r="B59" s="1" t="n">
        <v>44524</v>
      </c>
      <c r="C59" s="1" t="n">
        <v>45575</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70301-2021</t>
        </is>
      </c>
      <c r="B60" s="1" t="n">
        <v>44536</v>
      </c>
      <c r="C60" s="1" t="n">
        <v>45575</v>
      </c>
      <c r="D60" t="inlineStr">
        <is>
          <t>VÄRMLANDS LÄN</t>
        </is>
      </c>
      <c r="E60" t="inlineStr">
        <is>
          <t>TORSBY</t>
        </is>
      </c>
      <c r="G60" t="n">
        <v>1</v>
      </c>
      <c r="H60" t="n">
        <v>0</v>
      </c>
      <c r="I60" t="n">
        <v>1</v>
      </c>
      <c r="J60" t="n">
        <v>2</v>
      </c>
      <c r="K60" t="n">
        <v>0</v>
      </c>
      <c r="L60" t="n">
        <v>0</v>
      </c>
      <c r="M60" t="n">
        <v>0</v>
      </c>
      <c r="N60" t="n">
        <v>0</v>
      </c>
      <c r="O60" t="n">
        <v>2</v>
      </c>
      <c r="P60" t="n">
        <v>0</v>
      </c>
      <c r="Q60" t="n">
        <v>3</v>
      </c>
      <c r="R60" s="2" t="inlineStr">
        <is>
          <t>Gammelgransskål
Garnlav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8514-2022</t>
        </is>
      </c>
      <c r="B61" s="1" t="n">
        <v>44613</v>
      </c>
      <c r="C61" s="1" t="n">
        <v>45575</v>
      </c>
      <c r="D61" t="inlineStr">
        <is>
          <t>VÄRMLANDS LÄN</t>
        </is>
      </c>
      <c r="E61" t="inlineStr">
        <is>
          <t>TORSBY</t>
        </is>
      </c>
      <c r="G61" t="n">
        <v>4.4</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8514-2022 artfynd.xlsx", "A 8514-2022")</f>
        <v/>
      </c>
      <c r="T61">
        <f>HYPERLINK("https://klasma.github.io/Logging_1737/kartor/A 8514-2022 karta.png", "A 8514-2022")</f>
        <v/>
      </c>
      <c r="V61">
        <f>HYPERLINK("https://klasma.github.io/Logging_1737/klagomål/A 8514-2022 FSC-klagomål.docx", "A 8514-2022")</f>
        <v/>
      </c>
      <c r="W61">
        <f>HYPERLINK("https://klasma.github.io/Logging_1737/klagomålsmail/A 8514-2022 FSC-klagomål mail.docx", "A 8514-2022")</f>
        <v/>
      </c>
      <c r="X61">
        <f>HYPERLINK("https://klasma.github.io/Logging_1737/tillsyn/A 8514-2022 tillsynsbegäran.docx", "A 8514-2022")</f>
        <v/>
      </c>
      <c r="Y61">
        <f>HYPERLINK("https://klasma.github.io/Logging_1737/tillsynsmail/A 8514-2022 tillsynsbegäran mail.docx", "A 8514-2022")</f>
        <v/>
      </c>
    </row>
    <row r="62" ht="15" customHeight="1">
      <c r="A62" t="inlineStr">
        <is>
          <t>A 23576-2022</t>
        </is>
      </c>
      <c r="B62" s="1" t="n">
        <v>44721</v>
      </c>
      <c r="C62" s="1" t="n">
        <v>45575</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42480-2022</t>
        </is>
      </c>
      <c r="B63" s="1" t="n">
        <v>44831</v>
      </c>
      <c r="C63" s="1" t="n">
        <v>45575</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4486-2023</t>
        </is>
      </c>
      <c r="B64" s="1" t="n">
        <v>44956</v>
      </c>
      <c r="C64" s="1" t="n">
        <v>45575</v>
      </c>
      <c r="D64" t="inlineStr">
        <is>
          <t>VÄRMLANDS LÄN</t>
        </is>
      </c>
      <c r="E64" t="inlineStr">
        <is>
          <t>TORSBY</t>
        </is>
      </c>
      <c r="G64" t="n">
        <v>2.4</v>
      </c>
      <c r="H64" t="n">
        <v>0</v>
      </c>
      <c r="I64" t="n">
        <v>1</v>
      </c>
      <c r="J64" t="n">
        <v>2</v>
      </c>
      <c r="K64" t="n">
        <v>0</v>
      </c>
      <c r="L64" t="n">
        <v>0</v>
      </c>
      <c r="M64" t="n">
        <v>0</v>
      </c>
      <c r="N64" t="n">
        <v>0</v>
      </c>
      <c r="O64" t="n">
        <v>2</v>
      </c>
      <c r="P64" t="n">
        <v>0</v>
      </c>
      <c r="Q64" t="n">
        <v>3</v>
      </c>
      <c r="R64" s="2" t="inlineStr">
        <is>
          <t>Garnlav
Vedskivlav
Skinnlav</t>
        </is>
      </c>
      <c r="S64">
        <f>HYPERLINK("https://klasma.github.io/Logging_1737/artfynd/A 4486-2023 artfynd.xlsx", "A 4486-2023")</f>
        <v/>
      </c>
      <c r="T64">
        <f>HYPERLINK("https://klasma.github.io/Logging_1737/kartor/A 4486-2023 karta.png", "A 4486-2023")</f>
        <v/>
      </c>
      <c r="V64">
        <f>HYPERLINK("https://klasma.github.io/Logging_1737/klagomål/A 4486-2023 FSC-klagomål.docx", "A 4486-2023")</f>
        <v/>
      </c>
      <c r="W64">
        <f>HYPERLINK("https://klasma.github.io/Logging_1737/klagomålsmail/A 4486-2023 FSC-klagomål mail.docx", "A 4486-2023")</f>
        <v/>
      </c>
      <c r="X64">
        <f>HYPERLINK("https://klasma.github.io/Logging_1737/tillsyn/A 4486-2023 tillsynsbegäran.docx", "A 4486-2023")</f>
        <v/>
      </c>
      <c r="Y64">
        <f>HYPERLINK("https://klasma.github.io/Logging_1737/tillsynsmail/A 4486-2023 tillsynsbegäran mail.docx", "A 4486-2023")</f>
        <v/>
      </c>
    </row>
    <row r="65" ht="15" customHeight="1">
      <c r="A65" t="inlineStr">
        <is>
          <t>A 29560-2023</t>
        </is>
      </c>
      <c r="B65" s="1" t="n">
        <v>45106</v>
      </c>
      <c r="C65" s="1" t="n">
        <v>45575</v>
      </c>
      <c r="D65" t="inlineStr">
        <is>
          <t>VÄRMLANDS LÄN</t>
        </is>
      </c>
      <c r="E65" t="inlineStr">
        <is>
          <t>TORSBY</t>
        </is>
      </c>
      <c r="G65" t="n">
        <v>10.3</v>
      </c>
      <c r="H65" t="n">
        <v>2</v>
      </c>
      <c r="I65" t="n">
        <v>1</v>
      </c>
      <c r="J65" t="n">
        <v>1</v>
      </c>
      <c r="K65" t="n">
        <v>0</v>
      </c>
      <c r="L65" t="n">
        <v>0</v>
      </c>
      <c r="M65" t="n">
        <v>0</v>
      </c>
      <c r="N65" t="n">
        <v>0</v>
      </c>
      <c r="O65" t="n">
        <v>1</v>
      </c>
      <c r="P65" t="n">
        <v>0</v>
      </c>
      <c r="Q65" t="n">
        <v>3</v>
      </c>
      <c r="R65" s="2" t="inlineStr">
        <is>
          <t>Spillkråka
Tibast
Orre</t>
        </is>
      </c>
      <c r="S65">
        <f>HYPERLINK("https://klasma.github.io/Logging_1737/artfynd/A 29560-2023 artfynd.xlsx", "A 29560-2023")</f>
        <v/>
      </c>
      <c r="T65">
        <f>HYPERLINK("https://klasma.github.io/Logging_1737/kartor/A 29560-2023 karta.png", "A 29560-2023")</f>
        <v/>
      </c>
      <c r="V65">
        <f>HYPERLINK("https://klasma.github.io/Logging_1737/klagomål/A 29560-2023 FSC-klagomål.docx", "A 29560-2023")</f>
        <v/>
      </c>
      <c r="W65">
        <f>HYPERLINK("https://klasma.github.io/Logging_1737/klagomålsmail/A 29560-2023 FSC-klagomål mail.docx", "A 29560-2023")</f>
        <v/>
      </c>
      <c r="X65">
        <f>HYPERLINK("https://klasma.github.io/Logging_1737/tillsyn/A 29560-2023 tillsynsbegäran.docx", "A 29560-2023")</f>
        <v/>
      </c>
      <c r="Y65">
        <f>HYPERLINK("https://klasma.github.io/Logging_1737/tillsynsmail/A 29560-2023 tillsynsbegäran mail.docx", "A 29560-2023")</f>
        <v/>
      </c>
      <c r="Z65">
        <f>HYPERLINK("https://klasma.github.io/Logging_1737/fåglar/A 29560-2023 prioriterade fågelarter.docx", "A 29560-2023")</f>
        <v/>
      </c>
    </row>
    <row r="66" ht="15" customHeight="1">
      <c r="A66" t="inlineStr">
        <is>
          <t>A 42590-2023</t>
        </is>
      </c>
      <c r="B66" s="1" t="n">
        <v>45181</v>
      </c>
      <c r="C66" s="1" t="n">
        <v>45575</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46016-2023</t>
        </is>
      </c>
      <c r="B67" s="1" t="n">
        <v>45196</v>
      </c>
      <c r="C67" s="1" t="n">
        <v>45575</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3099-2024</t>
        </is>
      </c>
      <c r="B68" s="1" t="n">
        <v>45316</v>
      </c>
      <c r="C68" s="1" t="n">
        <v>45575</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5680-2024</t>
        </is>
      </c>
      <c r="B69" s="1" t="n">
        <v>45334</v>
      </c>
      <c r="C69" s="1" t="n">
        <v>45575</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18306-2024</t>
        </is>
      </c>
      <c r="B70" s="1" t="n">
        <v>45422</v>
      </c>
      <c r="C70" s="1" t="n">
        <v>45575</v>
      </c>
      <c r="D70" t="inlineStr">
        <is>
          <t>VÄRMLANDS LÄN</t>
        </is>
      </c>
      <c r="E70" t="inlineStr">
        <is>
          <t>TORSBY</t>
        </is>
      </c>
      <c r="G70" t="n">
        <v>5.5</v>
      </c>
      <c r="H70" t="n">
        <v>0</v>
      </c>
      <c r="I70" t="n">
        <v>0</v>
      </c>
      <c r="J70" t="n">
        <v>3</v>
      </c>
      <c r="K70" t="n">
        <v>0</v>
      </c>
      <c r="L70" t="n">
        <v>0</v>
      </c>
      <c r="M70" t="n">
        <v>0</v>
      </c>
      <c r="N70" t="n">
        <v>0</v>
      </c>
      <c r="O70" t="n">
        <v>3</v>
      </c>
      <c r="P70" t="n">
        <v>0</v>
      </c>
      <c r="Q70" t="n">
        <v>3</v>
      </c>
      <c r="R70" s="2" t="inlineStr">
        <is>
          <t>Garnlav
Lunglav
Tallticka</t>
        </is>
      </c>
      <c r="S70">
        <f>HYPERLINK("https://klasma.github.io/Logging_1737/artfynd/A 18306-2024 artfynd.xlsx", "A 18306-2024")</f>
        <v/>
      </c>
      <c r="T70">
        <f>HYPERLINK("https://klasma.github.io/Logging_1737/kartor/A 18306-2024 karta.png", "A 18306-2024")</f>
        <v/>
      </c>
      <c r="V70">
        <f>HYPERLINK("https://klasma.github.io/Logging_1737/klagomål/A 18306-2024 FSC-klagomål.docx", "A 18306-2024")</f>
        <v/>
      </c>
      <c r="W70">
        <f>HYPERLINK("https://klasma.github.io/Logging_1737/klagomålsmail/A 18306-2024 FSC-klagomål mail.docx", "A 18306-2024")</f>
        <v/>
      </c>
      <c r="X70">
        <f>HYPERLINK("https://klasma.github.io/Logging_1737/tillsyn/A 18306-2024 tillsynsbegäran.docx", "A 18306-2024")</f>
        <v/>
      </c>
      <c r="Y70">
        <f>HYPERLINK("https://klasma.github.io/Logging_1737/tillsynsmail/A 18306-2024 tillsynsbegäran mail.docx", "A 18306-2024")</f>
        <v/>
      </c>
    </row>
    <row r="71" ht="15" customHeight="1">
      <c r="A71" t="inlineStr">
        <is>
          <t>A 31835-2024</t>
        </is>
      </c>
      <c r="B71" s="1" t="n">
        <v>45509</v>
      </c>
      <c r="C71" s="1" t="n">
        <v>45575</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18528-2019</t>
        </is>
      </c>
      <c r="B72" s="1" t="n">
        <v>43559</v>
      </c>
      <c r="C72" s="1" t="n">
        <v>45575</v>
      </c>
      <c r="D72" t="inlineStr">
        <is>
          <t>VÄRMLANDS LÄN</t>
        </is>
      </c>
      <c r="E72" t="inlineStr">
        <is>
          <t>TORSBY</t>
        </is>
      </c>
      <c r="G72" t="n">
        <v>1.9</v>
      </c>
      <c r="H72" t="n">
        <v>0</v>
      </c>
      <c r="I72" t="n">
        <v>1</v>
      </c>
      <c r="J72" t="n">
        <v>1</v>
      </c>
      <c r="K72" t="n">
        <v>0</v>
      </c>
      <c r="L72" t="n">
        <v>0</v>
      </c>
      <c r="M72" t="n">
        <v>0</v>
      </c>
      <c r="N72" t="n">
        <v>0</v>
      </c>
      <c r="O72" t="n">
        <v>1</v>
      </c>
      <c r="P72" t="n">
        <v>0</v>
      </c>
      <c r="Q72" t="n">
        <v>2</v>
      </c>
      <c r="R72" s="2" t="inlineStr">
        <is>
          <t>Lunglav
Kattfotslav</t>
        </is>
      </c>
      <c r="S72">
        <f>HYPERLINK("https://klasma.github.io/Logging_1737/artfynd/A 18528-2019 artfynd.xlsx", "A 18528-2019")</f>
        <v/>
      </c>
      <c r="T72">
        <f>HYPERLINK("https://klasma.github.io/Logging_1737/kartor/A 18528-2019 karta.png", "A 18528-2019")</f>
        <v/>
      </c>
      <c r="V72">
        <f>HYPERLINK("https://klasma.github.io/Logging_1737/klagomål/A 18528-2019 FSC-klagomål.docx", "A 18528-2019")</f>
        <v/>
      </c>
      <c r="W72">
        <f>HYPERLINK("https://klasma.github.io/Logging_1737/klagomålsmail/A 18528-2019 FSC-klagomål mail.docx", "A 18528-2019")</f>
        <v/>
      </c>
      <c r="X72">
        <f>HYPERLINK("https://klasma.github.io/Logging_1737/tillsyn/A 18528-2019 tillsynsbegäran.docx", "A 18528-2019")</f>
        <v/>
      </c>
      <c r="Y72">
        <f>HYPERLINK("https://klasma.github.io/Logging_1737/tillsynsmail/A 18528-2019 tillsynsbegäran mail.docx", "A 18528-2019")</f>
        <v/>
      </c>
    </row>
    <row r="73" ht="15" customHeight="1">
      <c r="A73" t="inlineStr">
        <is>
          <t>A 47423-2019</t>
        </is>
      </c>
      <c r="B73" s="1" t="n">
        <v>43723</v>
      </c>
      <c r="C73" s="1" t="n">
        <v>45575</v>
      </c>
      <c r="D73" t="inlineStr">
        <is>
          <t>VÄRMLANDS LÄN</t>
        </is>
      </c>
      <c r="E73" t="inlineStr">
        <is>
          <t>TORSBY</t>
        </is>
      </c>
      <c r="G73" t="n">
        <v>5.1</v>
      </c>
      <c r="H73" t="n">
        <v>0</v>
      </c>
      <c r="I73" t="n">
        <v>0</v>
      </c>
      <c r="J73" t="n">
        <v>2</v>
      </c>
      <c r="K73" t="n">
        <v>0</v>
      </c>
      <c r="L73" t="n">
        <v>0</v>
      </c>
      <c r="M73" t="n">
        <v>0</v>
      </c>
      <c r="N73" t="n">
        <v>0</v>
      </c>
      <c r="O73" t="n">
        <v>2</v>
      </c>
      <c r="P73" t="n">
        <v>0</v>
      </c>
      <c r="Q73" t="n">
        <v>2</v>
      </c>
      <c r="R73" s="2" t="inlineStr">
        <is>
          <t>Gammelgransskål
Garnlav</t>
        </is>
      </c>
      <c r="S73">
        <f>HYPERLINK("https://klasma.github.io/Logging_1737/artfynd/A 47423-2019 artfynd.xlsx", "A 47423-2019")</f>
        <v/>
      </c>
      <c r="T73">
        <f>HYPERLINK("https://klasma.github.io/Logging_1737/kartor/A 47423-2019 karta.png", "A 47423-2019")</f>
        <v/>
      </c>
      <c r="V73">
        <f>HYPERLINK("https://klasma.github.io/Logging_1737/klagomål/A 47423-2019 FSC-klagomål.docx", "A 47423-2019")</f>
        <v/>
      </c>
      <c r="W73">
        <f>HYPERLINK("https://klasma.github.io/Logging_1737/klagomålsmail/A 47423-2019 FSC-klagomål mail.docx", "A 47423-2019")</f>
        <v/>
      </c>
      <c r="X73">
        <f>HYPERLINK("https://klasma.github.io/Logging_1737/tillsyn/A 47423-2019 tillsynsbegäran.docx", "A 47423-2019")</f>
        <v/>
      </c>
      <c r="Y73">
        <f>HYPERLINK("https://klasma.github.io/Logging_1737/tillsynsmail/A 47423-2019 tillsynsbegäran mail.docx", "A 47423-2019")</f>
        <v/>
      </c>
    </row>
    <row r="74" ht="15" customHeight="1">
      <c r="A74" t="inlineStr">
        <is>
          <t>A 60661-2019</t>
        </is>
      </c>
      <c r="B74" s="1" t="n">
        <v>43781</v>
      </c>
      <c r="C74" s="1" t="n">
        <v>45575</v>
      </c>
      <c r="D74" t="inlineStr">
        <is>
          <t>VÄRMLANDS LÄN</t>
        </is>
      </c>
      <c r="E74" t="inlineStr">
        <is>
          <t>TORSBY</t>
        </is>
      </c>
      <c r="F74" t="inlineStr">
        <is>
          <t>Bergvik skog väst AB</t>
        </is>
      </c>
      <c r="G74" t="n">
        <v>40.4</v>
      </c>
      <c r="H74" t="n">
        <v>2</v>
      </c>
      <c r="I74" t="n">
        <v>0</v>
      </c>
      <c r="J74" t="n">
        <v>2</v>
      </c>
      <c r="K74" t="n">
        <v>0</v>
      </c>
      <c r="L74" t="n">
        <v>0</v>
      </c>
      <c r="M74" t="n">
        <v>0</v>
      </c>
      <c r="N74" t="n">
        <v>0</v>
      </c>
      <c r="O74" t="n">
        <v>2</v>
      </c>
      <c r="P74" t="n">
        <v>0</v>
      </c>
      <c r="Q74" t="n">
        <v>2</v>
      </c>
      <c r="R74" s="2" t="inlineStr">
        <is>
          <t>Kråka
Spillkråka</t>
        </is>
      </c>
      <c r="S74">
        <f>HYPERLINK("https://klasma.github.io/Logging_1737/artfynd/A 60661-2019 artfynd.xlsx", "A 60661-2019")</f>
        <v/>
      </c>
      <c r="T74">
        <f>HYPERLINK("https://klasma.github.io/Logging_1737/kartor/A 60661-2019 karta.png", "A 60661-2019")</f>
        <v/>
      </c>
      <c r="V74">
        <f>HYPERLINK("https://klasma.github.io/Logging_1737/klagomål/A 60661-2019 FSC-klagomål.docx", "A 60661-2019")</f>
        <v/>
      </c>
      <c r="W74">
        <f>HYPERLINK("https://klasma.github.io/Logging_1737/klagomålsmail/A 60661-2019 FSC-klagomål mail.docx", "A 60661-2019")</f>
        <v/>
      </c>
      <c r="X74">
        <f>HYPERLINK("https://klasma.github.io/Logging_1737/tillsyn/A 60661-2019 tillsynsbegäran.docx", "A 60661-2019")</f>
        <v/>
      </c>
      <c r="Y74">
        <f>HYPERLINK("https://klasma.github.io/Logging_1737/tillsynsmail/A 60661-2019 tillsynsbegäran mail.docx", "A 60661-2019")</f>
        <v/>
      </c>
      <c r="Z74">
        <f>HYPERLINK("https://klasma.github.io/Logging_1737/fåglar/A 60661-2019 prioriterade fågelarter.docx", "A 60661-2019")</f>
        <v/>
      </c>
    </row>
    <row r="75" ht="15" customHeight="1">
      <c r="A75" t="inlineStr">
        <is>
          <t>A 53198-2020</t>
        </is>
      </c>
      <c r="B75" s="1" t="n">
        <v>44122</v>
      </c>
      <c r="C75" s="1" t="n">
        <v>45575</v>
      </c>
      <c r="D75" t="inlineStr">
        <is>
          <t>VÄRMLANDS LÄN</t>
        </is>
      </c>
      <c r="E75" t="inlineStr">
        <is>
          <t>TORSBY</t>
        </is>
      </c>
      <c r="G75" t="n">
        <v>6.5</v>
      </c>
      <c r="H75" t="n">
        <v>0</v>
      </c>
      <c r="I75" t="n">
        <v>0</v>
      </c>
      <c r="J75" t="n">
        <v>2</v>
      </c>
      <c r="K75" t="n">
        <v>0</v>
      </c>
      <c r="L75" t="n">
        <v>0</v>
      </c>
      <c r="M75" t="n">
        <v>0</v>
      </c>
      <c r="N75" t="n">
        <v>0</v>
      </c>
      <c r="O75" t="n">
        <v>2</v>
      </c>
      <c r="P75" t="n">
        <v>0</v>
      </c>
      <c r="Q75" t="n">
        <v>2</v>
      </c>
      <c r="R75" s="2" t="inlineStr">
        <is>
          <t>Garnlav
Kolflarnlav</t>
        </is>
      </c>
      <c r="S75">
        <f>HYPERLINK("https://klasma.github.io/Logging_1737/artfynd/A 53198-2020 artfynd.xlsx", "A 53198-2020")</f>
        <v/>
      </c>
      <c r="T75">
        <f>HYPERLINK("https://klasma.github.io/Logging_1737/kartor/A 53198-2020 karta.png", "A 53198-2020")</f>
        <v/>
      </c>
      <c r="V75">
        <f>HYPERLINK("https://klasma.github.io/Logging_1737/klagomål/A 53198-2020 FSC-klagomål.docx", "A 53198-2020")</f>
        <v/>
      </c>
      <c r="W75">
        <f>HYPERLINK("https://klasma.github.io/Logging_1737/klagomålsmail/A 53198-2020 FSC-klagomål mail.docx", "A 53198-2020")</f>
        <v/>
      </c>
      <c r="X75">
        <f>HYPERLINK("https://klasma.github.io/Logging_1737/tillsyn/A 53198-2020 tillsynsbegäran.docx", "A 53198-2020")</f>
        <v/>
      </c>
      <c r="Y75">
        <f>HYPERLINK("https://klasma.github.io/Logging_1737/tillsynsmail/A 53198-2020 tillsynsbegäran mail.docx", "A 53198-2020")</f>
        <v/>
      </c>
    </row>
    <row r="76" ht="15" customHeight="1">
      <c r="A76" t="inlineStr">
        <is>
          <t>A 1524-2021</t>
        </is>
      </c>
      <c r="B76" s="1" t="n">
        <v>44209</v>
      </c>
      <c r="C76" s="1" t="n">
        <v>45575</v>
      </c>
      <c r="D76" t="inlineStr">
        <is>
          <t>VÄRMLANDS LÄN</t>
        </is>
      </c>
      <c r="E76" t="inlineStr">
        <is>
          <t>TORSBY</t>
        </is>
      </c>
      <c r="G76" t="n">
        <v>1</v>
      </c>
      <c r="H76" t="n">
        <v>0</v>
      </c>
      <c r="I76" t="n">
        <v>2</v>
      </c>
      <c r="J76" t="n">
        <v>0</v>
      </c>
      <c r="K76" t="n">
        <v>0</v>
      </c>
      <c r="L76" t="n">
        <v>0</v>
      </c>
      <c r="M76" t="n">
        <v>0</v>
      </c>
      <c r="N76" t="n">
        <v>0</v>
      </c>
      <c r="O76" t="n">
        <v>0</v>
      </c>
      <c r="P76" t="n">
        <v>0</v>
      </c>
      <c r="Q76" t="n">
        <v>2</v>
      </c>
      <c r="R76" s="2" t="inlineStr">
        <is>
          <t>Dropptaggsvamp
Skarp dropptaggsvamp</t>
        </is>
      </c>
      <c r="S76">
        <f>HYPERLINK("https://klasma.github.io/Logging_1737/artfynd/A 1524-2021 artfynd.xlsx", "A 1524-2021")</f>
        <v/>
      </c>
      <c r="T76">
        <f>HYPERLINK("https://klasma.github.io/Logging_1737/kartor/A 1524-2021 karta.png", "A 1524-2021")</f>
        <v/>
      </c>
      <c r="V76">
        <f>HYPERLINK("https://klasma.github.io/Logging_1737/klagomål/A 1524-2021 FSC-klagomål.docx", "A 1524-2021")</f>
        <v/>
      </c>
      <c r="W76">
        <f>HYPERLINK("https://klasma.github.io/Logging_1737/klagomålsmail/A 1524-2021 FSC-klagomål mail.docx", "A 1524-2021")</f>
        <v/>
      </c>
      <c r="X76">
        <f>HYPERLINK("https://klasma.github.io/Logging_1737/tillsyn/A 1524-2021 tillsynsbegäran.docx", "A 1524-2021")</f>
        <v/>
      </c>
      <c r="Y76">
        <f>HYPERLINK("https://klasma.github.io/Logging_1737/tillsynsmail/A 1524-2021 tillsynsbegäran mail.docx", "A 1524-2021")</f>
        <v/>
      </c>
    </row>
    <row r="77" ht="15" customHeight="1">
      <c r="A77" t="inlineStr">
        <is>
          <t>A 43023-2021</t>
        </is>
      </c>
      <c r="B77" s="1" t="n">
        <v>44431</v>
      </c>
      <c r="C77" s="1" t="n">
        <v>45575</v>
      </c>
      <c r="D77" t="inlineStr">
        <is>
          <t>VÄRMLANDS LÄN</t>
        </is>
      </c>
      <c r="E77" t="inlineStr">
        <is>
          <t>TORSBY</t>
        </is>
      </c>
      <c r="G77" t="n">
        <v>1</v>
      </c>
      <c r="H77" t="n">
        <v>0</v>
      </c>
      <c r="I77" t="n">
        <v>0</v>
      </c>
      <c r="J77" t="n">
        <v>2</v>
      </c>
      <c r="K77" t="n">
        <v>0</v>
      </c>
      <c r="L77" t="n">
        <v>0</v>
      </c>
      <c r="M77" t="n">
        <v>0</v>
      </c>
      <c r="N77" t="n">
        <v>0</v>
      </c>
      <c r="O77" t="n">
        <v>2</v>
      </c>
      <c r="P77" t="n">
        <v>0</v>
      </c>
      <c r="Q77" t="n">
        <v>2</v>
      </c>
      <c r="R77" s="2" t="inlineStr">
        <is>
          <t>Doftskinn
Violettgrå tagellav</t>
        </is>
      </c>
      <c r="S77">
        <f>HYPERLINK("https://klasma.github.io/Logging_1737/artfynd/A 43023-2021 artfynd.xlsx", "A 43023-2021")</f>
        <v/>
      </c>
      <c r="T77">
        <f>HYPERLINK("https://klasma.github.io/Logging_1737/kartor/A 43023-2021 karta.png", "A 43023-2021")</f>
        <v/>
      </c>
      <c r="V77">
        <f>HYPERLINK("https://klasma.github.io/Logging_1737/klagomål/A 43023-2021 FSC-klagomål.docx", "A 43023-2021")</f>
        <v/>
      </c>
      <c r="W77">
        <f>HYPERLINK("https://klasma.github.io/Logging_1737/klagomålsmail/A 43023-2021 FSC-klagomål mail.docx", "A 43023-2021")</f>
        <v/>
      </c>
      <c r="X77">
        <f>HYPERLINK("https://klasma.github.io/Logging_1737/tillsyn/A 43023-2021 tillsynsbegäran.docx", "A 43023-2021")</f>
        <v/>
      </c>
      <c r="Y77">
        <f>HYPERLINK("https://klasma.github.io/Logging_1737/tillsynsmail/A 43023-2021 tillsynsbegäran mail.docx", "A 43023-2021")</f>
        <v/>
      </c>
    </row>
    <row r="78" ht="15" customHeight="1">
      <c r="A78" t="inlineStr">
        <is>
          <t>A 12375-2022</t>
        </is>
      </c>
      <c r="B78" s="1" t="n">
        <v>44637</v>
      </c>
      <c r="C78" s="1" t="n">
        <v>45575</v>
      </c>
      <c r="D78" t="inlineStr">
        <is>
          <t>VÄRMLANDS LÄN</t>
        </is>
      </c>
      <c r="E78" t="inlineStr">
        <is>
          <t>TORSBY</t>
        </is>
      </c>
      <c r="G78" t="n">
        <v>5.8</v>
      </c>
      <c r="H78" t="n">
        <v>0</v>
      </c>
      <c r="I78" t="n">
        <v>1</v>
      </c>
      <c r="J78" t="n">
        <v>1</v>
      </c>
      <c r="K78" t="n">
        <v>0</v>
      </c>
      <c r="L78" t="n">
        <v>0</v>
      </c>
      <c r="M78" t="n">
        <v>0</v>
      </c>
      <c r="N78" t="n">
        <v>0</v>
      </c>
      <c r="O78" t="n">
        <v>1</v>
      </c>
      <c r="P78" t="n">
        <v>0</v>
      </c>
      <c r="Q78" t="n">
        <v>2</v>
      </c>
      <c r="R78" s="2" t="inlineStr">
        <is>
          <t>Garnlav
Nästlav</t>
        </is>
      </c>
      <c r="S78">
        <f>HYPERLINK("https://klasma.github.io/Logging_1737/artfynd/A 12375-2022 artfynd.xlsx", "A 12375-2022")</f>
        <v/>
      </c>
      <c r="T78">
        <f>HYPERLINK("https://klasma.github.io/Logging_1737/kartor/A 12375-2022 karta.png", "A 12375-2022")</f>
        <v/>
      </c>
      <c r="V78">
        <f>HYPERLINK("https://klasma.github.io/Logging_1737/klagomål/A 12375-2022 FSC-klagomål.docx", "A 12375-2022")</f>
        <v/>
      </c>
      <c r="W78">
        <f>HYPERLINK("https://klasma.github.io/Logging_1737/klagomålsmail/A 12375-2022 FSC-klagomål mail.docx", "A 12375-2022")</f>
        <v/>
      </c>
      <c r="X78">
        <f>HYPERLINK("https://klasma.github.io/Logging_1737/tillsyn/A 12375-2022 tillsynsbegäran.docx", "A 12375-2022")</f>
        <v/>
      </c>
      <c r="Y78">
        <f>HYPERLINK("https://klasma.github.io/Logging_1737/tillsynsmail/A 12375-2022 tillsynsbegäran mail.docx", "A 12375-2022")</f>
        <v/>
      </c>
    </row>
    <row r="79" ht="15" customHeight="1">
      <c r="A79" t="inlineStr">
        <is>
          <t>A 12372-2022</t>
        </is>
      </c>
      <c r="B79" s="1" t="n">
        <v>44637</v>
      </c>
      <c r="C79" s="1" t="n">
        <v>45575</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22174-2022</t>
        </is>
      </c>
      <c r="B80" s="1" t="n">
        <v>44712</v>
      </c>
      <c r="C80" s="1" t="n">
        <v>45575</v>
      </c>
      <c r="D80" t="inlineStr">
        <is>
          <t>VÄRMLANDS LÄN</t>
        </is>
      </c>
      <c r="E80" t="inlineStr">
        <is>
          <t>TORSBY</t>
        </is>
      </c>
      <c r="G80" t="n">
        <v>11</v>
      </c>
      <c r="H80" t="n">
        <v>1</v>
      </c>
      <c r="I80" t="n">
        <v>1</v>
      </c>
      <c r="J80" t="n">
        <v>0</v>
      </c>
      <c r="K80" t="n">
        <v>0</v>
      </c>
      <c r="L80" t="n">
        <v>0</v>
      </c>
      <c r="M80" t="n">
        <v>0</v>
      </c>
      <c r="N80" t="n">
        <v>0</v>
      </c>
      <c r="O80" t="n">
        <v>0</v>
      </c>
      <c r="P80" t="n">
        <v>0</v>
      </c>
      <c r="Q80" t="n">
        <v>2</v>
      </c>
      <c r="R80" s="2" t="inlineStr">
        <is>
          <t>Svart trolldruva
Revlummer</t>
        </is>
      </c>
      <c r="S80">
        <f>HYPERLINK("https://klasma.github.io/Logging_1737/artfynd/A 22174-2022 artfynd.xlsx", "A 22174-2022")</f>
        <v/>
      </c>
      <c r="T80">
        <f>HYPERLINK("https://klasma.github.io/Logging_1737/kartor/A 22174-2022 karta.png", "A 22174-2022")</f>
        <v/>
      </c>
      <c r="V80">
        <f>HYPERLINK("https://klasma.github.io/Logging_1737/klagomål/A 22174-2022 FSC-klagomål.docx", "A 22174-2022")</f>
        <v/>
      </c>
      <c r="W80">
        <f>HYPERLINK("https://klasma.github.io/Logging_1737/klagomålsmail/A 22174-2022 FSC-klagomål mail.docx", "A 22174-2022")</f>
        <v/>
      </c>
      <c r="X80">
        <f>HYPERLINK("https://klasma.github.io/Logging_1737/tillsyn/A 22174-2022 tillsynsbegäran.docx", "A 22174-2022")</f>
        <v/>
      </c>
      <c r="Y80">
        <f>HYPERLINK("https://klasma.github.io/Logging_1737/tillsynsmail/A 22174-2022 tillsynsbegäran mail.docx", "A 22174-2022")</f>
        <v/>
      </c>
    </row>
    <row r="81" ht="15" customHeight="1">
      <c r="A81" t="inlineStr">
        <is>
          <t>A 28156-2022</t>
        </is>
      </c>
      <c r="B81" s="1" t="n">
        <v>44746</v>
      </c>
      <c r="C81" s="1" t="n">
        <v>45575</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34930-2022</t>
        </is>
      </c>
      <c r="B82" s="1" t="n">
        <v>44796</v>
      </c>
      <c r="C82" s="1" t="n">
        <v>45575</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2000-2023</t>
        </is>
      </c>
      <c r="B83" s="1" t="n">
        <v>44939</v>
      </c>
      <c r="C83" s="1" t="n">
        <v>45575</v>
      </c>
      <c r="D83" t="inlineStr">
        <is>
          <t>VÄRMLANDS LÄN</t>
        </is>
      </c>
      <c r="E83" t="inlineStr">
        <is>
          <t>TORSBY</t>
        </is>
      </c>
      <c r="G83" t="n">
        <v>3.2</v>
      </c>
      <c r="H83" t="n">
        <v>2</v>
      </c>
      <c r="I83" t="n">
        <v>1</v>
      </c>
      <c r="J83" t="n">
        <v>0</v>
      </c>
      <c r="K83" t="n">
        <v>0</v>
      </c>
      <c r="L83" t="n">
        <v>0</v>
      </c>
      <c r="M83" t="n">
        <v>0</v>
      </c>
      <c r="N83" t="n">
        <v>0</v>
      </c>
      <c r="O83" t="n">
        <v>0</v>
      </c>
      <c r="P83" t="n">
        <v>0</v>
      </c>
      <c r="Q83" t="n">
        <v>2</v>
      </c>
      <c r="R83" s="2" t="inlineStr">
        <is>
          <t>Spindelblomster
Mattlummer</t>
        </is>
      </c>
      <c r="S83">
        <f>HYPERLINK("https://klasma.github.io/Logging_1737/artfynd/A 2000-2023 artfynd.xlsx", "A 2000-2023")</f>
        <v/>
      </c>
      <c r="T83">
        <f>HYPERLINK("https://klasma.github.io/Logging_1737/kartor/A 2000-2023 karta.png", "A 2000-2023")</f>
        <v/>
      </c>
      <c r="V83">
        <f>HYPERLINK("https://klasma.github.io/Logging_1737/klagomål/A 2000-2023 FSC-klagomål.docx", "A 2000-2023")</f>
        <v/>
      </c>
      <c r="W83">
        <f>HYPERLINK("https://klasma.github.io/Logging_1737/klagomålsmail/A 2000-2023 FSC-klagomål mail.docx", "A 2000-2023")</f>
        <v/>
      </c>
      <c r="X83">
        <f>HYPERLINK("https://klasma.github.io/Logging_1737/tillsyn/A 2000-2023 tillsynsbegäran.docx", "A 2000-2023")</f>
        <v/>
      </c>
      <c r="Y83">
        <f>HYPERLINK("https://klasma.github.io/Logging_1737/tillsynsmail/A 2000-2023 tillsynsbegäran mail.docx", "A 2000-2023")</f>
        <v/>
      </c>
    </row>
    <row r="84" ht="15" customHeight="1">
      <c r="A84" t="inlineStr">
        <is>
          <t>A 4718-2023</t>
        </is>
      </c>
      <c r="B84" s="1" t="n">
        <v>44957</v>
      </c>
      <c r="C84" s="1" t="n">
        <v>45575</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13364-2023</t>
        </is>
      </c>
      <c r="B85" s="1" t="n">
        <v>45005</v>
      </c>
      <c r="C85" s="1" t="n">
        <v>45575</v>
      </c>
      <c r="D85" t="inlineStr">
        <is>
          <t>VÄRMLANDS LÄN</t>
        </is>
      </c>
      <c r="E85" t="inlineStr">
        <is>
          <t>TORSBY</t>
        </is>
      </c>
      <c r="G85" t="n">
        <v>16.3</v>
      </c>
      <c r="H85" t="n">
        <v>0</v>
      </c>
      <c r="I85" t="n">
        <v>1</v>
      </c>
      <c r="J85" t="n">
        <v>1</v>
      </c>
      <c r="K85" t="n">
        <v>0</v>
      </c>
      <c r="L85" t="n">
        <v>0</v>
      </c>
      <c r="M85" t="n">
        <v>0</v>
      </c>
      <c r="N85" t="n">
        <v>0</v>
      </c>
      <c r="O85" t="n">
        <v>1</v>
      </c>
      <c r="P85" t="n">
        <v>0</v>
      </c>
      <c r="Q85" t="n">
        <v>2</v>
      </c>
      <c r="R85" s="2" t="inlineStr">
        <is>
          <t>Mörk kolflarnlav
Dropptaggsvamp</t>
        </is>
      </c>
      <c r="S85">
        <f>HYPERLINK("https://klasma.github.io/Logging_1737/artfynd/A 13364-2023 artfynd.xlsx", "A 13364-2023")</f>
        <v/>
      </c>
      <c r="T85">
        <f>HYPERLINK("https://klasma.github.io/Logging_1737/kartor/A 13364-2023 karta.png", "A 13364-2023")</f>
        <v/>
      </c>
      <c r="V85">
        <f>HYPERLINK("https://klasma.github.io/Logging_1737/klagomål/A 13364-2023 FSC-klagomål.docx", "A 13364-2023")</f>
        <v/>
      </c>
      <c r="W85">
        <f>HYPERLINK("https://klasma.github.io/Logging_1737/klagomålsmail/A 13364-2023 FSC-klagomål mail.docx", "A 13364-2023")</f>
        <v/>
      </c>
      <c r="X85">
        <f>HYPERLINK("https://klasma.github.io/Logging_1737/tillsyn/A 13364-2023 tillsynsbegäran.docx", "A 13364-2023")</f>
        <v/>
      </c>
      <c r="Y85">
        <f>HYPERLINK("https://klasma.github.io/Logging_1737/tillsynsmail/A 13364-2023 tillsynsbegäran mail.docx", "A 13364-2023")</f>
        <v/>
      </c>
    </row>
    <row r="86" ht="15" customHeight="1">
      <c r="A86" t="inlineStr">
        <is>
          <t>A 16414-2023</t>
        </is>
      </c>
      <c r="B86" s="1" t="n">
        <v>45022</v>
      </c>
      <c r="C86" s="1" t="n">
        <v>45575</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16442-2023</t>
        </is>
      </c>
      <c r="B87" s="1" t="n">
        <v>45026</v>
      </c>
      <c r="C87" s="1" t="n">
        <v>45575</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42610-2023</t>
        </is>
      </c>
      <c r="B88" s="1" t="n">
        <v>45181</v>
      </c>
      <c r="C88" s="1" t="n">
        <v>45575</v>
      </c>
      <c r="D88" t="inlineStr">
        <is>
          <t>VÄRMLANDS LÄN</t>
        </is>
      </c>
      <c r="E88" t="inlineStr">
        <is>
          <t>TORSBY</t>
        </is>
      </c>
      <c r="G88" t="n">
        <v>16.9</v>
      </c>
      <c r="H88" t="n">
        <v>1</v>
      </c>
      <c r="I88" t="n">
        <v>0</v>
      </c>
      <c r="J88" t="n">
        <v>1</v>
      </c>
      <c r="K88" t="n">
        <v>0</v>
      </c>
      <c r="L88" t="n">
        <v>0</v>
      </c>
      <c r="M88" t="n">
        <v>0</v>
      </c>
      <c r="N88" t="n">
        <v>0</v>
      </c>
      <c r="O88" t="n">
        <v>1</v>
      </c>
      <c r="P88" t="n">
        <v>0</v>
      </c>
      <c r="Q88" t="n">
        <v>2</v>
      </c>
      <c r="R88" s="2" t="inlineStr">
        <is>
          <t>Garnlav
Tjäder</t>
        </is>
      </c>
      <c r="S88">
        <f>HYPERLINK("https://klasma.github.io/Logging_1737/artfynd/A 42610-2023 artfynd.xlsx", "A 42610-2023")</f>
        <v/>
      </c>
      <c r="T88">
        <f>HYPERLINK("https://klasma.github.io/Logging_1737/kartor/A 42610-2023 karta.png", "A 42610-2023")</f>
        <v/>
      </c>
      <c r="V88">
        <f>HYPERLINK("https://klasma.github.io/Logging_1737/klagomål/A 42610-2023 FSC-klagomål.docx", "A 42610-2023")</f>
        <v/>
      </c>
      <c r="W88">
        <f>HYPERLINK("https://klasma.github.io/Logging_1737/klagomålsmail/A 42610-2023 FSC-klagomål mail.docx", "A 42610-2023")</f>
        <v/>
      </c>
      <c r="X88">
        <f>HYPERLINK("https://klasma.github.io/Logging_1737/tillsyn/A 42610-2023 tillsynsbegäran.docx", "A 42610-2023")</f>
        <v/>
      </c>
      <c r="Y88">
        <f>HYPERLINK("https://klasma.github.io/Logging_1737/tillsynsmail/A 42610-2023 tillsynsbegäran mail.docx", "A 42610-2023")</f>
        <v/>
      </c>
      <c r="Z88">
        <f>HYPERLINK("https://klasma.github.io/Logging_1737/fåglar/A 42610-2023 prioriterade fågelarter.docx", "A 42610-2023")</f>
        <v/>
      </c>
    </row>
    <row r="89" ht="15" customHeight="1">
      <c r="A89" t="inlineStr">
        <is>
          <t>A 46008-2023</t>
        </is>
      </c>
      <c r="B89" s="1" t="n">
        <v>45196</v>
      </c>
      <c r="C89" s="1" t="n">
        <v>45575</v>
      </c>
      <c r="D89" t="inlineStr">
        <is>
          <t>VÄRMLANDS LÄN</t>
        </is>
      </c>
      <c r="E89" t="inlineStr">
        <is>
          <t>TORSBY</t>
        </is>
      </c>
      <c r="G89" t="n">
        <v>15.4</v>
      </c>
      <c r="H89" t="n">
        <v>0</v>
      </c>
      <c r="I89" t="n">
        <v>0</v>
      </c>
      <c r="J89" t="n">
        <v>2</v>
      </c>
      <c r="K89" t="n">
        <v>0</v>
      </c>
      <c r="L89" t="n">
        <v>0</v>
      </c>
      <c r="M89" t="n">
        <v>0</v>
      </c>
      <c r="N89" t="n">
        <v>0</v>
      </c>
      <c r="O89" t="n">
        <v>2</v>
      </c>
      <c r="P89" t="n">
        <v>0</v>
      </c>
      <c r="Q89" t="n">
        <v>2</v>
      </c>
      <c r="R89" s="2" t="inlineStr">
        <is>
          <t>Dvärgbägarlav
Garnlav</t>
        </is>
      </c>
      <c r="S89">
        <f>HYPERLINK("https://klasma.github.io/Logging_1737/artfynd/A 46008-2023 artfynd.xlsx", "A 46008-2023")</f>
        <v/>
      </c>
      <c r="T89">
        <f>HYPERLINK("https://klasma.github.io/Logging_1737/kartor/A 46008-2023 karta.png", "A 46008-2023")</f>
        <v/>
      </c>
      <c r="V89">
        <f>HYPERLINK("https://klasma.github.io/Logging_1737/klagomål/A 46008-2023 FSC-klagomål.docx", "A 46008-2023")</f>
        <v/>
      </c>
      <c r="W89">
        <f>HYPERLINK("https://klasma.github.io/Logging_1737/klagomålsmail/A 46008-2023 FSC-klagomål mail.docx", "A 46008-2023")</f>
        <v/>
      </c>
      <c r="X89">
        <f>HYPERLINK("https://klasma.github.io/Logging_1737/tillsyn/A 46008-2023 tillsynsbegäran.docx", "A 46008-2023")</f>
        <v/>
      </c>
      <c r="Y89">
        <f>HYPERLINK("https://klasma.github.io/Logging_1737/tillsynsmail/A 46008-2023 tillsynsbegäran mail.docx", "A 46008-2023")</f>
        <v/>
      </c>
    </row>
    <row r="90" ht="15" customHeight="1">
      <c r="A90" t="inlineStr">
        <is>
          <t>A 48292-2023</t>
        </is>
      </c>
      <c r="B90" s="1" t="n">
        <v>45205</v>
      </c>
      <c r="C90" s="1" t="n">
        <v>45575</v>
      </c>
      <c r="D90" t="inlineStr">
        <is>
          <t>VÄRMLANDS LÄN</t>
        </is>
      </c>
      <c r="E90" t="inlineStr">
        <is>
          <t>TORSBY</t>
        </is>
      </c>
      <c r="G90" t="n">
        <v>2.3</v>
      </c>
      <c r="H90" t="n">
        <v>0</v>
      </c>
      <c r="I90" t="n">
        <v>1</v>
      </c>
      <c r="J90" t="n">
        <v>1</v>
      </c>
      <c r="K90" t="n">
        <v>0</v>
      </c>
      <c r="L90" t="n">
        <v>0</v>
      </c>
      <c r="M90" t="n">
        <v>0</v>
      </c>
      <c r="N90" t="n">
        <v>0</v>
      </c>
      <c r="O90" t="n">
        <v>1</v>
      </c>
      <c r="P90" t="n">
        <v>0</v>
      </c>
      <c r="Q90" t="n">
        <v>2</v>
      </c>
      <c r="R90" s="2" t="inlineStr">
        <is>
          <t>Vedtrappmossa
Vedticka</t>
        </is>
      </c>
      <c r="S90">
        <f>HYPERLINK("https://klasma.github.io/Logging_1737/artfynd/A 48292-2023 artfynd.xlsx", "A 48292-2023")</f>
        <v/>
      </c>
      <c r="T90">
        <f>HYPERLINK("https://klasma.github.io/Logging_1737/kartor/A 48292-2023 karta.png", "A 48292-2023")</f>
        <v/>
      </c>
      <c r="V90">
        <f>HYPERLINK("https://klasma.github.io/Logging_1737/klagomål/A 48292-2023 FSC-klagomål.docx", "A 48292-2023")</f>
        <v/>
      </c>
      <c r="W90">
        <f>HYPERLINK("https://klasma.github.io/Logging_1737/klagomålsmail/A 48292-2023 FSC-klagomål mail.docx", "A 48292-2023")</f>
        <v/>
      </c>
      <c r="X90">
        <f>HYPERLINK("https://klasma.github.io/Logging_1737/tillsyn/A 48292-2023 tillsynsbegäran.docx", "A 48292-2023")</f>
        <v/>
      </c>
      <c r="Y90">
        <f>HYPERLINK("https://klasma.github.io/Logging_1737/tillsynsmail/A 48292-2023 tillsynsbegäran mail.docx", "A 48292-2023")</f>
        <v/>
      </c>
    </row>
    <row r="91" ht="15" customHeight="1">
      <c r="A91" t="inlineStr">
        <is>
          <t>A 62955-2023</t>
        </is>
      </c>
      <c r="B91" s="1" t="n">
        <v>45271</v>
      </c>
      <c r="C91" s="1" t="n">
        <v>45575</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4068-2024</t>
        </is>
      </c>
      <c r="B92" s="1" t="n">
        <v>45323</v>
      </c>
      <c r="C92" s="1" t="n">
        <v>45575</v>
      </c>
      <c r="D92" t="inlineStr">
        <is>
          <t>VÄRMLANDS LÄN</t>
        </is>
      </c>
      <c r="E92" t="inlineStr">
        <is>
          <t>TORSBY</t>
        </is>
      </c>
      <c r="G92" t="n">
        <v>2.9</v>
      </c>
      <c r="H92" t="n">
        <v>1</v>
      </c>
      <c r="I92" t="n">
        <v>2</v>
      </c>
      <c r="J92" t="n">
        <v>0</v>
      </c>
      <c r="K92" t="n">
        <v>0</v>
      </c>
      <c r="L92" t="n">
        <v>0</v>
      </c>
      <c r="M92" t="n">
        <v>0</v>
      </c>
      <c r="N92" t="n">
        <v>0</v>
      </c>
      <c r="O92" t="n">
        <v>0</v>
      </c>
      <c r="P92" t="n">
        <v>0</v>
      </c>
      <c r="Q92" t="n">
        <v>2</v>
      </c>
      <c r="R92" s="2" t="inlineStr">
        <is>
          <t>Korallrot
Springkorn</t>
        </is>
      </c>
      <c r="S92">
        <f>HYPERLINK("https://klasma.github.io/Logging_1737/artfynd/A 4068-2024 artfynd.xlsx", "A 4068-2024")</f>
        <v/>
      </c>
      <c r="T92">
        <f>HYPERLINK("https://klasma.github.io/Logging_1737/kartor/A 4068-2024 karta.png", "A 4068-2024")</f>
        <v/>
      </c>
      <c r="V92">
        <f>HYPERLINK("https://klasma.github.io/Logging_1737/klagomål/A 4068-2024 FSC-klagomål.docx", "A 4068-2024")</f>
        <v/>
      </c>
      <c r="W92">
        <f>HYPERLINK("https://klasma.github.io/Logging_1737/klagomålsmail/A 4068-2024 FSC-klagomål mail.docx", "A 4068-2024")</f>
        <v/>
      </c>
      <c r="X92">
        <f>HYPERLINK("https://klasma.github.io/Logging_1737/tillsyn/A 4068-2024 tillsynsbegäran.docx", "A 4068-2024")</f>
        <v/>
      </c>
      <c r="Y92">
        <f>HYPERLINK("https://klasma.github.io/Logging_1737/tillsynsmail/A 4068-2024 tillsynsbegäran mail.docx", "A 4068-2024")</f>
        <v/>
      </c>
    </row>
    <row r="93" ht="15" customHeight="1">
      <c r="A93" t="inlineStr">
        <is>
          <t>A 23091-2024</t>
        </is>
      </c>
      <c r="B93" s="1" t="n">
        <v>45450</v>
      </c>
      <c r="C93" s="1" t="n">
        <v>45575</v>
      </c>
      <c r="D93" t="inlineStr">
        <is>
          <t>VÄRMLANDS LÄN</t>
        </is>
      </c>
      <c r="E93" t="inlineStr">
        <is>
          <t>TORSBY</t>
        </is>
      </c>
      <c r="F93" t="inlineStr">
        <is>
          <t>Bergvik skog väst AB</t>
        </is>
      </c>
      <c r="G93" t="n">
        <v>14.3</v>
      </c>
      <c r="H93" t="n">
        <v>0</v>
      </c>
      <c r="I93" t="n">
        <v>1</v>
      </c>
      <c r="J93" t="n">
        <v>1</v>
      </c>
      <c r="K93" t="n">
        <v>0</v>
      </c>
      <c r="L93" t="n">
        <v>0</v>
      </c>
      <c r="M93" t="n">
        <v>0</v>
      </c>
      <c r="N93" t="n">
        <v>0</v>
      </c>
      <c r="O93" t="n">
        <v>1</v>
      </c>
      <c r="P93" t="n">
        <v>0</v>
      </c>
      <c r="Q93" t="n">
        <v>2</v>
      </c>
      <c r="R93" s="2" t="inlineStr">
        <is>
          <t>Vedskivlav
Kambräken</t>
        </is>
      </c>
      <c r="S93">
        <f>HYPERLINK("https://klasma.github.io/Logging_1737/artfynd/A 23091-2024 artfynd.xlsx", "A 23091-2024")</f>
        <v/>
      </c>
      <c r="T93">
        <f>HYPERLINK("https://klasma.github.io/Logging_1737/kartor/A 23091-2024 karta.png", "A 23091-2024")</f>
        <v/>
      </c>
      <c r="V93">
        <f>HYPERLINK("https://klasma.github.io/Logging_1737/klagomål/A 23091-2024 FSC-klagomål.docx", "A 23091-2024")</f>
        <v/>
      </c>
      <c r="W93">
        <f>HYPERLINK("https://klasma.github.io/Logging_1737/klagomålsmail/A 23091-2024 FSC-klagomål mail.docx", "A 23091-2024")</f>
        <v/>
      </c>
      <c r="X93">
        <f>HYPERLINK("https://klasma.github.io/Logging_1737/tillsyn/A 23091-2024 tillsynsbegäran.docx", "A 23091-2024")</f>
        <v/>
      </c>
      <c r="Y93">
        <f>HYPERLINK("https://klasma.github.io/Logging_1737/tillsynsmail/A 23091-2024 tillsynsbegäran mail.docx", "A 23091-2024")</f>
        <v/>
      </c>
    </row>
    <row r="94" ht="15" customHeight="1">
      <c r="A94" t="inlineStr">
        <is>
          <t>A 34491-2024</t>
        </is>
      </c>
      <c r="B94" s="1" t="n">
        <v>45525</v>
      </c>
      <c r="C94" s="1" t="n">
        <v>45575</v>
      </c>
      <c r="D94" t="inlineStr">
        <is>
          <t>VÄRMLANDS LÄN</t>
        </is>
      </c>
      <c r="E94" t="inlineStr">
        <is>
          <t>TORSBY</t>
        </is>
      </c>
      <c r="G94" t="n">
        <v>3.1</v>
      </c>
      <c r="H94" t="n">
        <v>0</v>
      </c>
      <c r="I94" t="n">
        <v>0</v>
      </c>
      <c r="J94" t="n">
        <v>2</v>
      </c>
      <c r="K94" t="n">
        <v>0</v>
      </c>
      <c r="L94" t="n">
        <v>0</v>
      </c>
      <c r="M94" t="n">
        <v>0</v>
      </c>
      <c r="N94" t="n">
        <v>0</v>
      </c>
      <c r="O94" t="n">
        <v>2</v>
      </c>
      <c r="P94" t="n">
        <v>0</v>
      </c>
      <c r="Q94" t="n">
        <v>2</v>
      </c>
      <c r="R94" s="2" t="inlineStr">
        <is>
          <t>Garnlav
Vedskivlav</t>
        </is>
      </c>
      <c r="S94">
        <f>HYPERLINK("https://klasma.github.io/Logging_1737/artfynd/A 34491-2024 artfynd.xlsx", "A 34491-2024")</f>
        <v/>
      </c>
      <c r="T94">
        <f>HYPERLINK("https://klasma.github.io/Logging_1737/kartor/A 34491-2024 karta.png", "A 34491-2024")</f>
        <v/>
      </c>
      <c r="V94">
        <f>HYPERLINK("https://klasma.github.io/Logging_1737/klagomål/A 34491-2024 FSC-klagomål.docx", "A 34491-2024")</f>
        <v/>
      </c>
      <c r="W94">
        <f>HYPERLINK("https://klasma.github.io/Logging_1737/klagomålsmail/A 34491-2024 FSC-klagomål mail.docx", "A 34491-2024")</f>
        <v/>
      </c>
      <c r="X94">
        <f>HYPERLINK("https://klasma.github.io/Logging_1737/tillsyn/A 34491-2024 tillsynsbegäran.docx", "A 34491-2024")</f>
        <v/>
      </c>
      <c r="Y94">
        <f>HYPERLINK("https://klasma.github.io/Logging_1737/tillsynsmail/A 34491-2024 tillsynsbegäran mail.docx", "A 34491-2024")</f>
        <v/>
      </c>
    </row>
    <row r="95" ht="15" customHeight="1">
      <c r="A95" t="inlineStr">
        <is>
          <t>A 37351-2024</t>
        </is>
      </c>
      <c r="B95" s="1" t="n">
        <v>45540</v>
      </c>
      <c r="C95" s="1" t="n">
        <v>45575</v>
      </c>
      <c r="D95" t="inlineStr">
        <is>
          <t>VÄRMLANDS LÄN</t>
        </is>
      </c>
      <c r="E95" t="inlineStr">
        <is>
          <t>TORSBY</t>
        </is>
      </c>
      <c r="F95" t="inlineStr">
        <is>
          <t>Bergvik skog väst AB</t>
        </is>
      </c>
      <c r="G95" t="n">
        <v>22.7</v>
      </c>
      <c r="H95" t="n">
        <v>1</v>
      </c>
      <c r="I95" t="n">
        <v>0</v>
      </c>
      <c r="J95" t="n">
        <v>2</v>
      </c>
      <c r="K95" t="n">
        <v>0</v>
      </c>
      <c r="L95" t="n">
        <v>0</v>
      </c>
      <c r="M95" t="n">
        <v>0</v>
      </c>
      <c r="N95" t="n">
        <v>0</v>
      </c>
      <c r="O95" t="n">
        <v>2</v>
      </c>
      <c r="P95" t="n">
        <v>0</v>
      </c>
      <c r="Q95" t="n">
        <v>2</v>
      </c>
      <c r="R95" s="2" t="inlineStr">
        <is>
          <t>Motaggsvamp
Talltita</t>
        </is>
      </c>
      <c r="S95">
        <f>HYPERLINK("https://klasma.github.io/Logging_1737/artfynd/A 37351-2024 artfynd.xlsx", "A 37351-2024")</f>
        <v/>
      </c>
      <c r="T95">
        <f>HYPERLINK("https://klasma.github.io/Logging_1737/kartor/A 37351-2024 karta.png", "A 37351-2024")</f>
        <v/>
      </c>
      <c r="V95">
        <f>HYPERLINK("https://klasma.github.io/Logging_1737/klagomål/A 37351-2024 FSC-klagomål.docx", "A 37351-2024")</f>
        <v/>
      </c>
      <c r="W95">
        <f>HYPERLINK("https://klasma.github.io/Logging_1737/klagomålsmail/A 37351-2024 FSC-klagomål mail.docx", "A 37351-2024")</f>
        <v/>
      </c>
      <c r="X95">
        <f>HYPERLINK("https://klasma.github.io/Logging_1737/tillsyn/A 37351-2024 tillsynsbegäran.docx", "A 37351-2024")</f>
        <v/>
      </c>
      <c r="Y95">
        <f>HYPERLINK("https://klasma.github.io/Logging_1737/tillsynsmail/A 37351-2024 tillsynsbegäran mail.docx", "A 37351-2024")</f>
        <v/>
      </c>
      <c r="Z95">
        <f>HYPERLINK("https://klasma.github.io/Logging_1737/fåglar/A 37351-2024 prioriterade fågelarter.docx", "A 37351-2024")</f>
        <v/>
      </c>
    </row>
    <row r="96" ht="15" customHeight="1">
      <c r="A96" t="inlineStr">
        <is>
          <t>A 37936-2024</t>
        </is>
      </c>
      <c r="B96" s="1" t="n">
        <v>45544</v>
      </c>
      <c r="C96" s="1" t="n">
        <v>45575</v>
      </c>
      <c r="D96" t="inlineStr">
        <is>
          <t>VÄRMLANDS LÄN</t>
        </is>
      </c>
      <c r="E96" t="inlineStr">
        <is>
          <t>TORSBY</t>
        </is>
      </c>
      <c r="G96" t="n">
        <v>5.4</v>
      </c>
      <c r="H96" t="n">
        <v>0</v>
      </c>
      <c r="I96" t="n">
        <v>0</v>
      </c>
      <c r="J96" t="n">
        <v>2</v>
      </c>
      <c r="K96" t="n">
        <v>0</v>
      </c>
      <c r="L96" t="n">
        <v>0</v>
      </c>
      <c r="M96" t="n">
        <v>0</v>
      </c>
      <c r="N96" t="n">
        <v>0</v>
      </c>
      <c r="O96" t="n">
        <v>2</v>
      </c>
      <c r="P96" t="n">
        <v>0</v>
      </c>
      <c r="Q96" t="n">
        <v>2</v>
      </c>
      <c r="R96" s="2" t="inlineStr">
        <is>
          <t>Dvärgbägarlav
Vedflamlav</t>
        </is>
      </c>
      <c r="S96">
        <f>HYPERLINK("https://klasma.github.io/Logging_1737/artfynd/A 37936-2024 artfynd.xlsx", "A 37936-2024")</f>
        <v/>
      </c>
      <c r="T96">
        <f>HYPERLINK("https://klasma.github.io/Logging_1737/kartor/A 37936-2024 karta.png", "A 37936-2024")</f>
        <v/>
      </c>
      <c r="V96">
        <f>HYPERLINK("https://klasma.github.io/Logging_1737/klagomål/A 37936-2024 FSC-klagomål.docx", "A 37936-2024")</f>
        <v/>
      </c>
      <c r="W96">
        <f>HYPERLINK("https://klasma.github.io/Logging_1737/klagomålsmail/A 37936-2024 FSC-klagomål mail.docx", "A 37936-2024")</f>
        <v/>
      </c>
      <c r="X96">
        <f>HYPERLINK("https://klasma.github.io/Logging_1737/tillsyn/A 37936-2024 tillsynsbegäran.docx", "A 37936-2024")</f>
        <v/>
      </c>
      <c r="Y96">
        <f>HYPERLINK("https://klasma.github.io/Logging_1737/tillsynsmail/A 37936-2024 tillsynsbegäran mail.docx", "A 37936-2024")</f>
        <v/>
      </c>
    </row>
    <row r="97" ht="15" customHeight="1">
      <c r="A97" t="inlineStr">
        <is>
          <t>A 18499-2019</t>
        </is>
      </c>
      <c r="B97" s="1" t="n">
        <v>43559</v>
      </c>
      <c r="C97" s="1" t="n">
        <v>45575</v>
      </c>
      <c r="D97" t="inlineStr">
        <is>
          <t>VÄRMLANDS LÄN</t>
        </is>
      </c>
      <c r="E97" t="inlineStr">
        <is>
          <t>TORSBY</t>
        </is>
      </c>
      <c r="G97" t="n">
        <v>4.8</v>
      </c>
      <c r="H97" t="n">
        <v>0</v>
      </c>
      <c r="I97" t="n">
        <v>0</v>
      </c>
      <c r="J97" t="n">
        <v>0</v>
      </c>
      <c r="K97" t="n">
        <v>1</v>
      </c>
      <c r="L97" t="n">
        <v>0</v>
      </c>
      <c r="M97" t="n">
        <v>0</v>
      </c>
      <c r="N97" t="n">
        <v>0</v>
      </c>
      <c r="O97" t="n">
        <v>1</v>
      </c>
      <c r="P97" t="n">
        <v>1</v>
      </c>
      <c r="Q97" t="n">
        <v>1</v>
      </c>
      <c r="R97" s="2" t="inlineStr">
        <is>
          <t>Raggbock</t>
        </is>
      </c>
      <c r="S97">
        <f>HYPERLINK("https://klasma.github.io/Logging_1737/artfynd/A 18499-2019 artfynd.xlsx", "A 18499-2019")</f>
        <v/>
      </c>
      <c r="T97">
        <f>HYPERLINK("https://klasma.github.io/Logging_1737/kartor/A 18499-2019 karta.png", "A 18499-2019")</f>
        <v/>
      </c>
      <c r="V97">
        <f>HYPERLINK("https://klasma.github.io/Logging_1737/klagomål/A 18499-2019 FSC-klagomål.docx", "A 18499-2019")</f>
        <v/>
      </c>
      <c r="W97">
        <f>HYPERLINK("https://klasma.github.io/Logging_1737/klagomålsmail/A 18499-2019 FSC-klagomål mail.docx", "A 18499-2019")</f>
        <v/>
      </c>
      <c r="X97">
        <f>HYPERLINK("https://klasma.github.io/Logging_1737/tillsyn/A 18499-2019 tillsynsbegäran.docx", "A 18499-2019")</f>
        <v/>
      </c>
      <c r="Y97">
        <f>HYPERLINK("https://klasma.github.io/Logging_1737/tillsynsmail/A 18499-2019 tillsynsbegäran mail.docx", "A 18499-2019")</f>
        <v/>
      </c>
    </row>
    <row r="98" ht="15" customHeight="1">
      <c r="A98" t="inlineStr">
        <is>
          <t>A 31848-2019</t>
        </is>
      </c>
      <c r="B98" s="1" t="n">
        <v>43642</v>
      </c>
      <c r="C98" s="1" t="n">
        <v>45575</v>
      </c>
      <c r="D98" t="inlineStr">
        <is>
          <t>VÄRMLANDS LÄN</t>
        </is>
      </c>
      <c r="E98" t="inlineStr">
        <is>
          <t>TORSBY</t>
        </is>
      </c>
      <c r="G98" t="n">
        <v>6.1</v>
      </c>
      <c r="H98" t="n">
        <v>1</v>
      </c>
      <c r="I98" t="n">
        <v>0</v>
      </c>
      <c r="J98" t="n">
        <v>0</v>
      </c>
      <c r="K98" t="n">
        <v>1</v>
      </c>
      <c r="L98" t="n">
        <v>0</v>
      </c>
      <c r="M98" t="n">
        <v>0</v>
      </c>
      <c r="N98" t="n">
        <v>0</v>
      </c>
      <c r="O98" t="n">
        <v>1</v>
      </c>
      <c r="P98" t="n">
        <v>1</v>
      </c>
      <c r="Q98" t="n">
        <v>1</v>
      </c>
      <c r="R98" s="2" t="inlineStr">
        <is>
          <t>Knärot</t>
        </is>
      </c>
      <c r="S98">
        <f>HYPERLINK("https://klasma.github.io/Logging_1737/artfynd/A 31848-2019 artfynd.xlsx", "A 31848-2019")</f>
        <v/>
      </c>
      <c r="T98">
        <f>HYPERLINK("https://klasma.github.io/Logging_1737/kartor/A 31848-2019 karta.png", "A 31848-2019")</f>
        <v/>
      </c>
      <c r="U98">
        <f>HYPERLINK("https://klasma.github.io/Logging_1737/knärot/A 31848-2019 karta knärot.png", "A 31848-2019")</f>
        <v/>
      </c>
      <c r="V98">
        <f>HYPERLINK("https://klasma.github.io/Logging_1737/klagomål/A 31848-2019 FSC-klagomål.docx", "A 31848-2019")</f>
        <v/>
      </c>
      <c r="W98">
        <f>HYPERLINK("https://klasma.github.io/Logging_1737/klagomålsmail/A 31848-2019 FSC-klagomål mail.docx", "A 31848-2019")</f>
        <v/>
      </c>
      <c r="X98">
        <f>HYPERLINK("https://klasma.github.io/Logging_1737/tillsyn/A 31848-2019 tillsynsbegäran.docx", "A 31848-2019")</f>
        <v/>
      </c>
      <c r="Y98">
        <f>HYPERLINK("https://klasma.github.io/Logging_1737/tillsynsmail/A 31848-2019 tillsynsbegäran mail.docx", "A 31848-2019")</f>
        <v/>
      </c>
    </row>
    <row r="99" ht="15" customHeight="1">
      <c r="A99" t="inlineStr">
        <is>
          <t>A 45844-2019</t>
        </is>
      </c>
      <c r="B99" s="1" t="n">
        <v>43717</v>
      </c>
      <c r="C99" s="1" t="n">
        <v>45575</v>
      </c>
      <c r="D99" t="inlineStr">
        <is>
          <t>VÄRMLANDS LÄN</t>
        </is>
      </c>
      <c r="E99" t="inlineStr">
        <is>
          <t>TORSBY</t>
        </is>
      </c>
      <c r="G99" t="n">
        <v>4.1</v>
      </c>
      <c r="H99" t="n">
        <v>1</v>
      </c>
      <c r="I99" t="n">
        <v>0</v>
      </c>
      <c r="J99" t="n">
        <v>1</v>
      </c>
      <c r="K99" t="n">
        <v>0</v>
      </c>
      <c r="L99" t="n">
        <v>0</v>
      </c>
      <c r="M99" t="n">
        <v>0</v>
      </c>
      <c r="N99" t="n">
        <v>0</v>
      </c>
      <c r="O99" t="n">
        <v>1</v>
      </c>
      <c r="P99" t="n">
        <v>0</v>
      </c>
      <c r="Q99" t="n">
        <v>1</v>
      </c>
      <c r="R99" s="2" t="inlineStr">
        <is>
          <t>Talltita</t>
        </is>
      </c>
      <c r="S99">
        <f>HYPERLINK("https://klasma.github.io/Logging_1737/artfynd/A 45844-2019 artfynd.xlsx", "A 45844-2019")</f>
        <v/>
      </c>
      <c r="T99">
        <f>HYPERLINK("https://klasma.github.io/Logging_1737/kartor/A 45844-2019 karta.png", "A 45844-2019")</f>
        <v/>
      </c>
      <c r="V99">
        <f>HYPERLINK("https://klasma.github.io/Logging_1737/klagomål/A 45844-2019 FSC-klagomål.docx", "A 45844-2019")</f>
        <v/>
      </c>
      <c r="W99">
        <f>HYPERLINK("https://klasma.github.io/Logging_1737/klagomålsmail/A 45844-2019 FSC-klagomål mail.docx", "A 45844-2019")</f>
        <v/>
      </c>
      <c r="X99">
        <f>HYPERLINK("https://klasma.github.io/Logging_1737/tillsyn/A 45844-2019 tillsynsbegäran.docx", "A 45844-2019")</f>
        <v/>
      </c>
      <c r="Y99">
        <f>HYPERLINK("https://klasma.github.io/Logging_1737/tillsynsmail/A 45844-2019 tillsynsbegäran mail.docx", "A 45844-2019")</f>
        <v/>
      </c>
      <c r="Z99">
        <f>HYPERLINK("https://klasma.github.io/Logging_1737/fåglar/A 45844-2019 prioriterade fågelarter.docx", "A 45844-2019")</f>
        <v/>
      </c>
    </row>
    <row r="100" ht="15" customHeight="1">
      <c r="A100" t="inlineStr">
        <is>
          <t>A 47731-2019</t>
        </is>
      </c>
      <c r="B100" s="1" t="n">
        <v>43724</v>
      </c>
      <c r="C100" s="1" t="n">
        <v>45575</v>
      </c>
      <c r="D100" t="inlineStr">
        <is>
          <t>VÄRMLANDS LÄN</t>
        </is>
      </c>
      <c r="E100" t="inlineStr">
        <is>
          <t>TORSBY</t>
        </is>
      </c>
      <c r="G100" t="n">
        <v>3.5</v>
      </c>
      <c r="H100" t="n">
        <v>1</v>
      </c>
      <c r="I100" t="n">
        <v>0</v>
      </c>
      <c r="J100" t="n">
        <v>1</v>
      </c>
      <c r="K100" t="n">
        <v>0</v>
      </c>
      <c r="L100" t="n">
        <v>0</v>
      </c>
      <c r="M100" t="n">
        <v>0</v>
      </c>
      <c r="N100" t="n">
        <v>0</v>
      </c>
      <c r="O100" t="n">
        <v>1</v>
      </c>
      <c r="P100" t="n">
        <v>0</v>
      </c>
      <c r="Q100" t="n">
        <v>1</v>
      </c>
      <c r="R100" s="2" t="inlineStr">
        <is>
          <t>Gulsparv</t>
        </is>
      </c>
      <c r="S100">
        <f>HYPERLINK("https://klasma.github.io/Logging_1737/artfynd/A 47731-2019 artfynd.xlsx", "A 47731-2019")</f>
        <v/>
      </c>
      <c r="T100">
        <f>HYPERLINK("https://klasma.github.io/Logging_1737/kartor/A 47731-2019 karta.png", "A 47731-2019")</f>
        <v/>
      </c>
      <c r="V100">
        <f>HYPERLINK("https://klasma.github.io/Logging_1737/klagomål/A 47731-2019 FSC-klagomål.docx", "A 47731-2019")</f>
        <v/>
      </c>
      <c r="W100">
        <f>HYPERLINK("https://klasma.github.io/Logging_1737/klagomålsmail/A 47731-2019 FSC-klagomål mail.docx", "A 47731-2019")</f>
        <v/>
      </c>
      <c r="X100">
        <f>HYPERLINK("https://klasma.github.io/Logging_1737/tillsyn/A 47731-2019 tillsynsbegäran.docx", "A 47731-2019")</f>
        <v/>
      </c>
      <c r="Y100">
        <f>HYPERLINK("https://klasma.github.io/Logging_1737/tillsynsmail/A 47731-2019 tillsynsbegäran mail.docx", "A 47731-2019")</f>
        <v/>
      </c>
      <c r="Z100">
        <f>HYPERLINK("https://klasma.github.io/Logging_1737/fåglar/A 47731-2019 prioriterade fågelarter.docx", "A 47731-2019")</f>
        <v/>
      </c>
    </row>
    <row r="101" ht="15" customHeight="1">
      <c r="A101" t="inlineStr">
        <is>
          <t>A 53924-2019</t>
        </is>
      </c>
      <c r="B101" s="1" t="n">
        <v>43742</v>
      </c>
      <c r="C101" s="1" t="n">
        <v>45575</v>
      </c>
      <c r="D101" t="inlineStr">
        <is>
          <t>VÄRMLANDS LÄN</t>
        </is>
      </c>
      <c r="E101" t="inlineStr">
        <is>
          <t>TORSBY</t>
        </is>
      </c>
      <c r="G101" t="n">
        <v>7.1</v>
      </c>
      <c r="H101" t="n">
        <v>1</v>
      </c>
      <c r="I101" t="n">
        <v>0</v>
      </c>
      <c r="J101" t="n">
        <v>0</v>
      </c>
      <c r="K101" t="n">
        <v>0</v>
      </c>
      <c r="L101" t="n">
        <v>0</v>
      </c>
      <c r="M101" t="n">
        <v>0</v>
      </c>
      <c r="N101" t="n">
        <v>0</v>
      </c>
      <c r="O101" t="n">
        <v>0</v>
      </c>
      <c r="P101" t="n">
        <v>0</v>
      </c>
      <c r="Q101" t="n">
        <v>1</v>
      </c>
      <c r="R101" s="2" t="inlineStr">
        <is>
          <t>Fläcknycklar</t>
        </is>
      </c>
      <c r="S101">
        <f>HYPERLINK("https://klasma.github.io/Logging_1737/artfynd/A 53924-2019 artfynd.xlsx", "A 53924-2019")</f>
        <v/>
      </c>
      <c r="T101">
        <f>HYPERLINK("https://klasma.github.io/Logging_1737/kartor/A 53924-2019 karta.png", "A 53924-2019")</f>
        <v/>
      </c>
      <c r="V101">
        <f>HYPERLINK("https://klasma.github.io/Logging_1737/klagomål/A 53924-2019 FSC-klagomål.docx", "A 53924-2019")</f>
        <v/>
      </c>
      <c r="W101">
        <f>HYPERLINK("https://klasma.github.io/Logging_1737/klagomålsmail/A 53924-2019 FSC-klagomål mail.docx", "A 53924-2019")</f>
        <v/>
      </c>
      <c r="X101">
        <f>HYPERLINK("https://klasma.github.io/Logging_1737/tillsyn/A 53924-2019 tillsynsbegäran.docx", "A 53924-2019")</f>
        <v/>
      </c>
      <c r="Y101">
        <f>HYPERLINK("https://klasma.github.io/Logging_1737/tillsynsmail/A 53924-2019 tillsynsbegäran mail.docx", "A 53924-2019")</f>
        <v/>
      </c>
    </row>
    <row r="102" ht="15" customHeight="1">
      <c r="A102" t="inlineStr">
        <is>
          <t>A 63767-2019</t>
        </is>
      </c>
      <c r="B102" s="1" t="n">
        <v>43795</v>
      </c>
      <c r="C102" s="1" t="n">
        <v>45575</v>
      </c>
      <c r="D102" t="inlineStr">
        <is>
          <t>VÄRMLANDS LÄN</t>
        </is>
      </c>
      <c r="E102" t="inlineStr">
        <is>
          <t>TORSBY</t>
        </is>
      </c>
      <c r="G102" t="n">
        <v>1.4</v>
      </c>
      <c r="H102" t="n">
        <v>0</v>
      </c>
      <c r="I102" t="n">
        <v>0</v>
      </c>
      <c r="J102" t="n">
        <v>1</v>
      </c>
      <c r="K102" t="n">
        <v>0</v>
      </c>
      <c r="L102" t="n">
        <v>0</v>
      </c>
      <c r="M102" t="n">
        <v>0</v>
      </c>
      <c r="N102" t="n">
        <v>0</v>
      </c>
      <c r="O102" t="n">
        <v>1</v>
      </c>
      <c r="P102" t="n">
        <v>0</v>
      </c>
      <c r="Q102" t="n">
        <v>1</v>
      </c>
      <c r="R102" s="2" t="inlineStr">
        <is>
          <t>Garnlav</t>
        </is>
      </c>
      <c r="S102">
        <f>HYPERLINK("https://klasma.github.io/Logging_1737/artfynd/A 63767-2019 artfynd.xlsx", "A 63767-2019")</f>
        <v/>
      </c>
      <c r="T102">
        <f>HYPERLINK("https://klasma.github.io/Logging_1737/kartor/A 63767-2019 karta.png", "A 63767-2019")</f>
        <v/>
      </c>
      <c r="V102">
        <f>HYPERLINK("https://klasma.github.io/Logging_1737/klagomål/A 63767-2019 FSC-klagomål.docx", "A 63767-2019")</f>
        <v/>
      </c>
      <c r="W102">
        <f>HYPERLINK("https://klasma.github.io/Logging_1737/klagomålsmail/A 63767-2019 FSC-klagomål mail.docx", "A 63767-2019")</f>
        <v/>
      </c>
      <c r="X102">
        <f>HYPERLINK("https://klasma.github.io/Logging_1737/tillsyn/A 63767-2019 tillsynsbegäran.docx", "A 63767-2019")</f>
        <v/>
      </c>
      <c r="Y102">
        <f>HYPERLINK("https://klasma.github.io/Logging_1737/tillsynsmail/A 63767-2019 tillsynsbegäran mail.docx", "A 63767-2019")</f>
        <v/>
      </c>
    </row>
    <row r="103" ht="15" customHeight="1">
      <c r="A103" t="inlineStr">
        <is>
          <t>A 65129-2019</t>
        </is>
      </c>
      <c r="B103" s="1" t="n">
        <v>43802</v>
      </c>
      <c r="C103" s="1" t="n">
        <v>45575</v>
      </c>
      <c r="D103" t="inlineStr">
        <is>
          <t>VÄRMLANDS LÄN</t>
        </is>
      </c>
      <c r="E103" t="inlineStr">
        <is>
          <t>TORSBY</t>
        </is>
      </c>
      <c r="G103" t="n">
        <v>3.3</v>
      </c>
      <c r="H103" t="n">
        <v>0</v>
      </c>
      <c r="I103" t="n">
        <v>0</v>
      </c>
      <c r="J103" t="n">
        <v>1</v>
      </c>
      <c r="K103" t="n">
        <v>0</v>
      </c>
      <c r="L103" t="n">
        <v>0</v>
      </c>
      <c r="M103" t="n">
        <v>0</v>
      </c>
      <c r="N103" t="n">
        <v>0</v>
      </c>
      <c r="O103" t="n">
        <v>1</v>
      </c>
      <c r="P103" t="n">
        <v>0</v>
      </c>
      <c r="Q103" t="n">
        <v>1</v>
      </c>
      <c r="R103" s="2" t="inlineStr">
        <is>
          <t>Garnlav</t>
        </is>
      </c>
      <c r="S103">
        <f>HYPERLINK("https://klasma.github.io/Logging_1737/artfynd/A 65129-2019 artfynd.xlsx", "A 65129-2019")</f>
        <v/>
      </c>
      <c r="T103">
        <f>HYPERLINK("https://klasma.github.io/Logging_1737/kartor/A 65129-2019 karta.png", "A 65129-2019")</f>
        <v/>
      </c>
      <c r="V103">
        <f>HYPERLINK("https://klasma.github.io/Logging_1737/klagomål/A 65129-2019 FSC-klagomål.docx", "A 65129-2019")</f>
        <v/>
      </c>
      <c r="W103">
        <f>HYPERLINK("https://klasma.github.io/Logging_1737/klagomålsmail/A 65129-2019 FSC-klagomål mail.docx", "A 65129-2019")</f>
        <v/>
      </c>
      <c r="X103">
        <f>HYPERLINK("https://klasma.github.io/Logging_1737/tillsyn/A 65129-2019 tillsynsbegäran.docx", "A 65129-2019")</f>
        <v/>
      </c>
      <c r="Y103">
        <f>HYPERLINK("https://klasma.github.io/Logging_1737/tillsynsmail/A 65129-2019 tillsynsbegäran mail.docx", "A 65129-2019")</f>
        <v/>
      </c>
    </row>
    <row r="104" ht="15" customHeight="1">
      <c r="A104" t="inlineStr">
        <is>
          <t>A 37035-2020</t>
        </is>
      </c>
      <c r="B104" s="1" t="n">
        <v>44054</v>
      </c>
      <c r="C104" s="1" t="n">
        <v>45575</v>
      </c>
      <c r="D104" t="inlineStr">
        <is>
          <t>VÄRMLANDS LÄN</t>
        </is>
      </c>
      <c r="E104" t="inlineStr">
        <is>
          <t>TORSBY</t>
        </is>
      </c>
      <c r="G104" t="n">
        <v>2.7</v>
      </c>
      <c r="H104" t="n">
        <v>0</v>
      </c>
      <c r="I104" t="n">
        <v>0</v>
      </c>
      <c r="J104" t="n">
        <v>0</v>
      </c>
      <c r="K104" t="n">
        <v>1</v>
      </c>
      <c r="L104" t="n">
        <v>0</v>
      </c>
      <c r="M104" t="n">
        <v>0</v>
      </c>
      <c r="N104" t="n">
        <v>0</v>
      </c>
      <c r="O104" t="n">
        <v>1</v>
      </c>
      <c r="P104" t="n">
        <v>1</v>
      </c>
      <c r="Q104" t="n">
        <v>1</v>
      </c>
      <c r="R104" s="2" t="inlineStr">
        <is>
          <t>Raggbock</t>
        </is>
      </c>
      <c r="S104">
        <f>HYPERLINK("https://klasma.github.io/Logging_1737/artfynd/A 37035-2020 artfynd.xlsx", "A 37035-2020")</f>
        <v/>
      </c>
      <c r="T104">
        <f>HYPERLINK("https://klasma.github.io/Logging_1737/kartor/A 37035-2020 karta.png", "A 37035-2020")</f>
        <v/>
      </c>
      <c r="V104">
        <f>HYPERLINK("https://klasma.github.io/Logging_1737/klagomål/A 37035-2020 FSC-klagomål.docx", "A 37035-2020")</f>
        <v/>
      </c>
      <c r="W104">
        <f>HYPERLINK("https://klasma.github.io/Logging_1737/klagomålsmail/A 37035-2020 FSC-klagomål mail.docx", "A 37035-2020")</f>
        <v/>
      </c>
      <c r="X104">
        <f>HYPERLINK("https://klasma.github.io/Logging_1737/tillsyn/A 37035-2020 tillsynsbegäran.docx", "A 37035-2020")</f>
        <v/>
      </c>
      <c r="Y104">
        <f>HYPERLINK("https://klasma.github.io/Logging_1737/tillsynsmail/A 37035-2020 tillsynsbegäran mail.docx", "A 37035-2020")</f>
        <v/>
      </c>
    </row>
    <row r="105" ht="15" customHeight="1">
      <c r="A105" t="inlineStr">
        <is>
          <t>A 50854-2020</t>
        </is>
      </c>
      <c r="B105" s="1" t="n">
        <v>44105</v>
      </c>
      <c r="C105" s="1" t="n">
        <v>45575</v>
      </c>
      <c r="D105" t="inlineStr">
        <is>
          <t>VÄRMLANDS LÄN</t>
        </is>
      </c>
      <c r="E105" t="inlineStr">
        <is>
          <t>TORSBY</t>
        </is>
      </c>
      <c r="G105" t="n">
        <v>6.5</v>
      </c>
      <c r="H105" t="n">
        <v>1</v>
      </c>
      <c r="I105" t="n">
        <v>0</v>
      </c>
      <c r="J105" t="n">
        <v>0</v>
      </c>
      <c r="K105" t="n">
        <v>1</v>
      </c>
      <c r="L105" t="n">
        <v>0</v>
      </c>
      <c r="M105" t="n">
        <v>0</v>
      </c>
      <c r="N105" t="n">
        <v>0</v>
      </c>
      <c r="O105" t="n">
        <v>1</v>
      </c>
      <c r="P105" t="n">
        <v>1</v>
      </c>
      <c r="Q105" t="n">
        <v>1</v>
      </c>
      <c r="R105" s="2" t="inlineStr">
        <is>
          <t>Knärot</t>
        </is>
      </c>
      <c r="S105">
        <f>HYPERLINK("https://klasma.github.io/Logging_1737/artfynd/A 50854-2020 artfynd.xlsx", "A 50854-2020")</f>
        <v/>
      </c>
      <c r="T105">
        <f>HYPERLINK("https://klasma.github.io/Logging_1737/kartor/A 50854-2020 karta.png", "A 50854-2020")</f>
        <v/>
      </c>
      <c r="U105">
        <f>HYPERLINK("https://klasma.github.io/Logging_1737/knärot/A 50854-2020 karta knärot.png", "A 50854-2020")</f>
        <v/>
      </c>
      <c r="V105">
        <f>HYPERLINK("https://klasma.github.io/Logging_1737/klagomål/A 50854-2020 FSC-klagomål.docx", "A 50854-2020")</f>
        <v/>
      </c>
      <c r="W105">
        <f>HYPERLINK("https://klasma.github.io/Logging_1737/klagomålsmail/A 50854-2020 FSC-klagomål mail.docx", "A 50854-2020")</f>
        <v/>
      </c>
      <c r="X105">
        <f>HYPERLINK("https://klasma.github.io/Logging_1737/tillsyn/A 50854-2020 tillsynsbegäran.docx", "A 50854-2020")</f>
        <v/>
      </c>
      <c r="Y105">
        <f>HYPERLINK("https://klasma.github.io/Logging_1737/tillsynsmail/A 50854-2020 tillsynsbegäran mail.docx", "A 50854-2020")</f>
        <v/>
      </c>
    </row>
    <row r="106" ht="15" customHeight="1">
      <c r="A106" t="inlineStr">
        <is>
          <t>A 50089-2020</t>
        </is>
      </c>
      <c r="B106" s="1" t="n">
        <v>44109</v>
      </c>
      <c r="C106" s="1" t="n">
        <v>45575</v>
      </c>
      <c r="D106" t="inlineStr">
        <is>
          <t>VÄRMLANDS LÄN</t>
        </is>
      </c>
      <c r="E106" t="inlineStr">
        <is>
          <t>TORSBY</t>
        </is>
      </c>
      <c r="G106" t="n">
        <v>0.9</v>
      </c>
      <c r="H106" t="n">
        <v>1</v>
      </c>
      <c r="I106" t="n">
        <v>0</v>
      </c>
      <c r="J106" t="n">
        <v>1</v>
      </c>
      <c r="K106" t="n">
        <v>0</v>
      </c>
      <c r="L106" t="n">
        <v>0</v>
      </c>
      <c r="M106" t="n">
        <v>0</v>
      </c>
      <c r="N106" t="n">
        <v>0</v>
      </c>
      <c r="O106" t="n">
        <v>1</v>
      </c>
      <c r="P106" t="n">
        <v>0</v>
      </c>
      <c r="Q106" t="n">
        <v>1</v>
      </c>
      <c r="R106" s="2" t="inlineStr">
        <is>
          <t>Spillkråka</t>
        </is>
      </c>
      <c r="S106">
        <f>HYPERLINK("https://klasma.github.io/Logging_1737/artfynd/A 50089-2020 artfynd.xlsx", "A 50089-2020")</f>
        <v/>
      </c>
      <c r="T106">
        <f>HYPERLINK("https://klasma.github.io/Logging_1737/kartor/A 50089-2020 karta.png", "A 50089-2020")</f>
        <v/>
      </c>
      <c r="V106">
        <f>HYPERLINK("https://klasma.github.io/Logging_1737/klagomål/A 50089-2020 FSC-klagomål.docx", "A 50089-2020")</f>
        <v/>
      </c>
      <c r="W106">
        <f>HYPERLINK("https://klasma.github.io/Logging_1737/klagomålsmail/A 50089-2020 FSC-klagomål mail.docx", "A 50089-2020")</f>
        <v/>
      </c>
      <c r="X106">
        <f>HYPERLINK("https://klasma.github.io/Logging_1737/tillsyn/A 50089-2020 tillsynsbegäran.docx", "A 50089-2020")</f>
        <v/>
      </c>
      <c r="Y106">
        <f>HYPERLINK("https://klasma.github.io/Logging_1737/tillsynsmail/A 50089-2020 tillsynsbegäran mail.docx", "A 50089-2020")</f>
        <v/>
      </c>
      <c r="Z106">
        <f>HYPERLINK("https://klasma.github.io/Logging_1737/fåglar/A 50089-2020 prioriterade fågelarter.docx", "A 50089-2020")</f>
        <v/>
      </c>
    </row>
    <row r="107" ht="15" customHeight="1">
      <c r="A107" t="inlineStr">
        <is>
          <t>A 53491-2020</t>
        </is>
      </c>
      <c r="B107" s="1" t="n">
        <v>44123</v>
      </c>
      <c r="C107" s="1" t="n">
        <v>45575</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53491-2020 artfynd.xlsx", "A 53491-2020")</f>
        <v/>
      </c>
      <c r="T107">
        <f>HYPERLINK("https://klasma.github.io/Logging_1737/kartor/A 53491-2020 karta.png", "A 53491-2020")</f>
        <v/>
      </c>
      <c r="V107">
        <f>HYPERLINK("https://klasma.github.io/Logging_1737/klagomål/A 53491-2020 FSC-klagomål.docx", "A 53491-2020")</f>
        <v/>
      </c>
      <c r="W107">
        <f>HYPERLINK("https://klasma.github.io/Logging_1737/klagomålsmail/A 53491-2020 FSC-klagomål mail.docx", "A 53491-2020")</f>
        <v/>
      </c>
      <c r="X107">
        <f>HYPERLINK("https://klasma.github.io/Logging_1737/tillsyn/A 53491-2020 tillsynsbegäran.docx", "A 53491-2020")</f>
        <v/>
      </c>
      <c r="Y107">
        <f>HYPERLINK("https://klasma.github.io/Logging_1737/tillsynsmail/A 53491-2020 tillsynsbegäran mail.docx", "A 53491-2020")</f>
        <v/>
      </c>
    </row>
    <row r="108" ht="15" customHeight="1">
      <c r="A108" t="inlineStr">
        <is>
          <t>A 8747-2021</t>
        </is>
      </c>
      <c r="B108" s="1" t="n">
        <v>44246</v>
      </c>
      <c r="C108" s="1" t="n">
        <v>45575</v>
      </c>
      <c r="D108" t="inlineStr">
        <is>
          <t>VÄRMLANDS LÄN</t>
        </is>
      </c>
      <c r="E108" t="inlineStr">
        <is>
          <t>TORSBY</t>
        </is>
      </c>
      <c r="G108" t="n">
        <v>8.5</v>
      </c>
      <c r="H108" t="n">
        <v>0</v>
      </c>
      <c r="I108" t="n">
        <v>0</v>
      </c>
      <c r="J108" t="n">
        <v>1</v>
      </c>
      <c r="K108" t="n">
        <v>0</v>
      </c>
      <c r="L108" t="n">
        <v>0</v>
      </c>
      <c r="M108" t="n">
        <v>0</v>
      </c>
      <c r="N108" t="n">
        <v>0</v>
      </c>
      <c r="O108" t="n">
        <v>1</v>
      </c>
      <c r="P108" t="n">
        <v>0</v>
      </c>
      <c r="Q108" t="n">
        <v>1</v>
      </c>
      <c r="R108" s="2" t="inlineStr">
        <is>
          <t>Garnlav</t>
        </is>
      </c>
      <c r="S108">
        <f>HYPERLINK("https://klasma.github.io/Logging_1737/artfynd/A 8747-2021 artfynd.xlsx", "A 8747-2021")</f>
        <v/>
      </c>
      <c r="T108">
        <f>HYPERLINK("https://klasma.github.io/Logging_1737/kartor/A 8747-2021 karta.png", "A 8747-2021")</f>
        <v/>
      </c>
      <c r="V108">
        <f>HYPERLINK("https://klasma.github.io/Logging_1737/klagomål/A 8747-2021 FSC-klagomål.docx", "A 8747-2021")</f>
        <v/>
      </c>
      <c r="W108">
        <f>HYPERLINK("https://klasma.github.io/Logging_1737/klagomålsmail/A 8747-2021 FSC-klagomål mail.docx", "A 8747-2021")</f>
        <v/>
      </c>
      <c r="X108">
        <f>HYPERLINK("https://klasma.github.io/Logging_1737/tillsyn/A 8747-2021 tillsynsbegäran.docx", "A 8747-2021")</f>
        <v/>
      </c>
      <c r="Y108">
        <f>HYPERLINK("https://klasma.github.io/Logging_1737/tillsynsmail/A 8747-2021 tillsynsbegäran mail.docx", "A 8747-2021")</f>
        <v/>
      </c>
    </row>
    <row r="109" ht="15" customHeight="1">
      <c r="A109" t="inlineStr">
        <is>
          <t>A 24042-2021</t>
        </is>
      </c>
      <c r="B109" s="1" t="n">
        <v>44336</v>
      </c>
      <c r="C109" s="1" t="n">
        <v>45575</v>
      </c>
      <c r="D109" t="inlineStr">
        <is>
          <t>VÄRMLANDS LÄN</t>
        </is>
      </c>
      <c r="E109" t="inlineStr">
        <is>
          <t>TORSBY</t>
        </is>
      </c>
      <c r="G109" t="n">
        <v>4.5</v>
      </c>
      <c r="H109" t="n">
        <v>0</v>
      </c>
      <c r="I109" t="n">
        <v>1</v>
      </c>
      <c r="J109" t="n">
        <v>0</v>
      </c>
      <c r="K109" t="n">
        <v>0</v>
      </c>
      <c r="L109" t="n">
        <v>0</v>
      </c>
      <c r="M109" t="n">
        <v>0</v>
      </c>
      <c r="N109" t="n">
        <v>0</v>
      </c>
      <c r="O109" t="n">
        <v>0</v>
      </c>
      <c r="P109" t="n">
        <v>0</v>
      </c>
      <c r="Q109" t="n">
        <v>1</v>
      </c>
      <c r="R109" s="2" t="inlineStr">
        <is>
          <t>Stuplav</t>
        </is>
      </c>
      <c r="S109">
        <f>HYPERLINK("https://klasma.github.io/Logging_1737/artfynd/A 24042-2021 artfynd.xlsx", "A 24042-2021")</f>
        <v/>
      </c>
      <c r="T109">
        <f>HYPERLINK("https://klasma.github.io/Logging_1737/kartor/A 24042-2021 karta.png", "A 24042-2021")</f>
        <v/>
      </c>
      <c r="V109">
        <f>HYPERLINK("https://klasma.github.io/Logging_1737/klagomål/A 24042-2021 FSC-klagomål.docx", "A 24042-2021")</f>
        <v/>
      </c>
      <c r="W109">
        <f>HYPERLINK("https://klasma.github.io/Logging_1737/klagomålsmail/A 24042-2021 FSC-klagomål mail.docx", "A 24042-2021")</f>
        <v/>
      </c>
      <c r="X109">
        <f>HYPERLINK("https://klasma.github.io/Logging_1737/tillsyn/A 24042-2021 tillsynsbegäran.docx", "A 24042-2021")</f>
        <v/>
      </c>
      <c r="Y109">
        <f>HYPERLINK("https://klasma.github.io/Logging_1737/tillsynsmail/A 24042-2021 tillsynsbegäran mail.docx", "A 24042-2021")</f>
        <v/>
      </c>
    </row>
    <row r="110" ht="15" customHeight="1">
      <c r="A110" t="inlineStr">
        <is>
          <t>A 34876-2021</t>
        </is>
      </c>
      <c r="B110" s="1" t="n">
        <v>44383</v>
      </c>
      <c r="C110" s="1" t="n">
        <v>45575</v>
      </c>
      <c r="D110" t="inlineStr">
        <is>
          <t>VÄRMLANDS LÄN</t>
        </is>
      </c>
      <c r="E110" t="inlineStr">
        <is>
          <t>TORSBY</t>
        </is>
      </c>
      <c r="G110" t="n">
        <v>4.7</v>
      </c>
      <c r="H110" t="n">
        <v>0</v>
      </c>
      <c r="I110" t="n">
        <v>0</v>
      </c>
      <c r="J110" t="n">
        <v>1</v>
      </c>
      <c r="K110" t="n">
        <v>0</v>
      </c>
      <c r="L110" t="n">
        <v>0</v>
      </c>
      <c r="M110" t="n">
        <v>0</v>
      </c>
      <c r="N110" t="n">
        <v>0</v>
      </c>
      <c r="O110" t="n">
        <v>1</v>
      </c>
      <c r="P110" t="n">
        <v>0</v>
      </c>
      <c r="Q110" t="n">
        <v>1</v>
      </c>
      <c r="R110" s="2" t="inlineStr">
        <is>
          <t>Doftskinn</t>
        </is>
      </c>
      <c r="S110">
        <f>HYPERLINK("https://klasma.github.io/Logging_1737/artfynd/A 34876-2021 artfynd.xlsx", "A 34876-2021")</f>
        <v/>
      </c>
      <c r="T110">
        <f>HYPERLINK("https://klasma.github.io/Logging_1737/kartor/A 34876-2021 karta.png", "A 34876-2021")</f>
        <v/>
      </c>
      <c r="V110">
        <f>HYPERLINK("https://klasma.github.io/Logging_1737/klagomål/A 34876-2021 FSC-klagomål.docx", "A 34876-2021")</f>
        <v/>
      </c>
      <c r="W110">
        <f>HYPERLINK("https://klasma.github.io/Logging_1737/klagomålsmail/A 34876-2021 FSC-klagomål mail.docx", "A 34876-2021")</f>
        <v/>
      </c>
      <c r="X110">
        <f>HYPERLINK("https://klasma.github.io/Logging_1737/tillsyn/A 34876-2021 tillsynsbegäran.docx", "A 34876-2021")</f>
        <v/>
      </c>
      <c r="Y110">
        <f>HYPERLINK("https://klasma.github.io/Logging_1737/tillsynsmail/A 34876-2021 tillsynsbegäran mail.docx", "A 34876-2021")</f>
        <v/>
      </c>
    </row>
    <row r="111" ht="15" customHeight="1">
      <c r="A111" t="inlineStr">
        <is>
          <t>A 34853-2021</t>
        </is>
      </c>
      <c r="B111" s="1" t="n">
        <v>44383</v>
      </c>
      <c r="C111" s="1" t="n">
        <v>45575</v>
      </c>
      <c r="D111" t="inlineStr">
        <is>
          <t>VÄRMLANDS LÄN</t>
        </is>
      </c>
      <c r="E111" t="inlineStr">
        <is>
          <t>TORSBY</t>
        </is>
      </c>
      <c r="G111" t="n">
        <v>14.8</v>
      </c>
      <c r="H111" t="n">
        <v>1</v>
      </c>
      <c r="I111" t="n">
        <v>0</v>
      </c>
      <c r="J111" t="n">
        <v>1</v>
      </c>
      <c r="K111" t="n">
        <v>0</v>
      </c>
      <c r="L111" t="n">
        <v>0</v>
      </c>
      <c r="M111" t="n">
        <v>0</v>
      </c>
      <c r="N111" t="n">
        <v>0</v>
      </c>
      <c r="O111" t="n">
        <v>1</v>
      </c>
      <c r="P111" t="n">
        <v>0</v>
      </c>
      <c r="Q111" t="n">
        <v>1</v>
      </c>
      <c r="R111" s="2" t="inlineStr">
        <is>
          <t>Talltita</t>
        </is>
      </c>
      <c r="S111">
        <f>HYPERLINK("https://klasma.github.io/Logging_1737/artfynd/A 34853-2021 artfynd.xlsx", "A 34853-2021")</f>
        <v/>
      </c>
      <c r="T111">
        <f>HYPERLINK("https://klasma.github.io/Logging_1737/kartor/A 34853-2021 karta.png", "A 34853-2021")</f>
        <v/>
      </c>
      <c r="V111">
        <f>HYPERLINK("https://klasma.github.io/Logging_1737/klagomål/A 34853-2021 FSC-klagomål.docx", "A 34853-2021")</f>
        <v/>
      </c>
      <c r="W111">
        <f>HYPERLINK("https://klasma.github.io/Logging_1737/klagomålsmail/A 34853-2021 FSC-klagomål mail.docx", "A 34853-2021")</f>
        <v/>
      </c>
      <c r="X111">
        <f>HYPERLINK("https://klasma.github.io/Logging_1737/tillsyn/A 34853-2021 tillsynsbegäran.docx", "A 34853-2021")</f>
        <v/>
      </c>
      <c r="Y111">
        <f>HYPERLINK("https://klasma.github.io/Logging_1737/tillsynsmail/A 34853-2021 tillsynsbegäran mail.docx", "A 34853-2021")</f>
        <v/>
      </c>
      <c r="Z111">
        <f>HYPERLINK("https://klasma.github.io/Logging_1737/fåglar/A 34853-2021 prioriterade fågelarter.docx", "A 34853-2021")</f>
        <v/>
      </c>
    </row>
    <row r="112" ht="15" customHeight="1">
      <c r="A112" t="inlineStr">
        <is>
          <t>A 40265-2021</t>
        </is>
      </c>
      <c r="B112" s="1" t="n">
        <v>44419</v>
      </c>
      <c r="C112" s="1" t="n">
        <v>45575</v>
      </c>
      <c r="D112" t="inlineStr">
        <is>
          <t>VÄRMLANDS LÄN</t>
        </is>
      </c>
      <c r="E112" t="inlineStr">
        <is>
          <t>TORSBY</t>
        </is>
      </c>
      <c r="F112" t="inlineStr">
        <is>
          <t>Bergvik skog väst AB</t>
        </is>
      </c>
      <c r="G112" t="n">
        <v>5.7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40265-2021 artfynd.xlsx", "A 40265-2021")</f>
        <v/>
      </c>
      <c r="T112">
        <f>HYPERLINK("https://klasma.github.io/Logging_1737/kartor/A 40265-2021 karta.png", "A 40265-2021")</f>
        <v/>
      </c>
      <c r="V112">
        <f>HYPERLINK("https://klasma.github.io/Logging_1737/klagomål/A 40265-2021 FSC-klagomål.docx", "A 40265-2021")</f>
        <v/>
      </c>
      <c r="W112">
        <f>HYPERLINK("https://klasma.github.io/Logging_1737/klagomålsmail/A 40265-2021 FSC-klagomål mail.docx", "A 40265-2021")</f>
        <v/>
      </c>
      <c r="X112">
        <f>HYPERLINK("https://klasma.github.io/Logging_1737/tillsyn/A 40265-2021 tillsynsbegäran.docx", "A 40265-2021")</f>
        <v/>
      </c>
      <c r="Y112">
        <f>HYPERLINK("https://klasma.github.io/Logging_1737/tillsynsmail/A 40265-2021 tillsynsbegäran mail.docx", "A 40265-2021")</f>
        <v/>
      </c>
    </row>
    <row r="113" ht="15" customHeight="1">
      <c r="A113" t="inlineStr">
        <is>
          <t>A 43784-2021</t>
        </is>
      </c>
      <c r="B113" s="1" t="n">
        <v>44433</v>
      </c>
      <c r="C113" s="1" t="n">
        <v>45575</v>
      </c>
      <c r="D113" t="inlineStr">
        <is>
          <t>VÄRMLANDS LÄN</t>
        </is>
      </c>
      <c r="E113" t="inlineStr">
        <is>
          <t>TORSBY</t>
        </is>
      </c>
      <c r="G113" t="n">
        <v>5.2</v>
      </c>
      <c r="H113" t="n">
        <v>1</v>
      </c>
      <c r="I113" t="n">
        <v>0</v>
      </c>
      <c r="J113" t="n">
        <v>0</v>
      </c>
      <c r="K113" t="n">
        <v>0</v>
      </c>
      <c r="L113" t="n">
        <v>0</v>
      </c>
      <c r="M113" t="n">
        <v>0</v>
      </c>
      <c r="N113" t="n">
        <v>0</v>
      </c>
      <c r="O113" t="n">
        <v>0</v>
      </c>
      <c r="P113" t="n">
        <v>0</v>
      </c>
      <c r="Q113" t="n">
        <v>1</v>
      </c>
      <c r="R113" s="2" t="inlineStr">
        <is>
          <t>Kopparödla</t>
        </is>
      </c>
      <c r="S113">
        <f>HYPERLINK("https://klasma.github.io/Logging_1737/artfynd/A 43784-2021 artfynd.xlsx", "A 43784-2021")</f>
        <v/>
      </c>
      <c r="T113">
        <f>HYPERLINK("https://klasma.github.io/Logging_1737/kartor/A 43784-2021 karta.png", "A 43784-2021")</f>
        <v/>
      </c>
      <c r="V113">
        <f>HYPERLINK("https://klasma.github.io/Logging_1737/klagomål/A 43784-2021 FSC-klagomål.docx", "A 43784-2021")</f>
        <v/>
      </c>
      <c r="W113">
        <f>HYPERLINK("https://klasma.github.io/Logging_1737/klagomålsmail/A 43784-2021 FSC-klagomål mail.docx", "A 43784-2021")</f>
        <v/>
      </c>
      <c r="X113">
        <f>HYPERLINK("https://klasma.github.io/Logging_1737/tillsyn/A 43784-2021 tillsynsbegäran.docx", "A 43784-2021")</f>
        <v/>
      </c>
      <c r="Y113">
        <f>HYPERLINK("https://klasma.github.io/Logging_1737/tillsynsmail/A 43784-2021 tillsynsbegäran mail.docx", "A 43784-2021")</f>
        <v/>
      </c>
    </row>
    <row r="114" ht="15" customHeight="1">
      <c r="A114" t="inlineStr">
        <is>
          <t>A 49110-2021</t>
        </is>
      </c>
      <c r="B114" s="1" t="n">
        <v>44453</v>
      </c>
      <c r="C114" s="1" t="n">
        <v>45575</v>
      </c>
      <c r="D114" t="inlineStr">
        <is>
          <t>VÄRMLANDS LÄN</t>
        </is>
      </c>
      <c r="E114" t="inlineStr">
        <is>
          <t>TORSBY</t>
        </is>
      </c>
      <c r="G114" t="n">
        <v>33.8</v>
      </c>
      <c r="H114" t="n">
        <v>0</v>
      </c>
      <c r="I114" t="n">
        <v>1</v>
      </c>
      <c r="J114" t="n">
        <v>0</v>
      </c>
      <c r="K114" t="n">
        <v>0</v>
      </c>
      <c r="L114" t="n">
        <v>0</v>
      </c>
      <c r="M114" t="n">
        <v>0</v>
      </c>
      <c r="N114" t="n">
        <v>0</v>
      </c>
      <c r="O114" t="n">
        <v>0</v>
      </c>
      <c r="P114" t="n">
        <v>0</v>
      </c>
      <c r="Q114" t="n">
        <v>1</v>
      </c>
      <c r="R114" s="2" t="inlineStr">
        <is>
          <t>Vedticka</t>
        </is>
      </c>
      <c r="S114">
        <f>HYPERLINK("https://klasma.github.io/Logging_1737/artfynd/A 49110-2021 artfynd.xlsx", "A 49110-2021")</f>
        <v/>
      </c>
      <c r="T114">
        <f>HYPERLINK("https://klasma.github.io/Logging_1737/kartor/A 49110-2021 karta.png", "A 49110-2021")</f>
        <v/>
      </c>
      <c r="V114">
        <f>HYPERLINK("https://klasma.github.io/Logging_1737/klagomål/A 49110-2021 FSC-klagomål.docx", "A 49110-2021")</f>
        <v/>
      </c>
      <c r="W114">
        <f>HYPERLINK("https://klasma.github.io/Logging_1737/klagomålsmail/A 49110-2021 FSC-klagomål mail.docx", "A 49110-2021")</f>
        <v/>
      </c>
      <c r="X114">
        <f>HYPERLINK("https://klasma.github.io/Logging_1737/tillsyn/A 49110-2021 tillsynsbegäran.docx", "A 49110-2021")</f>
        <v/>
      </c>
      <c r="Y114">
        <f>HYPERLINK("https://klasma.github.io/Logging_1737/tillsynsmail/A 49110-2021 tillsynsbegäran mail.docx", "A 49110-2021")</f>
        <v/>
      </c>
    </row>
    <row r="115" ht="15" customHeight="1">
      <c r="A115" t="inlineStr">
        <is>
          <t>A 54982-2021</t>
        </is>
      </c>
      <c r="B115" s="1" t="n">
        <v>44469</v>
      </c>
      <c r="C115" s="1" t="n">
        <v>45575</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58471-2021</t>
        </is>
      </c>
      <c r="B116" s="1" t="n">
        <v>44488</v>
      </c>
      <c r="C116" s="1" t="n">
        <v>45575</v>
      </c>
      <c r="D116" t="inlineStr">
        <is>
          <t>VÄRMLANDS LÄN</t>
        </is>
      </c>
      <c r="E116" t="inlineStr">
        <is>
          <t>TORSBY</t>
        </is>
      </c>
      <c r="G116" t="n">
        <v>2.5</v>
      </c>
      <c r="H116" t="n">
        <v>0</v>
      </c>
      <c r="I116" t="n">
        <v>1</v>
      </c>
      <c r="J116" t="n">
        <v>0</v>
      </c>
      <c r="K116" t="n">
        <v>0</v>
      </c>
      <c r="L116" t="n">
        <v>0</v>
      </c>
      <c r="M116" t="n">
        <v>0</v>
      </c>
      <c r="N116" t="n">
        <v>0</v>
      </c>
      <c r="O116" t="n">
        <v>0</v>
      </c>
      <c r="P116" t="n">
        <v>0</v>
      </c>
      <c r="Q116" t="n">
        <v>1</v>
      </c>
      <c r="R116" s="2" t="inlineStr">
        <is>
          <t>Korallblylav</t>
        </is>
      </c>
      <c r="S116">
        <f>HYPERLINK("https://klasma.github.io/Logging_1737/artfynd/A 58471-2021 artfynd.xlsx", "A 58471-2021")</f>
        <v/>
      </c>
      <c r="T116">
        <f>HYPERLINK("https://klasma.github.io/Logging_1737/kartor/A 58471-2021 karta.png", "A 58471-2021")</f>
        <v/>
      </c>
      <c r="V116">
        <f>HYPERLINK("https://klasma.github.io/Logging_1737/klagomål/A 58471-2021 FSC-klagomål.docx", "A 58471-2021")</f>
        <v/>
      </c>
      <c r="W116">
        <f>HYPERLINK("https://klasma.github.io/Logging_1737/klagomålsmail/A 58471-2021 FSC-klagomål mail.docx", "A 58471-2021")</f>
        <v/>
      </c>
      <c r="X116">
        <f>HYPERLINK("https://klasma.github.io/Logging_1737/tillsyn/A 58471-2021 tillsynsbegäran.docx", "A 58471-2021")</f>
        <v/>
      </c>
      <c r="Y116">
        <f>HYPERLINK("https://klasma.github.io/Logging_1737/tillsynsmail/A 58471-2021 tillsynsbegäran mail.docx", "A 58471-2021")</f>
        <v/>
      </c>
    </row>
    <row r="117" ht="15" customHeight="1">
      <c r="A117" t="inlineStr">
        <is>
          <t>A 61813-2021</t>
        </is>
      </c>
      <c r="B117" s="1" t="n">
        <v>44501</v>
      </c>
      <c r="C117" s="1" t="n">
        <v>45575</v>
      </c>
      <c r="D117" t="inlineStr">
        <is>
          <t>VÄRMLANDS LÄN</t>
        </is>
      </c>
      <c r="E117" t="inlineStr">
        <is>
          <t>TORSBY</t>
        </is>
      </c>
      <c r="G117" t="n">
        <v>4.9</v>
      </c>
      <c r="H117" t="n">
        <v>0</v>
      </c>
      <c r="I117" t="n">
        <v>0</v>
      </c>
      <c r="J117" t="n">
        <v>1</v>
      </c>
      <c r="K117" t="n">
        <v>0</v>
      </c>
      <c r="L117" t="n">
        <v>0</v>
      </c>
      <c r="M117" t="n">
        <v>0</v>
      </c>
      <c r="N117" t="n">
        <v>0</v>
      </c>
      <c r="O117" t="n">
        <v>1</v>
      </c>
      <c r="P117" t="n">
        <v>0</v>
      </c>
      <c r="Q117" t="n">
        <v>1</v>
      </c>
      <c r="R117" s="2" t="inlineStr">
        <is>
          <t>Tallticka</t>
        </is>
      </c>
      <c r="S117">
        <f>HYPERLINK("https://klasma.github.io/Logging_1737/artfynd/A 61813-2021 artfynd.xlsx", "A 61813-2021")</f>
        <v/>
      </c>
      <c r="T117">
        <f>HYPERLINK("https://klasma.github.io/Logging_1737/kartor/A 61813-2021 karta.png", "A 61813-2021")</f>
        <v/>
      </c>
      <c r="V117">
        <f>HYPERLINK("https://klasma.github.io/Logging_1737/klagomål/A 61813-2021 FSC-klagomål.docx", "A 61813-2021")</f>
        <v/>
      </c>
      <c r="W117">
        <f>HYPERLINK("https://klasma.github.io/Logging_1737/klagomålsmail/A 61813-2021 FSC-klagomål mail.docx", "A 61813-2021")</f>
        <v/>
      </c>
      <c r="X117">
        <f>HYPERLINK("https://klasma.github.io/Logging_1737/tillsyn/A 61813-2021 tillsynsbegäran.docx", "A 61813-2021")</f>
        <v/>
      </c>
      <c r="Y117">
        <f>HYPERLINK("https://klasma.github.io/Logging_1737/tillsynsmail/A 61813-2021 tillsynsbegäran mail.docx", "A 61813-2021")</f>
        <v/>
      </c>
    </row>
    <row r="118" ht="15" customHeight="1">
      <c r="A118" t="inlineStr">
        <is>
          <t>A 65767-2021</t>
        </is>
      </c>
      <c r="B118" s="1" t="n">
        <v>44516</v>
      </c>
      <c r="C118" s="1" t="n">
        <v>45575</v>
      </c>
      <c r="D118" t="inlineStr">
        <is>
          <t>VÄRMLANDS LÄN</t>
        </is>
      </c>
      <c r="E118" t="inlineStr">
        <is>
          <t>TORSBY</t>
        </is>
      </c>
      <c r="G118" t="n">
        <v>7.5</v>
      </c>
      <c r="H118" t="n">
        <v>0</v>
      </c>
      <c r="I118" t="n">
        <v>1</v>
      </c>
      <c r="J118" t="n">
        <v>0</v>
      </c>
      <c r="K118" t="n">
        <v>0</v>
      </c>
      <c r="L118" t="n">
        <v>0</v>
      </c>
      <c r="M118" t="n">
        <v>0</v>
      </c>
      <c r="N118" t="n">
        <v>0</v>
      </c>
      <c r="O118" t="n">
        <v>0</v>
      </c>
      <c r="P118" t="n">
        <v>0</v>
      </c>
      <c r="Q118" t="n">
        <v>1</v>
      </c>
      <c r="R118" s="2" t="inlineStr">
        <is>
          <t>Mörk husmossa</t>
        </is>
      </c>
      <c r="S118">
        <f>HYPERLINK("https://klasma.github.io/Logging_1737/artfynd/A 65767-2021 artfynd.xlsx", "A 65767-2021")</f>
        <v/>
      </c>
      <c r="T118">
        <f>HYPERLINK("https://klasma.github.io/Logging_1737/kartor/A 65767-2021 karta.png", "A 65767-2021")</f>
        <v/>
      </c>
      <c r="V118">
        <f>HYPERLINK("https://klasma.github.io/Logging_1737/klagomål/A 65767-2021 FSC-klagomål.docx", "A 65767-2021")</f>
        <v/>
      </c>
      <c r="W118">
        <f>HYPERLINK("https://klasma.github.io/Logging_1737/klagomålsmail/A 65767-2021 FSC-klagomål mail.docx", "A 65767-2021")</f>
        <v/>
      </c>
      <c r="X118">
        <f>HYPERLINK("https://klasma.github.io/Logging_1737/tillsyn/A 65767-2021 tillsynsbegäran.docx", "A 65767-2021")</f>
        <v/>
      </c>
      <c r="Y118">
        <f>HYPERLINK("https://klasma.github.io/Logging_1737/tillsynsmail/A 65767-2021 tillsynsbegäran mail.docx", "A 65767-2021")</f>
        <v/>
      </c>
    </row>
    <row r="119" ht="15" customHeight="1">
      <c r="A119" t="inlineStr">
        <is>
          <t>A 71594-2021</t>
        </is>
      </c>
      <c r="B119" s="1" t="n">
        <v>44541</v>
      </c>
      <c r="C119" s="1" t="n">
        <v>45575</v>
      </c>
      <c r="D119" t="inlineStr">
        <is>
          <t>VÄRMLANDS LÄN</t>
        </is>
      </c>
      <c r="E119" t="inlineStr">
        <is>
          <t>TORSBY</t>
        </is>
      </c>
      <c r="G119" t="n">
        <v>13.1</v>
      </c>
      <c r="H119" t="n">
        <v>0</v>
      </c>
      <c r="I119" t="n">
        <v>0</v>
      </c>
      <c r="J119" t="n">
        <v>1</v>
      </c>
      <c r="K119" t="n">
        <v>0</v>
      </c>
      <c r="L119" t="n">
        <v>0</v>
      </c>
      <c r="M119" t="n">
        <v>0</v>
      </c>
      <c r="N119" t="n">
        <v>0</v>
      </c>
      <c r="O119" t="n">
        <v>1</v>
      </c>
      <c r="P119" t="n">
        <v>0</v>
      </c>
      <c r="Q119" t="n">
        <v>1</v>
      </c>
      <c r="R119" s="2" t="inlineStr">
        <is>
          <t>Garnlav</t>
        </is>
      </c>
      <c r="S119">
        <f>HYPERLINK("https://klasma.github.io/Logging_1737/artfynd/A 71594-2021 artfynd.xlsx", "A 71594-2021")</f>
        <v/>
      </c>
      <c r="T119">
        <f>HYPERLINK("https://klasma.github.io/Logging_1737/kartor/A 71594-2021 karta.png", "A 71594-2021")</f>
        <v/>
      </c>
      <c r="V119">
        <f>HYPERLINK("https://klasma.github.io/Logging_1737/klagomål/A 71594-2021 FSC-klagomål.docx", "A 71594-2021")</f>
        <v/>
      </c>
      <c r="W119">
        <f>HYPERLINK("https://klasma.github.io/Logging_1737/klagomålsmail/A 71594-2021 FSC-klagomål mail.docx", "A 71594-2021")</f>
        <v/>
      </c>
      <c r="X119">
        <f>HYPERLINK("https://klasma.github.io/Logging_1737/tillsyn/A 71594-2021 tillsynsbegäran.docx", "A 71594-2021")</f>
        <v/>
      </c>
      <c r="Y119">
        <f>HYPERLINK("https://klasma.github.io/Logging_1737/tillsynsmail/A 71594-2021 tillsynsbegäran mail.docx", "A 71594-2021")</f>
        <v/>
      </c>
    </row>
    <row r="120" ht="15" customHeight="1">
      <c r="A120" t="inlineStr">
        <is>
          <t>A 3404-2022</t>
        </is>
      </c>
      <c r="B120" s="1" t="n">
        <v>44585</v>
      </c>
      <c r="C120" s="1" t="n">
        <v>45575</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Vedtrappmossa</t>
        </is>
      </c>
      <c r="S120">
        <f>HYPERLINK("https://klasma.github.io/Logging_1737/artfynd/A 3404-2022 artfynd.xlsx", "A 3404-2022")</f>
        <v/>
      </c>
      <c r="T120">
        <f>HYPERLINK("https://klasma.github.io/Logging_1737/kartor/A 3404-2022 karta.png", "A 3404-2022")</f>
        <v/>
      </c>
      <c r="V120">
        <f>HYPERLINK("https://klasma.github.io/Logging_1737/klagomål/A 3404-2022 FSC-klagomål.docx", "A 3404-2022")</f>
        <v/>
      </c>
      <c r="W120">
        <f>HYPERLINK("https://klasma.github.io/Logging_1737/klagomålsmail/A 3404-2022 FSC-klagomål mail.docx", "A 3404-2022")</f>
        <v/>
      </c>
      <c r="X120">
        <f>HYPERLINK("https://klasma.github.io/Logging_1737/tillsyn/A 3404-2022 tillsynsbegäran.docx", "A 3404-2022")</f>
        <v/>
      </c>
      <c r="Y120">
        <f>HYPERLINK("https://klasma.github.io/Logging_1737/tillsynsmail/A 3404-2022 tillsynsbegäran mail.docx", "A 3404-2022")</f>
        <v/>
      </c>
    </row>
    <row r="121" ht="15" customHeight="1">
      <c r="A121" t="inlineStr">
        <is>
          <t>A 16572-2022</t>
        </is>
      </c>
      <c r="B121" s="1" t="n">
        <v>44672</v>
      </c>
      <c r="C121" s="1" t="n">
        <v>45575</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23486-2022</t>
        </is>
      </c>
      <c r="B122" s="1" t="n">
        <v>44721</v>
      </c>
      <c r="C122" s="1" t="n">
        <v>45575</v>
      </c>
      <c r="D122" t="inlineStr">
        <is>
          <t>VÄRMLANDS LÄN</t>
        </is>
      </c>
      <c r="E122" t="inlineStr">
        <is>
          <t>TORSBY</t>
        </is>
      </c>
      <c r="G122" t="n">
        <v>1</v>
      </c>
      <c r="H122" t="n">
        <v>0</v>
      </c>
      <c r="I122" t="n">
        <v>0</v>
      </c>
      <c r="J122" t="n">
        <v>1</v>
      </c>
      <c r="K122" t="n">
        <v>0</v>
      </c>
      <c r="L122" t="n">
        <v>0</v>
      </c>
      <c r="M122" t="n">
        <v>0</v>
      </c>
      <c r="N122" t="n">
        <v>0</v>
      </c>
      <c r="O122" t="n">
        <v>1</v>
      </c>
      <c r="P122" t="n">
        <v>0</v>
      </c>
      <c r="Q122" t="n">
        <v>1</v>
      </c>
      <c r="R122" s="2" t="inlineStr">
        <is>
          <t>Tallriska</t>
        </is>
      </c>
      <c r="S122">
        <f>HYPERLINK("https://klasma.github.io/Logging_1737/artfynd/A 23486-2022 artfynd.xlsx", "A 23486-2022")</f>
        <v/>
      </c>
      <c r="T122">
        <f>HYPERLINK("https://klasma.github.io/Logging_1737/kartor/A 23486-2022 karta.png", "A 23486-2022")</f>
        <v/>
      </c>
      <c r="V122">
        <f>HYPERLINK("https://klasma.github.io/Logging_1737/klagomål/A 23486-2022 FSC-klagomål.docx", "A 23486-2022")</f>
        <v/>
      </c>
      <c r="W122">
        <f>HYPERLINK("https://klasma.github.io/Logging_1737/klagomålsmail/A 23486-2022 FSC-klagomål mail.docx", "A 23486-2022")</f>
        <v/>
      </c>
      <c r="X122">
        <f>HYPERLINK("https://klasma.github.io/Logging_1737/tillsyn/A 23486-2022 tillsynsbegäran.docx", "A 23486-2022")</f>
        <v/>
      </c>
      <c r="Y122">
        <f>HYPERLINK("https://klasma.github.io/Logging_1737/tillsynsmail/A 23486-2022 tillsynsbegäran mail.docx", "A 23486-2022")</f>
        <v/>
      </c>
    </row>
    <row r="123" ht="15" customHeight="1">
      <c r="A123" t="inlineStr">
        <is>
          <t>A 25999-2022</t>
        </is>
      </c>
      <c r="B123" s="1" t="n">
        <v>44734</v>
      </c>
      <c r="C123" s="1" t="n">
        <v>45575</v>
      </c>
      <c r="D123" t="inlineStr">
        <is>
          <t>VÄRMLANDS LÄN</t>
        </is>
      </c>
      <c r="E123" t="inlineStr">
        <is>
          <t>TORSBY</t>
        </is>
      </c>
      <c r="G123" t="n">
        <v>0.6</v>
      </c>
      <c r="H123" t="n">
        <v>0</v>
      </c>
      <c r="I123" t="n">
        <v>1</v>
      </c>
      <c r="J123" t="n">
        <v>0</v>
      </c>
      <c r="K123" t="n">
        <v>0</v>
      </c>
      <c r="L123" t="n">
        <v>0</v>
      </c>
      <c r="M123" t="n">
        <v>0</v>
      </c>
      <c r="N123" t="n">
        <v>0</v>
      </c>
      <c r="O123" t="n">
        <v>0</v>
      </c>
      <c r="P123" t="n">
        <v>0</v>
      </c>
      <c r="Q123" t="n">
        <v>1</v>
      </c>
      <c r="R123" s="2" t="inlineStr">
        <is>
          <t>Korallblylav</t>
        </is>
      </c>
      <c r="S123">
        <f>HYPERLINK("https://klasma.github.io/Logging_1737/artfynd/A 25999-2022 artfynd.xlsx", "A 25999-2022")</f>
        <v/>
      </c>
      <c r="T123">
        <f>HYPERLINK("https://klasma.github.io/Logging_1737/kartor/A 25999-2022 karta.png", "A 25999-2022")</f>
        <v/>
      </c>
      <c r="V123">
        <f>HYPERLINK("https://klasma.github.io/Logging_1737/klagomål/A 25999-2022 FSC-klagomål.docx", "A 25999-2022")</f>
        <v/>
      </c>
      <c r="W123">
        <f>HYPERLINK("https://klasma.github.io/Logging_1737/klagomålsmail/A 25999-2022 FSC-klagomål mail.docx", "A 25999-2022")</f>
        <v/>
      </c>
      <c r="X123">
        <f>HYPERLINK("https://klasma.github.io/Logging_1737/tillsyn/A 25999-2022 tillsynsbegäran.docx", "A 25999-2022")</f>
        <v/>
      </c>
      <c r="Y123">
        <f>HYPERLINK("https://klasma.github.io/Logging_1737/tillsynsmail/A 25999-2022 tillsynsbegäran mail.docx", "A 25999-2022")</f>
        <v/>
      </c>
    </row>
    <row r="124" ht="15" customHeight="1">
      <c r="A124" t="inlineStr">
        <is>
          <t>A 35709-2022</t>
        </is>
      </c>
      <c r="B124" s="1" t="n">
        <v>44799</v>
      </c>
      <c r="C124" s="1" t="n">
        <v>45575</v>
      </c>
      <c r="D124" t="inlineStr">
        <is>
          <t>VÄRMLANDS LÄN</t>
        </is>
      </c>
      <c r="E124" t="inlineStr">
        <is>
          <t>TORSBY</t>
        </is>
      </c>
      <c r="G124" t="n">
        <v>4.4</v>
      </c>
      <c r="H124" t="n">
        <v>0</v>
      </c>
      <c r="I124" t="n">
        <v>1</v>
      </c>
      <c r="J124" t="n">
        <v>0</v>
      </c>
      <c r="K124" t="n">
        <v>0</v>
      </c>
      <c r="L124" t="n">
        <v>0</v>
      </c>
      <c r="M124" t="n">
        <v>0</v>
      </c>
      <c r="N124" t="n">
        <v>0</v>
      </c>
      <c r="O124" t="n">
        <v>0</v>
      </c>
      <c r="P124" t="n">
        <v>0</v>
      </c>
      <c r="Q124" t="n">
        <v>1</v>
      </c>
      <c r="R124" s="2" t="inlineStr">
        <is>
          <t>Dropptaggsvamp</t>
        </is>
      </c>
      <c r="S124">
        <f>HYPERLINK("https://klasma.github.io/Logging_1737/artfynd/A 35709-2022 artfynd.xlsx", "A 35709-2022")</f>
        <v/>
      </c>
      <c r="T124">
        <f>HYPERLINK("https://klasma.github.io/Logging_1737/kartor/A 35709-2022 karta.png", "A 35709-2022")</f>
        <v/>
      </c>
      <c r="V124">
        <f>HYPERLINK("https://klasma.github.io/Logging_1737/klagomål/A 35709-2022 FSC-klagomål.docx", "A 35709-2022")</f>
        <v/>
      </c>
      <c r="W124">
        <f>HYPERLINK("https://klasma.github.io/Logging_1737/klagomålsmail/A 35709-2022 FSC-klagomål mail.docx", "A 35709-2022")</f>
        <v/>
      </c>
      <c r="X124">
        <f>HYPERLINK("https://klasma.github.io/Logging_1737/tillsyn/A 35709-2022 tillsynsbegäran.docx", "A 35709-2022")</f>
        <v/>
      </c>
      <c r="Y124">
        <f>HYPERLINK("https://klasma.github.io/Logging_1737/tillsynsmail/A 35709-2022 tillsynsbegäran mail.docx", "A 35709-2022")</f>
        <v/>
      </c>
    </row>
    <row r="125" ht="15" customHeight="1">
      <c r="A125" t="inlineStr">
        <is>
          <t>A 42500-2022</t>
        </is>
      </c>
      <c r="B125" s="1" t="n">
        <v>44831</v>
      </c>
      <c r="C125" s="1" t="n">
        <v>45575</v>
      </c>
      <c r="D125" t="inlineStr">
        <is>
          <t>VÄRMLANDS LÄN</t>
        </is>
      </c>
      <c r="E125" t="inlineStr">
        <is>
          <t>TORSBY</t>
        </is>
      </c>
      <c r="F125" t="inlineStr">
        <is>
          <t>Kommuner</t>
        </is>
      </c>
      <c r="G125" t="n">
        <v>2.3</v>
      </c>
      <c r="H125" t="n">
        <v>0</v>
      </c>
      <c r="I125" t="n">
        <v>0</v>
      </c>
      <c r="J125" t="n">
        <v>1</v>
      </c>
      <c r="K125" t="n">
        <v>0</v>
      </c>
      <c r="L125" t="n">
        <v>0</v>
      </c>
      <c r="M125" t="n">
        <v>0</v>
      </c>
      <c r="N125" t="n">
        <v>0</v>
      </c>
      <c r="O125" t="n">
        <v>1</v>
      </c>
      <c r="P125" t="n">
        <v>0</v>
      </c>
      <c r="Q125" t="n">
        <v>1</v>
      </c>
      <c r="R125" s="2" t="inlineStr">
        <is>
          <t>Violettgrå tagellav</t>
        </is>
      </c>
      <c r="S125">
        <f>HYPERLINK("https://klasma.github.io/Logging_1737/artfynd/A 42500-2022 artfynd.xlsx", "A 42500-2022")</f>
        <v/>
      </c>
      <c r="T125">
        <f>HYPERLINK("https://klasma.github.io/Logging_1737/kartor/A 42500-2022 karta.png", "A 42500-2022")</f>
        <v/>
      </c>
      <c r="U125">
        <f>HYPERLINK("https://klasma.github.io/Logging_1737/knärot/A 42500-2022 karta knärot.png", "A 42500-2022")</f>
        <v/>
      </c>
      <c r="V125">
        <f>HYPERLINK("https://klasma.github.io/Logging_1737/klagomål/A 42500-2022 FSC-klagomål.docx", "A 42500-2022")</f>
        <v/>
      </c>
      <c r="W125">
        <f>HYPERLINK("https://klasma.github.io/Logging_1737/klagomålsmail/A 42500-2022 FSC-klagomål mail.docx", "A 42500-2022")</f>
        <v/>
      </c>
      <c r="X125">
        <f>HYPERLINK("https://klasma.github.io/Logging_1737/tillsyn/A 42500-2022 tillsynsbegäran.docx", "A 42500-2022")</f>
        <v/>
      </c>
      <c r="Y125">
        <f>HYPERLINK("https://klasma.github.io/Logging_1737/tillsynsmail/A 42500-2022 tillsynsbegäran mail.docx", "A 42500-2022")</f>
        <v/>
      </c>
    </row>
    <row r="126" ht="15" customHeight="1">
      <c r="A126" t="inlineStr">
        <is>
          <t>A 44007-2022</t>
        </is>
      </c>
      <c r="B126" s="1" t="n">
        <v>44838</v>
      </c>
      <c r="C126" s="1" t="n">
        <v>45575</v>
      </c>
      <c r="D126" t="inlineStr">
        <is>
          <t>VÄRMLANDS LÄN</t>
        </is>
      </c>
      <c r="E126" t="inlineStr">
        <is>
          <t>TORSBY</t>
        </is>
      </c>
      <c r="F126" t="inlineStr">
        <is>
          <t>Bergvik skog väst AB</t>
        </is>
      </c>
      <c r="G126" t="n">
        <v>8</v>
      </c>
      <c r="H126" t="n">
        <v>1</v>
      </c>
      <c r="I126" t="n">
        <v>0</v>
      </c>
      <c r="J126" t="n">
        <v>1</v>
      </c>
      <c r="K126" t="n">
        <v>0</v>
      </c>
      <c r="L126" t="n">
        <v>0</v>
      </c>
      <c r="M126" t="n">
        <v>0</v>
      </c>
      <c r="N126" t="n">
        <v>0</v>
      </c>
      <c r="O126" t="n">
        <v>1</v>
      </c>
      <c r="P126" t="n">
        <v>0</v>
      </c>
      <c r="Q126" t="n">
        <v>1</v>
      </c>
      <c r="R126" s="2" t="inlineStr">
        <is>
          <t>Utter</t>
        </is>
      </c>
      <c r="S126">
        <f>HYPERLINK("https://klasma.github.io/Logging_1737/artfynd/A 44007-2022 artfynd.xlsx", "A 44007-2022")</f>
        <v/>
      </c>
      <c r="T126">
        <f>HYPERLINK("https://klasma.github.io/Logging_1737/kartor/A 44007-2022 karta.png", "A 44007-2022")</f>
        <v/>
      </c>
      <c r="V126">
        <f>HYPERLINK("https://klasma.github.io/Logging_1737/klagomål/A 44007-2022 FSC-klagomål.docx", "A 44007-2022")</f>
        <v/>
      </c>
      <c r="W126">
        <f>HYPERLINK("https://klasma.github.io/Logging_1737/klagomålsmail/A 44007-2022 FSC-klagomål mail.docx", "A 44007-2022")</f>
        <v/>
      </c>
      <c r="X126">
        <f>HYPERLINK("https://klasma.github.io/Logging_1737/tillsyn/A 44007-2022 tillsynsbegäran.docx", "A 44007-2022")</f>
        <v/>
      </c>
      <c r="Y126">
        <f>HYPERLINK("https://klasma.github.io/Logging_1737/tillsynsmail/A 44007-2022 tillsynsbegäran mail.docx", "A 44007-2022")</f>
        <v/>
      </c>
    </row>
    <row r="127" ht="15" customHeight="1">
      <c r="A127" t="inlineStr">
        <is>
          <t>A 50236-2022</t>
        </is>
      </c>
      <c r="B127" s="1" t="n">
        <v>44865</v>
      </c>
      <c r="C127" s="1" t="n">
        <v>45575</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Garnlav</t>
        </is>
      </c>
      <c r="S127">
        <f>HYPERLINK("https://klasma.github.io/Logging_1737/artfynd/A 50236-2022 artfynd.xlsx", "A 50236-2022")</f>
        <v/>
      </c>
      <c r="T127">
        <f>HYPERLINK("https://klasma.github.io/Logging_1737/kartor/A 50236-2022 karta.png", "A 50236-2022")</f>
        <v/>
      </c>
      <c r="V127">
        <f>HYPERLINK("https://klasma.github.io/Logging_1737/klagomål/A 50236-2022 FSC-klagomål.docx", "A 50236-2022")</f>
        <v/>
      </c>
      <c r="W127">
        <f>HYPERLINK("https://klasma.github.io/Logging_1737/klagomålsmail/A 50236-2022 FSC-klagomål mail.docx", "A 50236-2022")</f>
        <v/>
      </c>
      <c r="X127">
        <f>HYPERLINK("https://klasma.github.io/Logging_1737/tillsyn/A 50236-2022 tillsynsbegäran.docx", "A 50236-2022")</f>
        <v/>
      </c>
      <c r="Y127">
        <f>HYPERLINK("https://klasma.github.io/Logging_1737/tillsynsmail/A 50236-2022 tillsynsbegäran mail.docx", "A 50236-2022")</f>
        <v/>
      </c>
    </row>
    <row r="128" ht="15" customHeight="1">
      <c r="A128" t="inlineStr">
        <is>
          <t>A 51288-2022</t>
        </is>
      </c>
      <c r="B128" s="1" t="n">
        <v>44868</v>
      </c>
      <c r="C128" s="1" t="n">
        <v>45575</v>
      </c>
      <c r="D128" t="inlineStr">
        <is>
          <t>VÄRMLANDS LÄN</t>
        </is>
      </c>
      <c r="E128" t="inlineStr">
        <is>
          <t>TORSBY</t>
        </is>
      </c>
      <c r="G128" t="n">
        <v>1.9</v>
      </c>
      <c r="H128" t="n">
        <v>1</v>
      </c>
      <c r="I128" t="n">
        <v>0</v>
      </c>
      <c r="J128" t="n">
        <v>0</v>
      </c>
      <c r="K128" t="n">
        <v>1</v>
      </c>
      <c r="L128" t="n">
        <v>0</v>
      </c>
      <c r="M128" t="n">
        <v>0</v>
      </c>
      <c r="N128" t="n">
        <v>0</v>
      </c>
      <c r="O128" t="n">
        <v>1</v>
      </c>
      <c r="P128" t="n">
        <v>1</v>
      </c>
      <c r="Q128" t="n">
        <v>1</v>
      </c>
      <c r="R128" s="2" t="inlineStr">
        <is>
          <t>Bombmurkla</t>
        </is>
      </c>
      <c r="S128">
        <f>HYPERLINK("https://klasma.github.io/Logging_1737/artfynd/A 51288-2022 artfynd.xlsx", "A 51288-2022")</f>
        <v/>
      </c>
      <c r="T128">
        <f>HYPERLINK("https://klasma.github.io/Logging_1737/kartor/A 51288-2022 karta.png", "A 51288-2022")</f>
        <v/>
      </c>
      <c r="V128">
        <f>HYPERLINK("https://klasma.github.io/Logging_1737/klagomål/A 51288-2022 FSC-klagomål.docx", "A 51288-2022")</f>
        <v/>
      </c>
      <c r="W128">
        <f>HYPERLINK("https://klasma.github.io/Logging_1737/klagomålsmail/A 51288-2022 FSC-klagomål mail.docx", "A 51288-2022")</f>
        <v/>
      </c>
      <c r="X128">
        <f>HYPERLINK("https://klasma.github.io/Logging_1737/tillsyn/A 51288-2022 tillsynsbegäran.docx", "A 51288-2022")</f>
        <v/>
      </c>
      <c r="Y128">
        <f>HYPERLINK("https://klasma.github.io/Logging_1737/tillsynsmail/A 51288-2022 tillsynsbegäran mail.docx", "A 51288-2022")</f>
        <v/>
      </c>
    </row>
    <row r="129" ht="15" customHeight="1">
      <c r="A129" t="inlineStr">
        <is>
          <t>A 13361-2023</t>
        </is>
      </c>
      <c r="B129" s="1" t="n">
        <v>45005</v>
      </c>
      <c r="C129" s="1" t="n">
        <v>45575</v>
      </c>
      <c r="D129" t="inlineStr">
        <is>
          <t>VÄRMLANDS LÄN</t>
        </is>
      </c>
      <c r="E129" t="inlineStr">
        <is>
          <t>TORSBY</t>
        </is>
      </c>
      <c r="G129" t="n">
        <v>8.5</v>
      </c>
      <c r="H129" t="n">
        <v>0</v>
      </c>
      <c r="I129" t="n">
        <v>1</v>
      </c>
      <c r="J129" t="n">
        <v>0</v>
      </c>
      <c r="K129" t="n">
        <v>0</v>
      </c>
      <c r="L129" t="n">
        <v>0</v>
      </c>
      <c r="M129" t="n">
        <v>0</v>
      </c>
      <c r="N129" t="n">
        <v>0</v>
      </c>
      <c r="O129" t="n">
        <v>0</v>
      </c>
      <c r="P129" t="n">
        <v>0</v>
      </c>
      <c r="Q129" t="n">
        <v>1</v>
      </c>
      <c r="R129" s="2" t="inlineStr">
        <is>
          <t>Dropptaggsvamp</t>
        </is>
      </c>
      <c r="S129">
        <f>HYPERLINK("https://klasma.github.io/Logging_1737/artfynd/A 13361-2023 artfynd.xlsx", "A 13361-2023")</f>
        <v/>
      </c>
      <c r="T129">
        <f>HYPERLINK("https://klasma.github.io/Logging_1737/kartor/A 13361-2023 karta.png", "A 13361-2023")</f>
        <v/>
      </c>
      <c r="V129">
        <f>HYPERLINK("https://klasma.github.io/Logging_1737/klagomål/A 13361-2023 FSC-klagomål.docx", "A 13361-2023")</f>
        <v/>
      </c>
      <c r="W129">
        <f>HYPERLINK("https://klasma.github.io/Logging_1737/klagomålsmail/A 13361-2023 FSC-klagomål mail.docx", "A 13361-2023")</f>
        <v/>
      </c>
      <c r="X129">
        <f>HYPERLINK("https://klasma.github.io/Logging_1737/tillsyn/A 13361-2023 tillsynsbegäran.docx", "A 13361-2023")</f>
        <v/>
      </c>
      <c r="Y129">
        <f>HYPERLINK("https://klasma.github.io/Logging_1737/tillsynsmail/A 13361-2023 tillsynsbegäran mail.docx", "A 13361-2023")</f>
        <v/>
      </c>
    </row>
    <row r="130" ht="15" customHeight="1">
      <c r="A130" t="inlineStr">
        <is>
          <t>A 13359-2023</t>
        </is>
      </c>
      <c r="B130" s="1" t="n">
        <v>45005</v>
      </c>
      <c r="C130" s="1" t="n">
        <v>45575</v>
      </c>
      <c r="D130" t="inlineStr">
        <is>
          <t>VÄRMLANDS LÄN</t>
        </is>
      </c>
      <c r="E130" t="inlineStr">
        <is>
          <t>TORSBY</t>
        </is>
      </c>
      <c r="G130" t="n">
        <v>12.9</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13359-2023 artfynd.xlsx", "A 13359-2023")</f>
        <v/>
      </c>
      <c r="T130">
        <f>HYPERLINK("https://klasma.github.io/Logging_1737/kartor/A 13359-2023 karta.png", "A 13359-2023")</f>
        <v/>
      </c>
      <c r="V130">
        <f>HYPERLINK("https://klasma.github.io/Logging_1737/klagomål/A 13359-2023 FSC-klagomål.docx", "A 13359-2023")</f>
        <v/>
      </c>
      <c r="W130">
        <f>HYPERLINK("https://klasma.github.io/Logging_1737/klagomålsmail/A 13359-2023 FSC-klagomål mail.docx", "A 13359-2023")</f>
        <v/>
      </c>
      <c r="X130">
        <f>HYPERLINK("https://klasma.github.io/Logging_1737/tillsyn/A 13359-2023 tillsynsbegäran.docx", "A 13359-2023")</f>
        <v/>
      </c>
      <c r="Y130">
        <f>HYPERLINK("https://klasma.github.io/Logging_1737/tillsynsmail/A 13359-2023 tillsynsbegäran mail.docx", "A 13359-2023")</f>
        <v/>
      </c>
    </row>
    <row r="131" ht="15" customHeight="1">
      <c r="A131" t="inlineStr">
        <is>
          <t>A 15548-2023</t>
        </is>
      </c>
      <c r="B131" s="1" t="n">
        <v>45020</v>
      </c>
      <c r="C131" s="1" t="n">
        <v>45575</v>
      </c>
      <c r="D131" t="inlineStr">
        <is>
          <t>VÄRMLANDS LÄN</t>
        </is>
      </c>
      <c r="E131" t="inlineStr">
        <is>
          <t>TORSBY</t>
        </is>
      </c>
      <c r="G131" t="n">
        <v>0.6</v>
      </c>
      <c r="H131" t="n">
        <v>1</v>
      </c>
      <c r="I131" t="n">
        <v>0</v>
      </c>
      <c r="J131" t="n">
        <v>1</v>
      </c>
      <c r="K131" t="n">
        <v>0</v>
      </c>
      <c r="L131" t="n">
        <v>0</v>
      </c>
      <c r="M131" t="n">
        <v>0</v>
      </c>
      <c r="N131" t="n">
        <v>0</v>
      </c>
      <c r="O131" t="n">
        <v>1</v>
      </c>
      <c r="P131" t="n">
        <v>0</v>
      </c>
      <c r="Q131" t="n">
        <v>1</v>
      </c>
      <c r="R131" s="2" t="inlineStr">
        <is>
          <t>Spillkråka</t>
        </is>
      </c>
      <c r="S131">
        <f>HYPERLINK("https://klasma.github.io/Logging_1737/artfynd/A 15548-2023 artfynd.xlsx", "A 15548-2023")</f>
        <v/>
      </c>
      <c r="T131">
        <f>HYPERLINK("https://klasma.github.io/Logging_1737/kartor/A 15548-2023 karta.png", "A 15548-2023")</f>
        <v/>
      </c>
      <c r="V131">
        <f>HYPERLINK("https://klasma.github.io/Logging_1737/klagomål/A 15548-2023 FSC-klagomål.docx", "A 15548-2023")</f>
        <v/>
      </c>
      <c r="W131">
        <f>HYPERLINK("https://klasma.github.io/Logging_1737/klagomålsmail/A 15548-2023 FSC-klagomål mail.docx", "A 15548-2023")</f>
        <v/>
      </c>
      <c r="X131">
        <f>HYPERLINK("https://klasma.github.io/Logging_1737/tillsyn/A 15548-2023 tillsynsbegäran.docx", "A 15548-2023")</f>
        <v/>
      </c>
      <c r="Y131">
        <f>HYPERLINK("https://klasma.github.io/Logging_1737/tillsynsmail/A 15548-2023 tillsynsbegäran mail.docx", "A 15548-2023")</f>
        <v/>
      </c>
      <c r="Z131">
        <f>HYPERLINK("https://klasma.github.io/Logging_1737/fåglar/A 15548-2023 prioriterade fågelarter.docx", "A 15548-2023")</f>
        <v/>
      </c>
    </row>
    <row r="132" ht="15" customHeight="1">
      <c r="A132" t="inlineStr">
        <is>
          <t>A 18882-2023</t>
        </is>
      </c>
      <c r="B132" s="1" t="n">
        <v>45044</v>
      </c>
      <c r="C132" s="1" t="n">
        <v>45575</v>
      </c>
      <c r="D132" t="inlineStr">
        <is>
          <t>VÄRMLANDS LÄN</t>
        </is>
      </c>
      <c r="E132" t="inlineStr">
        <is>
          <t>TORSBY</t>
        </is>
      </c>
      <c r="G132" t="n">
        <v>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18882-2023 artfynd.xlsx", "A 18882-2023")</f>
        <v/>
      </c>
      <c r="T132">
        <f>HYPERLINK("https://klasma.github.io/Logging_1737/kartor/A 18882-2023 karta.png", "A 18882-2023")</f>
        <v/>
      </c>
      <c r="V132">
        <f>HYPERLINK("https://klasma.github.io/Logging_1737/klagomål/A 18882-2023 FSC-klagomål.docx", "A 18882-2023")</f>
        <v/>
      </c>
      <c r="W132">
        <f>HYPERLINK("https://klasma.github.io/Logging_1737/klagomålsmail/A 18882-2023 FSC-klagomål mail.docx", "A 18882-2023")</f>
        <v/>
      </c>
      <c r="X132">
        <f>HYPERLINK("https://klasma.github.io/Logging_1737/tillsyn/A 18882-2023 tillsynsbegäran.docx", "A 18882-2023")</f>
        <v/>
      </c>
      <c r="Y132">
        <f>HYPERLINK("https://klasma.github.io/Logging_1737/tillsynsmail/A 18882-2023 tillsynsbegäran mail.docx", "A 18882-2023")</f>
        <v/>
      </c>
    </row>
    <row r="133" ht="15" customHeight="1">
      <c r="A133" t="inlineStr">
        <is>
          <t>A 19669-2023</t>
        </is>
      </c>
      <c r="B133" s="1" t="n">
        <v>45051</v>
      </c>
      <c r="C133" s="1" t="n">
        <v>45575</v>
      </c>
      <c r="D133" t="inlineStr">
        <is>
          <t>VÄRMLANDS LÄN</t>
        </is>
      </c>
      <c r="E133" t="inlineStr">
        <is>
          <t>TORSBY</t>
        </is>
      </c>
      <c r="F133" t="inlineStr">
        <is>
          <t>Kyrkan</t>
        </is>
      </c>
      <c r="G133" t="n">
        <v>5.2</v>
      </c>
      <c r="H133" t="n">
        <v>1</v>
      </c>
      <c r="I133" t="n">
        <v>0</v>
      </c>
      <c r="J133" t="n">
        <v>1</v>
      </c>
      <c r="K133" t="n">
        <v>0</v>
      </c>
      <c r="L133" t="n">
        <v>0</v>
      </c>
      <c r="M133" t="n">
        <v>0</v>
      </c>
      <c r="N133" t="n">
        <v>0</v>
      </c>
      <c r="O133" t="n">
        <v>1</v>
      </c>
      <c r="P133" t="n">
        <v>0</v>
      </c>
      <c r="Q133" t="n">
        <v>1</v>
      </c>
      <c r="R133" s="2" t="inlineStr">
        <is>
          <t>Utter</t>
        </is>
      </c>
      <c r="S133">
        <f>HYPERLINK("https://klasma.github.io/Logging_1737/artfynd/A 19669-2023 artfynd.xlsx", "A 19669-2023")</f>
        <v/>
      </c>
      <c r="T133">
        <f>HYPERLINK("https://klasma.github.io/Logging_1737/kartor/A 19669-2023 karta.png", "A 19669-2023")</f>
        <v/>
      </c>
      <c r="V133">
        <f>HYPERLINK("https://klasma.github.io/Logging_1737/klagomål/A 19669-2023 FSC-klagomål.docx", "A 19669-2023")</f>
        <v/>
      </c>
      <c r="W133">
        <f>HYPERLINK("https://klasma.github.io/Logging_1737/klagomålsmail/A 19669-2023 FSC-klagomål mail.docx", "A 19669-2023")</f>
        <v/>
      </c>
      <c r="X133">
        <f>HYPERLINK("https://klasma.github.io/Logging_1737/tillsyn/A 19669-2023 tillsynsbegäran.docx", "A 19669-2023")</f>
        <v/>
      </c>
      <c r="Y133">
        <f>HYPERLINK("https://klasma.github.io/Logging_1737/tillsynsmail/A 19669-2023 tillsynsbegäran mail.docx", "A 19669-2023")</f>
        <v/>
      </c>
    </row>
    <row r="134" ht="15" customHeight="1">
      <c r="A134" t="inlineStr">
        <is>
          <t>A 26747-2023</t>
        </is>
      </c>
      <c r="B134" s="1" t="n">
        <v>45090</v>
      </c>
      <c r="C134" s="1" t="n">
        <v>45575</v>
      </c>
      <c r="D134" t="inlineStr">
        <is>
          <t>VÄRMLANDS LÄN</t>
        </is>
      </c>
      <c r="E134" t="inlineStr">
        <is>
          <t>TORSBY</t>
        </is>
      </c>
      <c r="F134" t="inlineStr">
        <is>
          <t>Övriga statliga verk och myndigheter</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HYPERLINK("https://klasma.github.io/Logging_1737/artfynd/A 26747-2023 artfynd.xlsx", "A 26747-2023")</f>
        <v/>
      </c>
      <c r="T134">
        <f>HYPERLINK("https://klasma.github.io/Logging_1737/kartor/A 26747-2023 karta.png", "A 26747-2023")</f>
        <v/>
      </c>
      <c r="V134">
        <f>HYPERLINK("https://klasma.github.io/Logging_1737/klagomål/A 26747-2023 FSC-klagomål.docx", "A 26747-2023")</f>
        <v/>
      </c>
      <c r="W134">
        <f>HYPERLINK("https://klasma.github.io/Logging_1737/klagomålsmail/A 26747-2023 FSC-klagomål mail.docx", "A 26747-2023")</f>
        <v/>
      </c>
      <c r="X134">
        <f>HYPERLINK("https://klasma.github.io/Logging_1737/tillsyn/A 26747-2023 tillsynsbegäran.docx", "A 26747-2023")</f>
        <v/>
      </c>
      <c r="Y134">
        <f>HYPERLINK("https://klasma.github.io/Logging_1737/tillsynsmail/A 26747-2023 tillsynsbegäran mail.docx", "A 26747-2023")</f>
        <v/>
      </c>
    </row>
    <row r="135" ht="15" customHeight="1">
      <c r="A135" t="inlineStr">
        <is>
          <t>A 33835-2023</t>
        </is>
      </c>
      <c r="B135" s="1" t="n">
        <v>45133</v>
      </c>
      <c r="C135" s="1" t="n">
        <v>45575</v>
      </c>
      <c r="D135" t="inlineStr">
        <is>
          <t>VÄRMLANDS LÄN</t>
        </is>
      </c>
      <c r="E135" t="inlineStr">
        <is>
          <t>TORSBY</t>
        </is>
      </c>
      <c r="F135" t="inlineStr">
        <is>
          <t>Bergvik skog väst AB</t>
        </is>
      </c>
      <c r="G135" t="n">
        <v>17.3</v>
      </c>
      <c r="H135" t="n">
        <v>1</v>
      </c>
      <c r="I135" t="n">
        <v>0</v>
      </c>
      <c r="J135" t="n">
        <v>0</v>
      </c>
      <c r="K135" t="n">
        <v>0</v>
      </c>
      <c r="L135" t="n">
        <v>0</v>
      </c>
      <c r="M135" t="n">
        <v>0</v>
      </c>
      <c r="N135" t="n">
        <v>0</v>
      </c>
      <c r="O135" t="n">
        <v>0</v>
      </c>
      <c r="P135" t="n">
        <v>0</v>
      </c>
      <c r="Q135" t="n">
        <v>1</v>
      </c>
      <c r="R135" s="2" t="inlineStr">
        <is>
          <t>Sparvuggla</t>
        </is>
      </c>
      <c r="S135">
        <f>HYPERLINK("https://klasma.github.io/Logging_1737/artfynd/A 33835-2023 artfynd.xlsx", "A 33835-2023")</f>
        <v/>
      </c>
      <c r="T135">
        <f>HYPERLINK("https://klasma.github.io/Logging_1737/kartor/A 33835-2023 karta.png", "A 33835-2023")</f>
        <v/>
      </c>
      <c r="V135">
        <f>HYPERLINK("https://klasma.github.io/Logging_1737/klagomål/A 33835-2023 FSC-klagomål.docx", "A 33835-2023")</f>
        <v/>
      </c>
      <c r="W135">
        <f>HYPERLINK("https://klasma.github.io/Logging_1737/klagomålsmail/A 33835-2023 FSC-klagomål mail.docx", "A 33835-2023")</f>
        <v/>
      </c>
      <c r="X135">
        <f>HYPERLINK("https://klasma.github.io/Logging_1737/tillsyn/A 33835-2023 tillsynsbegäran.docx", "A 33835-2023")</f>
        <v/>
      </c>
      <c r="Y135">
        <f>HYPERLINK("https://klasma.github.io/Logging_1737/tillsynsmail/A 33835-2023 tillsynsbegäran mail.docx", "A 33835-2023")</f>
        <v/>
      </c>
      <c r="Z135">
        <f>HYPERLINK("https://klasma.github.io/Logging_1737/fåglar/A 33835-2023 prioriterade fågelarter.docx", "A 33835-2023")</f>
        <v/>
      </c>
    </row>
    <row r="136" ht="15" customHeight="1">
      <c r="A136" t="inlineStr">
        <is>
          <t>A 35809-2023</t>
        </is>
      </c>
      <c r="B136" s="1" t="n">
        <v>45147</v>
      </c>
      <c r="C136" s="1" t="n">
        <v>45575</v>
      </c>
      <c r="D136" t="inlineStr">
        <is>
          <t>VÄRMLANDS LÄN</t>
        </is>
      </c>
      <c r="E136" t="inlineStr">
        <is>
          <t>TORSBY</t>
        </is>
      </c>
      <c r="F136" t="inlineStr">
        <is>
          <t>Övriga statliga verk och myndigheter</t>
        </is>
      </c>
      <c r="G136" t="n">
        <v>7.2</v>
      </c>
      <c r="H136" t="n">
        <v>1</v>
      </c>
      <c r="I136" t="n">
        <v>0</v>
      </c>
      <c r="J136" t="n">
        <v>0</v>
      </c>
      <c r="K136" t="n">
        <v>0</v>
      </c>
      <c r="L136" t="n">
        <v>0</v>
      </c>
      <c r="M136" t="n">
        <v>0</v>
      </c>
      <c r="N136" t="n">
        <v>0</v>
      </c>
      <c r="O136" t="n">
        <v>0</v>
      </c>
      <c r="P136" t="n">
        <v>0</v>
      </c>
      <c r="Q136" t="n">
        <v>1</v>
      </c>
      <c r="R136" s="2" t="inlineStr">
        <is>
          <t>Fläcknycklar</t>
        </is>
      </c>
      <c r="S136">
        <f>HYPERLINK("https://klasma.github.io/Logging_1737/artfynd/A 35809-2023 artfynd.xlsx", "A 35809-2023")</f>
        <v/>
      </c>
      <c r="T136">
        <f>HYPERLINK("https://klasma.github.io/Logging_1737/kartor/A 35809-2023 karta.png", "A 35809-2023")</f>
        <v/>
      </c>
      <c r="V136">
        <f>HYPERLINK("https://klasma.github.io/Logging_1737/klagomål/A 35809-2023 FSC-klagomål.docx", "A 35809-2023")</f>
        <v/>
      </c>
      <c r="W136">
        <f>HYPERLINK("https://klasma.github.io/Logging_1737/klagomålsmail/A 35809-2023 FSC-klagomål mail.docx", "A 35809-2023")</f>
        <v/>
      </c>
      <c r="X136">
        <f>HYPERLINK("https://klasma.github.io/Logging_1737/tillsyn/A 35809-2023 tillsynsbegäran.docx", "A 35809-2023")</f>
        <v/>
      </c>
      <c r="Y136">
        <f>HYPERLINK("https://klasma.github.io/Logging_1737/tillsynsmail/A 35809-2023 tillsynsbegäran mail.docx", "A 35809-2023")</f>
        <v/>
      </c>
    </row>
    <row r="137" ht="15" customHeight="1">
      <c r="A137" t="inlineStr">
        <is>
          <t>A 39681-2023</t>
        </is>
      </c>
      <c r="B137" s="1" t="n">
        <v>45167</v>
      </c>
      <c r="C137" s="1" t="n">
        <v>45575</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39983-2023</t>
        </is>
      </c>
      <c r="B138" s="1" t="n">
        <v>45168</v>
      </c>
      <c r="C138" s="1" t="n">
        <v>45575</v>
      </c>
      <c r="D138" t="inlineStr">
        <is>
          <t>VÄRMLANDS LÄN</t>
        </is>
      </c>
      <c r="E138" t="inlineStr">
        <is>
          <t>TORSBY</t>
        </is>
      </c>
      <c r="G138" t="n">
        <v>17.2</v>
      </c>
      <c r="H138" t="n">
        <v>1</v>
      </c>
      <c r="I138" t="n">
        <v>0</v>
      </c>
      <c r="J138" t="n">
        <v>1</v>
      </c>
      <c r="K138" t="n">
        <v>0</v>
      </c>
      <c r="L138" t="n">
        <v>0</v>
      </c>
      <c r="M138" t="n">
        <v>0</v>
      </c>
      <c r="N138" t="n">
        <v>0</v>
      </c>
      <c r="O138" t="n">
        <v>1</v>
      </c>
      <c r="P138" t="n">
        <v>0</v>
      </c>
      <c r="Q138" t="n">
        <v>1</v>
      </c>
      <c r="R138" s="2" t="inlineStr">
        <is>
          <t>Kråka</t>
        </is>
      </c>
      <c r="S138">
        <f>HYPERLINK("https://klasma.github.io/Logging_1737/artfynd/A 39983-2023 artfynd.xlsx", "A 39983-2023")</f>
        <v/>
      </c>
      <c r="T138">
        <f>HYPERLINK("https://klasma.github.io/Logging_1737/kartor/A 39983-2023 karta.png", "A 39983-2023")</f>
        <v/>
      </c>
      <c r="V138">
        <f>HYPERLINK("https://klasma.github.io/Logging_1737/klagomål/A 39983-2023 FSC-klagomål.docx", "A 39983-2023")</f>
        <v/>
      </c>
      <c r="W138">
        <f>HYPERLINK("https://klasma.github.io/Logging_1737/klagomålsmail/A 39983-2023 FSC-klagomål mail.docx", "A 39983-2023")</f>
        <v/>
      </c>
      <c r="X138">
        <f>HYPERLINK("https://klasma.github.io/Logging_1737/tillsyn/A 39983-2023 tillsynsbegäran.docx", "A 39983-2023")</f>
        <v/>
      </c>
      <c r="Y138">
        <f>HYPERLINK("https://klasma.github.io/Logging_1737/tillsynsmail/A 39983-2023 tillsynsbegäran mail.docx", "A 39983-2023")</f>
        <v/>
      </c>
      <c r="Z138">
        <f>HYPERLINK("https://klasma.github.io/Logging_1737/fåglar/A 39983-2023 prioriterade fågelarter.docx", "A 39983-2023")</f>
        <v/>
      </c>
    </row>
    <row r="139" ht="15" customHeight="1">
      <c r="A139" t="inlineStr">
        <is>
          <t>A 46099-2023</t>
        </is>
      </c>
      <c r="B139" s="1" t="n">
        <v>45196</v>
      </c>
      <c r="C139" s="1" t="n">
        <v>45575</v>
      </c>
      <c r="D139" t="inlineStr">
        <is>
          <t>VÄRMLANDS LÄN</t>
        </is>
      </c>
      <c r="E139" t="inlineStr">
        <is>
          <t>TORSBY</t>
        </is>
      </c>
      <c r="G139" t="n">
        <v>8.4</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46099-2023 artfynd.xlsx", "A 46099-2023")</f>
        <v/>
      </c>
      <c r="T139">
        <f>HYPERLINK("https://klasma.github.io/Logging_1737/kartor/A 46099-2023 karta.png", "A 46099-2023")</f>
        <v/>
      </c>
      <c r="V139">
        <f>HYPERLINK("https://klasma.github.io/Logging_1737/klagomål/A 46099-2023 FSC-klagomål.docx", "A 46099-2023")</f>
        <v/>
      </c>
      <c r="W139">
        <f>HYPERLINK("https://klasma.github.io/Logging_1737/klagomålsmail/A 46099-2023 FSC-klagomål mail.docx", "A 46099-2023")</f>
        <v/>
      </c>
      <c r="X139">
        <f>HYPERLINK("https://klasma.github.io/Logging_1737/tillsyn/A 46099-2023 tillsynsbegäran.docx", "A 46099-2023")</f>
        <v/>
      </c>
      <c r="Y139">
        <f>HYPERLINK("https://klasma.github.io/Logging_1737/tillsynsmail/A 46099-2023 tillsynsbegäran mail.docx", "A 46099-2023")</f>
        <v/>
      </c>
    </row>
    <row r="140" ht="15" customHeight="1">
      <c r="A140" t="inlineStr">
        <is>
          <t>A 49724-2023</t>
        </is>
      </c>
      <c r="B140" s="1" t="n">
        <v>45208</v>
      </c>
      <c r="C140" s="1" t="n">
        <v>45575</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Garnlav</t>
        </is>
      </c>
      <c r="S140">
        <f>HYPERLINK("https://klasma.github.io/Logging_1737/artfynd/A 49724-2023 artfynd.xlsx", "A 49724-2023")</f>
        <v/>
      </c>
      <c r="T140">
        <f>HYPERLINK("https://klasma.github.io/Logging_1737/kartor/A 49724-2023 karta.png", "A 49724-2023")</f>
        <v/>
      </c>
      <c r="V140">
        <f>HYPERLINK("https://klasma.github.io/Logging_1737/klagomål/A 49724-2023 FSC-klagomål.docx", "A 49724-2023")</f>
        <v/>
      </c>
      <c r="W140">
        <f>HYPERLINK("https://klasma.github.io/Logging_1737/klagomålsmail/A 49724-2023 FSC-klagomål mail.docx", "A 49724-2023")</f>
        <v/>
      </c>
      <c r="X140">
        <f>HYPERLINK("https://klasma.github.io/Logging_1737/tillsyn/A 49724-2023 tillsynsbegäran.docx", "A 49724-2023")</f>
        <v/>
      </c>
      <c r="Y140">
        <f>HYPERLINK("https://klasma.github.io/Logging_1737/tillsynsmail/A 49724-2023 tillsynsbegäran mail.docx", "A 49724-2023")</f>
        <v/>
      </c>
    </row>
    <row r="141" ht="15" customHeight="1">
      <c r="A141" t="inlineStr">
        <is>
          <t>A 57971-2023</t>
        </is>
      </c>
      <c r="B141" s="1" t="n">
        <v>45247</v>
      </c>
      <c r="C141" s="1" t="n">
        <v>45575</v>
      </c>
      <c r="D141" t="inlineStr">
        <is>
          <t>VÄRMLANDS LÄN</t>
        </is>
      </c>
      <c r="E141" t="inlineStr">
        <is>
          <t>TORSBY</t>
        </is>
      </c>
      <c r="G141" t="n">
        <v>12.4</v>
      </c>
      <c r="H141" t="n">
        <v>0</v>
      </c>
      <c r="I141" t="n">
        <v>0</v>
      </c>
      <c r="J141" t="n">
        <v>1</v>
      </c>
      <c r="K141" t="n">
        <v>0</v>
      </c>
      <c r="L141" t="n">
        <v>0</v>
      </c>
      <c r="M141" t="n">
        <v>0</v>
      </c>
      <c r="N141" t="n">
        <v>0</v>
      </c>
      <c r="O141" t="n">
        <v>1</v>
      </c>
      <c r="P141" t="n">
        <v>0</v>
      </c>
      <c r="Q141" t="n">
        <v>1</v>
      </c>
      <c r="R141" s="2" t="inlineStr">
        <is>
          <t>Garnlav</t>
        </is>
      </c>
      <c r="S141">
        <f>HYPERLINK("https://klasma.github.io/Logging_1737/artfynd/A 57971-2023 artfynd.xlsx", "A 57971-2023")</f>
        <v/>
      </c>
      <c r="T141">
        <f>HYPERLINK("https://klasma.github.io/Logging_1737/kartor/A 57971-2023 karta.png", "A 57971-2023")</f>
        <v/>
      </c>
      <c r="V141">
        <f>HYPERLINK("https://klasma.github.io/Logging_1737/klagomål/A 57971-2023 FSC-klagomål.docx", "A 57971-2023")</f>
        <v/>
      </c>
      <c r="W141">
        <f>HYPERLINK("https://klasma.github.io/Logging_1737/klagomålsmail/A 57971-2023 FSC-klagomål mail.docx", "A 57971-2023")</f>
        <v/>
      </c>
      <c r="X141">
        <f>HYPERLINK("https://klasma.github.io/Logging_1737/tillsyn/A 57971-2023 tillsynsbegäran.docx", "A 57971-2023")</f>
        <v/>
      </c>
      <c r="Y141">
        <f>HYPERLINK("https://klasma.github.io/Logging_1737/tillsynsmail/A 57971-2023 tillsynsbegäran mail.docx", "A 57971-2023")</f>
        <v/>
      </c>
    </row>
    <row r="142" ht="15" customHeight="1">
      <c r="A142" t="inlineStr">
        <is>
          <t>A 61911-2023</t>
        </is>
      </c>
      <c r="B142" s="1" t="n">
        <v>45266</v>
      </c>
      <c r="C142" s="1" t="n">
        <v>45575</v>
      </c>
      <c r="D142" t="inlineStr">
        <is>
          <t>VÄRMLANDS LÄN</t>
        </is>
      </c>
      <c r="E142" t="inlineStr">
        <is>
          <t>TORSBY</t>
        </is>
      </c>
      <c r="F142" t="inlineStr">
        <is>
          <t>Kommuner</t>
        </is>
      </c>
      <c r="G142" t="n">
        <v>9.1</v>
      </c>
      <c r="H142" t="n">
        <v>0</v>
      </c>
      <c r="I142" t="n">
        <v>0</v>
      </c>
      <c r="J142" t="n">
        <v>1</v>
      </c>
      <c r="K142" t="n">
        <v>0</v>
      </c>
      <c r="L142" t="n">
        <v>0</v>
      </c>
      <c r="M142" t="n">
        <v>0</v>
      </c>
      <c r="N142" t="n">
        <v>0</v>
      </c>
      <c r="O142" t="n">
        <v>1</v>
      </c>
      <c r="P142" t="n">
        <v>0</v>
      </c>
      <c r="Q142" t="n">
        <v>1</v>
      </c>
      <c r="R142" s="2" t="inlineStr">
        <is>
          <t>Dvärgbägarlav</t>
        </is>
      </c>
      <c r="S142">
        <f>HYPERLINK("https://klasma.github.io/Logging_1737/artfynd/A 61911-2023 artfynd.xlsx", "A 61911-2023")</f>
        <v/>
      </c>
      <c r="T142">
        <f>HYPERLINK("https://klasma.github.io/Logging_1737/kartor/A 61911-2023 karta.png", "A 61911-2023")</f>
        <v/>
      </c>
      <c r="V142">
        <f>HYPERLINK("https://klasma.github.io/Logging_1737/klagomål/A 61911-2023 FSC-klagomål.docx", "A 61911-2023")</f>
        <v/>
      </c>
      <c r="W142">
        <f>HYPERLINK("https://klasma.github.io/Logging_1737/klagomålsmail/A 61911-2023 FSC-klagomål mail.docx", "A 61911-2023")</f>
        <v/>
      </c>
      <c r="X142">
        <f>HYPERLINK("https://klasma.github.io/Logging_1737/tillsyn/A 61911-2023 tillsynsbegäran.docx", "A 61911-2023")</f>
        <v/>
      </c>
      <c r="Y142">
        <f>HYPERLINK("https://klasma.github.io/Logging_1737/tillsynsmail/A 61911-2023 tillsynsbegäran mail.docx", "A 61911-2023")</f>
        <v/>
      </c>
    </row>
    <row r="143" ht="15" customHeight="1">
      <c r="A143" t="inlineStr">
        <is>
          <t>A 1811-2024</t>
        </is>
      </c>
      <c r="B143" s="1" t="n">
        <v>45307</v>
      </c>
      <c r="C143" s="1" t="n">
        <v>45575</v>
      </c>
      <c r="D143" t="inlineStr">
        <is>
          <t>VÄRMLANDS LÄN</t>
        </is>
      </c>
      <c r="E143" t="inlineStr">
        <is>
          <t>TORSBY</t>
        </is>
      </c>
      <c r="G143" t="n">
        <v>12.1</v>
      </c>
      <c r="H143" t="n">
        <v>1</v>
      </c>
      <c r="I143" t="n">
        <v>0</v>
      </c>
      <c r="J143" t="n">
        <v>0</v>
      </c>
      <c r="K143" t="n">
        <v>0</v>
      </c>
      <c r="L143" t="n">
        <v>0</v>
      </c>
      <c r="M143" t="n">
        <v>0</v>
      </c>
      <c r="N143" t="n">
        <v>0</v>
      </c>
      <c r="O143" t="n">
        <v>0</v>
      </c>
      <c r="P143" t="n">
        <v>0</v>
      </c>
      <c r="Q143" t="n">
        <v>1</v>
      </c>
      <c r="R143" s="2" t="inlineStr">
        <is>
          <t>Revlummer</t>
        </is>
      </c>
      <c r="S143">
        <f>HYPERLINK("https://klasma.github.io/Logging_1737/artfynd/A 1811-2024 artfynd.xlsx", "A 1811-2024")</f>
        <v/>
      </c>
      <c r="T143">
        <f>HYPERLINK("https://klasma.github.io/Logging_1737/kartor/A 1811-2024 karta.png", "A 1811-2024")</f>
        <v/>
      </c>
      <c r="V143">
        <f>HYPERLINK("https://klasma.github.io/Logging_1737/klagomål/A 1811-2024 FSC-klagomål.docx", "A 1811-2024")</f>
        <v/>
      </c>
      <c r="W143">
        <f>HYPERLINK("https://klasma.github.io/Logging_1737/klagomålsmail/A 1811-2024 FSC-klagomål mail.docx", "A 1811-2024")</f>
        <v/>
      </c>
      <c r="X143">
        <f>HYPERLINK("https://klasma.github.io/Logging_1737/tillsyn/A 1811-2024 tillsynsbegäran.docx", "A 1811-2024")</f>
        <v/>
      </c>
      <c r="Y143">
        <f>HYPERLINK("https://klasma.github.io/Logging_1737/tillsynsmail/A 1811-2024 tillsynsbegäran mail.docx", "A 1811-2024")</f>
        <v/>
      </c>
    </row>
    <row r="144" ht="15" customHeight="1">
      <c r="A144" t="inlineStr">
        <is>
          <t>A 2039-2024</t>
        </is>
      </c>
      <c r="B144" s="1" t="n">
        <v>45308</v>
      </c>
      <c r="C144" s="1" t="n">
        <v>45575</v>
      </c>
      <c r="D144" t="inlineStr">
        <is>
          <t>VÄRMLANDS LÄN</t>
        </is>
      </c>
      <c r="E144" t="inlineStr">
        <is>
          <t>TORSBY</t>
        </is>
      </c>
      <c r="G144" t="n">
        <v>6.4</v>
      </c>
      <c r="H144" t="n">
        <v>1</v>
      </c>
      <c r="I144" t="n">
        <v>0</v>
      </c>
      <c r="J144" t="n">
        <v>1</v>
      </c>
      <c r="K144" t="n">
        <v>0</v>
      </c>
      <c r="L144" t="n">
        <v>0</v>
      </c>
      <c r="M144" t="n">
        <v>0</v>
      </c>
      <c r="N144" t="n">
        <v>0</v>
      </c>
      <c r="O144" t="n">
        <v>1</v>
      </c>
      <c r="P144" t="n">
        <v>0</v>
      </c>
      <c r="Q144" t="n">
        <v>1</v>
      </c>
      <c r="R144" s="2" t="inlineStr">
        <is>
          <t>Kungsörn</t>
        </is>
      </c>
      <c r="S144">
        <f>HYPERLINK("https://klasma.github.io/Logging_1737/artfynd/A 2039-2024 artfynd.xlsx", "A 2039-2024")</f>
        <v/>
      </c>
      <c r="T144">
        <f>HYPERLINK("https://klasma.github.io/Logging_1737/kartor/A 2039-2024 karta.png", "A 2039-2024")</f>
        <v/>
      </c>
      <c r="V144">
        <f>HYPERLINK("https://klasma.github.io/Logging_1737/klagomål/A 2039-2024 FSC-klagomål.docx", "A 2039-2024")</f>
        <v/>
      </c>
      <c r="W144">
        <f>HYPERLINK("https://klasma.github.io/Logging_1737/klagomålsmail/A 2039-2024 FSC-klagomål mail.docx", "A 2039-2024")</f>
        <v/>
      </c>
      <c r="X144">
        <f>HYPERLINK("https://klasma.github.io/Logging_1737/tillsyn/A 2039-2024 tillsynsbegäran.docx", "A 2039-2024")</f>
        <v/>
      </c>
      <c r="Y144">
        <f>HYPERLINK("https://klasma.github.io/Logging_1737/tillsynsmail/A 2039-2024 tillsynsbegäran mail.docx", "A 2039-2024")</f>
        <v/>
      </c>
      <c r="Z144">
        <f>HYPERLINK("https://klasma.github.io/Logging_1737/fåglar/A 2039-2024 prioriterade fågelarter.docx", "A 2039-2024")</f>
        <v/>
      </c>
    </row>
    <row r="145" ht="15" customHeight="1">
      <c r="A145" t="inlineStr">
        <is>
          <t>A 4985-2024</t>
        </is>
      </c>
      <c r="B145" s="1" t="n">
        <v>45329</v>
      </c>
      <c r="C145" s="1" t="n">
        <v>45575</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Garnlav</t>
        </is>
      </c>
      <c r="S145">
        <f>HYPERLINK("https://klasma.github.io/Logging_1737/artfynd/A 4985-2024 artfynd.xlsx", "A 4985-2024")</f>
        <v/>
      </c>
      <c r="T145">
        <f>HYPERLINK("https://klasma.github.io/Logging_1737/kartor/A 4985-2024 karta.png", "A 4985-2024")</f>
        <v/>
      </c>
      <c r="V145">
        <f>HYPERLINK("https://klasma.github.io/Logging_1737/klagomål/A 4985-2024 FSC-klagomål.docx", "A 4985-2024")</f>
        <v/>
      </c>
      <c r="W145">
        <f>HYPERLINK("https://klasma.github.io/Logging_1737/klagomålsmail/A 4985-2024 FSC-klagomål mail.docx", "A 4985-2024")</f>
        <v/>
      </c>
      <c r="X145">
        <f>HYPERLINK("https://klasma.github.io/Logging_1737/tillsyn/A 4985-2024 tillsynsbegäran.docx", "A 4985-2024")</f>
        <v/>
      </c>
      <c r="Y145">
        <f>HYPERLINK("https://klasma.github.io/Logging_1737/tillsynsmail/A 4985-2024 tillsynsbegäran mail.docx", "A 4985-2024")</f>
        <v/>
      </c>
    </row>
    <row r="146" ht="15" customHeight="1">
      <c r="A146" t="inlineStr">
        <is>
          <t>A 19760-2024</t>
        </is>
      </c>
      <c r="B146" s="1" t="n">
        <v>45432</v>
      </c>
      <c r="C146" s="1" t="n">
        <v>45575</v>
      </c>
      <c r="D146" t="inlineStr">
        <is>
          <t>VÄRMLANDS LÄN</t>
        </is>
      </c>
      <c r="E146" t="inlineStr">
        <is>
          <t>TORSBY</t>
        </is>
      </c>
      <c r="F146" t="inlineStr">
        <is>
          <t>Bergvik skog väst AB</t>
        </is>
      </c>
      <c r="G146" t="n">
        <v>7.9</v>
      </c>
      <c r="H146" t="n">
        <v>1</v>
      </c>
      <c r="I146" t="n">
        <v>0</v>
      </c>
      <c r="J146" t="n">
        <v>1</v>
      </c>
      <c r="K146" t="n">
        <v>0</v>
      </c>
      <c r="L146" t="n">
        <v>0</v>
      </c>
      <c r="M146" t="n">
        <v>0</v>
      </c>
      <c r="N146" t="n">
        <v>0</v>
      </c>
      <c r="O146" t="n">
        <v>1</v>
      </c>
      <c r="P146" t="n">
        <v>0</v>
      </c>
      <c r="Q146" t="n">
        <v>1</v>
      </c>
      <c r="R146" s="2" t="inlineStr">
        <is>
          <t>Utter</t>
        </is>
      </c>
      <c r="S146">
        <f>HYPERLINK("https://klasma.github.io/Logging_1737/artfynd/A 19760-2024 artfynd.xlsx", "A 19760-2024")</f>
        <v/>
      </c>
      <c r="T146">
        <f>HYPERLINK("https://klasma.github.io/Logging_1737/kartor/A 19760-2024 karta.png", "A 19760-2024")</f>
        <v/>
      </c>
      <c r="V146">
        <f>HYPERLINK("https://klasma.github.io/Logging_1737/klagomål/A 19760-2024 FSC-klagomål.docx", "A 19760-2024")</f>
        <v/>
      </c>
      <c r="W146">
        <f>HYPERLINK("https://klasma.github.io/Logging_1737/klagomålsmail/A 19760-2024 FSC-klagomål mail.docx", "A 19760-2024")</f>
        <v/>
      </c>
      <c r="X146">
        <f>HYPERLINK("https://klasma.github.io/Logging_1737/tillsyn/A 19760-2024 tillsynsbegäran.docx", "A 19760-2024")</f>
        <v/>
      </c>
      <c r="Y146">
        <f>HYPERLINK("https://klasma.github.io/Logging_1737/tillsynsmail/A 19760-2024 tillsynsbegäran mail.docx", "A 19760-2024")</f>
        <v/>
      </c>
    </row>
    <row r="147" ht="15" customHeight="1">
      <c r="A147" t="inlineStr">
        <is>
          <t>A 25789-2024</t>
        </is>
      </c>
      <c r="B147" s="1" t="n">
        <v>45467</v>
      </c>
      <c r="C147" s="1" t="n">
        <v>45575</v>
      </c>
      <c r="D147" t="inlineStr">
        <is>
          <t>VÄRMLANDS LÄN</t>
        </is>
      </c>
      <c r="E147" t="inlineStr">
        <is>
          <t>TORSBY</t>
        </is>
      </c>
      <c r="F147" t="inlineStr">
        <is>
          <t>Bergvik skog väst AB</t>
        </is>
      </c>
      <c r="G147" t="n">
        <v>9</v>
      </c>
      <c r="H147" t="n">
        <v>1</v>
      </c>
      <c r="I147" t="n">
        <v>0</v>
      </c>
      <c r="J147" t="n">
        <v>1</v>
      </c>
      <c r="K147" t="n">
        <v>0</v>
      </c>
      <c r="L147" t="n">
        <v>0</v>
      </c>
      <c r="M147" t="n">
        <v>0</v>
      </c>
      <c r="N147" t="n">
        <v>0</v>
      </c>
      <c r="O147" t="n">
        <v>1</v>
      </c>
      <c r="P147" t="n">
        <v>0</v>
      </c>
      <c r="Q147" t="n">
        <v>1</v>
      </c>
      <c r="R147" s="2" t="inlineStr">
        <is>
          <t>Järpe</t>
        </is>
      </c>
      <c r="S147">
        <f>HYPERLINK("https://klasma.github.io/Logging_1737/artfynd/A 25789-2024 artfynd.xlsx", "A 25789-2024")</f>
        <v/>
      </c>
      <c r="T147">
        <f>HYPERLINK("https://klasma.github.io/Logging_1737/kartor/A 25789-2024 karta.png", "A 25789-2024")</f>
        <v/>
      </c>
      <c r="V147">
        <f>HYPERLINK("https://klasma.github.io/Logging_1737/klagomål/A 25789-2024 FSC-klagomål.docx", "A 25789-2024")</f>
        <v/>
      </c>
      <c r="W147">
        <f>HYPERLINK("https://klasma.github.io/Logging_1737/klagomålsmail/A 25789-2024 FSC-klagomål mail.docx", "A 25789-2024")</f>
        <v/>
      </c>
      <c r="X147">
        <f>HYPERLINK("https://klasma.github.io/Logging_1737/tillsyn/A 25789-2024 tillsynsbegäran.docx", "A 25789-2024")</f>
        <v/>
      </c>
      <c r="Y147">
        <f>HYPERLINK("https://klasma.github.io/Logging_1737/tillsynsmail/A 25789-2024 tillsynsbegäran mail.docx", "A 25789-2024")</f>
        <v/>
      </c>
      <c r="Z147">
        <f>HYPERLINK("https://klasma.github.io/Logging_1737/fåglar/A 25789-2024 prioriterade fågelarter.docx", "A 25789-2024")</f>
        <v/>
      </c>
    </row>
    <row r="148" ht="15" customHeight="1">
      <c r="A148" t="inlineStr">
        <is>
          <t>A 36962-2024</t>
        </is>
      </c>
      <c r="B148" s="1" t="n">
        <v>45538</v>
      </c>
      <c r="C148" s="1" t="n">
        <v>45575</v>
      </c>
      <c r="D148" t="inlineStr">
        <is>
          <t>VÄRMLANDS LÄN</t>
        </is>
      </c>
      <c r="E148" t="inlineStr">
        <is>
          <t>TORSBY</t>
        </is>
      </c>
      <c r="G148" t="n">
        <v>17</v>
      </c>
      <c r="H148" t="n">
        <v>0</v>
      </c>
      <c r="I148" t="n">
        <v>1</v>
      </c>
      <c r="J148" t="n">
        <v>0</v>
      </c>
      <c r="K148" t="n">
        <v>0</v>
      </c>
      <c r="L148" t="n">
        <v>0</v>
      </c>
      <c r="M148" t="n">
        <v>0</v>
      </c>
      <c r="N148" t="n">
        <v>0</v>
      </c>
      <c r="O148" t="n">
        <v>0</v>
      </c>
      <c r="P148" t="n">
        <v>0</v>
      </c>
      <c r="Q148" t="n">
        <v>1</v>
      </c>
      <c r="R148" s="2" t="inlineStr">
        <is>
          <t>Dropptaggsvamp</t>
        </is>
      </c>
      <c r="S148">
        <f>HYPERLINK("https://klasma.github.io/Logging_1737/artfynd/A 36962-2024 artfynd.xlsx", "A 36962-2024")</f>
        <v/>
      </c>
      <c r="T148">
        <f>HYPERLINK("https://klasma.github.io/Logging_1737/kartor/A 36962-2024 karta.png", "A 36962-2024")</f>
        <v/>
      </c>
      <c r="V148">
        <f>HYPERLINK("https://klasma.github.io/Logging_1737/klagomål/A 36962-2024 FSC-klagomål.docx", "A 36962-2024")</f>
        <v/>
      </c>
      <c r="W148">
        <f>HYPERLINK("https://klasma.github.io/Logging_1737/klagomålsmail/A 36962-2024 FSC-klagomål mail.docx", "A 36962-2024")</f>
        <v/>
      </c>
      <c r="X148">
        <f>HYPERLINK("https://klasma.github.io/Logging_1737/tillsyn/A 36962-2024 tillsynsbegäran.docx", "A 36962-2024")</f>
        <v/>
      </c>
      <c r="Y148">
        <f>HYPERLINK("https://klasma.github.io/Logging_1737/tillsynsmail/A 36962-2024 tillsynsbegäran mail.docx", "A 36962-2024")</f>
        <v/>
      </c>
    </row>
    <row r="149" ht="15" customHeight="1">
      <c r="A149" t="inlineStr">
        <is>
          <t>A 40033-2024</t>
        </is>
      </c>
      <c r="B149" s="1" t="n">
        <v>45553</v>
      </c>
      <c r="C149" s="1" t="n">
        <v>45575</v>
      </c>
      <c r="D149" t="inlineStr">
        <is>
          <t>VÄRMLANDS LÄN</t>
        </is>
      </c>
      <c r="E149" t="inlineStr">
        <is>
          <t>TORSBY</t>
        </is>
      </c>
      <c r="G149" t="n">
        <v>6.2</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40033-2024 artfynd.xlsx", "A 40033-2024")</f>
        <v/>
      </c>
      <c r="T149">
        <f>HYPERLINK("https://klasma.github.io/Logging_1737/kartor/A 40033-2024 karta.png", "A 40033-2024")</f>
        <v/>
      </c>
      <c r="V149">
        <f>HYPERLINK("https://klasma.github.io/Logging_1737/klagomål/A 40033-2024 FSC-klagomål.docx", "A 40033-2024")</f>
        <v/>
      </c>
      <c r="W149">
        <f>HYPERLINK("https://klasma.github.io/Logging_1737/klagomålsmail/A 40033-2024 FSC-klagomål mail.docx", "A 40033-2024")</f>
        <v/>
      </c>
      <c r="X149">
        <f>HYPERLINK("https://klasma.github.io/Logging_1737/tillsyn/A 40033-2024 tillsynsbegäran.docx", "A 40033-2024")</f>
        <v/>
      </c>
      <c r="Y149">
        <f>HYPERLINK("https://klasma.github.io/Logging_1737/tillsynsmail/A 40033-2024 tillsynsbegäran mail.docx", "A 40033-2024")</f>
        <v/>
      </c>
    </row>
    <row r="150" ht="15" customHeight="1">
      <c r="A150" t="inlineStr">
        <is>
          <t>A 40934-2024</t>
        </is>
      </c>
      <c r="B150" s="1" t="n">
        <v>45558</v>
      </c>
      <c r="C150" s="1" t="n">
        <v>45575</v>
      </c>
      <c r="D150" t="inlineStr">
        <is>
          <t>VÄRMLANDS LÄN</t>
        </is>
      </c>
      <c r="E150" t="inlineStr">
        <is>
          <t>TORSBY</t>
        </is>
      </c>
      <c r="G150" t="n">
        <v>8.1</v>
      </c>
      <c r="H150" t="n">
        <v>0</v>
      </c>
      <c r="I150" t="n">
        <v>0</v>
      </c>
      <c r="J150" t="n">
        <v>1</v>
      </c>
      <c r="K150" t="n">
        <v>0</v>
      </c>
      <c r="L150" t="n">
        <v>0</v>
      </c>
      <c r="M150" t="n">
        <v>0</v>
      </c>
      <c r="N150" t="n">
        <v>0</v>
      </c>
      <c r="O150" t="n">
        <v>1</v>
      </c>
      <c r="P150" t="n">
        <v>0</v>
      </c>
      <c r="Q150" t="n">
        <v>1</v>
      </c>
      <c r="R150" s="2" t="inlineStr">
        <is>
          <t>Lunglav</t>
        </is>
      </c>
      <c r="S150">
        <f>HYPERLINK("https://klasma.github.io/Logging_1737/artfynd/A 40934-2024 artfynd.xlsx", "A 40934-2024")</f>
        <v/>
      </c>
      <c r="T150">
        <f>HYPERLINK("https://klasma.github.io/Logging_1737/kartor/A 40934-2024 karta.png", "A 40934-2024")</f>
        <v/>
      </c>
      <c r="V150">
        <f>HYPERLINK("https://klasma.github.io/Logging_1737/klagomål/A 40934-2024 FSC-klagomål.docx", "A 40934-2024")</f>
        <v/>
      </c>
      <c r="W150">
        <f>HYPERLINK("https://klasma.github.io/Logging_1737/klagomålsmail/A 40934-2024 FSC-klagomål mail.docx", "A 40934-2024")</f>
        <v/>
      </c>
      <c r="X150">
        <f>HYPERLINK("https://klasma.github.io/Logging_1737/tillsyn/A 40934-2024 tillsynsbegäran.docx", "A 40934-2024")</f>
        <v/>
      </c>
      <c r="Y150">
        <f>HYPERLINK("https://klasma.github.io/Logging_1737/tillsynsmail/A 40934-2024 tillsynsbegäran mail.docx", "A 40934-2024")</f>
        <v/>
      </c>
    </row>
    <row r="151" ht="15" customHeight="1">
      <c r="A151" t="inlineStr">
        <is>
          <t>A 41350-2024</t>
        </is>
      </c>
      <c r="B151" s="1" t="n">
        <v>45559</v>
      </c>
      <c r="C151" s="1" t="n">
        <v>45575</v>
      </c>
      <c r="D151" t="inlineStr">
        <is>
          <t>VÄRMLANDS LÄN</t>
        </is>
      </c>
      <c r="E151" t="inlineStr">
        <is>
          <t>TORSBY</t>
        </is>
      </c>
      <c r="G151" t="n">
        <v>5.5</v>
      </c>
      <c r="H151" t="n">
        <v>0</v>
      </c>
      <c r="I151" t="n">
        <v>0</v>
      </c>
      <c r="J151" t="n">
        <v>1</v>
      </c>
      <c r="K151" t="n">
        <v>0</v>
      </c>
      <c r="L151" t="n">
        <v>0</v>
      </c>
      <c r="M151" t="n">
        <v>0</v>
      </c>
      <c r="N151" t="n">
        <v>0</v>
      </c>
      <c r="O151" t="n">
        <v>1</v>
      </c>
      <c r="P151" t="n">
        <v>0</v>
      </c>
      <c r="Q151" t="n">
        <v>1</v>
      </c>
      <c r="R151" s="2" t="inlineStr">
        <is>
          <t>Garnlav</t>
        </is>
      </c>
      <c r="S151">
        <f>HYPERLINK("https://klasma.github.io/Logging_1737/artfynd/A 41350-2024 artfynd.xlsx", "A 41350-2024")</f>
        <v/>
      </c>
      <c r="T151">
        <f>HYPERLINK("https://klasma.github.io/Logging_1737/kartor/A 41350-2024 karta.png", "A 41350-2024")</f>
        <v/>
      </c>
      <c r="V151">
        <f>HYPERLINK("https://klasma.github.io/Logging_1737/klagomål/A 41350-2024 FSC-klagomål.docx", "A 41350-2024")</f>
        <v/>
      </c>
      <c r="W151">
        <f>HYPERLINK("https://klasma.github.io/Logging_1737/klagomålsmail/A 41350-2024 FSC-klagomål mail.docx", "A 41350-2024")</f>
        <v/>
      </c>
      <c r="X151">
        <f>HYPERLINK("https://klasma.github.io/Logging_1737/tillsyn/A 41350-2024 tillsynsbegäran.docx", "A 41350-2024")</f>
        <v/>
      </c>
      <c r="Y151">
        <f>HYPERLINK("https://klasma.github.io/Logging_1737/tillsynsmail/A 41350-2024 tillsynsbegäran mail.docx", "A 41350-2024")</f>
        <v/>
      </c>
    </row>
    <row r="152" ht="15" customHeight="1">
      <c r="A152" t="inlineStr">
        <is>
          <t>A 41477-2024</t>
        </is>
      </c>
      <c r="B152" s="1" t="n">
        <v>45560</v>
      </c>
      <c r="C152" s="1" t="n">
        <v>45575</v>
      </c>
      <c r="D152" t="inlineStr">
        <is>
          <t>VÄRMLANDS LÄN</t>
        </is>
      </c>
      <c r="E152" t="inlineStr">
        <is>
          <t>TORSBY</t>
        </is>
      </c>
      <c r="G152" t="n">
        <v>6.7</v>
      </c>
      <c r="H152" t="n">
        <v>0</v>
      </c>
      <c r="I152" t="n">
        <v>0</v>
      </c>
      <c r="J152" t="n">
        <v>1</v>
      </c>
      <c r="K152" t="n">
        <v>0</v>
      </c>
      <c r="L152" t="n">
        <v>0</v>
      </c>
      <c r="M152" t="n">
        <v>0</v>
      </c>
      <c r="N152" t="n">
        <v>0</v>
      </c>
      <c r="O152" t="n">
        <v>1</v>
      </c>
      <c r="P152" t="n">
        <v>0</v>
      </c>
      <c r="Q152" t="n">
        <v>1</v>
      </c>
      <c r="R152" s="2" t="inlineStr">
        <is>
          <t>Garnlav</t>
        </is>
      </c>
      <c r="S152">
        <f>HYPERLINK("https://klasma.github.io/Logging_1737/artfynd/A 41477-2024 artfynd.xlsx", "A 41477-2024")</f>
        <v/>
      </c>
      <c r="T152">
        <f>HYPERLINK("https://klasma.github.io/Logging_1737/kartor/A 41477-2024 karta.png", "A 41477-2024")</f>
        <v/>
      </c>
      <c r="V152">
        <f>HYPERLINK("https://klasma.github.io/Logging_1737/klagomål/A 41477-2024 FSC-klagomål.docx", "A 41477-2024")</f>
        <v/>
      </c>
      <c r="W152">
        <f>HYPERLINK("https://klasma.github.io/Logging_1737/klagomålsmail/A 41477-2024 FSC-klagomål mail.docx", "A 41477-2024")</f>
        <v/>
      </c>
      <c r="X152">
        <f>HYPERLINK("https://klasma.github.io/Logging_1737/tillsyn/A 41477-2024 tillsynsbegäran.docx", "A 41477-2024")</f>
        <v/>
      </c>
      <c r="Y152">
        <f>HYPERLINK("https://klasma.github.io/Logging_1737/tillsynsmail/A 41477-2024 tillsynsbegäran mail.docx", "A 41477-2024")</f>
        <v/>
      </c>
    </row>
    <row r="153" ht="15" customHeight="1">
      <c r="A153" t="inlineStr">
        <is>
          <t>A 17808-2019</t>
        </is>
      </c>
      <c r="B153" s="1" t="n">
        <v>43556</v>
      </c>
      <c r="C153" s="1" t="n">
        <v>45575</v>
      </c>
      <c r="D153" t="inlineStr">
        <is>
          <t>VÄRMLANDS LÄN</t>
        </is>
      </c>
      <c r="E153" t="inlineStr">
        <is>
          <t>TORSBY</t>
        </is>
      </c>
      <c r="G153" t="n">
        <v>2.1</v>
      </c>
      <c r="H153" t="n">
        <v>0</v>
      </c>
      <c r="I153" t="n">
        <v>0</v>
      </c>
      <c r="J153" t="n">
        <v>0</v>
      </c>
      <c r="K153" t="n">
        <v>0</v>
      </c>
      <c r="L153" t="n">
        <v>0</v>
      </c>
      <c r="M153" t="n">
        <v>0</v>
      </c>
      <c r="N153" t="n">
        <v>0</v>
      </c>
      <c r="O153" t="n">
        <v>0</v>
      </c>
      <c r="P153" t="n">
        <v>0</v>
      </c>
      <c r="Q153" t="n">
        <v>0</v>
      </c>
      <c r="R153" s="2" t="inlineStr"/>
    </row>
    <row r="154" ht="15" customHeight="1">
      <c r="A154" t="inlineStr">
        <is>
          <t>A 17788-2019</t>
        </is>
      </c>
      <c r="B154" s="1" t="n">
        <v>43556</v>
      </c>
      <c r="C154" s="1" t="n">
        <v>45575</v>
      </c>
      <c r="D154" t="inlineStr">
        <is>
          <t>VÄRMLANDS LÄN</t>
        </is>
      </c>
      <c r="E154" t="inlineStr">
        <is>
          <t>TORSBY</t>
        </is>
      </c>
      <c r="G154" t="n">
        <v>2.3</v>
      </c>
      <c r="H154" t="n">
        <v>0</v>
      </c>
      <c r="I154" t="n">
        <v>0</v>
      </c>
      <c r="J154" t="n">
        <v>0</v>
      </c>
      <c r="K154" t="n">
        <v>0</v>
      </c>
      <c r="L154" t="n">
        <v>0</v>
      </c>
      <c r="M154" t="n">
        <v>0</v>
      </c>
      <c r="N154" t="n">
        <v>0</v>
      </c>
      <c r="O154" t="n">
        <v>0</v>
      </c>
      <c r="P154" t="n">
        <v>0</v>
      </c>
      <c r="Q154" t="n">
        <v>0</v>
      </c>
      <c r="R154" s="2" t="inlineStr"/>
    </row>
    <row r="155" ht="15" customHeight="1">
      <c r="A155" t="inlineStr">
        <is>
          <t>A 17957-2019</t>
        </is>
      </c>
      <c r="B155" s="1" t="n">
        <v>43557</v>
      </c>
      <c r="C155" s="1" t="n">
        <v>45575</v>
      </c>
      <c r="D155" t="inlineStr">
        <is>
          <t>VÄRMLANDS LÄN</t>
        </is>
      </c>
      <c r="E155" t="inlineStr">
        <is>
          <t>TORSBY</t>
        </is>
      </c>
      <c r="G155" t="n">
        <v>1.6</v>
      </c>
      <c r="H155" t="n">
        <v>0</v>
      </c>
      <c r="I155" t="n">
        <v>0</v>
      </c>
      <c r="J155" t="n">
        <v>0</v>
      </c>
      <c r="K155" t="n">
        <v>0</v>
      </c>
      <c r="L155" t="n">
        <v>0</v>
      </c>
      <c r="M155" t="n">
        <v>0</v>
      </c>
      <c r="N155" t="n">
        <v>0</v>
      </c>
      <c r="O155" t="n">
        <v>0</v>
      </c>
      <c r="P155" t="n">
        <v>0</v>
      </c>
      <c r="Q155" t="n">
        <v>0</v>
      </c>
      <c r="R155" s="2" t="inlineStr"/>
    </row>
    <row r="156" ht="15" customHeight="1">
      <c r="A156" t="inlineStr">
        <is>
          <t>A 17864-2019</t>
        </is>
      </c>
      <c r="B156" s="1" t="n">
        <v>43557</v>
      </c>
      <c r="C156" s="1" t="n">
        <v>45575</v>
      </c>
      <c r="D156" t="inlineStr">
        <is>
          <t>VÄRMLANDS LÄN</t>
        </is>
      </c>
      <c r="E156" t="inlineStr">
        <is>
          <t>TORSBY</t>
        </is>
      </c>
      <c r="G156" t="n">
        <v>1.4</v>
      </c>
      <c r="H156" t="n">
        <v>0</v>
      </c>
      <c r="I156" t="n">
        <v>0</v>
      </c>
      <c r="J156" t="n">
        <v>0</v>
      </c>
      <c r="K156" t="n">
        <v>0</v>
      </c>
      <c r="L156" t="n">
        <v>0</v>
      </c>
      <c r="M156" t="n">
        <v>0</v>
      </c>
      <c r="N156" t="n">
        <v>0</v>
      </c>
      <c r="O156" t="n">
        <v>0</v>
      </c>
      <c r="P156" t="n">
        <v>0</v>
      </c>
      <c r="Q156" t="n">
        <v>0</v>
      </c>
      <c r="R156" s="2" t="inlineStr"/>
    </row>
    <row r="157" ht="15" customHeight="1">
      <c r="A157" t="inlineStr">
        <is>
          <t>A 18551-2019</t>
        </is>
      </c>
      <c r="B157" s="1" t="n">
        <v>43559</v>
      </c>
      <c r="C157" s="1" t="n">
        <v>45575</v>
      </c>
      <c r="D157" t="inlineStr">
        <is>
          <t>VÄRMLANDS LÄN</t>
        </is>
      </c>
      <c r="E157" t="inlineStr">
        <is>
          <t>TORSBY</t>
        </is>
      </c>
      <c r="G157" t="n">
        <v>1.5</v>
      </c>
      <c r="H157" t="n">
        <v>0</v>
      </c>
      <c r="I157" t="n">
        <v>0</v>
      </c>
      <c r="J157" t="n">
        <v>0</v>
      </c>
      <c r="K157" t="n">
        <v>0</v>
      </c>
      <c r="L157" t="n">
        <v>0</v>
      </c>
      <c r="M157" t="n">
        <v>0</v>
      </c>
      <c r="N157" t="n">
        <v>0</v>
      </c>
      <c r="O157" t="n">
        <v>0</v>
      </c>
      <c r="P157" t="n">
        <v>0</v>
      </c>
      <c r="Q157" t="n">
        <v>0</v>
      </c>
      <c r="R157" s="2" t="inlineStr"/>
    </row>
    <row r="158" ht="15" customHeight="1">
      <c r="A158" t="inlineStr">
        <is>
          <t>A 18947-2019</t>
        </is>
      </c>
      <c r="B158" s="1" t="n">
        <v>43563</v>
      </c>
      <c r="C158" s="1" t="n">
        <v>45575</v>
      </c>
      <c r="D158" t="inlineStr">
        <is>
          <t>VÄRMLANDS LÄN</t>
        </is>
      </c>
      <c r="E158" t="inlineStr">
        <is>
          <t>TORSBY</t>
        </is>
      </c>
      <c r="G158" t="n">
        <v>7.6</v>
      </c>
      <c r="H158" t="n">
        <v>0</v>
      </c>
      <c r="I158" t="n">
        <v>0</v>
      </c>
      <c r="J158" t="n">
        <v>0</v>
      </c>
      <c r="K158" t="n">
        <v>0</v>
      </c>
      <c r="L158" t="n">
        <v>0</v>
      </c>
      <c r="M158" t="n">
        <v>0</v>
      </c>
      <c r="N158" t="n">
        <v>0</v>
      </c>
      <c r="O158" t="n">
        <v>0</v>
      </c>
      <c r="P158" t="n">
        <v>0</v>
      </c>
      <c r="Q158" t="n">
        <v>0</v>
      </c>
      <c r="R158" s="2" t="inlineStr"/>
    </row>
    <row r="159" ht="15" customHeight="1">
      <c r="A159" t="inlineStr">
        <is>
          <t>A 19974-2019</t>
        </is>
      </c>
      <c r="B159" s="1" t="n">
        <v>43564</v>
      </c>
      <c r="C159" s="1" t="n">
        <v>45575</v>
      </c>
      <c r="D159" t="inlineStr">
        <is>
          <t>VÄRMLANDS LÄN</t>
        </is>
      </c>
      <c r="E159" t="inlineStr">
        <is>
          <t>TORSBY</t>
        </is>
      </c>
      <c r="G159" t="n">
        <v>5.1</v>
      </c>
      <c r="H159" t="n">
        <v>0</v>
      </c>
      <c r="I159" t="n">
        <v>0</v>
      </c>
      <c r="J159" t="n">
        <v>0</v>
      </c>
      <c r="K159" t="n">
        <v>0</v>
      </c>
      <c r="L159" t="n">
        <v>0</v>
      </c>
      <c r="M159" t="n">
        <v>0</v>
      </c>
      <c r="N159" t="n">
        <v>0</v>
      </c>
      <c r="O159" t="n">
        <v>0</v>
      </c>
      <c r="P159" t="n">
        <v>0</v>
      </c>
      <c r="Q159" t="n">
        <v>0</v>
      </c>
      <c r="R159" s="2" t="inlineStr"/>
    </row>
    <row r="160" ht="15" customHeight="1">
      <c r="A160" t="inlineStr">
        <is>
          <t>A 19125-2019</t>
        </is>
      </c>
      <c r="B160" s="1" t="n">
        <v>43564</v>
      </c>
      <c r="C160" s="1" t="n">
        <v>45575</v>
      </c>
      <c r="D160" t="inlineStr">
        <is>
          <t>VÄRMLANDS LÄN</t>
        </is>
      </c>
      <c r="E160" t="inlineStr">
        <is>
          <t>TORSBY</t>
        </is>
      </c>
      <c r="G160" t="n">
        <v>18.3</v>
      </c>
      <c r="H160" t="n">
        <v>0</v>
      </c>
      <c r="I160" t="n">
        <v>0</v>
      </c>
      <c r="J160" t="n">
        <v>0</v>
      </c>
      <c r="K160" t="n">
        <v>0</v>
      </c>
      <c r="L160" t="n">
        <v>0</v>
      </c>
      <c r="M160" t="n">
        <v>0</v>
      </c>
      <c r="N160" t="n">
        <v>0</v>
      </c>
      <c r="O160" t="n">
        <v>0</v>
      </c>
      <c r="P160" t="n">
        <v>0</v>
      </c>
      <c r="Q160" t="n">
        <v>0</v>
      </c>
      <c r="R160" s="2" t="inlineStr"/>
    </row>
    <row r="161" ht="15" customHeight="1">
      <c r="A161" t="inlineStr">
        <is>
          <t>A 19591-2019</t>
        </is>
      </c>
      <c r="B161" s="1" t="n">
        <v>43566</v>
      </c>
      <c r="C161" s="1" t="n">
        <v>45575</v>
      </c>
      <c r="D161" t="inlineStr">
        <is>
          <t>VÄRMLANDS LÄN</t>
        </is>
      </c>
      <c r="E161" t="inlineStr">
        <is>
          <t>TORSBY</t>
        </is>
      </c>
      <c r="G161" t="n">
        <v>0.9</v>
      </c>
      <c r="H161" t="n">
        <v>0</v>
      </c>
      <c r="I161" t="n">
        <v>0</v>
      </c>
      <c r="J161" t="n">
        <v>0</v>
      </c>
      <c r="K161" t="n">
        <v>0</v>
      </c>
      <c r="L161" t="n">
        <v>0</v>
      </c>
      <c r="M161" t="n">
        <v>0</v>
      </c>
      <c r="N161" t="n">
        <v>0</v>
      </c>
      <c r="O161" t="n">
        <v>0</v>
      </c>
      <c r="P161" t="n">
        <v>0</v>
      </c>
      <c r="Q161" t="n">
        <v>0</v>
      </c>
      <c r="R161" s="2" t="inlineStr"/>
    </row>
    <row r="162" ht="15" customHeight="1">
      <c r="A162" t="inlineStr">
        <is>
          <t>A 20167-2019</t>
        </is>
      </c>
      <c r="B162" s="1" t="n">
        <v>43570</v>
      </c>
      <c r="C162" s="1" t="n">
        <v>45575</v>
      </c>
      <c r="D162" t="inlineStr">
        <is>
          <t>VÄRMLANDS LÄN</t>
        </is>
      </c>
      <c r="E162" t="inlineStr">
        <is>
          <t>TORSBY</t>
        </is>
      </c>
      <c r="G162" t="n">
        <v>5</v>
      </c>
      <c r="H162" t="n">
        <v>0</v>
      </c>
      <c r="I162" t="n">
        <v>0</v>
      </c>
      <c r="J162" t="n">
        <v>0</v>
      </c>
      <c r="K162" t="n">
        <v>0</v>
      </c>
      <c r="L162" t="n">
        <v>0</v>
      </c>
      <c r="M162" t="n">
        <v>0</v>
      </c>
      <c r="N162" t="n">
        <v>0</v>
      </c>
      <c r="O162" t="n">
        <v>0</v>
      </c>
      <c r="P162" t="n">
        <v>0</v>
      </c>
      <c r="Q162" t="n">
        <v>0</v>
      </c>
      <c r="R162" s="2" t="inlineStr"/>
    </row>
    <row r="163" ht="15" customHeight="1">
      <c r="A163" t="inlineStr">
        <is>
          <t>A 20190-2019</t>
        </is>
      </c>
      <c r="B163" s="1" t="n">
        <v>43570</v>
      </c>
      <c r="C163" s="1" t="n">
        <v>45575</v>
      </c>
      <c r="D163" t="inlineStr">
        <is>
          <t>VÄRMLANDS LÄN</t>
        </is>
      </c>
      <c r="E163" t="inlineStr">
        <is>
          <t>TORSBY</t>
        </is>
      </c>
      <c r="G163" t="n">
        <v>2.1</v>
      </c>
      <c r="H163" t="n">
        <v>0</v>
      </c>
      <c r="I163" t="n">
        <v>0</v>
      </c>
      <c r="J163" t="n">
        <v>0</v>
      </c>
      <c r="K163" t="n">
        <v>0</v>
      </c>
      <c r="L163" t="n">
        <v>0</v>
      </c>
      <c r="M163" t="n">
        <v>0</v>
      </c>
      <c r="N163" t="n">
        <v>0</v>
      </c>
      <c r="O163" t="n">
        <v>0</v>
      </c>
      <c r="P163" t="n">
        <v>0</v>
      </c>
      <c r="Q163" t="n">
        <v>0</v>
      </c>
      <c r="R163" s="2" t="inlineStr"/>
    </row>
    <row r="164" ht="15" customHeight="1">
      <c r="A164" t="inlineStr">
        <is>
          <t>A 20244-2019</t>
        </is>
      </c>
      <c r="B164" s="1" t="n">
        <v>43571</v>
      </c>
      <c r="C164" s="1" t="n">
        <v>45575</v>
      </c>
      <c r="D164" t="inlineStr">
        <is>
          <t>VÄRMLANDS LÄN</t>
        </is>
      </c>
      <c r="E164" t="inlineStr">
        <is>
          <t>TORSBY</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20616-2019</t>
        </is>
      </c>
      <c r="B165" s="1" t="n">
        <v>43572</v>
      </c>
      <c r="C165" s="1" t="n">
        <v>45575</v>
      </c>
      <c r="D165" t="inlineStr">
        <is>
          <t>VÄRMLANDS LÄN</t>
        </is>
      </c>
      <c r="E165" t="inlineStr">
        <is>
          <t>TORSBY</t>
        </is>
      </c>
      <c r="G165" t="n">
        <v>0.4</v>
      </c>
      <c r="H165" t="n">
        <v>0</v>
      </c>
      <c r="I165" t="n">
        <v>0</v>
      </c>
      <c r="J165" t="n">
        <v>0</v>
      </c>
      <c r="K165" t="n">
        <v>0</v>
      </c>
      <c r="L165" t="n">
        <v>0</v>
      </c>
      <c r="M165" t="n">
        <v>0</v>
      </c>
      <c r="N165" t="n">
        <v>0</v>
      </c>
      <c r="O165" t="n">
        <v>0</v>
      </c>
      <c r="P165" t="n">
        <v>0</v>
      </c>
      <c r="Q165" t="n">
        <v>0</v>
      </c>
      <c r="R165" s="2" t="inlineStr"/>
    </row>
    <row r="166" ht="15" customHeight="1">
      <c r="A166" t="inlineStr">
        <is>
          <t>A 20468-2019</t>
        </is>
      </c>
      <c r="B166" s="1" t="n">
        <v>43572</v>
      </c>
      <c r="C166" s="1" t="n">
        <v>45575</v>
      </c>
      <c r="D166" t="inlineStr">
        <is>
          <t>VÄRMLANDS LÄN</t>
        </is>
      </c>
      <c r="E166" t="inlineStr">
        <is>
          <t>TORSBY</t>
        </is>
      </c>
      <c r="G166" t="n">
        <v>2.9</v>
      </c>
      <c r="H166" t="n">
        <v>0</v>
      </c>
      <c r="I166" t="n">
        <v>0</v>
      </c>
      <c r="J166" t="n">
        <v>0</v>
      </c>
      <c r="K166" t="n">
        <v>0</v>
      </c>
      <c r="L166" t="n">
        <v>0</v>
      </c>
      <c r="M166" t="n">
        <v>0</v>
      </c>
      <c r="N166" t="n">
        <v>0</v>
      </c>
      <c r="O166" t="n">
        <v>0</v>
      </c>
      <c r="P166" t="n">
        <v>0</v>
      </c>
      <c r="Q166" t="n">
        <v>0</v>
      </c>
      <c r="R166" s="2" t="inlineStr"/>
    </row>
    <row r="167" ht="15" customHeight="1">
      <c r="A167" t="inlineStr">
        <is>
          <t>A 21166-2019</t>
        </is>
      </c>
      <c r="B167" s="1" t="n">
        <v>43578</v>
      </c>
      <c r="C167" s="1" t="n">
        <v>45575</v>
      </c>
      <c r="D167" t="inlineStr">
        <is>
          <t>VÄRMLANDS LÄN</t>
        </is>
      </c>
      <c r="E167" t="inlineStr">
        <is>
          <t>TORSBY</t>
        </is>
      </c>
      <c r="G167" t="n">
        <v>3.4</v>
      </c>
      <c r="H167" t="n">
        <v>0</v>
      </c>
      <c r="I167" t="n">
        <v>0</v>
      </c>
      <c r="J167" t="n">
        <v>0</v>
      </c>
      <c r="K167" t="n">
        <v>0</v>
      </c>
      <c r="L167" t="n">
        <v>0</v>
      </c>
      <c r="M167" t="n">
        <v>0</v>
      </c>
      <c r="N167" t="n">
        <v>0</v>
      </c>
      <c r="O167" t="n">
        <v>0</v>
      </c>
      <c r="P167" t="n">
        <v>0</v>
      </c>
      <c r="Q167" t="n">
        <v>0</v>
      </c>
      <c r="R167" s="2" t="inlineStr"/>
    </row>
    <row r="168" ht="15" customHeight="1">
      <c r="A168" t="inlineStr">
        <is>
          <t>A 21387-2019</t>
        </is>
      </c>
      <c r="B168" s="1" t="n">
        <v>43580</v>
      </c>
      <c r="C168" s="1" t="n">
        <v>45575</v>
      </c>
      <c r="D168" t="inlineStr">
        <is>
          <t>VÄRMLANDS LÄN</t>
        </is>
      </c>
      <c r="E168" t="inlineStr">
        <is>
          <t>TORSBY</t>
        </is>
      </c>
      <c r="G168" t="n">
        <v>2.4</v>
      </c>
      <c r="H168" t="n">
        <v>0</v>
      </c>
      <c r="I168" t="n">
        <v>0</v>
      </c>
      <c r="J168" t="n">
        <v>0</v>
      </c>
      <c r="K168" t="n">
        <v>0</v>
      </c>
      <c r="L168" t="n">
        <v>0</v>
      </c>
      <c r="M168" t="n">
        <v>0</v>
      </c>
      <c r="N168" t="n">
        <v>0</v>
      </c>
      <c r="O168" t="n">
        <v>0</v>
      </c>
      <c r="P168" t="n">
        <v>0</v>
      </c>
      <c r="Q168" t="n">
        <v>0</v>
      </c>
      <c r="R168" s="2" t="inlineStr"/>
    </row>
    <row r="169" ht="15" customHeight="1">
      <c r="A169" t="inlineStr">
        <is>
          <t>A 21958-2019</t>
        </is>
      </c>
      <c r="B169" s="1" t="n">
        <v>43584</v>
      </c>
      <c r="C169" s="1" t="n">
        <v>45575</v>
      </c>
      <c r="D169" t="inlineStr">
        <is>
          <t>VÄRMLANDS LÄN</t>
        </is>
      </c>
      <c r="E169" t="inlineStr">
        <is>
          <t>TORSBY</t>
        </is>
      </c>
      <c r="G169" t="n">
        <v>3.5</v>
      </c>
      <c r="H169" t="n">
        <v>0</v>
      </c>
      <c r="I169" t="n">
        <v>0</v>
      </c>
      <c r="J169" t="n">
        <v>0</v>
      </c>
      <c r="K169" t="n">
        <v>0</v>
      </c>
      <c r="L169" t="n">
        <v>0</v>
      </c>
      <c r="M169" t="n">
        <v>0</v>
      </c>
      <c r="N169" t="n">
        <v>0</v>
      </c>
      <c r="O169" t="n">
        <v>0</v>
      </c>
      <c r="P169" t="n">
        <v>0</v>
      </c>
      <c r="Q169" t="n">
        <v>0</v>
      </c>
      <c r="R169" s="2" t="inlineStr"/>
    </row>
    <row r="170" ht="15" customHeight="1">
      <c r="A170" t="inlineStr">
        <is>
          <t>A 22252-2019</t>
        </is>
      </c>
      <c r="B170" s="1" t="n">
        <v>43585</v>
      </c>
      <c r="C170" s="1" t="n">
        <v>45575</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22158-2019</t>
        </is>
      </c>
      <c r="B171" s="1" t="n">
        <v>43585</v>
      </c>
      <c r="C171" s="1" t="n">
        <v>45575</v>
      </c>
      <c r="D171" t="inlineStr">
        <is>
          <t>VÄRMLANDS LÄN</t>
        </is>
      </c>
      <c r="E171" t="inlineStr">
        <is>
          <t>TORSBY</t>
        </is>
      </c>
      <c r="G171" t="n">
        <v>4.5</v>
      </c>
      <c r="H171" t="n">
        <v>0</v>
      </c>
      <c r="I171" t="n">
        <v>0</v>
      </c>
      <c r="J171" t="n">
        <v>0</v>
      </c>
      <c r="K171" t="n">
        <v>0</v>
      </c>
      <c r="L171" t="n">
        <v>0</v>
      </c>
      <c r="M171" t="n">
        <v>0</v>
      </c>
      <c r="N171" t="n">
        <v>0</v>
      </c>
      <c r="O171" t="n">
        <v>0</v>
      </c>
      <c r="P171" t="n">
        <v>0</v>
      </c>
      <c r="Q171" t="n">
        <v>0</v>
      </c>
      <c r="R171" s="2" t="inlineStr"/>
    </row>
    <row r="172" ht="15" customHeight="1">
      <c r="A172" t="inlineStr">
        <is>
          <t>A 22416-2019</t>
        </is>
      </c>
      <c r="B172" s="1" t="n">
        <v>43587</v>
      </c>
      <c r="C172" s="1" t="n">
        <v>45575</v>
      </c>
      <c r="D172" t="inlineStr">
        <is>
          <t>VÄRMLANDS LÄN</t>
        </is>
      </c>
      <c r="E172" t="inlineStr">
        <is>
          <t>TORSBY</t>
        </is>
      </c>
      <c r="G172" t="n">
        <v>1.9</v>
      </c>
      <c r="H172" t="n">
        <v>0</v>
      </c>
      <c r="I172" t="n">
        <v>0</v>
      </c>
      <c r="J172" t="n">
        <v>0</v>
      </c>
      <c r="K172" t="n">
        <v>0</v>
      </c>
      <c r="L172" t="n">
        <v>0</v>
      </c>
      <c r="M172" t="n">
        <v>0</v>
      </c>
      <c r="N172" t="n">
        <v>0</v>
      </c>
      <c r="O172" t="n">
        <v>0</v>
      </c>
      <c r="P172" t="n">
        <v>0</v>
      </c>
      <c r="Q172" t="n">
        <v>0</v>
      </c>
      <c r="R172" s="2" t="inlineStr"/>
    </row>
    <row r="173" ht="15" customHeight="1">
      <c r="A173" t="inlineStr">
        <is>
          <t>A 22351-2019</t>
        </is>
      </c>
      <c r="B173" s="1" t="n">
        <v>43587</v>
      </c>
      <c r="C173" s="1" t="n">
        <v>45575</v>
      </c>
      <c r="D173" t="inlineStr">
        <is>
          <t>VÄRMLANDS LÄN</t>
        </is>
      </c>
      <c r="E173" t="inlineStr">
        <is>
          <t>TORSBY</t>
        </is>
      </c>
      <c r="G173" t="n">
        <v>4.3</v>
      </c>
      <c r="H173" t="n">
        <v>0</v>
      </c>
      <c r="I173" t="n">
        <v>0</v>
      </c>
      <c r="J173" t="n">
        <v>0</v>
      </c>
      <c r="K173" t="n">
        <v>0</v>
      </c>
      <c r="L173" t="n">
        <v>0</v>
      </c>
      <c r="M173" t="n">
        <v>0</v>
      </c>
      <c r="N173" t="n">
        <v>0</v>
      </c>
      <c r="O173" t="n">
        <v>0</v>
      </c>
      <c r="P173" t="n">
        <v>0</v>
      </c>
      <c r="Q173" t="n">
        <v>0</v>
      </c>
      <c r="R173" s="2" t="inlineStr"/>
    </row>
    <row r="174" ht="15" customHeight="1">
      <c r="A174" t="inlineStr">
        <is>
          <t>A 22692-2019</t>
        </is>
      </c>
      <c r="B174" s="1" t="n">
        <v>43588</v>
      </c>
      <c r="C174" s="1" t="n">
        <v>45575</v>
      </c>
      <c r="D174" t="inlineStr">
        <is>
          <t>VÄRMLANDS LÄN</t>
        </is>
      </c>
      <c r="E174" t="inlineStr">
        <is>
          <t>TORSBY</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22717-2019</t>
        </is>
      </c>
      <c r="B175" s="1" t="n">
        <v>43588</v>
      </c>
      <c r="C175" s="1" t="n">
        <v>45575</v>
      </c>
      <c r="D175" t="inlineStr">
        <is>
          <t>VÄRMLANDS LÄN</t>
        </is>
      </c>
      <c r="E175" t="inlineStr">
        <is>
          <t>TORSBY</t>
        </is>
      </c>
      <c r="G175" t="n">
        <v>8</v>
      </c>
      <c r="H175" t="n">
        <v>0</v>
      </c>
      <c r="I175" t="n">
        <v>0</v>
      </c>
      <c r="J175" t="n">
        <v>0</v>
      </c>
      <c r="K175" t="n">
        <v>0</v>
      </c>
      <c r="L175" t="n">
        <v>0</v>
      </c>
      <c r="M175" t="n">
        <v>0</v>
      </c>
      <c r="N175" t="n">
        <v>0</v>
      </c>
      <c r="O175" t="n">
        <v>0</v>
      </c>
      <c r="P175" t="n">
        <v>0</v>
      </c>
      <c r="Q175" t="n">
        <v>0</v>
      </c>
      <c r="R175" s="2" t="inlineStr"/>
    </row>
    <row r="176" ht="15" customHeight="1">
      <c r="A176" t="inlineStr">
        <is>
          <t>A 23412-2019</t>
        </is>
      </c>
      <c r="B176" s="1" t="n">
        <v>43593</v>
      </c>
      <c r="C176" s="1" t="n">
        <v>45575</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23892-2019</t>
        </is>
      </c>
      <c r="B177" s="1" t="n">
        <v>43595</v>
      </c>
      <c r="C177" s="1" t="n">
        <v>45575</v>
      </c>
      <c r="D177" t="inlineStr">
        <is>
          <t>VÄRMLANDS LÄN</t>
        </is>
      </c>
      <c r="E177" t="inlineStr">
        <is>
          <t>TORSBY</t>
        </is>
      </c>
      <c r="G177" t="n">
        <v>1.8</v>
      </c>
      <c r="H177" t="n">
        <v>0</v>
      </c>
      <c r="I177" t="n">
        <v>0</v>
      </c>
      <c r="J177" t="n">
        <v>0</v>
      </c>
      <c r="K177" t="n">
        <v>0</v>
      </c>
      <c r="L177" t="n">
        <v>0</v>
      </c>
      <c r="M177" t="n">
        <v>0</v>
      </c>
      <c r="N177" t="n">
        <v>0</v>
      </c>
      <c r="O177" t="n">
        <v>0</v>
      </c>
      <c r="P177" t="n">
        <v>0</v>
      </c>
      <c r="Q177" t="n">
        <v>0</v>
      </c>
      <c r="R177" s="2" t="inlineStr"/>
    </row>
    <row r="178" ht="15" customHeight="1">
      <c r="A178" t="inlineStr">
        <is>
          <t>A 23771-2019</t>
        </is>
      </c>
      <c r="B178" s="1" t="n">
        <v>43595</v>
      </c>
      <c r="C178" s="1" t="n">
        <v>45575</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24667-2019</t>
        </is>
      </c>
      <c r="B179" s="1" t="n">
        <v>43599</v>
      </c>
      <c r="C179" s="1" t="n">
        <v>45575</v>
      </c>
      <c r="D179" t="inlineStr">
        <is>
          <t>VÄRMLANDS LÄN</t>
        </is>
      </c>
      <c r="E179" t="inlineStr">
        <is>
          <t>TORSBY</t>
        </is>
      </c>
      <c r="G179" t="n">
        <v>6.7</v>
      </c>
      <c r="H179" t="n">
        <v>0</v>
      </c>
      <c r="I179" t="n">
        <v>0</v>
      </c>
      <c r="J179" t="n">
        <v>0</v>
      </c>
      <c r="K179" t="n">
        <v>0</v>
      </c>
      <c r="L179" t="n">
        <v>0</v>
      </c>
      <c r="M179" t="n">
        <v>0</v>
      </c>
      <c r="N179" t="n">
        <v>0</v>
      </c>
      <c r="O179" t="n">
        <v>0</v>
      </c>
      <c r="P179" t="n">
        <v>0</v>
      </c>
      <c r="Q179" t="n">
        <v>0</v>
      </c>
      <c r="R179" s="2" t="inlineStr"/>
    </row>
    <row r="180" ht="15" customHeight="1">
      <c r="A180" t="inlineStr">
        <is>
          <t>A 24703-2019</t>
        </is>
      </c>
      <c r="B180" s="1" t="n">
        <v>43601</v>
      </c>
      <c r="C180" s="1" t="n">
        <v>45575</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26493-2019</t>
        </is>
      </c>
      <c r="B181" s="1" t="n">
        <v>43612</v>
      </c>
      <c r="C181" s="1" t="n">
        <v>45575</v>
      </c>
      <c r="D181" t="inlineStr">
        <is>
          <t>VÄRMLANDS LÄN</t>
        </is>
      </c>
      <c r="E181" t="inlineStr">
        <is>
          <t>TORSBY</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27907-2019</t>
        </is>
      </c>
      <c r="B182" s="1" t="n">
        <v>43612</v>
      </c>
      <c r="C182" s="1" t="n">
        <v>45575</v>
      </c>
      <c r="D182" t="inlineStr">
        <is>
          <t>VÄRMLANDS LÄN</t>
        </is>
      </c>
      <c r="E182" t="inlineStr">
        <is>
          <t>TORSBY</t>
        </is>
      </c>
      <c r="G182" t="n">
        <v>7.5</v>
      </c>
      <c r="H182" t="n">
        <v>0</v>
      </c>
      <c r="I182" t="n">
        <v>0</v>
      </c>
      <c r="J182" t="n">
        <v>0</v>
      </c>
      <c r="K182" t="n">
        <v>0</v>
      </c>
      <c r="L182" t="n">
        <v>0</v>
      </c>
      <c r="M182" t="n">
        <v>0</v>
      </c>
      <c r="N182" t="n">
        <v>0</v>
      </c>
      <c r="O182" t="n">
        <v>0</v>
      </c>
      <c r="P182" t="n">
        <v>0</v>
      </c>
      <c r="Q182" t="n">
        <v>0</v>
      </c>
      <c r="R182" s="2" t="inlineStr"/>
    </row>
    <row r="183" ht="15" customHeight="1">
      <c r="A183" t="inlineStr">
        <is>
          <t>A 26783-2019</t>
        </is>
      </c>
      <c r="B183" s="1" t="n">
        <v>43613</v>
      </c>
      <c r="C183" s="1" t="n">
        <v>45575</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27711-2019</t>
        </is>
      </c>
      <c r="B184" s="1" t="n">
        <v>43619</v>
      </c>
      <c r="C184" s="1" t="n">
        <v>45575</v>
      </c>
      <c r="D184" t="inlineStr">
        <is>
          <t>VÄRMLANDS LÄN</t>
        </is>
      </c>
      <c r="E184" t="inlineStr">
        <is>
          <t>TORSBY</t>
        </is>
      </c>
      <c r="G184" t="n">
        <v>0.7</v>
      </c>
      <c r="H184" t="n">
        <v>0</v>
      </c>
      <c r="I184" t="n">
        <v>0</v>
      </c>
      <c r="J184" t="n">
        <v>0</v>
      </c>
      <c r="K184" t="n">
        <v>0</v>
      </c>
      <c r="L184" t="n">
        <v>0</v>
      </c>
      <c r="M184" t="n">
        <v>0</v>
      </c>
      <c r="N184" t="n">
        <v>0</v>
      </c>
      <c r="O184" t="n">
        <v>0</v>
      </c>
      <c r="P184" t="n">
        <v>0</v>
      </c>
      <c r="Q184" t="n">
        <v>0</v>
      </c>
      <c r="R184" s="2" t="inlineStr"/>
    </row>
    <row r="185" ht="15" customHeight="1">
      <c r="A185" t="inlineStr">
        <is>
          <t>A 27682-2019</t>
        </is>
      </c>
      <c r="B185" s="1" t="n">
        <v>43619</v>
      </c>
      <c r="C185" s="1" t="n">
        <v>45575</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28975-2019</t>
        </is>
      </c>
      <c r="B186" s="1" t="n">
        <v>43619</v>
      </c>
      <c r="C186" s="1" t="n">
        <v>45575</v>
      </c>
      <c r="D186" t="inlineStr">
        <is>
          <t>VÄRMLANDS LÄN</t>
        </is>
      </c>
      <c r="E186" t="inlineStr">
        <is>
          <t>TORSBY</t>
        </is>
      </c>
      <c r="G186" t="n">
        <v>6.5</v>
      </c>
      <c r="H186" t="n">
        <v>0</v>
      </c>
      <c r="I186" t="n">
        <v>0</v>
      </c>
      <c r="J186" t="n">
        <v>0</v>
      </c>
      <c r="K186" t="n">
        <v>0</v>
      </c>
      <c r="L186" t="n">
        <v>0</v>
      </c>
      <c r="M186" t="n">
        <v>0</v>
      </c>
      <c r="N186" t="n">
        <v>0</v>
      </c>
      <c r="O186" t="n">
        <v>0</v>
      </c>
      <c r="P186" t="n">
        <v>0</v>
      </c>
      <c r="Q186" t="n">
        <v>0</v>
      </c>
      <c r="R186" s="2" t="inlineStr"/>
    </row>
    <row r="187" ht="15" customHeight="1">
      <c r="A187" t="inlineStr">
        <is>
          <t>A 28487-2019</t>
        </is>
      </c>
      <c r="B187" s="1" t="n">
        <v>43621</v>
      </c>
      <c r="C187" s="1" t="n">
        <v>45575</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28653-2019</t>
        </is>
      </c>
      <c r="B188" s="1" t="n">
        <v>43627</v>
      </c>
      <c r="C188" s="1" t="n">
        <v>45575</v>
      </c>
      <c r="D188" t="inlineStr">
        <is>
          <t>VÄRMLANDS LÄN</t>
        </is>
      </c>
      <c r="E188" t="inlineStr">
        <is>
          <t>TORSBY</t>
        </is>
      </c>
      <c r="G188" t="n">
        <v>5.2</v>
      </c>
      <c r="H188" t="n">
        <v>0</v>
      </c>
      <c r="I188" t="n">
        <v>0</v>
      </c>
      <c r="J188" t="n">
        <v>0</v>
      </c>
      <c r="K188" t="n">
        <v>0</v>
      </c>
      <c r="L188" t="n">
        <v>0</v>
      </c>
      <c r="M188" t="n">
        <v>0</v>
      </c>
      <c r="N188" t="n">
        <v>0</v>
      </c>
      <c r="O188" t="n">
        <v>0</v>
      </c>
      <c r="P188" t="n">
        <v>0</v>
      </c>
      <c r="Q188" t="n">
        <v>0</v>
      </c>
      <c r="R188" s="2" t="inlineStr"/>
    </row>
    <row r="189" ht="15" customHeight="1">
      <c r="A189" t="inlineStr">
        <is>
          <t>A 28818-2019</t>
        </is>
      </c>
      <c r="B189" s="1" t="n">
        <v>43627</v>
      </c>
      <c r="C189" s="1" t="n">
        <v>45575</v>
      </c>
      <c r="D189" t="inlineStr">
        <is>
          <t>VÄRMLANDS LÄN</t>
        </is>
      </c>
      <c r="E189" t="inlineStr">
        <is>
          <t>TORSBY</t>
        </is>
      </c>
      <c r="F189" t="inlineStr">
        <is>
          <t>Bergvik skog väst AB</t>
        </is>
      </c>
      <c r="G189" t="n">
        <v>58.6</v>
      </c>
      <c r="H189" t="n">
        <v>0</v>
      </c>
      <c r="I189" t="n">
        <v>0</v>
      </c>
      <c r="J189" t="n">
        <v>0</v>
      </c>
      <c r="K189" t="n">
        <v>0</v>
      </c>
      <c r="L189" t="n">
        <v>0</v>
      </c>
      <c r="M189" t="n">
        <v>0</v>
      </c>
      <c r="N189" t="n">
        <v>0</v>
      </c>
      <c r="O189" t="n">
        <v>0</v>
      </c>
      <c r="P189" t="n">
        <v>0</v>
      </c>
      <c r="Q189" t="n">
        <v>0</v>
      </c>
      <c r="R189" s="2" t="inlineStr"/>
    </row>
    <row r="190" ht="15" customHeight="1">
      <c r="A190" t="inlineStr">
        <is>
          <t>A 28889-2019</t>
        </is>
      </c>
      <c r="B190" s="1" t="n">
        <v>43628</v>
      </c>
      <c r="C190" s="1" t="n">
        <v>45575</v>
      </c>
      <c r="D190" t="inlineStr">
        <is>
          <t>VÄRMLANDS LÄN</t>
        </is>
      </c>
      <c r="E190" t="inlineStr">
        <is>
          <t>TORSBY</t>
        </is>
      </c>
      <c r="G190" t="n">
        <v>2</v>
      </c>
      <c r="H190" t="n">
        <v>0</v>
      </c>
      <c r="I190" t="n">
        <v>0</v>
      </c>
      <c r="J190" t="n">
        <v>0</v>
      </c>
      <c r="K190" t="n">
        <v>0</v>
      </c>
      <c r="L190" t="n">
        <v>0</v>
      </c>
      <c r="M190" t="n">
        <v>0</v>
      </c>
      <c r="N190" t="n">
        <v>0</v>
      </c>
      <c r="O190" t="n">
        <v>0</v>
      </c>
      <c r="P190" t="n">
        <v>0</v>
      </c>
      <c r="Q190" t="n">
        <v>0</v>
      </c>
      <c r="R190" s="2" t="inlineStr"/>
    </row>
    <row r="191" ht="15" customHeight="1">
      <c r="A191" t="inlineStr">
        <is>
          <t>A 29436-2019</t>
        </is>
      </c>
      <c r="B191" s="1" t="n">
        <v>43629</v>
      </c>
      <c r="C191" s="1" t="n">
        <v>45575</v>
      </c>
      <c r="D191" t="inlineStr">
        <is>
          <t>VÄRMLANDS LÄN</t>
        </is>
      </c>
      <c r="E191" t="inlineStr">
        <is>
          <t>TORSBY</t>
        </is>
      </c>
      <c r="F191" t="inlineStr">
        <is>
          <t>Bergvik skog väst AB</t>
        </is>
      </c>
      <c r="G191" t="n">
        <v>33.7</v>
      </c>
      <c r="H191" t="n">
        <v>0</v>
      </c>
      <c r="I191" t="n">
        <v>0</v>
      </c>
      <c r="J191" t="n">
        <v>0</v>
      </c>
      <c r="K191" t="n">
        <v>0</v>
      </c>
      <c r="L191" t="n">
        <v>0</v>
      </c>
      <c r="M191" t="n">
        <v>0</v>
      </c>
      <c r="N191" t="n">
        <v>0</v>
      </c>
      <c r="O191" t="n">
        <v>0</v>
      </c>
      <c r="P191" t="n">
        <v>0</v>
      </c>
      <c r="Q191" t="n">
        <v>0</v>
      </c>
      <c r="R191" s="2" t="inlineStr"/>
    </row>
    <row r="192" ht="15" customHeight="1">
      <c r="A192" t="inlineStr">
        <is>
          <t>A 30031-2019</t>
        </is>
      </c>
      <c r="B192" s="1" t="n">
        <v>43633</v>
      </c>
      <c r="C192" s="1" t="n">
        <v>45575</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30049-2019</t>
        </is>
      </c>
      <c r="B193" s="1" t="n">
        <v>43633</v>
      </c>
      <c r="C193" s="1" t="n">
        <v>45575</v>
      </c>
      <c r="D193" t="inlineStr">
        <is>
          <t>VÄRMLANDS LÄN</t>
        </is>
      </c>
      <c r="E193" t="inlineStr">
        <is>
          <t>TORSBY</t>
        </is>
      </c>
      <c r="G193" t="n">
        <v>7.1</v>
      </c>
      <c r="H193" t="n">
        <v>0</v>
      </c>
      <c r="I193" t="n">
        <v>0</v>
      </c>
      <c r="J193" t="n">
        <v>0</v>
      </c>
      <c r="K193" t="n">
        <v>0</v>
      </c>
      <c r="L193" t="n">
        <v>0</v>
      </c>
      <c r="M193" t="n">
        <v>0</v>
      </c>
      <c r="N193" t="n">
        <v>0</v>
      </c>
      <c r="O193" t="n">
        <v>0</v>
      </c>
      <c r="P193" t="n">
        <v>0</v>
      </c>
      <c r="Q193" t="n">
        <v>0</v>
      </c>
      <c r="R193" s="2" t="inlineStr"/>
    </row>
    <row r="194" ht="15" customHeight="1">
      <c r="A194" t="inlineStr">
        <is>
          <t>A 29984-2019</t>
        </is>
      </c>
      <c r="B194" s="1" t="n">
        <v>43633</v>
      </c>
      <c r="C194" s="1" t="n">
        <v>45575</v>
      </c>
      <c r="D194" t="inlineStr">
        <is>
          <t>VÄRMLANDS LÄN</t>
        </is>
      </c>
      <c r="E194" t="inlineStr">
        <is>
          <t>TORSBY</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30158-2019</t>
        </is>
      </c>
      <c r="B195" s="1" t="n">
        <v>43634</v>
      </c>
      <c r="C195" s="1" t="n">
        <v>45575</v>
      </c>
      <c r="D195" t="inlineStr">
        <is>
          <t>VÄRMLANDS LÄN</t>
        </is>
      </c>
      <c r="E195" t="inlineStr">
        <is>
          <t>TORSBY</t>
        </is>
      </c>
      <c r="G195" t="n">
        <v>3.3</v>
      </c>
      <c r="H195" t="n">
        <v>0</v>
      </c>
      <c r="I195" t="n">
        <v>0</v>
      </c>
      <c r="J195" t="n">
        <v>0</v>
      </c>
      <c r="K195" t="n">
        <v>0</v>
      </c>
      <c r="L195" t="n">
        <v>0</v>
      </c>
      <c r="M195" t="n">
        <v>0</v>
      </c>
      <c r="N195" t="n">
        <v>0</v>
      </c>
      <c r="O195" t="n">
        <v>0</v>
      </c>
      <c r="P195" t="n">
        <v>0</v>
      </c>
      <c r="Q195" t="n">
        <v>0</v>
      </c>
      <c r="R195" s="2" t="inlineStr"/>
    </row>
    <row r="196" ht="15" customHeight="1">
      <c r="A196" t="inlineStr">
        <is>
          <t>A 30596-2019</t>
        </is>
      </c>
      <c r="B196" s="1" t="n">
        <v>43635</v>
      </c>
      <c r="C196" s="1" t="n">
        <v>45575</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30860-2019</t>
        </is>
      </c>
      <c r="B197" s="1" t="n">
        <v>43636</v>
      </c>
      <c r="C197" s="1" t="n">
        <v>45575</v>
      </c>
      <c r="D197" t="inlineStr">
        <is>
          <t>VÄRMLANDS LÄN</t>
        </is>
      </c>
      <c r="E197" t="inlineStr">
        <is>
          <t>TORSBY</t>
        </is>
      </c>
      <c r="G197" t="n">
        <v>11.7</v>
      </c>
      <c r="H197" t="n">
        <v>0</v>
      </c>
      <c r="I197" t="n">
        <v>0</v>
      </c>
      <c r="J197" t="n">
        <v>0</v>
      </c>
      <c r="K197" t="n">
        <v>0</v>
      </c>
      <c r="L197" t="n">
        <v>0</v>
      </c>
      <c r="M197" t="n">
        <v>0</v>
      </c>
      <c r="N197" t="n">
        <v>0</v>
      </c>
      <c r="O197" t="n">
        <v>0</v>
      </c>
      <c r="P197" t="n">
        <v>0</v>
      </c>
      <c r="Q197" t="n">
        <v>0</v>
      </c>
      <c r="R197" s="2" t="inlineStr"/>
    </row>
    <row r="198" ht="15" customHeight="1">
      <c r="A198" t="inlineStr">
        <is>
          <t>A 31109-2019</t>
        </is>
      </c>
      <c r="B198" s="1" t="n">
        <v>43640</v>
      </c>
      <c r="C198" s="1" t="n">
        <v>45575</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31010-2019</t>
        </is>
      </c>
      <c r="B199" s="1" t="n">
        <v>43640</v>
      </c>
      <c r="C199" s="1" t="n">
        <v>45575</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31138-2019</t>
        </is>
      </c>
      <c r="B200" s="1" t="n">
        <v>43640</v>
      </c>
      <c r="C200" s="1" t="n">
        <v>45575</v>
      </c>
      <c r="D200" t="inlineStr">
        <is>
          <t>VÄRMLANDS LÄN</t>
        </is>
      </c>
      <c r="E200" t="inlineStr">
        <is>
          <t>TORSBY</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31543-2019</t>
        </is>
      </c>
      <c r="B201" s="1" t="n">
        <v>43641</v>
      </c>
      <c r="C201" s="1" t="n">
        <v>45575</v>
      </c>
      <c r="D201" t="inlineStr">
        <is>
          <t>VÄRMLANDS LÄN</t>
        </is>
      </c>
      <c r="E201" t="inlineStr">
        <is>
          <t>TORSBY</t>
        </is>
      </c>
      <c r="G201" t="n">
        <v>6</v>
      </c>
      <c r="H201" t="n">
        <v>0</v>
      </c>
      <c r="I201" t="n">
        <v>0</v>
      </c>
      <c r="J201" t="n">
        <v>0</v>
      </c>
      <c r="K201" t="n">
        <v>0</v>
      </c>
      <c r="L201" t="n">
        <v>0</v>
      </c>
      <c r="M201" t="n">
        <v>0</v>
      </c>
      <c r="N201" t="n">
        <v>0</v>
      </c>
      <c r="O201" t="n">
        <v>0</v>
      </c>
      <c r="P201" t="n">
        <v>0</v>
      </c>
      <c r="Q201" t="n">
        <v>0</v>
      </c>
      <c r="R201" s="2" t="inlineStr"/>
    </row>
    <row r="202" ht="15" customHeight="1">
      <c r="A202" t="inlineStr">
        <is>
          <t>A 31930-2019</t>
        </is>
      </c>
      <c r="B202" s="1" t="n">
        <v>43642</v>
      </c>
      <c r="C202" s="1" t="n">
        <v>45575</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32170-2019</t>
        </is>
      </c>
      <c r="B203" s="1" t="n">
        <v>43643</v>
      </c>
      <c r="C203" s="1" t="n">
        <v>45575</v>
      </c>
      <c r="D203" t="inlineStr">
        <is>
          <t>VÄRMLANDS LÄN</t>
        </is>
      </c>
      <c r="E203" t="inlineStr">
        <is>
          <t>TORSBY</t>
        </is>
      </c>
      <c r="G203" t="n">
        <v>4.6</v>
      </c>
      <c r="H203" t="n">
        <v>0</v>
      </c>
      <c r="I203" t="n">
        <v>0</v>
      </c>
      <c r="J203" t="n">
        <v>0</v>
      </c>
      <c r="K203" t="n">
        <v>0</v>
      </c>
      <c r="L203" t="n">
        <v>0</v>
      </c>
      <c r="M203" t="n">
        <v>0</v>
      </c>
      <c r="N203" t="n">
        <v>0</v>
      </c>
      <c r="O203" t="n">
        <v>0</v>
      </c>
      <c r="P203" t="n">
        <v>0</v>
      </c>
      <c r="Q203" t="n">
        <v>0</v>
      </c>
      <c r="R203" s="2" t="inlineStr"/>
    </row>
    <row r="204" ht="15" customHeight="1">
      <c r="A204" t="inlineStr">
        <is>
          <t>A 32443-2019</t>
        </is>
      </c>
      <c r="B204" s="1" t="n">
        <v>43644</v>
      </c>
      <c r="C204" s="1" t="n">
        <v>45575</v>
      </c>
      <c r="D204" t="inlineStr">
        <is>
          <t>VÄRMLANDS LÄN</t>
        </is>
      </c>
      <c r="E204" t="inlineStr">
        <is>
          <t>TORSBY</t>
        </is>
      </c>
      <c r="G204" t="n">
        <v>1</v>
      </c>
      <c r="H204" t="n">
        <v>0</v>
      </c>
      <c r="I204" t="n">
        <v>0</v>
      </c>
      <c r="J204" t="n">
        <v>0</v>
      </c>
      <c r="K204" t="n">
        <v>0</v>
      </c>
      <c r="L204" t="n">
        <v>0</v>
      </c>
      <c r="M204" t="n">
        <v>0</v>
      </c>
      <c r="N204" t="n">
        <v>0</v>
      </c>
      <c r="O204" t="n">
        <v>0</v>
      </c>
      <c r="P204" t="n">
        <v>0</v>
      </c>
      <c r="Q204" t="n">
        <v>0</v>
      </c>
      <c r="R204" s="2" t="inlineStr"/>
    </row>
    <row r="205" ht="15" customHeight="1">
      <c r="A205" t="inlineStr">
        <is>
          <t>A 32298-2019</t>
        </is>
      </c>
      <c r="B205" s="1" t="n">
        <v>43644</v>
      </c>
      <c r="C205" s="1" t="n">
        <v>45575</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32468-2019</t>
        </is>
      </c>
      <c r="B206" s="1" t="n">
        <v>43644</v>
      </c>
      <c r="C206" s="1" t="n">
        <v>45575</v>
      </c>
      <c r="D206" t="inlineStr">
        <is>
          <t>VÄRMLANDS LÄN</t>
        </is>
      </c>
      <c r="E206" t="inlineStr">
        <is>
          <t>TORSBY</t>
        </is>
      </c>
      <c r="G206" t="n">
        <v>4.7</v>
      </c>
      <c r="H206" t="n">
        <v>0</v>
      </c>
      <c r="I206" t="n">
        <v>0</v>
      </c>
      <c r="J206" t="n">
        <v>0</v>
      </c>
      <c r="K206" t="n">
        <v>0</v>
      </c>
      <c r="L206" t="n">
        <v>0</v>
      </c>
      <c r="M206" t="n">
        <v>0</v>
      </c>
      <c r="N206" t="n">
        <v>0</v>
      </c>
      <c r="O206" t="n">
        <v>0</v>
      </c>
      <c r="P206" t="n">
        <v>0</v>
      </c>
      <c r="Q206" t="n">
        <v>0</v>
      </c>
      <c r="R206" s="2" t="inlineStr"/>
    </row>
    <row r="207" ht="15" customHeight="1">
      <c r="A207" t="inlineStr">
        <is>
          <t>A 32444-2019</t>
        </is>
      </c>
      <c r="B207" s="1" t="n">
        <v>43644</v>
      </c>
      <c r="C207" s="1" t="n">
        <v>45575</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33918-2019</t>
        </is>
      </c>
      <c r="B208" s="1" t="n">
        <v>43654</v>
      </c>
      <c r="C208" s="1" t="n">
        <v>45575</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35505-2019</t>
        </is>
      </c>
      <c r="B209" s="1" t="n">
        <v>43654</v>
      </c>
      <c r="C209" s="1" t="n">
        <v>45575</v>
      </c>
      <c r="D209" t="inlineStr">
        <is>
          <t>VÄRMLANDS LÄN</t>
        </is>
      </c>
      <c r="E209" t="inlineStr">
        <is>
          <t>TORSBY</t>
        </is>
      </c>
      <c r="G209" t="n">
        <v>0.8</v>
      </c>
      <c r="H209" t="n">
        <v>0</v>
      </c>
      <c r="I209" t="n">
        <v>0</v>
      </c>
      <c r="J209" t="n">
        <v>0</v>
      </c>
      <c r="K209" t="n">
        <v>0</v>
      </c>
      <c r="L209" t="n">
        <v>0</v>
      </c>
      <c r="M209" t="n">
        <v>0</v>
      </c>
      <c r="N209" t="n">
        <v>0</v>
      </c>
      <c r="O209" t="n">
        <v>0</v>
      </c>
      <c r="P209" t="n">
        <v>0</v>
      </c>
      <c r="Q209" t="n">
        <v>0</v>
      </c>
      <c r="R209" s="2" t="inlineStr"/>
    </row>
    <row r="210" ht="15" customHeight="1">
      <c r="A210" t="inlineStr">
        <is>
          <t>A 35788-2019</t>
        </is>
      </c>
      <c r="B210" s="1" t="n">
        <v>43656</v>
      </c>
      <c r="C210" s="1" t="n">
        <v>45575</v>
      </c>
      <c r="D210" t="inlineStr">
        <is>
          <t>VÄRMLANDS LÄN</t>
        </is>
      </c>
      <c r="E210" t="inlineStr">
        <is>
          <t>TORSBY</t>
        </is>
      </c>
      <c r="F210" t="inlineStr">
        <is>
          <t>Kyrkan</t>
        </is>
      </c>
      <c r="G210" t="n">
        <v>0.8</v>
      </c>
      <c r="H210" t="n">
        <v>0</v>
      </c>
      <c r="I210" t="n">
        <v>0</v>
      </c>
      <c r="J210" t="n">
        <v>0</v>
      </c>
      <c r="K210" t="n">
        <v>0</v>
      </c>
      <c r="L210" t="n">
        <v>0</v>
      </c>
      <c r="M210" t="n">
        <v>0</v>
      </c>
      <c r="N210" t="n">
        <v>0</v>
      </c>
      <c r="O210" t="n">
        <v>0</v>
      </c>
      <c r="P210" t="n">
        <v>0</v>
      </c>
      <c r="Q210" t="n">
        <v>0</v>
      </c>
      <c r="R210" s="2" t="inlineStr"/>
    </row>
    <row r="211" ht="15" customHeight="1">
      <c r="A211" t="inlineStr">
        <is>
          <t>A 34541-2019</t>
        </is>
      </c>
      <c r="B211" s="1" t="n">
        <v>43657</v>
      </c>
      <c r="C211" s="1" t="n">
        <v>45575</v>
      </c>
      <c r="D211" t="inlineStr">
        <is>
          <t>VÄRMLANDS LÄN</t>
        </is>
      </c>
      <c r="E211" t="inlineStr">
        <is>
          <t>TORSBY</t>
        </is>
      </c>
      <c r="G211" t="n">
        <v>5.7</v>
      </c>
      <c r="H211" t="n">
        <v>0</v>
      </c>
      <c r="I211" t="n">
        <v>0</v>
      </c>
      <c r="J211" t="n">
        <v>0</v>
      </c>
      <c r="K211" t="n">
        <v>0</v>
      </c>
      <c r="L211" t="n">
        <v>0</v>
      </c>
      <c r="M211" t="n">
        <v>0</v>
      </c>
      <c r="N211" t="n">
        <v>0</v>
      </c>
      <c r="O211" t="n">
        <v>0</v>
      </c>
      <c r="P211" t="n">
        <v>0</v>
      </c>
      <c r="Q211" t="n">
        <v>0</v>
      </c>
      <c r="R211" s="2" t="inlineStr"/>
    </row>
    <row r="212" ht="15" customHeight="1">
      <c r="A212" t="inlineStr">
        <is>
          <t>A 36480-2019</t>
        </is>
      </c>
      <c r="B212" s="1" t="n">
        <v>43668</v>
      </c>
      <c r="C212" s="1" t="n">
        <v>45575</v>
      </c>
      <c r="D212" t="inlineStr">
        <is>
          <t>VÄRMLANDS LÄN</t>
        </is>
      </c>
      <c r="E212" t="inlineStr">
        <is>
          <t>TORSBY</t>
        </is>
      </c>
      <c r="G212" t="n">
        <v>1.3</v>
      </c>
      <c r="H212" t="n">
        <v>0</v>
      </c>
      <c r="I212" t="n">
        <v>0</v>
      </c>
      <c r="J212" t="n">
        <v>0</v>
      </c>
      <c r="K212" t="n">
        <v>0</v>
      </c>
      <c r="L212" t="n">
        <v>0</v>
      </c>
      <c r="M212" t="n">
        <v>0</v>
      </c>
      <c r="N212" t="n">
        <v>0</v>
      </c>
      <c r="O212" t="n">
        <v>0</v>
      </c>
      <c r="P212" t="n">
        <v>0</v>
      </c>
      <c r="Q212" t="n">
        <v>0</v>
      </c>
      <c r="R212" s="2" t="inlineStr"/>
    </row>
    <row r="213" ht="15" customHeight="1">
      <c r="A213" t="inlineStr">
        <is>
          <t>A 38010-2019</t>
        </is>
      </c>
      <c r="B213" s="1" t="n">
        <v>43669</v>
      </c>
      <c r="C213" s="1" t="n">
        <v>45575</v>
      </c>
      <c r="D213" t="inlineStr">
        <is>
          <t>VÄRMLANDS LÄN</t>
        </is>
      </c>
      <c r="E213" t="inlineStr">
        <is>
          <t>TORSBY</t>
        </is>
      </c>
      <c r="G213" t="n">
        <v>6.2</v>
      </c>
      <c r="H213" t="n">
        <v>0</v>
      </c>
      <c r="I213" t="n">
        <v>0</v>
      </c>
      <c r="J213" t="n">
        <v>0</v>
      </c>
      <c r="K213" t="n">
        <v>0</v>
      </c>
      <c r="L213" t="n">
        <v>0</v>
      </c>
      <c r="M213" t="n">
        <v>0</v>
      </c>
      <c r="N213" t="n">
        <v>0</v>
      </c>
      <c r="O213" t="n">
        <v>0</v>
      </c>
      <c r="P213" t="n">
        <v>0</v>
      </c>
      <c r="Q213" t="n">
        <v>0</v>
      </c>
      <c r="R213" s="2" t="inlineStr"/>
    </row>
    <row r="214" ht="15" customHeight="1">
      <c r="A214" t="inlineStr">
        <is>
          <t>A 38003-2019</t>
        </is>
      </c>
      <c r="B214" s="1" t="n">
        <v>43669</v>
      </c>
      <c r="C214" s="1" t="n">
        <v>45575</v>
      </c>
      <c r="D214" t="inlineStr">
        <is>
          <t>VÄRMLANDS LÄN</t>
        </is>
      </c>
      <c r="E214" t="inlineStr">
        <is>
          <t>TORSBY</t>
        </is>
      </c>
      <c r="G214" t="n">
        <v>3.1</v>
      </c>
      <c r="H214" t="n">
        <v>0</v>
      </c>
      <c r="I214" t="n">
        <v>0</v>
      </c>
      <c r="J214" t="n">
        <v>0</v>
      </c>
      <c r="K214" t="n">
        <v>0</v>
      </c>
      <c r="L214" t="n">
        <v>0</v>
      </c>
      <c r="M214" t="n">
        <v>0</v>
      </c>
      <c r="N214" t="n">
        <v>0</v>
      </c>
      <c r="O214" t="n">
        <v>0</v>
      </c>
      <c r="P214" t="n">
        <v>0</v>
      </c>
      <c r="Q214" t="n">
        <v>0</v>
      </c>
      <c r="R214" s="2" t="inlineStr"/>
    </row>
    <row r="215" ht="15" customHeight="1">
      <c r="A215" t="inlineStr">
        <is>
          <t>A 36712-2019</t>
        </is>
      </c>
      <c r="B215" s="1" t="n">
        <v>43669</v>
      </c>
      <c r="C215" s="1" t="n">
        <v>45575</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36682-2019</t>
        </is>
      </c>
      <c r="B216" s="1" t="n">
        <v>43670</v>
      </c>
      <c r="C216" s="1" t="n">
        <v>45575</v>
      </c>
      <c r="D216" t="inlineStr">
        <is>
          <t>VÄRMLANDS LÄN</t>
        </is>
      </c>
      <c r="E216" t="inlineStr">
        <is>
          <t>TORSBY</t>
        </is>
      </c>
      <c r="G216" t="n">
        <v>8.1</v>
      </c>
      <c r="H216" t="n">
        <v>0</v>
      </c>
      <c r="I216" t="n">
        <v>0</v>
      </c>
      <c r="J216" t="n">
        <v>0</v>
      </c>
      <c r="K216" t="n">
        <v>0</v>
      </c>
      <c r="L216" t="n">
        <v>0</v>
      </c>
      <c r="M216" t="n">
        <v>0</v>
      </c>
      <c r="N216" t="n">
        <v>0</v>
      </c>
      <c r="O216" t="n">
        <v>0</v>
      </c>
      <c r="P216" t="n">
        <v>0</v>
      </c>
      <c r="Q216" t="n">
        <v>0</v>
      </c>
      <c r="R216" s="2" t="inlineStr"/>
    </row>
    <row r="217" ht="15" customHeight="1">
      <c r="A217" t="inlineStr">
        <is>
          <t>A 36734-2019</t>
        </is>
      </c>
      <c r="B217" s="1" t="n">
        <v>43672</v>
      </c>
      <c r="C217" s="1" t="n">
        <v>45575</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36820-2019</t>
        </is>
      </c>
      <c r="B218" s="1" t="n">
        <v>43673</v>
      </c>
      <c r="C218" s="1" t="n">
        <v>45575</v>
      </c>
      <c r="D218" t="inlineStr">
        <is>
          <t>VÄRMLANDS LÄN</t>
        </is>
      </c>
      <c r="E218" t="inlineStr">
        <is>
          <t>TORSBY</t>
        </is>
      </c>
      <c r="G218" t="n">
        <v>0.2</v>
      </c>
      <c r="H218" t="n">
        <v>0</v>
      </c>
      <c r="I218" t="n">
        <v>0</v>
      </c>
      <c r="J218" t="n">
        <v>0</v>
      </c>
      <c r="K218" t="n">
        <v>0</v>
      </c>
      <c r="L218" t="n">
        <v>0</v>
      </c>
      <c r="M218" t="n">
        <v>0</v>
      </c>
      <c r="N218" t="n">
        <v>0</v>
      </c>
      <c r="O218" t="n">
        <v>0</v>
      </c>
      <c r="P218" t="n">
        <v>0</v>
      </c>
      <c r="Q218" t="n">
        <v>0</v>
      </c>
      <c r="R218" s="2" t="inlineStr"/>
    </row>
    <row r="219" ht="15" customHeight="1">
      <c r="A219" t="inlineStr">
        <is>
          <t>A 37005-2019</t>
        </is>
      </c>
      <c r="B219" s="1" t="n">
        <v>43676</v>
      </c>
      <c r="C219" s="1" t="n">
        <v>45575</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37719-2019</t>
        </is>
      </c>
      <c r="B220" s="1" t="n">
        <v>43682</v>
      </c>
      <c r="C220" s="1" t="n">
        <v>45575</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38068-2019</t>
        </is>
      </c>
      <c r="B221" s="1" t="n">
        <v>43683</v>
      </c>
      <c r="C221" s="1" t="n">
        <v>45575</v>
      </c>
      <c r="D221" t="inlineStr">
        <is>
          <t>VÄRMLANDS LÄN</t>
        </is>
      </c>
      <c r="E221" t="inlineStr">
        <is>
          <t>TORSBY</t>
        </is>
      </c>
      <c r="G221" t="n">
        <v>2.7</v>
      </c>
      <c r="H221" t="n">
        <v>0</v>
      </c>
      <c r="I221" t="n">
        <v>0</v>
      </c>
      <c r="J221" t="n">
        <v>0</v>
      </c>
      <c r="K221" t="n">
        <v>0</v>
      </c>
      <c r="L221" t="n">
        <v>0</v>
      </c>
      <c r="M221" t="n">
        <v>0</v>
      </c>
      <c r="N221" t="n">
        <v>0</v>
      </c>
      <c r="O221" t="n">
        <v>0</v>
      </c>
      <c r="P221" t="n">
        <v>0</v>
      </c>
      <c r="Q221" t="n">
        <v>0</v>
      </c>
      <c r="R221" s="2" t="inlineStr"/>
    </row>
    <row r="222" ht="15" customHeight="1">
      <c r="A222" t="inlineStr">
        <is>
          <t>A 38265-2019</t>
        </is>
      </c>
      <c r="B222" s="1" t="n">
        <v>43684</v>
      </c>
      <c r="C222" s="1" t="n">
        <v>45575</v>
      </c>
      <c r="D222" t="inlineStr">
        <is>
          <t>VÄRMLANDS LÄN</t>
        </is>
      </c>
      <c r="E222" t="inlineStr">
        <is>
          <t>TORSBY</t>
        </is>
      </c>
      <c r="G222" t="n">
        <v>0.9</v>
      </c>
      <c r="H222" t="n">
        <v>0</v>
      </c>
      <c r="I222" t="n">
        <v>0</v>
      </c>
      <c r="J222" t="n">
        <v>0</v>
      </c>
      <c r="K222" t="n">
        <v>0</v>
      </c>
      <c r="L222" t="n">
        <v>0</v>
      </c>
      <c r="M222" t="n">
        <v>0</v>
      </c>
      <c r="N222" t="n">
        <v>0</v>
      </c>
      <c r="O222" t="n">
        <v>0</v>
      </c>
      <c r="P222" t="n">
        <v>0</v>
      </c>
      <c r="Q222" t="n">
        <v>0</v>
      </c>
      <c r="R222" s="2" t="inlineStr"/>
    </row>
    <row r="223" ht="15" customHeight="1">
      <c r="A223" t="inlineStr">
        <is>
          <t>A 39213-2019</t>
        </is>
      </c>
      <c r="B223" s="1" t="n">
        <v>43690</v>
      </c>
      <c r="C223" s="1" t="n">
        <v>45575</v>
      </c>
      <c r="D223" t="inlineStr">
        <is>
          <t>VÄRMLANDS LÄN</t>
        </is>
      </c>
      <c r="E223" t="inlineStr">
        <is>
          <t>TORSBY</t>
        </is>
      </c>
      <c r="G223" t="n">
        <v>1.8</v>
      </c>
      <c r="H223" t="n">
        <v>0</v>
      </c>
      <c r="I223" t="n">
        <v>0</v>
      </c>
      <c r="J223" t="n">
        <v>0</v>
      </c>
      <c r="K223" t="n">
        <v>0</v>
      </c>
      <c r="L223" t="n">
        <v>0</v>
      </c>
      <c r="M223" t="n">
        <v>0</v>
      </c>
      <c r="N223" t="n">
        <v>0</v>
      </c>
      <c r="O223" t="n">
        <v>0</v>
      </c>
      <c r="P223" t="n">
        <v>0</v>
      </c>
      <c r="Q223" t="n">
        <v>0</v>
      </c>
      <c r="R223" s="2" t="inlineStr"/>
    </row>
    <row r="224" ht="15" customHeight="1">
      <c r="A224" t="inlineStr">
        <is>
          <t>A 40632-2019</t>
        </is>
      </c>
      <c r="B224" s="1" t="n">
        <v>43696</v>
      </c>
      <c r="C224" s="1" t="n">
        <v>45575</v>
      </c>
      <c r="D224" t="inlineStr">
        <is>
          <t>VÄRMLANDS LÄN</t>
        </is>
      </c>
      <c r="E224" t="inlineStr">
        <is>
          <t>TORSBY</t>
        </is>
      </c>
      <c r="G224" t="n">
        <v>4.2</v>
      </c>
      <c r="H224" t="n">
        <v>0</v>
      </c>
      <c r="I224" t="n">
        <v>0</v>
      </c>
      <c r="J224" t="n">
        <v>0</v>
      </c>
      <c r="K224" t="n">
        <v>0</v>
      </c>
      <c r="L224" t="n">
        <v>0</v>
      </c>
      <c r="M224" t="n">
        <v>0</v>
      </c>
      <c r="N224" t="n">
        <v>0</v>
      </c>
      <c r="O224" t="n">
        <v>0</v>
      </c>
      <c r="P224" t="n">
        <v>0</v>
      </c>
      <c r="Q224" t="n">
        <v>0</v>
      </c>
      <c r="R224" s="2" t="inlineStr"/>
    </row>
    <row r="225" ht="15" customHeight="1">
      <c r="A225" t="inlineStr">
        <is>
          <t>A 40589-2019</t>
        </is>
      </c>
      <c r="B225" s="1" t="n">
        <v>43696</v>
      </c>
      <c r="C225" s="1" t="n">
        <v>45575</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40810-2019</t>
        </is>
      </c>
      <c r="B226" s="1" t="n">
        <v>43697</v>
      </c>
      <c r="C226" s="1" t="n">
        <v>45575</v>
      </c>
      <c r="D226" t="inlineStr">
        <is>
          <t>VÄRMLANDS LÄN</t>
        </is>
      </c>
      <c r="E226" t="inlineStr">
        <is>
          <t>TORSBY</t>
        </is>
      </c>
      <c r="G226" t="n">
        <v>0.8</v>
      </c>
      <c r="H226" t="n">
        <v>0</v>
      </c>
      <c r="I226" t="n">
        <v>0</v>
      </c>
      <c r="J226" t="n">
        <v>0</v>
      </c>
      <c r="K226" t="n">
        <v>0</v>
      </c>
      <c r="L226" t="n">
        <v>0</v>
      </c>
      <c r="M226" t="n">
        <v>0</v>
      </c>
      <c r="N226" t="n">
        <v>0</v>
      </c>
      <c r="O226" t="n">
        <v>0</v>
      </c>
      <c r="P226" t="n">
        <v>0</v>
      </c>
      <c r="Q226" t="n">
        <v>0</v>
      </c>
      <c r="R226" s="2" t="inlineStr"/>
    </row>
    <row r="227" ht="15" customHeight="1">
      <c r="A227" t="inlineStr">
        <is>
          <t>A 41698-2019</t>
        </is>
      </c>
      <c r="B227" s="1" t="n">
        <v>43697</v>
      </c>
      <c r="C227" s="1" t="n">
        <v>45575</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42441-2019</t>
        </is>
      </c>
      <c r="B228" s="1" t="n">
        <v>43697</v>
      </c>
      <c r="C228" s="1" t="n">
        <v>45575</v>
      </c>
      <c r="D228" t="inlineStr">
        <is>
          <t>VÄRMLANDS LÄN</t>
        </is>
      </c>
      <c r="E228" t="inlineStr">
        <is>
          <t>TORSBY</t>
        </is>
      </c>
      <c r="G228" t="n">
        <v>2.4</v>
      </c>
      <c r="H228" t="n">
        <v>0</v>
      </c>
      <c r="I228" t="n">
        <v>0</v>
      </c>
      <c r="J228" t="n">
        <v>0</v>
      </c>
      <c r="K228" t="n">
        <v>0</v>
      </c>
      <c r="L228" t="n">
        <v>0</v>
      </c>
      <c r="M228" t="n">
        <v>0</v>
      </c>
      <c r="N228" t="n">
        <v>0</v>
      </c>
      <c r="O228" t="n">
        <v>0</v>
      </c>
      <c r="P228" t="n">
        <v>0</v>
      </c>
      <c r="Q228" t="n">
        <v>0</v>
      </c>
      <c r="R228" s="2" t="inlineStr"/>
    </row>
    <row r="229" ht="15" customHeight="1">
      <c r="A229" t="inlineStr">
        <is>
          <t>A 41436-2019</t>
        </is>
      </c>
      <c r="B229" s="1" t="n">
        <v>43698</v>
      </c>
      <c r="C229" s="1" t="n">
        <v>45575</v>
      </c>
      <c r="D229" t="inlineStr">
        <is>
          <t>VÄRMLANDS LÄN</t>
        </is>
      </c>
      <c r="E229" t="inlineStr">
        <is>
          <t>TORSBY</t>
        </is>
      </c>
      <c r="G229" t="n">
        <v>0.9</v>
      </c>
      <c r="H229" t="n">
        <v>0</v>
      </c>
      <c r="I229" t="n">
        <v>0</v>
      </c>
      <c r="J229" t="n">
        <v>0</v>
      </c>
      <c r="K229" t="n">
        <v>0</v>
      </c>
      <c r="L229" t="n">
        <v>0</v>
      </c>
      <c r="M229" t="n">
        <v>0</v>
      </c>
      <c r="N229" t="n">
        <v>0</v>
      </c>
      <c r="O229" t="n">
        <v>0</v>
      </c>
      <c r="P229" t="n">
        <v>0</v>
      </c>
      <c r="Q229" t="n">
        <v>0</v>
      </c>
      <c r="R229" s="2" t="inlineStr"/>
    </row>
    <row r="230" ht="15" customHeight="1">
      <c r="A230" t="inlineStr">
        <is>
          <t>A 41435-2019</t>
        </is>
      </c>
      <c r="B230" s="1" t="n">
        <v>43698</v>
      </c>
      <c r="C230" s="1" t="n">
        <v>45575</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41438-2019</t>
        </is>
      </c>
      <c r="B231" s="1" t="n">
        <v>43698</v>
      </c>
      <c r="C231" s="1" t="n">
        <v>45575</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41621-2019</t>
        </is>
      </c>
      <c r="B232" s="1" t="n">
        <v>43699</v>
      </c>
      <c r="C232" s="1" t="n">
        <v>45575</v>
      </c>
      <c r="D232" t="inlineStr">
        <is>
          <t>VÄRMLANDS LÄN</t>
        </is>
      </c>
      <c r="E232" t="inlineStr">
        <is>
          <t>TORSBY</t>
        </is>
      </c>
      <c r="G232" t="n">
        <v>4.2</v>
      </c>
      <c r="H232" t="n">
        <v>0</v>
      </c>
      <c r="I232" t="n">
        <v>0</v>
      </c>
      <c r="J232" t="n">
        <v>0</v>
      </c>
      <c r="K232" t="n">
        <v>0</v>
      </c>
      <c r="L232" t="n">
        <v>0</v>
      </c>
      <c r="M232" t="n">
        <v>0</v>
      </c>
      <c r="N232" t="n">
        <v>0</v>
      </c>
      <c r="O232" t="n">
        <v>0</v>
      </c>
      <c r="P232" t="n">
        <v>0</v>
      </c>
      <c r="Q232" t="n">
        <v>0</v>
      </c>
      <c r="R232" s="2" t="inlineStr"/>
    </row>
    <row r="233" ht="15" customHeight="1">
      <c r="A233" t="inlineStr">
        <is>
          <t>A 42230-2019</t>
        </is>
      </c>
      <c r="B233" s="1" t="n">
        <v>43703</v>
      </c>
      <c r="C233" s="1" t="n">
        <v>45575</v>
      </c>
      <c r="D233" t="inlineStr">
        <is>
          <t>VÄRMLANDS LÄN</t>
        </is>
      </c>
      <c r="E233" t="inlineStr">
        <is>
          <t>TORSBY</t>
        </is>
      </c>
      <c r="G233" t="n">
        <v>1.9</v>
      </c>
      <c r="H233" t="n">
        <v>0</v>
      </c>
      <c r="I233" t="n">
        <v>0</v>
      </c>
      <c r="J233" t="n">
        <v>0</v>
      </c>
      <c r="K233" t="n">
        <v>0</v>
      </c>
      <c r="L233" t="n">
        <v>0</v>
      </c>
      <c r="M233" t="n">
        <v>0</v>
      </c>
      <c r="N233" t="n">
        <v>0</v>
      </c>
      <c r="O233" t="n">
        <v>0</v>
      </c>
      <c r="P233" t="n">
        <v>0</v>
      </c>
      <c r="Q233" t="n">
        <v>0</v>
      </c>
      <c r="R233" s="2" t="inlineStr"/>
    </row>
    <row r="234" ht="15" customHeight="1">
      <c r="A234" t="inlineStr">
        <is>
          <t>A 43273-2019</t>
        </is>
      </c>
      <c r="B234" s="1" t="n">
        <v>43704</v>
      </c>
      <c r="C234" s="1" t="n">
        <v>45575</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43897-2019</t>
        </is>
      </c>
      <c r="B235" s="1" t="n">
        <v>43707</v>
      </c>
      <c r="C235" s="1" t="n">
        <v>45575</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44832-2019</t>
        </is>
      </c>
      <c r="B236" s="1" t="n">
        <v>43707</v>
      </c>
      <c r="C236" s="1" t="n">
        <v>45575</v>
      </c>
      <c r="D236" t="inlineStr">
        <is>
          <t>VÄRMLANDS LÄN</t>
        </is>
      </c>
      <c r="E236" t="inlineStr">
        <is>
          <t>TORSBY</t>
        </is>
      </c>
      <c r="G236" t="n">
        <v>27.1</v>
      </c>
      <c r="H236" t="n">
        <v>0</v>
      </c>
      <c r="I236" t="n">
        <v>0</v>
      </c>
      <c r="J236" t="n">
        <v>0</v>
      </c>
      <c r="K236" t="n">
        <v>0</v>
      </c>
      <c r="L236" t="n">
        <v>0</v>
      </c>
      <c r="M236" t="n">
        <v>0</v>
      </c>
      <c r="N236" t="n">
        <v>0</v>
      </c>
      <c r="O236" t="n">
        <v>0</v>
      </c>
      <c r="P236" t="n">
        <v>0</v>
      </c>
      <c r="Q236" t="n">
        <v>0</v>
      </c>
      <c r="R236" s="2" t="inlineStr"/>
    </row>
    <row r="237" ht="15" customHeight="1">
      <c r="A237" t="inlineStr">
        <is>
          <t>A 44708-2019</t>
        </is>
      </c>
      <c r="B237" s="1" t="n">
        <v>43712</v>
      </c>
      <c r="C237" s="1" t="n">
        <v>45575</v>
      </c>
      <c r="D237" t="inlineStr">
        <is>
          <t>VÄRMLANDS LÄN</t>
        </is>
      </c>
      <c r="E237" t="inlineStr">
        <is>
          <t>TORSBY</t>
        </is>
      </c>
      <c r="F237" t="inlineStr">
        <is>
          <t>Bergvik skog väst AB</t>
        </is>
      </c>
      <c r="G237" t="n">
        <v>3.7</v>
      </c>
      <c r="H237" t="n">
        <v>0</v>
      </c>
      <c r="I237" t="n">
        <v>0</v>
      </c>
      <c r="J237" t="n">
        <v>0</v>
      </c>
      <c r="K237" t="n">
        <v>0</v>
      </c>
      <c r="L237" t="n">
        <v>0</v>
      </c>
      <c r="M237" t="n">
        <v>0</v>
      </c>
      <c r="N237" t="n">
        <v>0</v>
      </c>
      <c r="O237" t="n">
        <v>0</v>
      </c>
      <c r="P237" t="n">
        <v>0</v>
      </c>
      <c r="Q237" t="n">
        <v>0</v>
      </c>
      <c r="R237" s="2" t="inlineStr"/>
    </row>
    <row r="238" ht="15" customHeight="1">
      <c r="A238" t="inlineStr">
        <is>
          <t>A 44706-2019</t>
        </is>
      </c>
      <c r="B238" s="1" t="n">
        <v>43712</v>
      </c>
      <c r="C238" s="1" t="n">
        <v>45575</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45053-2019</t>
        </is>
      </c>
      <c r="B239" s="1" t="n">
        <v>43713</v>
      </c>
      <c r="C239" s="1" t="n">
        <v>45575</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45083-2019</t>
        </is>
      </c>
      <c r="B240" s="1" t="n">
        <v>43713</v>
      </c>
      <c r="C240" s="1" t="n">
        <v>45575</v>
      </c>
      <c r="D240" t="inlineStr">
        <is>
          <t>VÄRMLANDS LÄN</t>
        </is>
      </c>
      <c r="E240" t="inlineStr">
        <is>
          <t>TORSBY</t>
        </is>
      </c>
      <c r="F240" t="inlineStr">
        <is>
          <t>Bergvik skog väst AB</t>
        </is>
      </c>
      <c r="G240" t="n">
        <v>37.8</v>
      </c>
      <c r="H240" t="n">
        <v>0</v>
      </c>
      <c r="I240" t="n">
        <v>0</v>
      </c>
      <c r="J240" t="n">
        <v>0</v>
      </c>
      <c r="K240" t="n">
        <v>0</v>
      </c>
      <c r="L240" t="n">
        <v>0</v>
      </c>
      <c r="M240" t="n">
        <v>0</v>
      </c>
      <c r="N240" t="n">
        <v>0</v>
      </c>
      <c r="O240" t="n">
        <v>0</v>
      </c>
      <c r="P240" t="n">
        <v>0</v>
      </c>
      <c r="Q240" t="n">
        <v>0</v>
      </c>
      <c r="R240" s="2" t="inlineStr"/>
    </row>
    <row r="241" ht="15" customHeight="1">
      <c r="A241" t="inlineStr">
        <is>
          <t>A 45189-2019</t>
        </is>
      </c>
      <c r="B241" s="1" t="n">
        <v>43713</v>
      </c>
      <c r="C241" s="1" t="n">
        <v>45575</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45068-2019</t>
        </is>
      </c>
      <c r="B242" s="1" t="n">
        <v>43713</v>
      </c>
      <c r="C242" s="1" t="n">
        <v>45575</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45891-2019</t>
        </is>
      </c>
      <c r="B243" s="1" t="n">
        <v>43717</v>
      </c>
      <c r="C243" s="1" t="n">
        <v>45575</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46738-2019</t>
        </is>
      </c>
      <c r="B244" s="1" t="n">
        <v>43719</v>
      </c>
      <c r="C244" s="1" t="n">
        <v>45575</v>
      </c>
      <c r="D244" t="inlineStr">
        <is>
          <t>VÄRMLANDS LÄN</t>
        </is>
      </c>
      <c r="E244" t="inlineStr">
        <is>
          <t>TORSBY</t>
        </is>
      </c>
      <c r="G244" t="n">
        <v>1.5</v>
      </c>
      <c r="H244" t="n">
        <v>0</v>
      </c>
      <c r="I244" t="n">
        <v>0</v>
      </c>
      <c r="J244" t="n">
        <v>0</v>
      </c>
      <c r="K244" t="n">
        <v>0</v>
      </c>
      <c r="L244" t="n">
        <v>0</v>
      </c>
      <c r="M244" t="n">
        <v>0</v>
      </c>
      <c r="N244" t="n">
        <v>0</v>
      </c>
      <c r="O244" t="n">
        <v>0</v>
      </c>
      <c r="P244" t="n">
        <v>0</v>
      </c>
      <c r="Q244" t="n">
        <v>0</v>
      </c>
      <c r="R244" s="2" t="inlineStr"/>
    </row>
    <row r="245" ht="15" customHeight="1">
      <c r="A245" t="inlineStr">
        <is>
          <t>A 46743-2019</t>
        </is>
      </c>
      <c r="B245" s="1" t="n">
        <v>43719</v>
      </c>
      <c r="C245" s="1" t="n">
        <v>45575</v>
      </c>
      <c r="D245" t="inlineStr">
        <is>
          <t>VÄRMLANDS LÄN</t>
        </is>
      </c>
      <c r="E245" t="inlineStr">
        <is>
          <t>TORSBY</t>
        </is>
      </c>
      <c r="G245" t="n">
        <v>7</v>
      </c>
      <c r="H245" t="n">
        <v>0</v>
      </c>
      <c r="I245" t="n">
        <v>0</v>
      </c>
      <c r="J245" t="n">
        <v>0</v>
      </c>
      <c r="K245" t="n">
        <v>0</v>
      </c>
      <c r="L245" t="n">
        <v>0</v>
      </c>
      <c r="M245" t="n">
        <v>0</v>
      </c>
      <c r="N245" t="n">
        <v>0</v>
      </c>
      <c r="O245" t="n">
        <v>0</v>
      </c>
      <c r="P245" t="n">
        <v>0</v>
      </c>
      <c r="Q245" t="n">
        <v>0</v>
      </c>
      <c r="R245" s="2" t="inlineStr"/>
    </row>
    <row r="246" ht="15" customHeight="1">
      <c r="A246" t="inlineStr">
        <is>
          <t>A 47114-2019</t>
        </is>
      </c>
      <c r="B246" s="1" t="n">
        <v>43720</v>
      </c>
      <c r="C246" s="1" t="n">
        <v>45575</v>
      </c>
      <c r="D246" t="inlineStr">
        <is>
          <t>VÄRMLANDS LÄN</t>
        </is>
      </c>
      <c r="E246" t="inlineStr">
        <is>
          <t>TORSBY</t>
        </is>
      </c>
      <c r="G246" t="n">
        <v>2.2</v>
      </c>
      <c r="H246" t="n">
        <v>0</v>
      </c>
      <c r="I246" t="n">
        <v>0</v>
      </c>
      <c r="J246" t="n">
        <v>0</v>
      </c>
      <c r="K246" t="n">
        <v>0</v>
      </c>
      <c r="L246" t="n">
        <v>0</v>
      </c>
      <c r="M246" t="n">
        <v>0</v>
      </c>
      <c r="N246" t="n">
        <v>0</v>
      </c>
      <c r="O246" t="n">
        <v>0</v>
      </c>
      <c r="P246" t="n">
        <v>0</v>
      </c>
      <c r="Q246" t="n">
        <v>0</v>
      </c>
      <c r="R246" s="2" t="inlineStr"/>
    </row>
    <row r="247" ht="15" customHeight="1">
      <c r="A247" t="inlineStr">
        <is>
          <t>A 47214-2019</t>
        </is>
      </c>
      <c r="B247" s="1" t="n">
        <v>43721</v>
      </c>
      <c r="C247" s="1" t="n">
        <v>45575</v>
      </c>
      <c r="D247" t="inlineStr">
        <is>
          <t>VÄRMLANDS LÄN</t>
        </is>
      </c>
      <c r="E247" t="inlineStr">
        <is>
          <t>TORSBY</t>
        </is>
      </c>
      <c r="G247" t="n">
        <v>3</v>
      </c>
      <c r="H247" t="n">
        <v>0</v>
      </c>
      <c r="I247" t="n">
        <v>0</v>
      </c>
      <c r="J247" t="n">
        <v>0</v>
      </c>
      <c r="K247" t="n">
        <v>0</v>
      </c>
      <c r="L247" t="n">
        <v>0</v>
      </c>
      <c r="M247" t="n">
        <v>0</v>
      </c>
      <c r="N247" t="n">
        <v>0</v>
      </c>
      <c r="O247" t="n">
        <v>0</v>
      </c>
      <c r="P247" t="n">
        <v>0</v>
      </c>
      <c r="Q247" t="n">
        <v>0</v>
      </c>
      <c r="R247" s="2" t="inlineStr"/>
    </row>
    <row r="248" ht="15" customHeight="1">
      <c r="A248" t="inlineStr">
        <is>
          <t>A 47137-2019</t>
        </is>
      </c>
      <c r="B248" s="1" t="n">
        <v>43721</v>
      </c>
      <c r="C248" s="1" t="n">
        <v>45575</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47316-2019</t>
        </is>
      </c>
      <c r="B249" s="1" t="n">
        <v>43721</v>
      </c>
      <c r="C249" s="1" t="n">
        <v>45575</v>
      </c>
      <c r="D249" t="inlineStr">
        <is>
          <t>VÄRMLANDS LÄN</t>
        </is>
      </c>
      <c r="E249" t="inlineStr">
        <is>
          <t>TORSBY</t>
        </is>
      </c>
      <c r="F249" t="inlineStr">
        <is>
          <t>Bergvik skog väst AB</t>
        </is>
      </c>
      <c r="G249" t="n">
        <v>6.6</v>
      </c>
      <c r="H249" t="n">
        <v>0</v>
      </c>
      <c r="I249" t="n">
        <v>0</v>
      </c>
      <c r="J249" t="n">
        <v>0</v>
      </c>
      <c r="K249" t="n">
        <v>0</v>
      </c>
      <c r="L249" t="n">
        <v>0</v>
      </c>
      <c r="M249" t="n">
        <v>0</v>
      </c>
      <c r="N249" t="n">
        <v>0</v>
      </c>
      <c r="O249" t="n">
        <v>0</v>
      </c>
      <c r="P249" t="n">
        <v>0</v>
      </c>
      <c r="Q249" t="n">
        <v>0</v>
      </c>
      <c r="R249" s="2" t="inlineStr"/>
    </row>
    <row r="250" ht="15" customHeight="1">
      <c r="A250" t="inlineStr">
        <is>
          <t>A 47608-2019</t>
        </is>
      </c>
      <c r="B250" s="1" t="n">
        <v>43724</v>
      </c>
      <c r="C250" s="1" t="n">
        <v>45575</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47772-2019</t>
        </is>
      </c>
      <c r="B251" s="1" t="n">
        <v>43724</v>
      </c>
      <c r="C251" s="1" t="n">
        <v>45575</v>
      </c>
      <c r="D251" t="inlineStr">
        <is>
          <t>VÄRMLANDS LÄN</t>
        </is>
      </c>
      <c r="E251" t="inlineStr">
        <is>
          <t>TORSBY</t>
        </is>
      </c>
      <c r="G251" t="n">
        <v>3.9</v>
      </c>
      <c r="H251" t="n">
        <v>0</v>
      </c>
      <c r="I251" t="n">
        <v>0</v>
      </c>
      <c r="J251" t="n">
        <v>0</v>
      </c>
      <c r="K251" t="n">
        <v>0</v>
      </c>
      <c r="L251" t="n">
        <v>0</v>
      </c>
      <c r="M251" t="n">
        <v>0</v>
      </c>
      <c r="N251" t="n">
        <v>0</v>
      </c>
      <c r="O251" t="n">
        <v>0</v>
      </c>
      <c r="P251" t="n">
        <v>0</v>
      </c>
      <c r="Q251" t="n">
        <v>0</v>
      </c>
      <c r="R251" s="2" t="inlineStr"/>
    </row>
    <row r="252" ht="15" customHeight="1">
      <c r="A252" t="inlineStr">
        <is>
          <t>A 47648-2019</t>
        </is>
      </c>
      <c r="B252" s="1" t="n">
        <v>43724</v>
      </c>
      <c r="C252" s="1" t="n">
        <v>45575</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47502-2019</t>
        </is>
      </c>
      <c r="B253" s="1" t="n">
        <v>43724</v>
      </c>
      <c r="C253" s="1" t="n">
        <v>45575</v>
      </c>
      <c r="D253" t="inlineStr">
        <is>
          <t>VÄRMLANDS LÄN</t>
        </is>
      </c>
      <c r="E253" t="inlineStr">
        <is>
          <t>TORSBY</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47869-2019</t>
        </is>
      </c>
      <c r="B254" s="1" t="n">
        <v>43725</v>
      </c>
      <c r="C254" s="1" t="n">
        <v>45575</v>
      </c>
      <c r="D254" t="inlineStr">
        <is>
          <t>VÄRMLANDS LÄN</t>
        </is>
      </c>
      <c r="E254" t="inlineStr">
        <is>
          <t>TORSBY</t>
        </is>
      </c>
      <c r="G254" t="n">
        <v>4.7</v>
      </c>
      <c r="H254" t="n">
        <v>0</v>
      </c>
      <c r="I254" t="n">
        <v>0</v>
      </c>
      <c r="J254" t="n">
        <v>0</v>
      </c>
      <c r="K254" t="n">
        <v>0</v>
      </c>
      <c r="L254" t="n">
        <v>0</v>
      </c>
      <c r="M254" t="n">
        <v>0</v>
      </c>
      <c r="N254" t="n">
        <v>0</v>
      </c>
      <c r="O254" t="n">
        <v>0</v>
      </c>
      <c r="P254" t="n">
        <v>0</v>
      </c>
      <c r="Q254" t="n">
        <v>0</v>
      </c>
      <c r="R254" s="2" t="inlineStr"/>
    </row>
    <row r="255" ht="15" customHeight="1">
      <c r="A255" t="inlineStr">
        <is>
          <t>A 47979-2019</t>
        </is>
      </c>
      <c r="B255" s="1" t="n">
        <v>43725</v>
      </c>
      <c r="C255" s="1" t="n">
        <v>45575</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48040-2019</t>
        </is>
      </c>
      <c r="B256" s="1" t="n">
        <v>43725</v>
      </c>
      <c r="C256" s="1" t="n">
        <v>45575</v>
      </c>
      <c r="D256" t="inlineStr">
        <is>
          <t>VÄRMLANDS LÄN</t>
        </is>
      </c>
      <c r="E256" t="inlineStr">
        <is>
          <t>TORSBY</t>
        </is>
      </c>
      <c r="G256" t="n">
        <v>2.7</v>
      </c>
      <c r="H256" t="n">
        <v>0</v>
      </c>
      <c r="I256" t="n">
        <v>0</v>
      </c>
      <c r="J256" t="n">
        <v>0</v>
      </c>
      <c r="K256" t="n">
        <v>0</v>
      </c>
      <c r="L256" t="n">
        <v>0</v>
      </c>
      <c r="M256" t="n">
        <v>0</v>
      </c>
      <c r="N256" t="n">
        <v>0</v>
      </c>
      <c r="O256" t="n">
        <v>0</v>
      </c>
      <c r="P256" t="n">
        <v>0</v>
      </c>
      <c r="Q256" t="n">
        <v>0</v>
      </c>
      <c r="R256" s="2" t="inlineStr"/>
    </row>
    <row r="257" ht="15" customHeight="1">
      <c r="A257" t="inlineStr">
        <is>
          <t>A 48346-2019</t>
        </is>
      </c>
      <c r="B257" s="1" t="n">
        <v>43726</v>
      </c>
      <c r="C257" s="1" t="n">
        <v>45575</v>
      </c>
      <c r="D257" t="inlineStr">
        <is>
          <t>VÄRMLANDS LÄN</t>
        </is>
      </c>
      <c r="E257" t="inlineStr">
        <is>
          <t>TORSBY</t>
        </is>
      </c>
      <c r="G257" t="n">
        <v>0.9</v>
      </c>
      <c r="H257" t="n">
        <v>0</v>
      </c>
      <c r="I257" t="n">
        <v>0</v>
      </c>
      <c r="J257" t="n">
        <v>0</v>
      </c>
      <c r="K257" t="n">
        <v>0</v>
      </c>
      <c r="L257" t="n">
        <v>0</v>
      </c>
      <c r="M257" t="n">
        <v>0</v>
      </c>
      <c r="N257" t="n">
        <v>0</v>
      </c>
      <c r="O257" t="n">
        <v>0</v>
      </c>
      <c r="P257" t="n">
        <v>0</v>
      </c>
      <c r="Q257" t="n">
        <v>0</v>
      </c>
      <c r="R257" s="2" t="inlineStr"/>
    </row>
    <row r="258" ht="15" customHeight="1">
      <c r="A258" t="inlineStr">
        <is>
          <t>A 48366-2019</t>
        </is>
      </c>
      <c r="B258" s="1" t="n">
        <v>43726</v>
      </c>
      <c r="C258" s="1" t="n">
        <v>45575</v>
      </c>
      <c r="D258" t="inlineStr">
        <is>
          <t>VÄRMLANDS LÄN</t>
        </is>
      </c>
      <c r="E258" t="inlineStr">
        <is>
          <t>TORSBY</t>
        </is>
      </c>
      <c r="G258" t="n">
        <v>2.3</v>
      </c>
      <c r="H258" t="n">
        <v>0</v>
      </c>
      <c r="I258" t="n">
        <v>0</v>
      </c>
      <c r="J258" t="n">
        <v>0</v>
      </c>
      <c r="K258" t="n">
        <v>0</v>
      </c>
      <c r="L258" t="n">
        <v>0</v>
      </c>
      <c r="M258" t="n">
        <v>0</v>
      </c>
      <c r="N258" t="n">
        <v>0</v>
      </c>
      <c r="O258" t="n">
        <v>0</v>
      </c>
      <c r="P258" t="n">
        <v>0</v>
      </c>
      <c r="Q258" t="n">
        <v>0</v>
      </c>
      <c r="R258" s="2" t="inlineStr"/>
    </row>
    <row r="259" ht="15" customHeight="1">
      <c r="A259" t="inlineStr">
        <is>
          <t>A 49550-2019</t>
        </is>
      </c>
      <c r="B259" s="1" t="n">
        <v>43727</v>
      </c>
      <c r="C259" s="1" t="n">
        <v>45575</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51497-2019</t>
        </is>
      </c>
      <c r="B260" s="1" t="n">
        <v>43734</v>
      </c>
      <c r="C260" s="1" t="n">
        <v>45575</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50428-2019</t>
        </is>
      </c>
      <c r="B261" s="1" t="n">
        <v>43735</v>
      </c>
      <c r="C261" s="1" t="n">
        <v>45575</v>
      </c>
      <c r="D261" t="inlineStr">
        <is>
          <t>VÄRMLANDS LÄN</t>
        </is>
      </c>
      <c r="E261" t="inlineStr">
        <is>
          <t>TORSBY</t>
        </is>
      </c>
      <c r="G261" t="n">
        <v>0.4</v>
      </c>
      <c r="H261" t="n">
        <v>0</v>
      </c>
      <c r="I261" t="n">
        <v>0</v>
      </c>
      <c r="J261" t="n">
        <v>0</v>
      </c>
      <c r="K261" t="n">
        <v>0</v>
      </c>
      <c r="L261" t="n">
        <v>0</v>
      </c>
      <c r="M261" t="n">
        <v>0</v>
      </c>
      <c r="N261" t="n">
        <v>0</v>
      </c>
      <c r="O261" t="n">
        <v>0</v>
      </c>
      <c r="P261" t="n">
        <v>0</v>
      </c>
      <c r="Q261" t="n">
        <v>0</v>
      </c>
      <c r="R261" s="2" t="inlineStr"/>
    </row>
    <row r="262" ht="15" customHeight="1">
      <c r="A262" t="inlineStr">
        <is>
          <t>A 52319-2019</t>
        </is>
      </c>
      <c r="B262" s="1" t="n">
        <v>43735</v>
      </c>
      <c r="C262" s="1" t="n">
        <v>45575</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52326-2019</t>
        </is>
      </c>
      <c r="B263" s="1" t="n">
        <v>43735</v>
      </c>
      <c r="C263" s="1" t="n">
        <v>45575</v>
      </c>
      <c r="D263" t="inlineStr">
        <is>
          <t>VÄRMLANDS LÄN</t>
        </is>
      </c>
      <c r="E263" t="inlineStr">
        <is>
          <t>TORSBY</t>
        </is>
      </c>
      <c r="G263" t="n">
        <v>6.2</v>
      </c>
      <c r="H263" t="n">
        <v>0</v>
      </c>
      <c r="I263" t="n">
        <v>0</v>
      </c>
      <c r="J263" t="n">
        <v>0</v>
      </c>
      <c r="K263" t="n">
        <v>0</v>
      </c>
      <c r="L263" t="n">
        <v>0</v>
      </c>
      <c r="M263" t="n">
        <v>0</v>
      </c>
      <c r="N263" t="n">
        <v>0</v>
      </c>
      <c r="O263" t="n">
        <v>0</v>
      </c>
      <c r="P263" t="n">
        <v>0</v>
      </c>
      <c r="Q263" t="n">
        <v>0</v>
      </c>
      <c r="R263" s="2" t="inlineStr"/>
    </row>
    <row r="264" ht="15" customHeight="1">
      <c r="A264" t="inlineStr">
        <is>
          <t>A 52317-2019</t>
        </is>
      </c>
      <c r="B264" s="1" t="n">
        <v>43735</v>
      </c>
      <c r="C264" s="1" t="n">
        <v>45575</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51254-2019</t>
        </is>
      </c>
      <c r="B265" s="1" t="n">
        <v>43739</v>
      </c>
      <c r="C265" s="1" t="n">
        <v>45575</v>
      </c>
      <c r="D265" t="inlineStr">
        <is>
          <t>VÄRMLANDS LÄN</t>
        </is>
      </c>
      <c r="E265" t="inlineStr">
        <is>
          <t>TORSBY</t>
        </is>
      </c>
      <c r="F265" t="inlineStr">
        <is>
          <t>Bergvik skog väst AB</t>
        </is>
      </c>
      <c r="G265" t="n">
        <v>4.5</v>
      </c>
      <c r="H265" t="n">
        <v>0</v>
      </c>
      <c r="I265" t="n">
        <v>0</v>
      </c>
      <c r="J265" t="n">
        <v>0</v>
      </c>
      <c r="K265" t="n">
        <v>0</v>
      </c>
      <c r="L265" t="n">
        <v>0</v>
      </c>
      <c r="M265" t="n">
        <v>0</v>
      </c>
      <c r="N265" t="n">
        <v>0</v>
      </c>
      <c r="O265" t="n">
        <v>0</v>
      </c>
      <c r="P265" t="n">
        <v>0</v>
      </c>
      <c r="Q265" t="n">
        <v>0</v>
      </c>
      <c r="R265" s="2" t="inlineStr"/>
    </row>
    <row r="266" ht="15" customHeight="1">
      <c r="A266" t="inlineStr">
        <is>
          <t>A 52186-2019</t>
        </is>
      </c>
      <c r="B266" s="1" t="n">
        <v>43742</v>
      </c>
      <c r="C266" s="1" t="n">
        <v>45575</v>
      </c>
      <c r="D266" t="inlineStr">
        <is>
          <t>VÄRMLANDS LÄN</t>
        </is>
      </c>
      <c r="E266" t="inlineStr">
        <is>
          <t>TORSBY</t>
        </is>
      </c>
      <c r="G266" t="n">
        <v>3.6</v>
      </c>
      <c r="H266" t="n">
        <v>0</v>
      </c>
      <c r="I266" t="n">
        <v>0</v>
      </c>
      <c r="J266" t="n">
        <v>0</v>
      </c>
      <c r="K266" t="n">
        <v>0</v>
      </c>
      <c r="L266" t="n">
        <v>0</v>
      </c>
      <c r="M266" t="n">
        <v>0</v>
      </c>
      <c r="N266" t="n">
        <v>0</v>
      </c>
      <c r="O266" t="n">
        <v>0</v>
      </c>
      <c r="P266" t="n">
        <v>0</v>
      </c>
      <c r="Q266" t="n">
        <v>0</v>
      </c>
      <c r="R266" s="2" t="inlineStr"/>
    </row>
    <row r="267" ht="15" customHeight="1">
      <c r="A267" t="inlineStr">
        <is>
          <t>A 52311-2019</t>
        </is>
      </c>
      <c r="B267" s="1" t="n">
        <v>43745</v>
      </c>
      <c r="C267" s="1" t="n">
        <v>45575</v>
      </c>
      <c r="D267" t="inlineStr">
        <is>
          <t>VÄRMLANDS LÄN</t>
        </is>
      </c>
      <c r="E267" t="inlineStr">
        <is>
          <t>TORSBY</t>
        </is>
      </c>
      <c r="G267" t="n">
        <v>2</v>
      </c>
      <c r="H267" t="n">
        <v>0</v>
      </c>
      <c r="I267" t="n">
        <v>0</v>
      </c>
      <c r="J267" t="n">
        <v>0</v>
      </c>
      <c r="K267" t="n">
        <v>0</v>
      </c>
      <c r="L267" t="n">
        <v>0</v>
      </c>
      <c r="M267" t="n">
        <v>0</v>
      </c>
      <c r="N267" t="n">
        <v>0</v>
      </c>
      <c r="O267" t="n">
        <v>0</v>
      </c>
      <c r="P267" t="n">
        <v>0</v>
      </c>
      <c r="Q267" t="n">
        <v>0</v>
      </c>
      <c r="R267" s="2" t="inlineStr"/>
    </row>
    <row r="268" ht="15" customHeight="1">
      <c r="A268" t="inlineStr">
        <is>
          <t>A 52674-2019</t>
        </is>
      </c>
      <c r="B268" s="1" t="n">
        <v>43746</v>
      </c>
      <c r="C268" s="1" t="n">
        <v>45575</v>
      </c>
      <c r="D268" t="inlineStr">
        <is>
          <t>VÄRMLANDS LÄN</t>
        </is>
      </c>
      <c r="E268" t="inlineStr">
        <is>
          <t>TORSBY</t>
        </is>
      </c>
      <c r="F268" t="inlineStr">
        <is>
          <t>Bergvik skog väst AB</t>
        </is>
      </c>
      <c r="G268" t="n">
        <v>26.4</v>
      </c>
      <c r="H268" t="n">
        <v>0</v>
      </c>
      <c r="I268" t="n">
        <v>0</v>
      </c>
      <c r="J268" t="n">
        <v>0</v>
      </c>
      <c r="K268" t="n">
        <v>0</v>
      </c>
      <c r="L268" t="n">
        <v>0</v>
      </c>
      <c r="M268" t="n">
        <v>0</v>
      </c>
      <c r="N268" t="n">
        <v>0</v>
      </c>
      <c r="O268" t="n">
        <v>0</v>
      </c>
      <c r="P268" t="n">
        <v>0</v>
      </c>
      <c r="Q268" t="n">
        <v>0</v>
      </c>
      <c r="R268" s="2" t="inlineStr"/>
    </row>
    <row r="269" ht="15" customHeight="1">
      <c r="A269" t="inlineStr">
        <is>
          <t>A 52885-2019</t>
        </is>
      </c>
      <c r="B269" s="1" t="n">
        <v>43746</v>
      </c>
      <c r="C269" s="1" t="n">
        <v>45575</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53271-2019</t>
        </is>
      </c>
      <c r="B270" s="1" t="n">
        <v>43748</v>
      </c>
      <c r="C270" s="1" t="n">
        <v>45575</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54764-2019</t>
        </is>
      </c>
      <c r="B271" s="1" t="n">
        <v>43748</v>
      </c>
      <c r="C271" s="1" t="n">
        <v>45575</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53635-2019</t>
        </is>
      </c>
      <c r="B272" s="1" t="n">
        <v>43749</v>
      </c>
      <c r="C272" s="1" t="n">
        <v>45575</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53746-2019</t>
        </is>
      </c>
      <c r="B273" s="1" t="n">
        <v>43749</v>
      </c>
      <c r="C273" s="1" t="n">
        <v>45575</v>
      </c>
      <c r="D273" t="inlineStr">
        <is>
          <t>VÄRMLANDS LÄN</t>
        </is>
      </c>
      <c r="E273" t="inlineStr">
        <is>
          <t>TORSBY</t>
        </is>
      </c>
      <c r="G273" t="n">
        <v>0.3</v>
      </c>
      <c r="H273" t="n">
        <v>0</v>
      </c>
      <c r="I273" t="n">
        <v>0</v>
      </c>
      <c r="J273" t="n">
        <v>0</v>
      </c>
      <c r="K273" t="n">
        <v>0</v>
      </c>
      <c r="L273" t="n">
        <v>0</v>
      </c>
      <c r="M273" t="n">
        <v>0</v>
      </c>
      <c r="N273" t="n">
        <v>0</v>
      </c>
      <c r="O273" t="n">
        <v>0</v>
      </c>
      <c r="P273" t="n">
        <v>0</v>
      </c>
      <c r="Q273" t="n">
        <v>0</v>
      </c>
      <c r="R273" s="2" t="inlineStr"/>
    </row>
    <row r="274" ht="15" customHeight="1">
      <c r="A274" t="inlineStr">
        <is>
          <t>A 53744-2019</t>
        </is>
      </c>
      <c r="B274" s="1" t="n">
        <v>43749</v>
      </c>
      <c r="C274" s="1" t="n">
        <v>45575</v>
      </c>
      <c r="D274" t="inlineStr">
        <is>
          <t>VÄRMLANDS LÄN</t>
        </is>
      </c>
      <c r="E274" t="inlineStr">
        <is>
          <t>TORSBY</t>
        </is>
      </c>
      <c r="G274" t="n">
        <v>0.4</v>
      </c>
      <c r="H274" t="n">
        <v>0</v>
      </c>
      <c r="I274" t="n">
        <v>0</v>
      </c>
      <c r="J274" t="n">
        <v>0</v>
      </c>
      <c r="K274" t="n">
        <v>0</v>
      </c>
      <c r="L274" t="n">
        <v>0</v>
      </c>
      <c r="M274" t="n">
        <v>0</v>
      </c>
      <c r="N274" t="n">
        <v>0</v>
      </c>
      <c r="O274" t="n">
        <v>0</v>
      </c>
      <c r="P274" t="n">
        <v>0</v>
      </c>
      <c r="Q274" t="n">
        <v>0</v>
      </c>
      <c r="R274" s="2" t="inlineStr"/>
    </row>
    <row r="275" ht="15" customHeight="1">
      <c r="A275" t="inlineStr">
        <is>
          <t>A 54437-2019</t>
        </is>
      </c>
      <c r="B275" s="1" t="n">
        <v>43754</v>
      </c>
      <c r="C275" s="1" t="n">
        <v>45575</v>
      </c>
      <c r="D275" t="inlineStr">
        <is>
          <t>VÄRMLANDS LÄN</t>
        </is>
      </c>
      <c r="E275" t="inlineStr">
        <is>
          <t>TORSBY</t>
        </is>
      </c>
      <c r="G275" t="n">
        <v>1.5</v>
      </c>
      <c r="H275" t="n">
        <v>0</v>
      </c>
      <c r="I275" t="n">
        <v>0</v>
      </c>
      <c r="J275" t="n">
        <v>0</v>
      </c>
      <c r="K275" t="n">
        <v>0</v>
      </c>
      <c r="L275" t="n">
        <v>0</v>
      </c>
      <c r="M275" t="n">
        <v>0</v>
      </c>
      <c r="N275" t="n">
        <v>0</v>
      </c>
      <c r="O275" t="n">
        <v>0</v>
      </c>
      <c r="P275" t="n">
        <v>0</v>
      </c>
      <c r="Q275" t="n">
        <v>0</v>
      </c>
      <c r="R275" s="2" t="inlineStr"/>
    </row>
    <row r="276" ht="15" customHeight="1">
      <c r="A276" t="inlineStr">
        <is>
          <t>A 56256-2019</t>
        </is>
      </c>
      <c r="B276" s="1" t="n">
        <v>43756</v>
      </c>
      <c r="C276" s="1" t="n">
        <v>45575</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55988-2019</t>
        </is>
      </c>
      <c r="B277" s="1" t="n">
        <v>43759</v>
      </c>
      <c r="C277" s="1" t="n">
        <v>45575</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56704-2019</t>
        </is>
      </c>
      <c r="B278" s="1" t="n">
        <v>43759</v>
      </c>
      <c r="C278" s="1" t="n">
        <v>45575</v>
      </c>
      <c r="D278" t="inlineStr">
        <is>
          <t>VÄRMLANDS LÄN</t>
        </is>
      </c>
      <c r="E278" t="inlineStr">
        <is>
          <t>TORSBY</t>
        </is>
      </c>
      <c r="G278" t="n">
        <v>2.6</v>
      </c>
      <c r="H278" t="n">
        <v>0</v>
      </c>
      <c r="I278" t="n">
        <v>0</v>
      </c>
      <c r="J278" t="n">
        <v>0</v>
      </c>
      <c r="K278" t="n">
        <v>0</v>
      </c>
      <c r="L278" t="n">
        <v>0</v>
      </c>
      <c r="M278" t="n">
        <v>0</v>
      </c>
      <c r="N278" t="n">
        <v>0</v>
      </c>
      <c r="O278" t="n">
        <v>0</v>
      </c>
      <c r="P278" t="n">
        <v>0</v>
      </c>
      <c r="Q278" t="n">
        <v>0</v>
      </c>
      <c r="R278" s="2" t="inlineStr"/>
    </row>
    <row r="279" ht="15" customHeight="1">
      <c r="A279" t="inlineStr">
        <is>
          <t>A 55927-2019</t>
        </is>
      </c>
      <c r="B279" s="1" t="n">
        <v>43761</v>
      </c>
      <c r="C279" s="1" t="n">
        <v>45575</v>
      </c>
      <c r="D279" t="inlineStr">
        <is>
          <t>VÄRMLANDS LÄN</t>
        </is>
      </c>
      <c r="E279" t="inlineStr">
        <is>
          <t>TORSBY</t>
        </is>
      </c>
      <c r="G279" t="n">
        <v>2.8</v>
      </c>
      <c r="H279" t="n">
        <v>0</v>
      </c>
      <c r="I279" t="n">
        <v>0</v>
      </c>
      <c r="J279" t="n">
        <v>0</v>
      </c>
      <c r="K279" t="n">
        <v>0</v>
      </c>
      <c r="L279" t="n">
        <v>0</v>
      </c>
      <c r="M279" t="n">
        <v>0</v>
      </c>
      <c r="N279" t="n">
        <v>0</v>
      </c>
      <c r="O279" t="n">
        <v>0</v>
      </c>
      <c r="P279" t="n">
        <v>0</v>
      </c>
      <c r="Q279" t="n">
        <v>0</v>
      </c>
      <c r="R279" s="2" t="inlineStr"/>
    </row>
    <row r="280" ht="15" customHeight="1">
      <c r="A280" t="inlineStr">
        <is>
          <t>A 56021-2019</t>
        </is>
      </c>
      <c r="B280" s="1" t="n">
        <v>43761</v>
      </c>
      <c r="C280" s="1" t="n">
        <v>45575</v>
      </c>
      <c r="D280" t="inlineStr">
        <is>
          <t>VÄRMLANDS LÄN</t>
        </is>
      </c>
      <c r="E280" t="inlineStr">
        <is>
          <t>TORSBY</t>
        </is>
      </c>
      <c r="G280" t="n">
        <v>1.5</v>
      </c>
      <c r="H280" t="n">
        <v>0</v>
      </c>
      <c r="I280" t="n">
        <v>0</v>
      </c>
      <c r="J280" t="n">
        <v>0</v>
      </c>
      <c r="K280" t="n">
        <v>0</v>
      </c>
      <c r="L280" t="n">
        <v>0</v>
      </c>
      <c r="M280" t="n">
        <v>0</v>
      </c>
      <c r="N280" t="n">
        <v>0</v>
      </c>
      <c r="O280" t="n">
        <v>0</v>
      </c>
      <c r="P280" t="n">
        <v>0</v>
      </c>
      <c r="Q280" t="n">
        <v>0</v>
      </c>
      <c r="R280" s="2" t="inlineStr"/>
    </row>
    <row r="281" ht="15" customHeight="1">
      <c r="A281" t="inlineStr">
        <is>
          <t>A 56305-2019</t>
        </is>
      </c>
      <c r="B281" s="1" t="n">
        <v>43762</v>
      </c>
      <c r="C281" s="1" t="n">
        <v>45575</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56594-2019</t>
        </is>
      </c>
      <c r="B282" s="1" t="n">
        <v>43763</v>
      </c>
      <c r="C282" s="1" t="n">
        <v>45575</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56633-2019</t>
        </is>
      </c>
      <c r="B283" s="1" t="n">
        <v>43763</v>
      </c>
      <c r="C283" s="1" t="n">
        <v>45575</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56824-2019</t>
        </is>
      </c>
      <c r="B284" s="1" t="n">
        <v>43764</v>
      </c>
      <c r="C284" s="1" t="n">
        <v>45575</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56935-2019</t>
        </is>
      </c>
      <c r="B285" s="1" t="n">
        <v>43766</v>
      </c>
      <c r="C285" s="1" t="n">
        <v>45575</v>
      </c>
      <c r="D285" t="inlineStr">
        <is>
          <t>VÄRMLANDS LÄN</t>
        </is>
      </c>
      <c r="E285" t="inlineStr">
        <is>
          <t>TORSBY</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57399-2019</t>
        </is>
      </c>
      <c r="B286" s="1" t="n">
        <v>43767</v>
      </c>
      <c r="C286" s="1" t="n">
        <v>45575</v>
      </c>
      <c r="D286" t="inlineStr">
        <is>
          <t>VÄRMLANDS LÄN</t>
        </is>
      </c>
      <c r="E286" t="inlineStr">
        <is>
          <t>TORSBY</t>
        </is>
      </c>
      <c r="F286" t="inlineStr">
        <is>
          <t>Bergvik skog väst AB</t>
        </is>
      </c>
      <c r="G286" t="n">
        <v>18.9</v>
      </c>
      <c r="H286" t="n">
        <v>0</v>
      </c>
      <c r="I286" t="n">
        <v>0</v>
      </c>
      <c r="J286" t="n">
        <v>0</v>
      </c>
      <c r="K286" t="n">
        <v>0</v>
      </c>
      <c r="L286" t="n">
        <v>0</v>
      </c>
      <c r="M286" t="n">
        <v>0</v>
      </c>
      <c r="N286" t="n">
        <v>0</v>
      </c>
      <c r="O286" t="n">
        <v>0</v>
      </c>
      <c r="P286" t="n">
        <v>0</v>
      </c>
      <c r="Q286" t="n">
        <v>0</v>
      </c>
      <c r="R286" s="2" t="inlineStr"/>
    </row>
    <row r="287" ht="15" customHeight="1">
      <c r="A287" t="inlineStr">
        <is>
          <t>A 57251-2019</t>
        </is>
      </c>
      <c r="B287" s="1" t="n">
        <v>43767</v>
      </c>
      <c r="C287" s="1" t="n">
        <v>45575</v>
      </c>
      <c r="D287" t="inlineStr">
        <is>
          <t>VÄRMLANDS LÄN</t>
        </is>
      </c>
      <c r="E287" t="inlineStr">
        <is>
          <t>TORSBY</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57301-2019</t>
        </is>
      </c>
      <c r="B288" s="1" t="n">
        <v>43767</v>
      </c>
      <c r="C288" s="1" t="n">
        <v>45575</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57268-2019</t>
        </is>
      </c>
      <c r="B289" s="1" t="n">
        <v>43767</v>
      </c>
      <c r="C289" s="1" t="n">
        <v>45575</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58530-2019</t>
        </is>
      </c>
      <c r="B290" s="1" t="n">
        <v>43767</v>
      </c>
      <c r="C290" s="1" t="n">
        <v>45575</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57223-2019</t>
        </is>
      </c>
      <c r="B291" s="1" t="n">
        <v>43767</v>
      </c>
      <c r="C291" s="1" t="n">
        <v>45575</v>
      </c>
      <c r="D291" t="inlineStr">
        <is>
          <t>VÄRMLANDS LÄN</t>
        </is>
      </c>
      <c r="E291" t="inlineStr">
        <is>
          <t>TORSBY</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57566-2019</t>
        </is>
      </c>
      <c r="B292" s="1" t="n">
        <v>43768</v>
      </c>
      <c r="C292" s="1" t="n">
        <v>45575</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57704-2019</t>
        </is>
      </c>
      <c r="B293" s="1" t="n">
        <v>43768</v>
      </c>
      <c r="C293" s="1" t="n">
        <v>45575</v>
      </c>
      <c r="D293" t="inlineStr">
        <is>
          <t>VÄRMLANDS LÄN</t>
        </is>
      </c>
      <c r="E293" t="inlineStr">
        <is>
          <t>TORSBY</t>
        </is>
      </c>
      <c r="F293" t="inlineStr">
        <is>
          <t>Kommuner</t>
        </is>
      </c>
      <c r="G293" t="n">
        <v>0.9</v>
      </c>
      <c r="H293" t="n">
        <v>0</v>
      </c>
      <c r="I293" t="n">
        <v>0</v>
      </c>
      <c r="J293" t="n">
        <v>0</v>
      </c>
      <c r="K293" t="n">
        <v>0</v>
      </c>
      <c r="L293" t="n">
        <v>0</v>
      </c>
      <c r="M293" t="n">
        <v>0</v>
      </c>
      <c r="N293" t="n">
        <v>0</v>
      </c>
      <c r="O293" t="n">
        <v>0</v>
      </c>
      <c r="P293" t="n">
        <v>0</v>
      </c>
      <c r="Q293" t="n">
        <v>0</v>
      </c>
      <c r="R293" s="2" t="inlineStr"/>
    </row>
    <row r="294" ht="15" customHeight="1">
      <c r="A294" t="inlineStr">
        <is>
          <t>A 57565-2019</t>
        </is>
      </c>
      <c r="B294" s="1" t="n">
        <v>43768</v>
      </c>
      <c r="C294" s="1" t="n">
        <v>45575</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58004-2019</t>
        </is>
      </c>
      <c r="B295" s="1" t="n">
        <v>43769</v>
      </c>
      <c r="C295" s="1" t="n">
        <v>45575</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58678-2019</t>
        </is>
      </c>
      <c r="B296" s="1" t="n">
        <v>43773</v>
      </c>
      <c r="C296" s="1" t="n">
        <v>45575</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59127-2019</t>
        </is>
      </c>
      <c r="B297" s="1" t="n">
        <v>43775</v>
      </c>
      <c r="C297" s="1" t="n">
        <v>45575</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59593-2019</t>
        </is>
      </c>
      <c r="B298" s="1" t="n">
        <v>43776</v>
      </c>
      <c r="C298" s="1" t="n">
        <v>45575</v>
      </c>
      <c r="D298" t="inlineStr">
        <is>
          <t>VÄRMLANDS LÄN</t>
        </is>
      </c>
      <c r="E298" t="inlineStr">
        <is>
          <t>TORSBY</t>
        </is>
      </c>
      <c r="F298" t="inlineStr">
        <is>
          <t>Bergvik skog väst AB</t>
        </is>
      </c>
      <c r="G298" t="n">
        <v>6.8</v>
      </c>
      <c r="H298" t="n">
        <v>0</v>
      </c>
      <c r="I298" t="n">
        <v>0</v>
      </c>
      <c r="J298" t="n">
        <v>0</v>
      </c>
      <c r="K298" t="n">
        <v>0</v>
      </c>
      <c r="L298" t="n">
        <v>0</v>
      </c>
      <c r="M298" t="n">
        <v>0</v>
      </c>
      <c r="N298" t="n">
        <v>0</v>
      </c>
      <c r="O298" t="n">
        <v>0</v>
      </c>
      <c r="P298" t="n">
        <v>0</v>
      </c>
      <c r="Q298" t="n">
        <v>0</v>
      </c>
      <c r="R298" s="2" t="inlineStr"/>
    </row>
    <row r="299" ht="15" customHeight="1">
      <c r="A299" t="inlineStr">
        <is>
          <t>A 60545-2019</t>
        </is>
      </c>
      <c r="B299" s="1" t="n">
        <v>43781</v>
      </c>
      <c r="C299" s="1" t="n">
        <v>45575</v>
      </c>
      <c r="D299" t="inlineStr">
        <is>
          <t>VÄRMLANDS LÄN</t>
        </is>
      </c>
      <c r="E299" t="inlineStr">
        <is>
          <t>TORSBY</t>
        </is>
      </c>
      <c r="F299" t="inlineStr">
        <is>
          <t>Bergvik skog väst AB</t>
        </is>
      </c>
      <c r="G299" t="n">
        <v>1.3</v>
      </c>
      <c r="H299" t="n">
        <v>0</v>
      </c>
      <c r="I299" t="n">
        <v>0</v>
      </c>
      <c r="J299" t="n">
        <v>0</v>
      </c>
      <c r="K299" t="n">
        <v>0</v>
      </c>
      <c r="L299" t="n">
        <v>0</v>
      </c>
      <c r="M299" t="n">
        <v>0</v>
      </c>
      <c r="N299" t="n">
        <v>0</v>
      </c>
      <c r="O299" t="n">
        <v>0</v>
      </c>
      <c r="P299" t="n">
        <v>0</v>
      </c>
      <c r="Q299" t="n">
        <v>0</v>
      </c>
      <c r="R299" s="2" t="inlineStr"/>
    </row>
    <row r="300" ht="15" customHeight="1">
      <c r="A300" t="inlineStr">
        <is>
          <t>A 61074-2019</t>
        </is>
      </c>
      <c r="B300" s="1" t="n">
        <v>43782</v>
      </c>
      <c r="C300" s="1" t="n">
        <v>45575</v>
      </c>
      <c r="D300" t="inlineStr">
        <is>
          <t>VÄRMLANDS LÄN</t>
        </is>
      </c>
      <c r="E300" t="inlineStr">
        <is>
          <t>TORSBY</t>
        </is>
      </c>
      <c r="G300" t="n">
        <v>6.4</v>
      </c>
      <c r="H300" t="n">
        <v>0</v>
      </c>
      <c r="I300" t="n">
        <v>0</v>
      </c>
      <c r="J300" t="n">
        <v>0</v>
      </c>
      <c r="K300" t="n">
        <v>0</v>
      </c>
      <c r="L300" t="n">
        <v>0</v>
      </c>
      <c r="M300" t="n">
        <v>0</v>
      </c>
      <c r="N300" t="n">
        <v>0</v>
      </c>
      <c r="O300" t="n">
        <v>0</v>
      </c>
      <c r="P300" t="n">
        <v>0</v>
      </c>
      <c r="Q300" t="n">
        <v>0</v>
      </c>
      <c r="R300" s="2" t="inlineStr"/>
    </row>
    <row r="301" ht="15" customHeight="1">
      <c r="A301" t="inlineStr">
        <is>
          <t>A 62050-2019</t>
        </is>
      </c>
      <c r="B301" s="1" t="n">
        <v>43787</v>
      </c>
      <c r="C301" s="1" t="n">
        <v>45575</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61958-2019</t>
        </is>
      </c>
      <c r="B302" s="1" t="n">
        <v>43787</v>
      </c>
      <c r="C302" s="1" t="n">
        <v>45575</v>
      </c>
      <c r="D302" t="inlineStr">
        <is>
          <t>VÄRMLANDS LÄN</t>
        </is>
      </c>
      <c r="E302" t="inlineStr">
        <is>
          <t>TORSBY</t>
        </is>
      </c>
      <c r="G302" t="n">
        <v>2.4</v>
      </c>
      <c r="H302" t="n">
        <v>0</v>
      </c>
      <c r="I302" t="n">
        <v>0</v>
      </c>
      <c r="J302" t="n">
        <v>0</v>
      </c>
      <c r="K302" t="n">
        <v>0</v>
      </c>
      <c r="L302" t="n">
        <v>0</v>
      </c>
      <c r="M302" t="n">
        <v>0</v>
      </c>
      <c r="N302" t="n">
        <v>0</v>
      </c>
      <c r="O302" t="n">
        <v>0</v>
      </c>
      <c r="P302" t="n">
        <v>0</v>
      </c>
      <c r="Q302" t="n">
        <v>0</v>
      </c>
      <c r="R302" s="2" t="inlineStr"/>
    </row>
    <row r="303" ht="15" customHeight="1">
      <c r="A303" t="inlineStr">
        <is>
          <t>A 62255-2019</t>
        </is>
      </c>
      <c r="B303" s="1" t="n">
        <v>43788</v>
      </c>
      <c r="C303" s="1" t="n">
        <v>45575</v>
      </c>
      <c r="D303" t="inlineStr">
        <is>
          <t>VÄRMLANDS LÄN</t>
        </is>
      </c>
      <c r="E303" t="inlineStr">
        <is>
          <t>TORSBY</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62286-2019</t>
        </is>
      </c>
      <c r="B304" s="1" t="n">
        <v>43788</v>
      </c>
      <c r="C304" s="1" t="n">
        <v>45575</v>
      </c>
      <c r="D304" t="inlineStr">
        <is>
          <t>VÄRMLANDS LÄN</t>
        </is>
      </c>
      <c r="E304" t="inlineStr">
        <is>
          <t>TORSBY</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63743-2019</t>
        </is>
      </c>
      <c r="B305" s="1" t="n">
        <v>43795</v>
      </c>
      <c r="C305" s="1" t="n">
        <v>45575</v>
      </c>
      <c r="D305" t="inlineStr">
        <is>
          <t>VÄRMLANDS LÄN</t>
        </is>
      </c>
      <c r="E305" t="inlineStr">
        <is>
          <t>TORSBY</t>
        </is>
      </c>
      <c r="F305" t="inlineStr">
        <is>
          <t>Bergvik skog väst AB</t>
        </is>
      </c>
      <c r="G305" t="n">
        <v>6.3</v>
      </c>
      <c r="H305" t="n">
        <v>0</v>
      </c>
      <c r="I305" t="n">
        <v>0</v>
      </c>
      <c r="J305" t="n">
        <v>0</v>
      </c>
      <c r="K305" t="n">
        <v>0</v>
      </c>
      <c r="L305" t="n">
        <v>0</v>
      </c>
      <c r="M305" t="n">
        <v>0</v>
      </c>
      <c r="N305" t="n">
        <v>0</v>
      </c>
      <c r="O305" t="n">
        <v>0</v>
      </c>
      <c r="P305" t="n">
        <v>0</v>
      </c>
      <c r="Q305" t="n">
        <v>0</v>
      </c>
      <c r="R305" s="2" t="inlineStr"/>
    </row>
    <row r="306" ht="15" customHeight="1">
      <c r="A306" t="inlineStr">
        <is>
          <t>A 64114-2019</t>
        </is>
      </c>
      <c r="B306" s="1" t="n">
        <v>43796</v>
      </c>
      <c r="C306" s="1" t="n">
        <v>45575</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64444-2019</t>
        </is>
      </c>
      <c r="B307" s="1" t="n">
        <v>43797</v>
      </c>
      <c r="C307" s="1" t="n">
        <v>45575</v>
      </c>
      <c r="D307" t="inlineStr">
        <is>
          <t>VÄRMLANDS LÄN</t>
        </is>
      </c>
      <c r="E307" t="inlineStr">
        <is>
          <t>TORSBY</t>
        </is>
      </c>
      <c r="G307" t="n">
        <v>3.5</v>
      </c>
      <c r="H307" t="n">
        <v>0</v>
      </c>
      <c r="I307" t="n">
        <v>0</v>
      </c>
      <c r="J307" t="n">
        <v>0</v>
      </c>
      <c r="K307" t="n">
        <v>0</v>
      </c>
      <c r="L307" t="n">
        <v>0</v>
      </c>
      <c r="M307" t="n">
        <v>0</v>
      </c>
      <c r="N307" t="n">
        <v>0</v>
      </c>
      <c r="O307" t="n">
        <v>0</v>
      </c>
      <c r="P307" t="n">
        <v>0</v>
      </c>
      <c r="Q307" t="n">
        <v>0</v>
      </c>
      <c r="R307" s="2" t="inlineStr"/>
    </row>
    <row r="308" ht="15" customHeight="1">
      <c r="A308" t="inlineStr">
        <is>
          <t>A 65187-2019</t>
        </is>
      </c>
      <c r="B308" s="1" t="n">
        <v>43797</v>
      </c>
      <c r="C308" s="1" t="n">
        <v>45575</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65243-2019</t>
        </is>
      </c>
      <c r="B309" s="1" t="n">
        <v>43797</v>
      </c>
      <c r="C309" s="1" t="n">
        <v>45575</v>
      </c>
      <c r="D309" t="inlineStr">
        <is>
          <t>VÄRMLANDS LÄN</t>
        </is>
      </c>
      <c r="E309" t="inlineStr">
        <is>
          <t>TORSBY</t>
        </is>
      </c>
      <c r="F309" t="inlineStr">
        <is>
          <t>Övriga statliga verk och myndigheter</t>
        </is>
      </c>
      <c r="G309" t="n">
        <v>20.3</v>
      </c>
      <c r="H309" t="n">
        <v>0</v>
      </c>
      <c r="I309" t="n">
        <v>0</v>
      </c>
      <c r="J309" t="n">
        <v>0</v>
      </c>
      <c r="K309" t="n">
        <v>0</v>
      </c>
      <c r="L309" t="n">
        <v>0</v>
      </c>
      <c r="M309" t="n">
        <v>0</v>
      </c>
      <c r="N309" t="n">
        <v>0</v>
      </c>
      <c r="O309" t="n">
        <v>0</v>
      </c>
      <c r="P309" t="n">
        <v>0</v>
      </c>
      <c r="Q309" t="n">
        <v>0</v>
      </c>
      <c r="R309" s="2" t="inlineStr"/>
    </row>
    <row r="310" ht="15" customHeight="1">
      <c r="A310" t="inlineStr">
        <is>
          <t>A 64803-2019</t>
        </is>
      </c>
      <c r="B310" s="1" t="n">
        <v>43801</v>
      </c>
      <c r="C310" s="1" t="n">
        <v>45575</v>
      </c>
      <c r="D310" t="inlineStr">
        <is>
          <t>VÄRMLANDS LÄN</t>
        </is>
      </c>
      <c r="E310" t="inlineStr">
        <is>
          <t>TORSBY</t>
        </is>
      </c>
      <c r="G310" t="n">
        <v>0.5</v>
      </c>
      <c r="H310" t="n">
        <v>0</v>
      </c>
      <c r="I310" t="n">
        <v>0</v>
      </c>
      <c r="J310" t="n">
        <v>0</v>
      </c>
      <c r="K310" t="n">
        <v>0</v>
      </c>
      <c r="L310" t="n">
        <v>0</v>
      </c>
      <c r="M310" t="n">
        <v>0</v>
      </c>
      <c r="N310" t="n">
        <v>0</v>
      </c>
      <c r="O310" t="n">
        <v>0</v>
      </c>
      <c r="P310" t="n">
        <v>0</v>
      </c>
      <c r="Q310" t="n">
        <v>0</v>
      </c>
      <c r="R310" s="2" t="inlineStr"/>
    </row>
    <row r="311" ht="15" customHeight="1">
      <c r="A311" t="inlineStr">
        <is>
          <t>A 65132-2019</t>
        </is>
      </c>
      <c r="B311" s="1" t="n">
        <v>43802</v>
      </c>
      <c r="C311" s="1" t="n">
        <v>45575</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65076-2019</t>
        </is>
      </c>
      <c r="B312" s="1" t="n">
        <v>43802</v>
      </c>
      <c r="C312" s="1" t="n">
        <v>45575</v>
      </c>
      <c r="D312" t="inlineStr">
        <is>
          <t>VÄRMLANDS LÄN</t>
        </is>
      </c>
      <c r="E312" t="inlineStr">
        <is>
          <t>TORSBY</t>
        </is>
      </c>
      <c r="G312" t="n">
        <v>1.3</v>
      </c>
      <c r="H312" t="n">
        <v>0</v>
      </c>
      <c r="I312" t="n">
        <v>0</v>
      </c>
      <c r="J312" t="n">
        <v>0</v>
      </c>
      <c r="K312" t="n">
        <v>0</v>
      </c>
      <c r="L312" t="n">
        <v>0</v>
      </c>
      <c r="M312" t="n">
        <v>0</v>
      </c>
      <c r="N312" t="n">
        <v>0</v>
      </c>
      <c r="O312" t="n">
        <v>0</v>
      </c>
      <c r="P312" t="n">
        <v>0</v>
      </c>
      <c r="Q312" t="n">
        <v>0</v>
      </c>
      <c r="R312" s="2" t="inlineStr"/>
    </row>
    <row r="313" ht="15" customHeight="1">
      <c r="A313" t="inlineStr">
        <is>
          <t>A 65465-2019</t>
        </is>
      </c>
      <c r="B313" s="1" t="n">
        <v>43803</v>
      </c>
      <c r="C313" s="1" t="n">
        <v>45575</v>
      </c>
      <c r="D313" t="inlineStr">
        <is>
          <t>VÄRMLANDS LÄN</t>
        </is>
      </c>
      <c r="E313" t="inlineStr">
        <is>
          <t>TORSBY</t>
        </is>
      </c>
      <c r="G313" t="n">
        <v>2.8</v>
      </c>
      <c r="H313" t="n">
        <v>0</v>
      </c>
      <c r="I313" t="n">
        <v>0</v>
      </c>
      <c r="J313" t="n">
        <v>0</v>
      </c>
      <c r="K313" t="n">
        <v>0</v>
      </c>
      <c r="L313" t="n">
        <v>0</v>
      </c>
      <c r="M313" t="n">
        <v>0</v>
      </c>
      <c r="N313" t="n">
        <v>0</v>
      </c>
      <c r="O313" t="n">
        <v>0</v>
      </c>
      <c r="P313" t="n">
        <v>0</v>
      </c>
      <c r="Q313" t="n">
        <v>0</v>
      </c>
      <c r="R313" s="2" t="inlineStr"/>
    </row>
    <row r="314" ht="15" customHeight="1">
      <c r="A314" t="inlineStr">
        <is>
          <t>A 65914-2019</t>
        </is>
      </c>
      <c r="B314" s="1" t="n">
        <v>43805</v>
      </c>
      <c r="C314" s="1" t="n">
        <v>45575</v>
      </c>
      <c r="D314" t="inlineStr">
        <is>
          <t>VÄRMLANDS LÄN</t>
        </is>
      </c>
      <c r="E314" t="inlineStr">
        <is>
          <t>TORSBY</t>
        </is>
      </c>
      <c r="F314" t="inlineStr">
        <is>
          <t>Bergvik skog väst AB</t>
        </is>
      </c>
      <c r="G314" t="n">
        <v>1.5</v>
      </c>
      <c r="H314" t="n">
        <v>0</v>
      </c>
      <c r="I314" t="n">
        <v>0</v>
      </c>
      <c r="J314" t="n">
        <v>0</v>
      </c>
      <c r="K314" t="n">
        <v>0</v>
      </c>
      <c r="L314" t="n">
        <v>0</v>
      </c>
      <c r="M314" t="n">
        <v>0</v>
      </c>
      <c r="N314" t="n">
        <v>0</v>
      </c>
      <c r="O314" t="n">
        <v>0</v>
      </c>
      <c r="P314" t="n">
        <v>0</v>
      </c>
      <c r="Q314" t="n">
        <v>0</v>
      </c>
      <c r="R314" s="2" t="inlineStr"/>
    </row>
    <row r="315" ht="15" customHeight="1">
      <c r="A315" t="inlineStr">
        <is>
          <t>A 67527-2019</t>
        </is>
      </c>
      <c r="B315" s="1" t="n">
        <v>43808</v>
      </c>
      <c r="C315" s="1" t="n">
        <v>45575</v>
      </c>
      <c r="D315" t="inlineStr">
        <is>
          <t>VÄRMLANDS LÄN</t>
        </is>
      </c>
      <c r="E315" t="inlineStr">
        <is>
          <t>TORSBY</t>
        </is>
      </c>
      <c r="G315" t="n">
        <v>1.2</v>
      </c>
      <c r="H315" t="n">
        <v>0</v>
      </c>
      <c r="I315" t="n">
        <v>0</v>
      </c>
      <c r="J315" t="n">
        <v>0</v>
      </c>
      <c r="K315" t="n">
        <v>0</v>
      </c>
      <c r="L315" t="n">
        <v>0</v>
      </c>
      <c r="M315" t="n">
        <v>0</v>
      </c>
      <c r="N315" t="n">
        <v>0</v>
      </c>
      <c r="O315" t="n">
        <v>0</v>
      </c>
      <c r="P315" t="n">
        <v>0</v>
      </c>
      <c r="Q315" t="n">
        <v>0</v>
      </c>
      <c r="R315" s="2" t="inlineStr"/>
    </row>
    <row r="316" ht="15" customHeight="1">
      <c r="A316" t="inlineStr">
        <is>
          <t>A 66690-2019</t>
        </is>
      </c>
      <c r="B316" s="1" t="n">
        <v>43809</v>
      </c>
      <c r="C316" s="1" t="n">
        <v>45575</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66689-2019</t>
        </is>
      </c>
      <c r="B317" s="1" t="n">
        <v>43809</v>
      </c>
      <c r="C317" s="1" t="n">
        <v>45575</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67686-2019</t>
        </is>
      </c>
      <c r="B318" s="1" t="n">
        <v>43809</v>
      </c>
      <c r="C318" s="1" t="n">
        <v>45575</v>
      </c>
      <c r="D318" t="inlineStr">
        <is>
          <t>VÄRMLANDS LÄN</t>
        </is>
      </c>
      <c r="E318" t="inlineStr">
        <is>
          <t>TORSBY</t>
        </is>
      </c>
      <c r="G318" t="n">
        <v>1.3</v>
      </c>
      <c r="H318" t="n">
        <v>0</v>
      </c>
      <c r="I318" t="n">
        <v>0</v>
      </c>
      <c r="J318" t="n">
        <v>0</v>
      </c>
      <c r="K318" t="n">
        <v>0</v>
      </c>
      <c r="L318" t="n">
        <v>0</v>
      </c>
      <c r="M318" t="n">
        <v>0</v>
      </c>
      <c r="N318" t="n">
        <v>0</v>
      </c>
      <c r="O318" t="n">
        <v>0</v>
      </c>
      <c r="P318" t="n">
        <v>0</v>
      </c>
      <c r="Q318" t="n">
        <v>0</v>
      </c>
      <c r="R318" s="2" t="inlineStr"/>
    </row>
    <row r="319" ht="15" customHeight="1">
      <c r="A319" t="inlineStr">
        <is>
          <t>A 66688-2019</t>
        </is>
      </c>
      <c r="B319" s="1" t="n">
        <v>43809</v>
      </c>
      <c r="C319" s="1" t="n">
        <v>45575</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67690-2019</t>
        </is>
      </c>
      <c r="B320" s="1" t="n">
        <v>43809</v>
      </c>
      <c r="C320" s="1" t="n">
        <v>45575</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67671-2019</t>
        </is>
      </c>
      <c r="B321" s="1" t="n">
        <v>43810</v>
      </c>
      <c r="C321" s="1" t="n">
        <v>45575</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67728-2019</t>
        </is>
      </c>
      <c r="B322" s="1" t="n">
        <v>43815</v>
      </c>
      <c r="C322" s="1" t="n">
        <v>45575</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68354-2019</t>
        </is>
      </c>
      <c r="B323" s="1" t="n">
        <v>43818</v>
      </c>
      <c r="C323" s="1" t="n">
        <v>45575</v>
      </c>
      <c r="D323" t="inlineStr">
        <is>
          <t>VÄRMLANDS LÄN</t>
        </is>
      </c>
      <c r="E323" t="inlineStr">
        <is>
          <t>TORSBY</t>
        </is>
      </c>
      <c r="G323" t="n">
        <v>61.1</v>
      </c>
      <c r="H323" t="n">
        <v>0</v>
      </c>
      <c r="I323" t="n">
        <v>0</v>
      </c>
      <c r="J323" t="n">
        <v>0</v>
      </c>
      <c r="K323" t="n">
        <v>0</v>
      </c>
      <c r="L323" t="n">
        <v>0</v>
      </c>
      <c r="M323" t="n">
        <v>0</v>
      </c>
      <c r="N323" t="n">
        <v>0</v>
      </c>
      <c r="O323" t="n">
        <v>0</v>
      </c>
      <c r="P323" t="n">
        <v>0</v>
      </c>
      <c r="Q323" t="n">
        <v>0</v>
      </c>
      <c r="R323" s="2" t="inlineStr"/>
    </row>
    <row r="324" ht="15" customHeight="1">
      <c r="A324" t="inlineStr">
        <is>
          <t>A 68360-2019</t>
        </is>
      </c>
      <c r="B324" s="1" t="n">
        <v>43818</v>
      </c>
      <c r="C324" s="1" t="n">
        <v>45575</v>
      </c>
      <c r="D324" t="inlineStr">
        <is>
          <t>VÄRMLANDS LÄN</t>
        </is>
      </c>
      <c r="E324" t="inlineStr">
        <is>
          <t>TORSBY</t>
        </is>
      </c>
      <c r="G324" t="n">
        <v>9</v>
      </c>
      <c r="H324" t="n">
        <v>0</v>
      </c>
      <c r="I324" t="n">
        <v>0</v>
      </c>
      <c r="J324" t="n">
        <v>0</v>
      </c>
      <c r="K324" t="n">
        <v>0</v>
      </c>
      <c r="L324" t="n">
        <v>0</v>
      </c>
      <c r="M324" t="n">
        <v>0</v>
      </c>
      <c r="N324" t="n">
        <v>0</v>
      </c>
      <c r="O324" t="n">
        <v>0</v>
      </c>
      <c r="P324" t="n">
        <v>0</v>
      </c>
      <c r="Q324" t="n">
        <v>0</v>
      </c>
      <c r="R324" s="2" t="inlineStr"/>
    </row>
    <row r="325" ht="15" customHeight="1">
      <c r="A325" t="inlineStr">
        <is>
          <t>A 68553-2019</t>
        </is>
      </c>
      <c r="B325" s="1" t="n">
        <v>43818</v>
      </c>
      <c r="C325" s="1" t="n">
        <v>45575</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140-2020</t>
        </is>
      </c>
      <c r="B326" s="1" t="n">
        <v>43833</v>
      </c>
      <c r="C326" s="1" t="n">
        <v>45575</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338-2020</t>
        </is>
      </c>
      <c r="B327" s="1" t="n">
        <v>43837</v>
      </c>
      <c r="C327" s="1" t="n">
        <v>45575</v>
      </c>
      <c r="D327" t="inlineStr">
        <is>
          <t>VÄRMLANDS LÄN</t>
        </is>
      </c>
      <c r="E327" t="inlineStr">
        <is>
          <t>TORSBY</t>
        </is>
      </c>
      <c r="G327" t="n">
        <v>3.2</v>
      </c>
      <c r="H327" t="n">
        <v>0</v>
      </c>
      <c r="I327" t="n">
        <v>0</v>
      </c>
      <c r="J327" t="n">
        <v>0</v>
      </c>
      <c r="K327" t="n">
        <v>0</v>
      </c>
      <c r="L327" t="n">
        <v>0</v>
      </c>
      <c r="M327" t="n">
        <v>0</v>
      </c>
      <c r="N327" t="n">
        <v>0</v>
      </c>
      <c r="O327" t="n">
        <v>0</v>
      </c>
      <c r="P327" t="n">
        <v>0</v>
      </c>
      <c r="Q327" t="n">
        <v>0</v>
      </c>
      <c r="R327" s="2" t="inlineStr"/>
    </row>
    <row r="328" ht="15" customHeight="1">
      <c r="A328" t="inlineStr">
        <is>
          <t>A 388-2020</t>
        </is>
      </c>
      <c r="B328" s="1" t="n">
        <v>43837</v>
      </c>
      <c r="C328" s="1" t="n">
        <v>45575</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3263-2020</t>
        </is>
      </c>
      <c r="B329" s="1" t="n">
        <v>43844</v>
      </c>
      <c r="C329" s="1" t="n">
        <v>45575</v>
      </c>
      <c r="D329" t="inlineStr">
        <is>
          <t>VÄRMLANDS LÄN</t>
        </is>
      </c>
      <c r="E329" t="inlineStr">
        <is>
          <t>TORSBY</t>
        </is>
      </c>
      <c r="G329" t="n">
        <v>14.7</v>
      </c>
      <c r="H329" t="n">
        <v>0</v>
      </c>
      <c r="I329" t="n">
        <v>0</v>
      </c>
      <c r="J329" t="n">
        <v>0</v>
      </c>
      <c r="K329" t="n">
        <v>0</v>
      </c>
      <c r="L329" t="n">
        <v>0</v>
      </c>
      <c r="M329" t="n">
        <v>0</v>
      </c>
      <c r="N329" t="n">
        <v>0</v>
      </c>
      <c r="O329" t="n">
        <v>0</v>
      </c>
      <c r="P329" t="n">
        <v>0</v>
      </c>
      <c r="Q329" t="n">
        <v>0</v>
      </c>
      <c r="R329" s="2" t="inlineStr"/>
    </row>
    <row r="330" ht="15" customHeight="1">
      <c r="A330" t="inlineStr">
        <is>
          <t>A 3172-2020</t>
        </is>
      </c>
      <c r="B330" s="1" t="n">
        <v>43844</v>
      </c>
      <c r="C330" s="1" t="n">
        <v>45575</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2082-2020</t>
        </is>
      </c>
      <c r="B331" s="1" t="n">
        <v>43845</v>
      </c>
      <c r="C331" s="1" t="n">
        <v>45575</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1875-2020</t>
        </is>
      </c>
      <c r="B332" s="1" t="n">
        <v>43845</v>
      </c>
      <c r="C332" s="1" t="n">
        <v>45575</v>
      </c>
      <c r="D332" t="inlineStr">
        <is>
          <t>VÄRMLANDS LÄN</t>
        </is>
      </c>
      <c r="E332" t="inlineStr">
        <is>
          <t>TORSBY</t>
        </is>
      </c>
      <c r="G332" t="n">
        <v>3</v>
      </c>
      <c r="H332" t="n">
        <v>0</v>
      </c>
      <c r="I332" t="n">
        <v>0</v>
      </c>
      <c r="J332" t="n">
        <v>0</v>
      </c>
      <c r="K332" t="n">
        <v>0</v>
      </c>
      <c r="L332" t="n">
        <v>0</v>
      </c>
      <c r="M332" t="n">
        <v>0</v>
      </c>
      <c r="N332" t="n">
        <v>0</v>
      </c>
      <c r="O332" t="n">
        <v>0</v>
      </c>
      <c r="P332" t="n">
        <v>0</v>
      </c>
      <c r="Q332" t="n">
        <v>0</v>
      </c>
      <c r="R332" s="2" t="inlineStr"/>
    </row>
    <row r="333" ht="15" customHeight="1">
      <c r="A333" t="inlineStr">
        <is>
          <t>A 2068-2020</t>
        </is>
      </c>
      <c r="B333" s="1" t="n">
        <v>43845</v>
      </c>
      <c r="C333" s="1" t="n">
        <v>45575</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4017-2020</t>
        </is>
      </c>
      <c r="B334" s="1" t="n">
        <v>43846</v>
      </c>
      <c r="C334" s="1" t="n">
        <v>45575</v>
      </c>
      <c r="D334" t="inlineStr">
        <is>
          <t>VÄRMLANDS LÄN</t>
        </is>
      </c>
      <c r="E334" t="inlineStr">
        <is>
          <t>TORSBY</t>
        </is>
      </c>
      <c r="G334" t="n">
        <v>2.7</v>
      </c>
      <c r="H334" t="n">
        <v>0</v>
      </c>
      <c r="I334" t="n">
        <v>0</v>
      </c>
      <c r="J334" t="n">
        <v>0</v>
      </c>
      <c r="K334" t="n">
        <v>0</v>
      </c>
      <c r="L334" t="n">
        <v>0</v>
      </c>
      <c r="M334" t="n">
        <v>0</v>
      </c>
      <c r="N334" t="n">
        <v>0</v>
      </c>
      <c r="O334" t="n">
        <v>0</v>
      </c>
      <c r="P334" t="n">
        <v>0</v>
      </c>
      <c r="Q334" t="n">
        <v>0</v>
      </c>
      <c r="R334" s="2" t="inlineStr"/>
    </row>
    <row r="335" ht="15" customHeight="1">
      <c r="A335" t="inlineStr">
        <is>
          <t>A 4753-2020</t>
        </is>
      </c>
      <c r="B335" s="1" t="n">
        <v>43859</v>
      </c>
      <c r="C335" s="1" t="n">
        <v>45575</v>
      </c>
      <c r="D335" t="inlineStr">
        <is>
          <t>VÄRMLANDS LÄN</t>
        </is>
      </c>
      <c r="E335" t="inlineStr">
        <is>
          <t>TORSBY</t>
        </is>
      </c>
      <c r="G335" t="n">
        <v>4.5</v>
      </c>
      <c r="H335" t="n">
        <v>0</v>
      </c>
      <c r="I335" t="n">
        <v>0</v>
      </c>
      <c r="J335" t="n">
        <v>0</v>
      </c>
      <c r="K335" t="n">
        <v>0</v>
      </c>
      <c r="L335" t="n">
        <v>0</v>
      </c>
      <c r="M335" t="n">
        <v>0</v>
      </c>
      <c r="N335" t="n">
        <v>0</v>
      </c>
      <c r="O335" t="n">
        <v>0</v>
      </c>
      <c r="P335" t="n">
        <v>0</v>
      </c>
      <c r="Q335" t="n">
        <v>0</v>
      </c>
      <c r="R335" s="2" t="inlineStr"/>
    </row>
    <row r="336" ht="15" customHeight="1">
      <c r="A336" t="inlineStr">
        <is>
          <t>A 5180-2020</t>
        </is>
      </c>
      <c r="B336" s="1" t="n">
        <v>43860</v>
      </c>
      <c r="C336" s="1" t="n">
        <v>45575</v>
      </c>
      <c r="D336" t="inlineStr">
        <is>
          <t>VÄRMLANDS LÄN</t>
        </is>
      </c>
      <c r="E336" t="inlineStr">
        <is>
          <t>TORSBY</t>
        </is>
      </c>
      <c r="G336" t="n">
        <v>2.3</v>
      </c>
      <c r="H336" t="n">
        <v>0</v>
      </c>
      <c r="I336" t="n">
        <v>0</v>
      </c>
      <c r="J336" t="n">
        <v>0</v>
      </c>
      <c r="K336" t="n">
        <v>0</v>
      </c>
      <c r="L336" t="n">
        <v>0</v>
      </c>
      <c r="M336" t="n">
        <v>0</v>
      </c>
      <c r="N336" t="n">
        <v>0</v>
      </c>
      <c r="O336" t="n">
        <v>0</v>
      </c>
      <c r="P336" t="n">
        <v>0</v>
      </c>
      <c r="Q336" t="n">
        <v>0</v>
      </c>
      <c r="R336" s="2" t="inlineStr"/>
    </row>
    <row r="337" ht="15" customHeight="1">
      <c r="A337" t="inlineStr">
        <is>
          <t>A 5426-2020</t>
        </is>
      </c>
      <c r="B337" s="1" t="n">
        <v>43861</v>
      </c>
      <c r="C337" s="1" t="n">
        <v>45575</v>
      </c>
      <c r="D337" t="inlineStr">
        <is>
          <t>VÄRMLANDS LÄN</t>
        </is>
      </c>
      <c r="E337" t="inlineStr">
        <is>
          <t>TORSBY</t>
        </is>
      </c>
      <c r="G337" t="n">
        <v>7.2</v>
      </c>
      <c r="H337" t="n">
        <v>0</v>
      </c>
      <c r="I337" t="n">
        <v>0</v>
      </c>
      <c r="J337" t="n">
        <v>0</v>
      </c>
      <c r="K337" t="n">
        <v>0</v>
      </c>
      <c r="L337" t="n">
        <v>0</v>
      </c>
      <c r="M337" t="n">
        <v>0</v>
      </c>
      <c r="N337" t="n">
        <v>0</v>
      </c>
      <c r="O337" t="n">
        <v>0</v>
      </c>
      <c r="P337" t="n">
        <v>0</v>
      </c>
      <c r="Q337" t="n">
        <v>0</v>
      </c>
      <c r="R337" s="2" t="inlineStr"/>
    </row>
    <row r="338" ht="15" customHeight="1">
      <c r="A338" t="inlineStr">
        <is>
          <t>A 5425-2020</t>
        </is>
      </c>
      <c r="B338" s="1" t="n">
        <v>43861</v>
      </c>
      <c r="C338" s="1" t="n">
        <v>45575</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5427-2020</t>
        </is>
      </c>
      <c r="B339" s="1" t="n">
        <v>43861</v>
      </c>
      <c r="C339" s="1" t="n">
        <v>45575</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7000-2020</t>
        </is>
      </c>
      <c r="B340" s="1" t="n">
        <v>43868</v>
      </c>
      <c r="C340" s="1" t="n">
        <v>45575</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6862-2020</t>
        </is>
      </c>
      <c r="B341" s="1" t="n">
        <v>43868</v>
      </c>
      <c r="C341" s="1" t="n">
        <v>45575</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7153-2020</t>
        </is>
      </c>
      <c r="B342" s="1" t="n">
        <v>43870</v>
      </c>
      <c r="C342" s="1" t="n">
        <v>45575</v>
      </c>
      <c r="D342" t="inlineStr">
        <is>
          <t>VÄRMLANDS LÄN</t>
        </is>
      </c>
      <c r="E342" t="inlineStr">
        <is>
          <t>TORSBY</t>
        </is>
      </c>
      <c r="G342" t="n">
        <v>2.5</v>
      </c>
      <c r="H342" t="n">
        <v>0</v>
      </c>
      <c r="I342" t="n">
        <v>0</v>
      </c>
      <c r="J342" t="n">
        <v>0</v>
      </c>
      <c r="K342" t="n">
        <v>0</v>
      </c>
      <c r="L342" t="n">
        <v>0</v>
      </c>
      <c r="M342" t="n">
        <v>0</v>
      </c>
      <c r="N342" t="n">
        <v>0</v>
      </c>
      <c r="O342" t="n">
        <v>0</v>
      </c>
      <c r="P342" t="n">
        <v>0</v>
      </c>
      <c r="Q342" t="n">
        <v>0</v>
      </c>
      <c r="R342" s="2" t="inlineStr"/>
    </row>
    <row r="343" ht="15" customHeight="1">
      <c r="A343" t="inlineStr">
        <is>
          <t>A 7279-2020</t>
        </is>
      </c>
      <c r="B343" s="1" t="n">
        <v>43871</v>
      </c>
      <c r="C343" s="1" t="n">
        <v>45575</v>
      </c>
      <c r="D343" t="inlineStr">
        <is>
          <t>VÄRMLANDS LÄN</t>
        </is>
      </c>
      <c r="E343" t="inlineStr">
        <is>
          <t>TORSBY</t>
        </is>
      </c>
      <c r="G343" t="n">
        <v>6.7</v>
      </c>
      <c r="H343" t="n">
        <v>0</v>
      </c>
      <c r="I343" t="n">
        <v>0</v>
      </c>
      <c r="J343" t="n">
        <v>0</v>
      </c>
      <c r="K343" t="n">
        <v>0</v>
      </c>
      <c r="L343" t="n">
        <v>0</v>
      </c>
      <c r="M343" t="n">
        <v>0</v>
      </c>
      <c r="N343" t="n">
        <v>0</v>
      </c>
      <c r="O343" t="n">
        <v>0</v>
      </c>
      <c r="P343" t="n">
        <v>0</v>
      </c>
      <c r="Q343" t="n">
        <v>0</v>
      </c>
      <c r="R343" s="2" t="inlineStr"/>
    </row>
    <row r="344" ht="15" customHeight="1">
      <c r="A344" t="inlineStr">
        <is>
          <t>A 7526-2020</t>
        </is>
      </c>
      <c r="B344" s="1" t="n">
        <v>43871</v>
      </c>
      <c r="C344" s="1" t="n">
        <v>45575</v>
      </c>
      <c r="D344" t="inlineStr">
        <is>
          <t>VÄRMLANDS LÄN</t>
        </is>
      </c>
      <c r="E344" t="inlineStr">
        <is>
          <t>TORSBY</t>
        </is>
      </c>
      <c r="G344" t="n">
        <v>11.8</v>
      </c>
      <c r="H344" t="n">
        <v>0</v>
      </c>
      <c r="I344" t="n">
        <v>0</v>
      </c>
      <c r="J344" t="n">
        <v>0</v>
      </c>
      <c r="K344" t="n">
        <v>0</v>
      </c>
      <c r="L344" t="n">
        <v>0</v>
      </c>
      <c r="M344" t="n">
        <v>0</v>
      </c>
      <c r="N344" t="n">
        <v>0</v>
      </c>
      <c r="O344" t="n">
        <v>0</v>
      </c>
      <c r="P344" t="n">
        <v>0</v>
      </c>
      <c r="Q344" t="n">
        <v>0</v>
      </c>
      <c r="R344" s="2" t="inlineStr"/>
    </row>
    <row r="345" ht="15" customHeight="1">
      <c r="A345" t="inlineStr">
        <is>
          <t>A 7582-2020</t>
        </is>
      </c>
      <c r="B345" s="1" t="n">
        <v>43871</v>
      </c>
      <c r="C345" s="1" t="n">
        <v>45575</v>
      </c>
      <c r="D345" t="inlineStr">
        <is>
          <t>VÄRMLANDS LÄN</t>
        </is>
      </c>
      <c r="E345" t="inlineStr">
        <is>
          <t>TORSBY</t>
        </is>
      </c>
      <c r="G345" t="n">
        <v>7.4</v>
      </c>
      <c r="H345" t="n">
        <v>0</v>
      </c>
      <c r="I345" t="n">
        <v>0</v>
      </c>
      <c r="J345" t="n">
        <v>0</v>
      </c>
      <c r="K345" t="n">
        <v>0</v>
      </c>
      <c r="L345" t="n">
        <v>0</v>
      </c>
      <c r="M345" t="n">
        <v>0</v>
      </c>
      <c r="N345" t="n">
        <v>0</v>
      </c>
      <c r="O345" t="n">
        <v>0</v>
      </c>
      <c r="P345" t="n">
        <v>0</v>
      </c>
      <c r="Q345" t="n">
        <v>0</v>
      </c>
      <c r="R345" s="2" t="inlineStr"/>
    </row>
    <row r="346" ht="15" customHeight="1">
      <c r="A346" t="inlineStr">
        <is>
          <t>A 7749-2020</t>
        </is>
      </c>
      <c r="B346" s="1" t="n">
        <v>43872</v>
      </c>
      <c r="C346" s="1" t="n">
        <v>45575</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7856-2020</t>
        </is>
      </c>
      <c r="B347" s="1" t="n">
        <v>43873</v>
      </c>
      <c r="C347" s="1" t="n">
        <v>45575</v>
      </c>
      <c r="D347" t="inlineStr">
        <is>
          <t>VÄRMLANDS LÄN</t>
        </is>
      </c>
      <c r="E347" t="inlineStr">
        <is>
          <t>TORSBY</t>
        </is>
      </c>
      <c r="G347" t="n">
        <v>4.5</v>
      </c>
      <c r="H347" t="n">
        <v>0</v>
      </c>
      <c r="I347" t="n">
        <v>0</v>
      </c>
      <c r="J347" t="n">
        <v>0</v>
      </c>
      <c r="K347" t="n">
        <v>0</v>
      </c>
      <c r="L347" t="n">
        <v>0</v>
      </c>
      <c r="M347" t="n">
        <v>0</v>
      </c>
      <c r="N347" t="n">
        <v>0</v>
      </c>
      <c r="O347" t="n">
        <v>0</v>
      </c>
      <c r="P347" t="n">
        <v>0</v>
      </c>
      <c r="Q347" t="n">
        <v>0</v>
      </c>
      <c r="R347" s="2" t="inlineStr"/>
    </row>
    <row r="348" ht="15" customHeight="1">
      <c r="A348" t="inlineStr">
        <is>
          <t>A 8631-2020</t>
        </is>
      </c>
      <c r="B348" s="1" t="n">
        <v>43874</v>
      </c>
      <c r="C348" s="1" t="n">
        <v>45575</v>
      </c>
      <c r="D348" t="inlineStr">
        <is>
          <t>VÄRMLANDS LÄN</t>
        </is>
      </c>
      <c r="E348" t="inlineStr">
        <is>
          <t>TORSBY</t>
        </is>
      </c>
      <c r="G348" t="n">
        <v>3.3</v>
      </c>
      <c r="H348" t="n">
        <v>0</v>
      </c>
      <c r="I348" t="n">
        <v>0</v>
      </c>
      <c r="J348" t="n">
        <v>0</v>
      </c>
      <c r="K348" t="n">
        <v>0</v>
      </c>
      <c r="L348" t="n">
        <v>0</v>
      </c>
      <c r="M348" t="n">
        <v>0</v>
      </c>
      <c r="N348" t="n">
        <v>0</v>
      </c>
      <c r="O348" t="n">
        <v>0</v>
      </c>
      <c r="P348" t="n">
        <v>0</v>
      </c>
      <c r="Q348" t="n">
        <v>0</v>
      </c>
      <c r="R348" s="2" t="inlineStr"/>
    </row>
    <row r="349" ht="15" customHeight="1">
      <c r="A349" t="inlineStr">
        <is>
          <t>A 8899-2020</t>
        </is>
      </c>
      <c r="B349" s="1" t="n">
        <v>43878</v>
      </c>
      <c r="C349" s="1" t="n">
        <v>45575</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9192-2020</t>
        </is>
      </c>
      <c r="B350" s="1" t="n">
        <v>43879</v>
      </c>
      <c r="C350" s="1" t="n">
        <v>45575</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9766-2020</t>
        </is>
      </c>
      <c r="B351" s="1" t="n">
        <v>43879</v>
      </c>
      <c r="C351" s="1" t="n">
        <v>45575</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9760-2020</t>
        </is>
      </c>
      <c r="B352" s="1" t="n">
        <v>43879</v>
      </c>
      <c r="C352" s="1" t="n">
        <v>45575</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9600-2020</t>
        </is>
      </c>
      <c r="B353" s="1" t="n">
        <v>43881</v>
      </c>
      <c r="C353" s="1" t="n">
        <v>45575</v>
      </c>
      <c r="D353" t="inlineStr">
        <is>
          <t>VÄRMLANDS LÄN</t>
        </is>
      </c>
      <c r="E353" t="inlineStr">
        <is>
          <t>TORSBY</t>
        </is>
      </c>
      <c r="G353" t="n">
        <v>0.8</v>
      </c>
      <c r="H353" t="n">
        <v>0</v>
      </c>
      <c r="I353" t="n">
        <v>0</v>
      </c>
      <c r="J353" t="n">
        <v>0</v>
      </c>
      <c r="K353" t="n">
        <v>0</v>
      </c>
      <c r="L353" t="n">
        <v>0</v>
      </c>
      <c r="M353" t="n">
        <v>0</v>
      </c>
      <c r="N353" t="n">
        <v>0</v>
      </c>
      <c r="O353" t="n">
        <v>0</v>
      </c>
      <c r="P353" t="n">
        <v>0</v>
      </c>
      <c r="Q353" t="n">
        <v>0</v>
      </c>
      <c r="R353" s="2" t="inlineStr"/>
    </row>
    <row r="354" ht="15" customHeight="1">
      <c r="A354" t="inlineStr">
        <is>
          <t>A 10899-2020</t>
        </is>
      </c>
      <c r="B354" s="1" t="n">
        <v>43885</v>
      </c>
      <c r="C354" s="1" t="n">
        <v>45575</v>
      </c>
      <c r="D354" t="inlineStr">
        <is>
          <t>VÄRMLANDS LÄN</t>
        </is>
      </c>
      <c r="E354" t="inlineStr">
        <is>
          <t>TORSBY</t>
        </is>
      </c>
      <c r="G354" t="n">
        <v>7.4</v>
      </c>
      <c r="H354" t="n">
        <v>0</v>
      </c>
      <c r="I354" t="n">
        <v>0</v>
      </c>
      <c r="J354" t="n">
        <v>0</v>
      </c>
      <c r="K354" t="n">
        <v>0</v>
      </c>
      <c r="L354" t="n">
        <v>0</v>
      </c>
      <c r="M354" t="n">
        <v>0</v>
      </c>
      <c r="N354" t="n">
        <v>0</v>
      </c>
      <c r="O354" t="n">
        <v>0</v>
      </c>
      <c r="P354" t="n">
        <v>0</v>
      </c>
      <c r="Q354" t="n">
        <v>0</v>
      </c>
      <c r="R354" s="2" t="inlineStr"/>
    </row>
    <row r="355" ht="15" customHeight="1">
      <c r="A355" t="inlineStr">
        <is>
          <t>A 10422-2020</t>
        </is>
      </c>
      <c r="B355" s="1" t="n">
        <v>43886</v>
      </c>
      <c r="C355" s="1" t="n">
        <v>45575</v>
      </c>
      <c r="D355" t="inlineStr">
        <is>
          <t>VÄRMLANDS LÄN</t>
        </is>
      </c>
      <c r="E355" t="inlineStr">
        <is>
          <t>TORSBY</t>
        </is>
      </c>
      <c r="G355" t="n">
        <v>3.4</v>
      </c>
      <c r="H355" t="n">
        <v>0</v>
      </c>
      <c r="I355" t="n">
        <v>0</v>
      </c>
      <c r="J355" t="n">
        <v>0</v>
      </c>
      <c r="K355" t="n">
        <v>0</v>
      </c>
      <c r="L355" t="n">
        <v>0</v>
      </c>
      <c r="M355" t="n">
        <v>0</v>
      </c>
      <c r="N355" t="n">
        <v>0</v>
      </c>
      <c r="O355" t="n">
        <v>0</v>
      </c>
      <c r="P355" t="n">
        <v>0</v>
      </c>
      <c r="Q355" t="n">
        <v>0</v>
      </c>
      <c r="R355" s="2" t="inlineStr"/>
    </row>
    <row r="356" ht="15" customHeight="1">
      <c r="A356" t="inlineStr">
        <is>
          <t>A 10449-2020</t>
        </is>
      </c>
      <c r="B356" s="1" t="n">
        <v>43886</v>
      </c>
      <c r="C356" s="1" t="n">
        <v>45575</v>
      </c>
      <c r="D356" t="inlineStr">
        <is>
          <t>VÄRMLANDS LÄN</t>
        </is>
      </c>
      <c r="E356" t="inlineStr">
        <is>
          <t>TORSBY</t>
        </is>
      </c>
      <c r="G356" t="n">
        <v>2.4</v>
      </c>
      <c r="H356" t="n">
        <v>0</v>
      </c>
      <c r="I356" t="n">
        <v>0</v>
      </c>
      <c r="J356" t="n">
        <v>0</v>
      </c>
      <c r="K356" t="n">
        <v>0</v>
      </c>
      <c r="L356" t="n">
        <v>0</v>
      </c>
      <c r="M356" t="n">
        <v>0</v>
      </c>
      <c r="N356" t="n">
        <v>0</v>
      </c>
      <c r="O356" t="n">
        <v>0</v>
      </c>
      <c r="P356" t="n">
        <v>0</v>
      </c>
      <c r="Q356" t="n">
        <v>0</v>
      </c>
      <c r="R356" s="2" t="inlineStr"/>
    </row>
    <row r="357" ht="15" customHeight="1">
      <c r="A357" t="inlineStr">
        <is>
          <t>A 11213-2020</t>
        </is>
      </c>
      <c r="B357" s="1" t="n">
        <v>43892</v>
      </c>
      <c r="C357" s="1" t="n">
        <v>45575</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12428-2020</t>
        </is>
      </c>
      <c r="B358" s="1" t="n">
        <v>43896</v>
      </c>
      <c r="C358" s="1" t="n">
        <v>45575</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12855-2020</t>
        </is>
      </c>
      <c r="B359" s="1" t="n">
        <v>43899</v>
      </c>
      <c r="C359" s="1" t="n">
        <v>45575</v>
      </c>
      <c r="D359" t="inlineStr">
        <is>
          <t>VÄRMLANDS LÄN</t>
        </is>
      </c>
      <c r="E359" t="inlineStr">
        <is>
          <t>TORSBY</t>
        </is>
      </c>
      <c r="G359" t="n">
        <v>5.9</v>
      </c>
      <c r="H359" t="n">
        <v>0</v>
      </c>
      <c r="I359" t="n">
        <v>0</v>
      </c>
      <c r="J359" t="n">
        <v>0</v>
      </c>
      <c r="K359" t="n">
        <v>0</v>
      </c>
      <c r="L359" t="n">
        <v>0</v>
      </c>
      <c r="M359" t="n">
        <v>0</v>
      </c>
      <c r="N359" t="n">
        <v>0</v>
      </c>
      <c r="O359" t="n">
        <v>0</v>
      </c>
      <c r="P359" t="n">
        <v>0</v>
      </c>
      <c r="Q359" t="n">
        <v>0</v>
      </c>
      <c r="R359" s="2" t="inlineStr"/>
    </row>
    <row r="360" ht="15" customHeight="1">
      <c r="A360" t="inlineStr">
        <is>
          <t>A 12881-2020</t>
        </is>
      </c>
      <c r="B360" s="1" t="n">
        <v>43900</v>
      </c>
      <c r="C360" s="1" t="n">
        <v>45575</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14246-2020</t>
        </is>
      </c>
      <c r="B361" s="1" t="n">
        <v>43900</v>
      </c>
      <c r="C361" s="1" t="n">
        <v>45575</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13153-2020</t>
        </is>
      </c>
      <c r="B362" s="1" t="n">
        <v>43901</v>
      </c>
      <c r="C362" s="1" t="n">
        <v>45575</v>
      </c>
      <c r="D362" t="inlineStr">
        <is>
          <t>VÄRMLANDS LÄN</t>
        </is>
      </c>
      <c r="E362" t="inlineStr">
        <is>
          <t>TORSBY</t>
        </is>
      </c>
      <c r="G362" t="n">
        <v>1.9</v>
      </c>
      <c r="H362" t="n">
        <v>0</v>
      </c>
      <c r="I362" t="n">
        <v>0</v>
      </c>
      <c r="J362" t="n">
        <v>0</v>
      </c>
      <c r="K362" t="n">
        <v>0</v>
      </c>
      <c r="L362" t="n">
        <v>0</v>
      </c>
      <c r="M362" t="n">
        <v>0</v>
      </c>
      <c r="N362" t="n">
        <v>0</v>
      </c>
      <c r="O362" t="n">
        <v>0</v>
      </c>
      <c r="P362" t="n">
        <v>0</v>
      </c>
      <c r="Q362" t="n">
        <v>0</v>
      </c>
      <c r="R362" s="2" t="inlineStr"/>
    </row>
    <row r="363" ht="15" customHeight="1">
      <c r="A363" t="inlineStr">
        <is>
          <t>A 13250-2020</t>
        </is>
      </c>
      <c r="B363" s="1" t="n">
        <v>43901</v>
      </c>
      <c r="C363" s="1" t="n">
        <v>45575</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14695-2020</t>
        </is>
      </c>
      <c r="B364" s="1" t="n">
        <v>43903</v>
      </c>
      <c r="C364" s="1" t="n">
        <v>45575</v>
      </c>
      <c r="D364" t="inlineStr">
        <is>
          <t>VÄRMLANDS LÄN</t>
        </is>
      </c>
      <c r="E364" t="inlineStr">
        <is>
          <t>TORSBY</t>
        </is>
      </c>
      <c r="G364" t="n">
        <v>8</v>
      </c>
      <c r="H364" t="n">
        <v>0</v>
      </c>
      <c r="I364" t="n">
        <v>0</v>
      </c>
      <c r="J364" t="n">
        <v>0</v>
      </c>
      <c r="K364" t="n">
        <v>0</v>
      </c>
      <c r="L364" t="n">
        <v>0</v>
      </c>
      <c r="M364" t="n">
        <v>0</v>
      </c>
      <c r="N364" t="n">
        <v>0</v>
      </c>
      <c r="O364" t="n">
        <v>0</v>
      </c>
      <c r="P364" t="n">
        <v>0</v>
      </c>
      <c r="Q364" t="n">
        <v>0</v>
      </c>
      <c r="R364" s="2" t="inlineStr"/>
    </row>
    <row r="365" ht="15" customHeight="1">
      <c r="A365" t="inlineStr">
        <is>
          <t>A 14693-2020</t>
        </is>
      </c>
      <c r="B365" s="1" t="n">
        <v>43903</v>
      </c>
      <c r="C365" s="1" t="n">
        <v>45575</v>
      </c>
      <c r="D365" t="inlineStr">
        <is>
          <t>VÄRMLANDS LÄN</t>
        </is>
      </c>
      <c r="E365" t="inlineStr">
        <is>
          <t>TORSBY</t>
        </is>
      </c>
      <c r="G365" t="n">
        <v>2.9</v>
      </c>
      <c r="H365" t="n">
        <v>0</v>
      </c>
      <c r="I365" t="n">
        <v>0</v>
      </c>
      <c r="J365" t="n">
        <v>0</v>
      </c>
      <c r="K365" t="n">
        <v>0</v>
      </c>
      <c r="L365" t="n">
        <v>0</v>
      </c>
      <c r="M365" t="n">
        <v>0</v>
      </c>
      <c r="N365" t="n">
        <v>0</v>
      </c>
      <c r="O365" t="n">
        <v>0</v>
      </c>
      <c r="P365" t="n">
        <v>0</v>
      </c>
      <c r="Q365" t="n">
        <v>0</v>
      </c>
      <c r="R365" s="2" t="inlineStr"/>
    </row>
    <row r="366" ht="15" customHeight="1">
      <c r="A366" t="inlineStr">
        <is>
          <t>A 14962-2020</t>
        </is>
      </c>
      <c r="B366" s="1" t="n">
        <v>43907</v>
      </c>
      <c r="C366" s="1" t="n">
        <v>45575</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14968-2020</t>
        </is>
      </c>
      <c r="B367" s="1" t="n">
        <v>43907</v>
      </c>
      <c r="C367" s="1" t="n">
        <v>45575</v>
      </c>
      <c r="D367" t="inlineStr">
        <is>
          <t>VÄRMLANDS LÄN</t>
        </is>
      </c>
      <c r="E367" t="inlineStr">
        <is>
          <t>TORSBY</t>
        </is>
      </c>
      <c r="G367" t="n">
        <v>3.2</v>
      </c>
      <c r="H367" t="n">
        <v>0</v>
      </c>
      <c r="I367" t="n">
        <v>0</v>
      </c>
      <c r="J367" t="n">
        <v>0</v>
      </c>
      <c r="K367" t="n">
        <v>0</v>
      </c>
      <c r="L367" t="n">
        <v>0</v>
      </c>
      <c r="M367" t="n">
        <v>0</v>
      </c>
      <c r="N367" t="n">
        <v>0</v>
      </c>
      <c r="O367" t="n">
        <v>0</v>
      </c>
      <c r="P367" t="n">
        <v>0</v>
      </c>
      <c r="Q367" t="n">
        <v>0</v>
      </c>
      <c r="R367" s="2" t="inlineStr"/>
    </row>
    <row r="368" ht="15" customHeight="1">
      <c r="A368" t="inlineStr">
        <is>
          <t>A 14702-2020</t>
        </is>
      </c>
      <c r="B368" s="1" t="n">
        <v>43909</v>
      </c>
      <c r="C368" s="1" t="n">
        <v>45575</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14694-2020</t>
        </is>
      </c>
      <c r="B369" s="1" t="n">
        <v>43909</v>
      </c>
      <c r="C369" s="1" t="n">
        <v>45575</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14851-2020</t>
        </is>
      </c>
      <c r="B370" s="1" t="n">
        <v>43909</v>
      </c>
      <c r="C370" s="1" t="n">
        <v>45575</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15161-2020</t>
        </is>
      </c>
      <c r="B371" s="1" t="n">
        <v>43912</v>
      </c>
      <c r="C371" s="1" t="n">
        <v>45575</v>
      </c>
      <c r="D371" t="inlineStr">
        <is>
          <t>VÄRMLANDS LÄN</t>
        </is>
      </c>
      <c r="E371" t="inlineStr">
        <is>
          <t>TORSBY</t>
        </is>
      </c>
      <c r="G371" t="n">
        <v>2.7</v>
      </c>
      <c r="H371" t="n">
        <v>0</v>
      </c>
      <c r="I371" t="n">
        <v>0</v>
      </c>
      <c r="J371" t="n">
        <v>0</v>
      </c>
      <c r="K371" t="n">
        <v>0</v>
      </c>
      <c r="L371" t="n">
        <v>0</v>
      </c>
      <c r="M371" t="n">
        <v>0</v>
      </c>
      <c r="N371" t="n">
        <v>0</v>
      </c>
      <c r="O371" t="n">
        <v>0</v>
      </c>
      <c r="P371" t="n">
        <v>0</v>
      </c>
      <c r="Q371" t="n">
        <v>0</v>
      </c>
      <c r="R371" s="2" t="inlineStr"/>
    </row>
    <row r="372" ht="15" customHeight="1">
      <c r="A372" t="inlineStr">
        <is>
          <t>A 15280-2020</t>
        </is>
      </c>
      <c r="B372" s="1" t="n">
        <v>43913</v>
      </c>
      <c r="C372" s="1" t="n">
        <v>45575</v>
      </c>
      <c r="D372" t="inlineStr">
        <is>
          <t>VÄRMLANDS LÄN</t>
        </is>
      </c>
      <c r="E372" t="inlineStr">
        <is>
          <t>TORSBY</t>
        </is>
      </c>
      <c r="G372" t="n">
        <v>0.5</v>
      </c>
      <c r="H372" t="n">
        <v>0</v>
      </c>
      <c r="I372" t="n">
        <v>0</v>
      </c>
      <c r="J372" t="n">
        <v>0</v>
      </c>
      <c r="K372" t="n">
        <v>0</v>
      </c>
      <c r="L372" t="n">
        <v>0</v>
      </c>
      <c r="M372" t="n">
        <v>0</v>
      </c>
      <c r="N372" t="n">
        <v>0</v>
      </c>
      <c r="O372" t="n">
        <v>0</v>
      </c>
      <c r="P372" t="n">
        <v>0</v>
      </c>
      <c r="Q372" t="n">
        <v>0</v>
      </c>
      <c r="R372" s="2" t="inlineStr"/>
    </row>
    <row r="373" ht="15" customHeight="1">
      <c r="A373" t="inlineStr">
        <is>
          <t>A 15589-2020</t>
        </is>
      </c>
      <c r="B373" s="1" t="n">
        <v>43914</v>
      </c>
      <c r="C373" s="1" t="n">
        <v>45575</v>
      </c>
      <c r="D373" t="inlineStr">
        <is>
          <t>VÄRMLANDS LÄN</t>
        </is>
      </c>
      <c r="E373" t="inlineStr">
        <is>
          <t>TORSBY</t>
        </is>
      </c>
      <c r="G373" t="n">
        <v>1.5</v>
      </c>
      <c r="H373" t="n">
        <v>0</v>
      </c>
      <c r="I373" t="n">
        <v>0</v>
      </c>
      <c r="J373" t="n">
        <v>0</v>
      </c>
      <c r="K373" t="n">
        <v>0</v>
      </c>
      <c r="L373" t="n">
        <v>0</v>
      </c>
      <c r="M373" t="n">
        <v>0</v>
      </c>
      <c r="N373" t="n">
        <v>0</v>
      </c>
      <c r="O373" t="n">
        <v>0</v>
      </c>
      <c r="P373" t="n">
        <v>0</v>
      </c>
      <c r="Q373" t="n">
        <v>0</v>
      </c>
      <c r="R373" s="2" t="inlineStr"/>
    </row>
    <row r="374" ht="15" customHeight="1">
      <c r="A374" t="inlineStr">
        <is>
          <t>A 15701-2020</t>
        </is>
      </c>
      <c r="B374" s="1" t="n">
        <v>43915</v>
      </c>
      <c r="C374" s="1" t="n">
        <v>45575</v>
      </c>
      <c r="D374" t="inlineStr">
        <is>
          <t>VÄRMLANDS LÄN</t>
        </is>
      </c>
      <c r="E374" t="inlineStr">
        <is>
          <t>TORSBY</t>
        </is>
      </c>
      <c r="G374" t="n">
        <v>2.9</v>
      </c>
      <c r="H374" t="n">
        <v>0</v>
      </c>
      <c r="I374" t="n">
        <v>0</v>
      </c>
      <c r="J374" t="n">
        <v>0</v>
      </c>
      <c r="K374" t="n">
        <v>0</v>
      </c>
      <c r="L374" t="n">
        <v>0</v>
      </c>
      <c r="M374" t="n">
        <v>0</v>
      </c>
      <c r="N374" t="n">
        <v>0</v>
      </c>
      <c r="O374" t="n">
        <v>0</v>
      </c>
      <c r="P374" t="n">
        <v>0</v>
      </c>
      <c r="Q374" t="n">
        <v>0</v>
      </c>
      <c r="R374" s="2" t="inlineStr"/>
    </row>
    <row r="375" ht="15" customHeight="1">
      <c r="A375" t="inlineStr">
        <is>
          <t>A 15768-2020</t>
        </is>
      </c>
      <c r="B375" s="1" t="n">
        <v>43915</v>
      </c>
      <c r="C375" s="1" t="n">
        <v>45575</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16101-2020</t>
        </is>
      </c>
      <c r="B376" s="1" t="n">
        <v>43916</v>
      </c>
      <c r="C376" s="1" t="n">
        <v>45575</v>
      </c>
      <c r="D376" t="inlineStr">
        <is>
          <t>VÄRMLANDS LÄN</t>
        </is>
      </c>
      <c r="E376" t="inlineStr">
        <is>
          <t>TORSBY</t>
        </is>
      </c>
      <c r="G376" t="n">
        <v>14.6</v>
      </c>
      <c r="H376" t="n">
        <v>0</v>
      </c>
      <c r="I376" t="n">
        <v>0</v>
      </c>
      <c r="J376" t="n">
        <v>0</v>
      </c>
      <c r="K376" t="n">
        <v>0</v>
      </c>
      <c r="L376" t="n">
        <v>0</v>
      </c>
      <c r="M376" t="n">
        <v>0</v>
      </c>
      <c r="N376" t="n">
        <v>0</v>
      </c>
      <c r="O376" t="n">
        <v>0</v>
      </c>
      <c r="P376" t="n">
        <v>0</v>
      </c>
      <c r="Q376" t="n">
        <v>0</v>
      </c>
      <c r="R376" s="2" t="inlineStr"/>
    </row>
    <row r="377" ht="15" customHeight="1">
      <c r="A377" t="inlineStr">
        <is>
          <t>A 16364-2020</t>
        </is>
      </c>
      <c r="B377" s="1" t="n">
        <v>43917</v>
      </c>
      <c r="C377" s="1" t="n">
        <v>45575</v>
      </c>
      <c r="D377" t="inlineStr">
        <is>
          <t>VÄRMLANDS LÄN</t>
        </is>
      </c>
      <c r="E377" t="inlineStr">
        <is>
          <t>TORSBY</t>
        </is>
      </c>
      <c r="G377" t="n">
        <v>1.6</v>
      </c>
      <c r="H377" t="n">
        <v>0</v>
      </c>
      <c r="I377" t="n">
        <v>0</v>
      </c>
      <c r="J377" t="n">
        <v>0</v>
      </c>
      <c r="K377" t="n">
        <v>0</v>
      </c>
      <c r="L377" t="n">
        <v>0</v>
      </c>
      <c r="M377" t="n">
        <v>0</v>
      </c>
      <c r="N377" t="n">
        <v>0</v>
      </c>
      <c r="O377" t="n">
        <v>0</v>
      </c>
      <c r="P377" t="n">
        <v>0</v>
      </c>
      <c r="Q377" t="n">
        <v>0</v>
      </c>
      <c r="R377" s="2" t="inlineStr"/>
    </row>
    <row r="378" ht="15" customHeight="1">
      <c r="A378" t="inlineStr">
        <is>
          <t>A 16437-2020</t>
        </is>
      </c>
      <c r="B378" s="1" t="n">
        <v>43919</v>
      </c>
      <c r="C378" s="1" t="n">
        <v>45575</v>
      </c>
      <c r="D378" t="inlineStr">
        <is>
          <t>VÄRMLANDS LÄN</t>
        </is>
      </c>
      <c r="E378" t="inlineStr">
        <is>
          <t>TORSBY</t>
        </is>
      </c>
      <c r="G378" t="n">
        <v>1.2</v>
      </c>
      <c r="H378" t="n">
        <v>0</v>
      </c>
      <c r="I378" t="n">
        <v>0</v>
      </c>
      <c r="J378" t="n">
        <v>0</v>
      </c>
      <c r="K378" t="n">
        <v>0</v>
      </c>
      <c r="L378" t="n">
        <v>0</v>
      </c>
      <c r="M378" t="n">
        <v>0</v>
      </c>
      <c r="N378" t="n">
        <v>0</v>
      </c>
      <c r="O378" t="n">
        <v>0</v>
      </c>
      <c r="P378" t="n">
        <v>0</v>
      </c>
      <c r="Q378" t="n">
        <v>0</v>
      </c>
      <c r="R378" s="2" t="inlineStr"/>
    </row>
    <row r="379" ht="15" customHeight="1">
      <c r="A379" t="inlineStr">
        <is>
          <t>A 17021-2020</t>
        </is>
      </c>
      <c r="B379" s="1" t="n">
        <v>43921</v>
      </c>
      <c r="C379" s="1" t="n">
        <v>45575</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16999-2020</t>
        </is>
      </c>
      <c r="B380" s="1" t="n">
        <v>43921</v>
      </c>
      <c r="C380" s="1" t="n">
        <v>45575</v>
      </c>
      <c r="D380" t="inlineStr">
        <is>
          <t>VÄRMLANDS LÄN</t>
        </is>
      </c>
      <c r="E380" t="inlineStr">
        <is>
          <t>TORSBY</t>
        </is>
      </c>
      <c r="G380" t="n">
        <v>6.6</v>
      </c>
      <c r="H380" t="n">
        <v>0</v>
      </c>
      <c r="I380" t="n">
        <v>0</v>
      </c>
      <c r="J380" t="n">
        <v>0</v>
      </c>
      <c r="K380" t="n">
        <v>0</v>
      </c>
      <c r="L380" t="n">
        <v>0</v>
      </c>
      <c r="M380" t="n">
        <v>0</v>
      </c>
      <c r="N380" t="n">
        <v>0</v>
      </c>
      <c r="O380" t="n">
        <v>0</v>
      </c>
      <c r="P380" t="n">
        <v>0</v>
      </c>
      <c r="Q380" t="n">
        <v>0</v>
      </c>
      <c r="R380" s="2" t="inlineStr"/>
    </row>
    <row r="381" ht="15" customHeight="1">
      <c r="A381" t="inlineStr">
        <is>
          <t>A 17009-2020</t>
        </is>
      </c>
      <c r="B381" s="1" t="n">
        <v>43921</v>
      </c>
      <c r="C381" s="1" t="n">
        <v>45575</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18155-2020</t>
        </is>
      </c>
      <c r="B382" s="1" t="n">
        <v>43927</v>
      </c>
      <c r="C382" s="1" t="n">
        <v>45575</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18641-2020</t>
        </is>
      </c>
      <c r="B383" s="1" t="n">
        <v>43928</v>
      </c>
      <c r="C383" s="1" t="n">
        <v>45575</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18769-2020</t>
        </is>
      </c>
      <c r="B384" s="1" t="n">
        <v>43930</v>
      </c>
      <c r="C384" s="1" t="n">
        <v>45575</v>
      </c>
      <c r="D384" t="inlineStr">
        <is>
          <t>VÄRMLANDS LÄN</t>
        </is>
      </c>
      <c r="E384" t="inlineStr">
        <is>
          <t>TORSBY</t>
        </is>
      </c>
      <c r="G384" t="n">
        <v>5.2</v>
      </c>
      <c r="H384" t="n">
        <v>0</v>
      </c>
      <c r="I384" t="n">
        <v>0</v>
      </c>
      <c r="J384" t="n">
        <v>0</v>
      </c>
      <c r="K384" t="n">
        <v>0</v>
      </c>
      <c r="L384" t="n">
        <v>0</v>
      </c>
      <c r="M384" t="n">
        <v>0</v>
      </c>
      <c r="N384" t="n">
        <v>0</v>
      </c>
      <c r="O384" t="n">
        <v>0</v>
      </c>
      <c r="P384" t="n">
        <v>0</v>
      </c>
      <c r="Q384" t="n">
        <v>0</v>
      </c>
      <c r="R384" s="2" t="inlineStr"/>
    </row>
    <row r="385" ht="15" customHeight="1">
      <c r="A385" t="inlineStr">
        <is>
          <t>A 18770-2020</t>
        </is>
      </c>
      <c r="B385" s="1" t="n">
        <v>43930</v>
      </c>
      <c r="C385" s="1" t="n">
        <v>45575</v>
      </c>
      <c r="D385" t="inlineStr">
        <is>
          <t>VÄRMLANDS LÄN</t>
        </is>
      </c>
      <c r="E385" t="inlineStr">
        <is>
          <t>TORSBY</t>
        </is>
      </c>
      <c r="G385" t="n">
        <v>4.2</v>
      </c>
      <c r="H385" t="n">
        <v>0</v>
      </c>
      <c r="I385" t="n">
        <v>0</v>
      </c>
      <c r="J385" t="n">
        <v>0</v>
      </c>
      <c r="K385" t="n">
        <v>0</v>
      </c>
      <c r="L385" t="n">
        <v>0</v>
      </c>
      <c r="M385" t="n">
        <v>0</v>
      </c>
      <c r="N385" t="n">
        <v>0</v>
      </c>
      <c r="O385" t="n">
        <v>0</v>
      </c>
      <c r="P385" t="n">
        <v>0</v>
      </c>
      <c r="Q385" t="n">
        <v>0</v>
      </c>
      <c r="R385" s="2" t="inlineStr"/>
    </row>
    <row r="386" ht="15" customHeight="1">
      <c r="A386" t="inlineStr">
        <is>
          <t>A 18972-2020</t>
        </is>
      </c>
      <c r="B386" s="1" t="n">
        <v>43935</v>
      </c>
      <c r="C386" s="1" t="n">
        <v>45575</v>
      </c>
      <c r="D386" t="inlineStr">
        <is>
          <t>VÄRMLANDS LÄN</t>
        </is>
      </c>
      <c r="E386" t="inlineStr">
        <is>
          <t>TORSBY</t>
        </is>
      </c>
      <c r="G386" t="n">
        <v>1.3</v>
      </c>
      <c r="H386" t="n">
        <v>0</v>
      </c>
      <c r="I386" t="n">
        <v>0</v>
      </c>
      <c r="J386" t="n">
        <v>0</v>
      </c>
      <c r="K386" t="n">
        <v>0</v>
      </c>
      <c r="L386" t="n">
        <v>0</v>
      </c>
      <c r="M386" t="n">
        <v>0</v>
      </c>
      <c r="N386" t="n">
        <v>0</v>
      </c>
      <c r="O386" t="n">
        <v>0</v>
      </c>
      <c r="P386" t="n">
        <v>0</v>
      </c>
      <c r="Q386" t="n">
        <v>0</v>
      </c>
      <c r="R386" s="2" t="inlineStr"/>
    </row>
    <row r="387" ht="15" customHeight="1">
      <c r="A387" t="inlineStr">
        <is>
          <t>A 19032-2020</t>
        </is>
      </c>
      <c r="B387" s="1" t="n">
        <v>43936</v>
      </c>
      <c r="C387" s="1" t="n">
        <v>45575</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19181-2020</t>
        </is>
      </c>
      <c r="B388" s="1" t="n">
        <v>43937</v>
      </c>
      <c r="C388" s="1" t="n">
        <v>45575</v>
      </c>
      <c r="D388" t="inlineStr">
        <is>
          <t>VÄRMLANDS LÄN</t>
        </is>
      </c>
      <c r="E388" t="inlineStr">
        <is>
          <t>TORSBY</t>
        </is>
      </c>
      <c r="G388" t="n">
        <v>1.6</v>
      </c>
      <c r="H388" t="n">
        <v>0</v>
      </c>
      <c r="I388" t="n">
        <v>0</v>
      </c>
      <c r="J388" t="n">
        <v>0</v>
      </c>
      <c r="K388" t="n">
        <v>0</v>
      </c>
      <c r="L388" t="n">
        <v>0</v>
      </c>
      <c r="M388" t="n">
        <v>0</v>
      </c>
      <c r="N388" t="n">
        <v>0</v>
      </c>
      <c r="O388" t="n">
        <v>0</v>
      </c>
      <c r="P388" t="n">
        <v>0</v>
      </c>
      <c r="Q388" t="n">
        <v>0</v>
      </c>
      <c r="R388" s="2" t="inlineStr"/>
    </row>
    <row r="389" ht="15" customHeight="1">
      <c r="A389" t="inlineStr">
        <is>
          <t>A 19384-2020</t>
        </is>
      </c>
      <c r="B389" s="1" t="n">
        <v>43938</v>
      </c>
      <c r="C389" s="1" t="n">
        <v>45575</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19963-2020</t>
        </is>
      </c>
      <c r="B390" s="1" t="n">
        <v>43941</v>
      </c>
      <c r="C390" s="1" t="n">
        <v>45575</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20025-2020</t>
        </is>
      </c>
      <c r="B391" s="1" t="n">
        <v>43943</v>
      </c>
      <c r="C391" s="1" t="n">
        <v>45575</v>
      </c>
      <c r="D391" t="inlineStr">
        <is>
          <t>VÄRMLANDS LÄN</t>
        </is>
      </c>
      <c r="E391" t="inlineStr">
        <is>
          <t>TORSBY</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20280-2020</t>
        </is>
      </c>
      <c r="B392" s="1" t="n">
        <v>43945</v>
      </c>
      <c r="C392" s="1" t="n">
        <v>45575</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20464-2020</t>
        </is>
      </c>
      <c r="B393" s="1" t="n">
        <v>43948</v>
      </c>
      <c r="C393" s="1" t="n">
        <v>45575</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21099-2020</t>
        </is>
      </c>
      <c r="B394" s="1" t="n">
        <v>43951</v>
      </c>
      <c r="C394" s="1" t="n">
        <v>45575</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21335-2020</t>
        </is>
      </c>
      <c r="B395" s="1" t="n">
        <v>43951</v>
      </c>
      <c r="C395" s="1" t="n">
        <v>45575</v>
      </c>
      <c r="D395" t="inlineStr">
        <is>
          <t>VÄRMLANDS LÄN</t>
        </is>
      </c>
      <c r="E395" t="inlineStr">
        <is>
          <t>TORSBY</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21369-2020</t>
        </is>
      </c>
      <c r="B396" s="1" t="n">
        <v>43951</v>
      </c>
      <c r="C396" s="1" t="n">
        <v>45575</v>
      </c>
      <c r="D396" t="inlineStr">
        <is>
          <t>VÄRMLANDS LÄN</t>
        </is>
      </c>
      <c r="E396" t="inlineStr">
        <is>
          <t>TORSBY</t>
        </is>
      </c>
      <c r="F396" t="inlineStr">
        <is>
          <t>Övriga Aktiebolag</t>
        </is>
      </c>
      <c r="G396" t="n">
        <v>3.5</v>
      </c>
      <c r="H396" t="n">
        <v>0</v>
      </c>
      <c r="I396" t="n">
        <v>0</v>
      </c>
      <c r="J396" t="n">
        <v>0</v>
      </c>
      <c r="K396" t="n">
        <v>0</v>
      </c>
      <c r="L396" t="n">
        <v>0</v>
      </c>
      <c r="M396" t="n">
        <v>0</v>
      </c>
      <c r="N396" t="n">
        <v>0</v>
      </c>
      <c r="O396" t="n">
        <v>0</v>
      </c>
      <c r="P396" t="n">
        <v>0</v>
      </c>
      <c r="Q396" t="n">
        <v>0</v>
      </c>
      <c r="R396" s="2" t="inlineStr"/>
    </row>
    <row r="397" ht="15" customHeight="1">
      <c r="A397" t="inlineStr">
        <is>
          <t>A 21045-2020</t>
        </is>
      </c>
      <c r="B397" s="1" t="n">
        <v>43951</v>
      </c>
      <c r="C397" s="1" t="n">
        <v>45575</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21347-2020</t>
        </is>
      </c>
      <c r="B398" s="1" t="n">
        <v>43951</v>
      </c>
      <c r="C398" s="1" t="n">
        <v>45575</v>
      </c>
      <c r="D398" t="inlineStr">
        <is>
          <t>VÄRMLANDS LÄN</t>
        </is>
      </c>
      <c r="E398" t="inlineStr">
        <is>
          <t>TORSBY</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21900-2020</t>
        </is>
      </c>
      <c r="B399" s="1" t="n">
        <v>43955</v>
      </c>
      <c r="C399" s="1" t="n">
        <v>45575</v>
      </c>
      <c r="D399" t="inlineStr">
        <is>
          <t>VÄRMLANDS LÄN</t>
        </is>
      </c>
      <c r="E399" t="inlineStr">
        <is>
          <t>TORSBY</t>
        </is>
      </c>
      <c r="G399" t="n">
        <v>2.7</v>
      </c>
      <c r="H399" t="n">
        <v>0</v>
      </c>
      <c r="I399" t="n">
        <v>0</v>
      </c>
      <c r="J399" t="n">
        <v>0</v>
      </c>
      <c r="K399" t="n">
        <v>0</v>
      </c>
      <c r="L399" t="n">
        <v>0</v>
      </c>
      <c r="M399" t="n">
        <v>0</v>
      </c>
      <c r="N399" t="n">
        <v>0</v>
      </c>
      <c r="O399" t="n">
        <v>0</v>
      </c>
      <c r="P399" t="n">
        <v>0</v>
      </c>
      <c r="Q399" t="n">
        <v>0</v>
      </c>
      <c r="R399" s="2" t="inlineStr"/>
    </row>
    <row r="400" ht="15" customHeight="1">
      <c r="A400" t="inlineStr">
        <is>
          <t>A 21672-2020</t>
        </is>
      </c>
      <c r="B400" s="1" t="n">
        <v>43957</v>
      </c>
      <c r="C400" s="1" t="n">
        <v>45575</v>
      </c>
      <c r="D400" t="inlineStr">
        <is>
          <t>VÄRMLANDS LÄN</t>
        </is>
      </c>
      <c r="E400" t="inlineStr">
        <is>
          <t>TORSBY</t>
        </is>
      </c>
      <c r="F400" t="inlineStr">
        <is>
          <t>Bergvik skog väst AB</t>
        </is>
      </c>
      <c r="G400" t="n">
        <v>44.1</v>
      </c>
      <c r="H400" t="n">
        <v>0</v>
      </c>
      <c r="I400" t="n">
        <v>0</v>
      </c>
      <c r="J400" t="n">
        <v>0</v>
      </c>
      <c r="K400" t="n">
        <v>0</v>
      </c>
      <c r="L400" t="n">
        <v>0</v>
      </c>
      <c r="M400" t="n">
        <v>0</v>
      </c>
      <c r="N400" t="n">
        <v>0</v>
      </c>
      <c r="O400" t="n">
        <v>0</v>
      </c>
      <c r="P400" t="n">
        <v>0</v>
      </c>
      <c r="Q400" t="n">
        <v>0</v>
      </c>
      <c r="R400" s="2" t="inlineStr"/>
    </row>
    <row r="401" ht="15" customHeight="1">
      <c r="A401" t="inlineStr">
        <is>
          <t>A 22194-2020</t>
        </is>
      </c>
      <c r="B401" s="1" t="n">
        <v>43962</v>
      </c>
      <c r="C401" s="1" t="n">
        <v>45575</v>
      </c>
      <c r="D401" t="inlineStr">
        <is>
          <t>VÄRMLANDS LÄN</t>
        </is>
      </c>
      <c r="E401" t="inlineStr">
        <is>
          <t>TORSBY</t>
        </is>
      </c>
      <c r="G401" t="n">
        <v>3.2</v>
      </c>
      <c r="H401" t="n">
        <v>0</v>
      </c>
      <c r="I401" t="n">
        <v>0</v>
      </c>
      <c r="J401" t="n">
        <v>0</v>
      </c>
      <c r="K401" t="n">
        <v>0</v>
      </c>
      <c r="L401" t="n">
        <v>0</v>
      </c>
      <c r="M401" t="n">
        <v>0</v>
      </c>
      <c r="N401" t="n">
        <v>0</v>
      </c>
      <c r="O401" t="n">
        <v>0</v>
      </c>
      <c r="P401" t="n">
        <v>0</v>
      </c>
      <c r="Q401" t="n">
        <v>0</v>
      </c>
      <c r="R401" s="2" t="inlineStr"/>
    </row>
    <row r="402" ht="15" customHeight="1">
      <c r="A402" t="inlineStr">
        <is>
          <t>A 22209-2020</t>
        </is>
      </c>
      <c r="B402" s="1" t="n">
        <v>43962</v>
      </c>
      <c r="C402" s="1" t="n">
        <v>45575</v>
      </c>
      <c r="D402" t="inlineStr">
        <is>
          <t>VÄRMLANDS LÄN</t>
        </is>
      </c>
      <c r="E402" t="inlineStr">
        <is>
          <t>TORSBY</t>
        </is>
      </c>
      <c r="G402" t="n">
        <v>0.4</v>
      </c>
      <c r="H402" t="n">
        <v>0</v>
      </c>
      <c r="I402" t="n">
        <v>0</v>
      </c>
      <c r="J402" t="n">
        <v>0</v>
      </c>
      <c r="K402" t="n">
        <v>0</v>
      </c>
      <c r="L402" t="n">
        <v>0</v>
      </c>
      <c r="M402" t="n">
        <v>0</v>
      </c>
      <c r="N402" t="n">
        <v>0</v>
      </c>
      <c r="O402" t="n">
        <v>0</v>
      </c>
      <c r="P402" t="n">
        <v>0</v>
      </c>
      <c r="Q402" t="n">
        <v>0</v>
      </c>
      <c r="R402" s="2" t="inlineStr"/>
    </row>
    <row r="403" ht="15" customHeight="1">
      <c r="A403" t="inlineStr">
        <is>
          <t>A 25518-2020</t>
        </is>
      </c>
      <c r="B403" s="1" t="n">
        <v>43983</v>
      </c>
      <c r="C403" s="1" t="n">
        <v>45575</v>
      </c>
      <c r="D403" t="inlineStr">
        <is>
          <t>VÄRMLANDS LÄN</t>
        </is>
      </c>
      <c r="E403" t="inlineStr">
        <is>
          <t>TORSBY</t>
        </is>
      </c>
      <c r="G403" t="n">
        <v>0.2</v>
      </c>
      <c r="H403" t="n">
        <v>0</v>
      </c>
      <c r="I403" t="n">
        <v>0</v>
      </c>
      <c r="J403" t="n">
        <v>0</v>
      </c>
      <c r="K403" t="n">
        <v>0</v>
      </c>
      <c r="L403" t="n">
        <v>0</v>
      </c>
      <c r="M403" t="n">
        <v>0</v>
      </c>
      <c r="N403" t="n">
        <v>0</v>
      </c>
      <c r="O403" t="n">
        <v>0</v>
      </c>
      <c r="P403" t="n">
        <v>0</v>
      </c>
      <c r="Q403" t="n">
        <v>0</v>
      </c>
      <c r="R403" s="2" t="inlineStr"/>
    </row>
    <row r="404" ht="15" customHeight="1">
      <c r="A404" t="inlineStr">
        <is>
          <t>A 26915-2020</t>
        </is>
      </c>
      <c r="B404" s="1" t="n">
        <v>43986</v>
      </c>
      <c r="C404" s="1" t="n">
        <v>45575</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26926-2020</t>
        </is>
      </c>
      <c r="B405" s="1" t="n">
        <v>43986</v>
      </c>
      <c r="C405" s="1" t="n">
        <v>45575</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26919-2020</t>
        </is>
      </c>
      <c r="B406" s="1" t="n">
        <v>43986</v>
      </c>
      <c r="C406" s="1" t="n">
        <v>45575</v>
      </c>
      <c r="D406" t="inlineStr">
        <is>
          <t>VÄRMLANDS LÄN</t>
        </is>
      </c>
      <c r="E406" t="inlineStr">
        <is>
          <t>TORSBY</t>
        </is>
      </c>
      <c r="G406" t="n">
        <v>0.4</v>
      </c>
      <c r="H406" t="n">
        <v>0</v>
      </c>
      <c r="I406" t="n">
        <v>0</v>
      </c>
      <c r="J406" t="n">
        <v>0</v>
      </c>
      <c r="K406" t="n">
        <v>0</v>
      </c>
      <c r="L406" t="n">
        <v>0</v>
      </c>
      <c r="M406" t="n">
        <v>0</v>
      </c>
      <c r="N406" t="n">
        <v>0</v>
      </c>
      <c r="O406" t="n">
        <v>0</v>
      </c>
      <c r="P406" t="n">
        <v>0</v>
      </c>
      <c r="Q406" t="n">
        <v>0</v>
      </c>
      <c r="R406" s="2" t="inlineStr"/>
    </row>
    <row r="407" ht="15" customHeight="1">
      <c r="A407" t="inlineStr">
        <is>
          <t>A 26666-2020</t>
        </is>
      </c>
      <c r="B407" s="1" t="n">
        <v>43989</v>
      </c>
      <c r="C407" s="1" t="n">
        <v>45575</v>
      </c>
      <c r="D407" t="inlineStr">
        <is>
          <t>VÄRMLANDS LÄN</t>
        </is>
      </c>
      <c r="E407" t="inlineStr">
        <is>
          <t>TORSBY</t>
        </is>
      </c>
      <c r="G407" t="n">
        <v>8.4</v>
      </c>
      <c r="H407" t="n">
        <v>0</v>
      </c>
      <c r="I407" t="n">
        <v>0</v>
      </c>
      <c r="J407" t="n">
        <v>0</v>
      </c>
      <c r="K407" t="n">
        <v>0</v>
      </c>
      <c r="L407" t="n">
        <v>0</v>
      </c>
      <c r="M407" t="n">
        <v>0</v>
      </c>
      <c r="N407" t="n">
        <v>0</v>
      </c>
      <c r="O407" t="n">
        <v>0</v>
      </c>
      <c r="P407" t="n">
        <v>0</v>
      </c>
      <c r="Q407" t="n">
        <v>0</v>
      </c>
      <c r="R407" s="2" t="inlineStr"/>
    </row>
    <row r="408" ht="15" customHeight="1">
      <c r="A408" t="inlineStr">
        <is>
          <t>A 27339-2020</t>
        </is>
      </c>
      <c r="B408" s="1" t="n">
        <v>43990</v>
      </c>
      <c r="C408" s="1" t="n">
        <v>45575</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27009-2020</t>
        </is>
      </c>
      <c r="B409" s="1" t="n">
        <v>43991</v>
      </c>
      <c r="C409" s="1" t="n">
        <v>45575</v>
      </c>
      <c r="D409" t="inlineStr">
        <is>
          <t>VÄRMLANDS LÄN</t>
        </is>
      </c>
      <c r="E409" t="inlineStr">
        <is>
          <t>TORSBY</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28397-2020</t>
        </is>
      </c>
      <c r="B410" s="1" t="n">
        <v>43998</v>
      </c>
      <c r="C410" s="1" t="n">
        <v>45575</v>
      </c>
      <c r="D410" t="inlineStr">
        <is>
          <t>VÄRMLANDS LÄN</t>
        </is>
      </c>
      <c r="E410" t="inlineStr">
        <is>
          <t>TORSBY</t>
        </is>
      </c>
      <c r="G410" t="n">
        <v>7.3</v>
      </c>
      <c r="H410" t="n">
        <v>0</v>
      </c>
      <c r="I410" t="n">
        <v>0</v>
      </c>
      <c r="J410" t="n">
        <v>0</v>
      </c>
      <c r="K410" t="n">
        <v>0</v>
      </c>
      <c r="L410" t="n">
        <v>0</v>
      </c>
      <c r="M410" t="n">
        <v>0</v>
      </c>
      <c r="N410" t="n">
        <v>0</v>
      </c>
      <c r="O410" t="n">
        <v>0</v>
      </c>
      <c r="P410" t="n">
        <v>0</v>
      </c>
      <c r="Q410" t="n">
        <v>0</v>
      </c>
      <c r="R410" s="2" t="inlineStr"/>
    </row>
    <row r="411" ht="15" customHeight="1">
      <c r="A411" t="inlineStr">
        <is>
          <t>A 28416-2020</t>
        </is>
      </c>
      <c r="B411" s="1" t="n">
        <v>43998</v>
      </c>
      <c r="C411" s="1" t="n">
        <v>45575</v>
      </c>
      <c r="D411" t="inlineStr">
        <is>
          <t>VÄRMLANDS LÄN</t>
        </is>
      </c>
      <c r="E411" t="inlineStr">
        <is>
          <t>TORSBY</t>
        </is>
      </c>
      <c r="G411" t="n">
        <v>2.1</v>
      </c>
      <c r="H411" t="n">
        <v>0</v>
      </c>
      <c r="I411" t="n">
        <v>0</v>
      </c>
      <c r="J411" t="n">
        <v>0</v>
      </c>
      <c r="K411" t="n">
        <v>0</v>
      </c>
      <c r="L411" t="n">
        <v>0</v>
      </c>
      <c r="M411" t="n">
        <v>0</v>
      </c>
      <c r="N411" t="n">
        <v>0</v>
      </c>
      <c r="O411" t="n">
        <v>0</v>
      </c>
      <c r="P411" t="n">
        <v>0</v>
      </c>
      <c r="Q411" t="n">
        <v>0</v>
      </c>
      <c r="R411" s="2" t="inlineStr"/>
    </row>
    <row r="412" ht="15" customHeight="1">
      <c r="A412" t="inlineStr">
        <is>
          <t>A 28703-2020</t>
        </is>
      </c>
      <c r="B412" s="1" t="n">
        <v>43999</v>
      </c>
      <c r="C412" s="1" t="n">
        <v>45575</v>
      </c>
      <c r="D412" t="inlineStr">
        <is>
          <t>VÄRMLANDS LÄN</t>
        </is>
      </c>
      <c r="E412" t="inlineStr">
        <is>
          <t>TORSBY</t>
        </is>
      </c>
      <c r="G412" t="n">
        <v>4.3</v>
      </c>
      <c r="H412" t="n">
        <v>0</v>
      </c>
      <c r="I412" t="n">
        <v>0</v>
      </c>
      <c r="J412" t="n">
        <v>0</v>
      </c>
      <c r="K412" t="n">
        <v>0</v>
      </c>
      <c r="L412" t="n">
        <v>0</v>
      </c>
      <c r="M412" t="n">
        <v>0</v>
      </c>
      <c r="N412" t="n">
        <v>0</v>
      </c>
      <c r="O412" t="n">
        <v>0</v>
      </c>
      <c r="P412" t="n">
        <v>0</v>
      </c>
      <c r="Q412" t="n">
        <v>0</v>
      </c>
      <c r="R412" s="2" t="inlineStr"/>
    </row>
    <row r="413" ht="15" customHeight="1">
      <c r="A413" t="inlineStr">
        <is>
          <t>A 28849-2020</t>
        </is>
      </c>
      <c r="B413" s="1" t="n">
        <v>44000</v>
      </c>
      <c r="C413" s="1" t="n">
        <v>45575</v>
      </c>
      <c r="D413" t="inlineStr">
        <is>
          <t>VÄRMLANDS LÄN</t>
        </is>
      </c>
      <c r="E413" t="inlineStr">
        <is>
          <t>TORSBY</t>
        </is>
      </c>
      <c r="G413" t="n">
        <v>10.9</v>
      </c>
      <c r="H413" t="n">
        <v>0</v>
      </c>
      <c r="I413" t="n">
        <v>0</v>
      </c>
      <c r="J413" t="n">
        <v>0</v>
      </c>
      <c r="K413" t="n">
        <v>0</v>
      </c>
      <c r="L413" t="n">
        <v>0</v>
      </c>
      <c r="M413" t="n">
        <v>0</v>
      </c>
      <c r="N413" t="n">
        <v>0</v>
      </c>
      <c r="O413" t="n">
        <v>0</v>
      </c>
      <c r="P413" t="n">
        <v>0</v>
      </c>
      <c r="Q413" t="n">
        <v>0</v>
      </c>
      <c r="R413" s="2" t="inlineStr"/>
    </row>
    <row r="414" ht="15" customHeight="1">
      <c r="A414" t="inlineStr">
        <is>
          <t>A 28897-2020</t>
        </is>
      </c>
      <c r="B414" s="1" t="n">
        <v>44000</v>
      </c>
      <c r="C414" s="1" t="n">
        <v>45575</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28911-2020</t>
        </is>
      </c>
      <c r="B415" s="1" t="n">
        <v>44000</v>
      </c>
      <c r="C415" s="1" t="n">
        <v>45575</v>
      </c>
      <c r="D415" t="inlineStr">
        <is>
          <t>VÄRMLANDS LÄN</t>
        </is>
      </c>
      <c r="E415" t="inlineStr">
        <is>
          <t>TORSBY</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28976-2020</t>
        </is>
      </c>
      <c r="B416" s="1" t="n">
        <v>44000</v>
      </c>
      <c r="C416" s="1" t="n">
        <v>45575</v>
      </c>
      <c r="D416" t="inlineStr">
        <is>
          <t>VÄRMLANDS LÄN</t>
        </is>
      </c>
      <c r="E416" t="inlineStr">
        <is>
          <t>TORSBY</t>
        </is>
      </c>
      <c r="G416" t="n">
        <v>2.2</v>
      </c>
      <c r="H416" t="n">
        <v>0</v>
      </c>
      <c r="I416" t="n">
        <v>0</v>
      </c>
      <c r="J416" t="n">
        <v>0</v>
      </c>
      <c r="K416" t="n">
        <v>0</v>
      </c>
      <c r="L416" t="n">
        <v>0</v>
      </c>
      <c r="M416" t="n">
        <v>0</v>
      </c>
      <c r="N416" t="n">
        <v>0</v>
      </c>
      <c r="O416" t="n">
        <v>0</v>
      </c>
      <c r="P416" t="n">
        <v>0</v>
      </c>
      <c r="Q416" t="n">
        <v>0</v>
      </c>
      <c r="R416" s="2" t="inlineStr"/>
    </row>
    <row r="417" ht="15" customHeight="1">
      <c r="A417" t="inlineStr">
        <is>
          <t>A 28987-2020</t>
        </is>
      </c>
      <c r="B417" s="1" t="n">
        <v>44000</v>
      </c>
      <c r="C417" s="1" t="n">
        <v>45575</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29970-2020</t>
        </is>
      </c>
      <c r="B418" s="1" t="n">
        <v>44006</v>
      </c>
      <c r="C418" s="1" t="n">
        <v>45575</v>
      </c>
      <c r="D418" t="inlineStr">
        <is>
          <t>VÄRMLANDS LÄN</t>
        </is>
      </c>
      <c r="E418" t="inlineStr">
        <is>
          <t>TORSBY</t>
        </is>
      </c>
      <c r="F418" t="inlineStr">
        <is>
          <t>Bergvik skog väst AB</t>
        </is>
      </c>
      <c r="G418" t="n">
        <v>7.4</v>
      </c>
      <c r="H418" t="n">
        <v>0</v>
      </c>
      <c r="I418" t="n">
        <v>0</v>
      </c>
      <c r="J418" t="n">
        <v>0</v>
      </c>
      <c r="K418" t="n">
        <v>0</v>
      </c>
      <c r="L418" t="n">
        <v>0</v>
      </c>
      <c r="M418" t="n">
        <v>0</v>
      </c>
      <c r="N418" t="n">
        <v>0</v>
      </c>
      <c r="O418" t="n">
        <v>0</v>
      </c>
      <c r="P418" t="n">
        <v>0</v>
      </c>
      <c r="Q418" t="n">
        <v>0</v>
      </c>
      <c r="R418" s="2" t="inlineStr"/>
    </row>
    <row r="419" ht="15" customHeight="1">
      <c r="A419" t="inlineStr">
        <is>
          <t>A 30572-2020</t>
        </is>
      </c>
      <c r="B419" s="1" t="n">
        <v>44008</v>
      </c>
      <c r="C419" s="1" t="n">
        <v>45575</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30996-2020</t>
        </is>
      </c>
      <c r="B420" s="1" t="n">
        <v>44011</v>
      </c>
      <c r="C420" s="1" t="n">
        <v>45575</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30930-2020</t>
        </is>
      </c>
      <c r="B421" s="1" t="n">
        <v>44011</v>
      </c>
      <c r="C421" s="1" t="n">
        <v>45575</v>
      </c>
      <c r="D421" t="inlineStr">
        <is>
          <t>VÄRMLANDS LÄN</t>
        </is>
      </c>
      <c r="E421" t="inlineStr">
        <is>
          <t>TORSBY</t>
        </is>
      </c>
      <c r="G421" t="n">
        <v>1.6</v>
      </c>
      <c r="H421" t="n">
        <v>0</v>
      </c>
      <c r="I421" t="n">
        <v>0</v>
      </c>
      <c r="J421" t="n">
        <v>0</v>
      </c>
      <c r="K421" t="n">
        <v>0</v>
      </c>
      <c r="L421" t="n">
        <v>0</v>
      </c>
      <c r="M421" t="n">
        <v>0</v>
      </c>
      <c r="N421" t="n">
        <v>0</v>
      </c>
      <c r="O421" t="n">
        <v>0</v>
      </c>
      <c r="P421" t="n">
        <v>0</v>
      </c>
      <c r="Q421" t="n">
        <v>0</v>
      </c>
      <c r="R421" s="2" t="inlineStr"/>
    </row>
    <row r="422" ht="15" customHeight="1">
      <c r="A422" t="inlineStr">
        <is>
          <t>A 31298-2020</t>
        </is>
      </c>
      <c r="B422" s="1" t="n">
        <v>44012</v>
      </c>
      <c r="C422" s="1" t="n">
        <v>45575</v>
      </c>
      <c r="D422" t="inlineStr">
        <is>
          <t>VÄRMLANDS LÄN</t>
        </is>
      </c>
      <c r="E422" t="inlineStr">
        <is>
          <t>TORSBY</t>
        </is>
      </c>
      <c r="G422" t="n">
        <v>4.3</v>
      </c>
      <c r="H422" t="n">
        <v>0</v>
      </c>
      <c r="I422" t="n">
        <v>0</v>
      </c>
      <c r="J422" t="n">
        <v>0</v>
      </c>
      <c r="K422" t="n">
        <v>0</v>
      </c>
      <c r="L422" t="n">
        <v>0</v>
      </c>
      <c r="M422" t="n">
        <v>0</v>
      </c>
      <c r="N422" t="n">
        <v>0</v>
      </c>
      <c r="O422" t="n">
        <v>0</v>
      </c>
      <c r="P422" t="n">
        <v>0</v>
      </c>
      <c r="Q422" t="n">
        <v>0</v>
      </c>
      <c r="R422" s="2" t="inlineStr"/>
    </row>
    <row r="423" ht="15" customHeight="1">
      <c r="A423" t="inlineStr">
        <is>
          <t>A 31436-2020</t>
        </is>
      </c>
      <c r="B423" s="1" t="n">
        <v>44013</v>
      </c>
      <c r="C423" s="1" t="n">
        <v>45575</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31577-2020</t>
        </is>
      </c>
      <c r="B424" s="1" t="n">
        <v>44013</v>
      </c>
      <c r="C424" s="1" t="n">
        <v>45575</v>
      </c>
      <c r="D424" t="inlineStr">
        <is>
          <t>VÄRMLANDS LÄN</t>
        </is>
      </c>
      <c r="E424" t="inlineStr">
        <is>
          <t>TORSBY</t>
        </is>
      </c>
      <c r="F424" t="inlineStr">
        <is>
          <t>Kommuner</t>
        </is>
      </c>
      <c r="G424" t="n">
        <v>1</v>
      </c>
      <c r="H424" t="n">
        <v>0</v>
      </c>
      <c r="I424" t="n">
        <v>0</v>
      </c>
      <c r="J424" t="n">
        <v>0</v>
      </c>
      <c r="K424" t="n">
        <v>0</v>
      </c>
      <c r="L424" t="n">
        <v>0</v>
      </c>
      <c r="M424" t="n">
        <v>0</v>
      </c>
      <c r="N424" t="n">
        <v>0</v>
      </c>
      <c r="O424" t="n">
        <v>0</v>
      </c>
      <c r="P424" t="n">
        <v>0</v>
      </c>
      <c r="Q424" t="n">
        <v>0</v>
      </c>
      <c r="R424" s="2" t="inlineStr"/>
    </row>
    <row r="425" ht="15" customHeight="1">
      <c r="A425" t="inlineStr">
        <is>
          <t>A 31759-2020</t>
        </is>
      </c>
      <c r="B425" s="1" t="n">
        <v>44014</v>
      </c>
      <c r="C425" s="1" t="n">
        <v>45575</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32122-2020</t>
        </is>
      </c>
      <c r="B426" s="1" t="n">
        <v>44015</v>
      </c>
      <c r="C426" s="1" t="n">
        <v>45575</v>
      </c>
      <c r="D426" t="inlineStr">
        <is>
          <t>VÄRMLANDS LÄN</t>
        </is>
      </c>
      <c r="E426" t="inlineStr">
        <is>
          <t>TORSBY</t>
        </is>
      </c>
      <c r="G426" t="n">
        <v>0.8</v>
      </c>
      <c r="H426" t="n">
        <v>0</v>
      </c>
      <c r="I426" t="n">
        <v>0</v>
      </c>
      <c r="J426" t="n">
        <v>0</v>
      </c>
      <c r="K426" t="n">
        <v>0</v>
      </c>
      <c r="L426" t="n">
        <v>0</v>
      </c>
      <c r="M426" t="n">
        <v>0</v>
      </c>
      <c r="N426" t="n">
        <v>0</v>
      </c>
      <c r="O426" t="n">
        <v>0</v>
      </c>
      <c r="P426" t="n">
        <v>0</v>
      </c>
      <c r="Q426" t="n">
        <v>0</v>
      </c>
      <c r="R426" s="2" t="inlineStr"/>
    </row>
    <row r="427" ht="15" customHeight="1">
      <c r="A427" t="inlineStr">
        <is>
          <t>A 32623-2020</t>
        </is>
      </c>
      <c r="B427" s="1" t="n">
        <v>44019</v>
      </c>
      <c r="C427" s="1" t="n">
        <v>45575</v>
      </c>
      <c r="D427" t="inlineStr">
        <is>
          <t>VÄRMLANDS LÄN</t>
        </is>
      </c>
      <c r="E427" t="inlineStr">
        <is>
          <t>TORSBY</t>
        </is>
      </c>
      <c r="F427" t="inlineStr">
        <is>
          <t>Kommuner</t>
        </is>
      </c>
      <c r="G427" t="n">
        <v>13.9</v>
      </c>
      <c r="H427" t="n">
        <v>0</v>
      </c>
      <c r="I427" t="n">
        <v>0</v>
      </c>
      <c r="J427" t="n">
        <v>0</v>
      </c>
      <c r="K427" t="n">
        <v>0</v>
      </c>
      <c r="L427" t="n">
        <v>0</v>
      </c>
      <c r="M427" t="n">
        <v>0</v>
      </c>
      <c r="N427" t="n">
        <v>0</v>
      </c>
      <c r="O427" t="n">
        <v>0</v>
      </c>
      <c r="P427" t="n">
        <v>0</v>
      </c>
      <c r="Q427" t="n">
        <v>0</v>
      </c>
      <c r="R427" s="2" t="inlineStr"/>
    </row>
    <row r="428" ht="15" customHeight="1">
      <c r="A428" t="inlineStr">
        <is>
          <t>A 32651-2020</t>
        </is>
      </c>
      <c r="B428" s="1" t="n">
        <v>44019</v>
      </c>
      <c r="C428" s="1" t="n">
        <v>45575</v>
      </c>
      <c r="D428" t="inlineStr">
        <is>
          <t>VÄRMLANDS LÄN</t>
        </is>
      </c>
      <c r="E428" t="inlineStr">
        <is>
          <t>TORSBY</t>
        </is>
      </c>
      <c r="F428" t="inlineStr">
        <is>
          <t>Kommuner</t>
        </is>
      </c>
      <c r="G428" t="n">
        <v>8.6</v>
      </c>
      <c r="H428" t="n">
        <v>0</v>
      </c>
      <c r="I428" t="n">
        <v>0</v>
      </c>
      <c r="J428" t="n">
        <v>0</v>
      </c>
      <c r="K428" t="n">
        <v>0</v>
      </c>
      <c r="L428" t="n">
        <v>0</v>
      </c>
      <c r="M428" t="n">
        <v>0</v>
      </c>
      <c r="N428" t="n">
        <v>0</v>
      </c>
      <c r="O428" t="n">
        <v>0</v>
      </c>
      <c r="P428" t="n">
        <v>0</v>
      </c>
      <c r="Q428" t="n">
        <v>0</v>
      </c>
      <c r="R428" s="2" t="inlineStr"/>
    </row>
    <row r="429" ht="15" customHeight="1">
      <c r="A429" t="inlineStr">
        <is>
          <t>A 33124-2020</t>
        </is>
      </c>
      <c r="B429" s="1" t="n">
        <v>44021</v>
      </c>
      <c r="C429" s="1" t="n">
        <v>45575</v>
      </c>
      <c r="D429" t="inlineStr">
        <is>
          <t>VÄRMLANDS LÄN</t>
        </is>
      </c>
      <c r="E429" t="inlineStr">
        <is>
          <t>TORSBY</t>
        </is>
      </c>
      <c r="G429" t="n">
        <v>1.9</v>
      </c>
      <c r="H429" t="n">
        <v>0</v>
      </c>
      <c r="I429" t="n">
        <v>0</v>
      </c>
      <c r="J429" t="n">
        <v>0</v>
      </c>
      <c r="K429" t="n">
        <v>0</v>
      </c>
      <c r="L429" t="n">
        <v>0</v>
      </c>
      <c r="M429" t="n">
        <v>0</v>
      </c>
      <c r="N429" t="n">
        <v>0</v>
      </c>
      <c r="O429" t="n">
        <v>0</v>
      </c>
      <c r="P429" t="n">
        <v>0</v>
      </c>
      <c r="Q429" t="n">
        <v>0</v>
      </c>
      <c r="R429" s="2" t="inlineStr"/>
    </row>
    <row r="430" ht="15" customHeight="1">
      <c r="A430" t="inlineStr">
        <is>
          <t>A 33095-2020</t>
        </is>
      </c>
      <c r="B430" s="1" t="n">
        <v>44021</v>
      </c>
      <c r="C430" s="1" t="n">
        <v>45575</v>
      </c>
      <c r="D430" t="inlineStr">
        <is>
          <t>VÄRMLANDS LÄN</t>
        </is>
      </c>
      <c r="E430" t="inlineStr">
        <is>
          <t>TORSBY</t>
        </is>
      </c>
      <c r="G430" t="n">
        <v>3.1</v>
      </c>
      <c r="H430" t="n">
        <v>0</v>
      </c>
      <c r="I430" t="n">
        <v>0</v>
      </c>
      <c r="J430" t="n">
        <v>0</v>
      </c>
      <c r="K430" t="n">
        <v>0</v>
      </c>
      <c r="L430" t="n">
        <v>0</v>
      </c>
      <c r="M430" t="n">
        <v>0</v>
      </c>
      <c r="N430" t="n">
        <v>0</v>
      </c>
      <c r="O430" t="n">
        <v>0</v>
      </c>
      <c r="P430" t="n">
        <v>0</v>
      </c>
      <c r="Q430" t="n">
        <v>0</v>
      </c>
      <c r="R430" s="2" t="inlineStr"/>
    </row>
    <row r="431" ht="15" customHeight="1">
      <c r="A431" t="inlineStr">
        <is>
          <t>A 33126-2020</t>
        </is>
      </c>
      <c r="B431" s="1" t="n">
        <v>44021</v>
      </c>
      <c r="C431" s="1" t="n">
        <v>45575</v>
      </c>
      <c r="D431" t="inlineStr">
        <is>
          <t>VÄRMLANDS LÄN</t>
        </is>
      </c>
      <c r="E431" t="inlineStr">
        <is>
          <t>TORSBY</t>
        </is>
      </c>
      <c r="G431" t="n">
        <v>1.7</v>
      </c>
      <c r="H431" t="n">
        <v>0</v>
      </c>
      <c r="I431" t="n">
        <v>0</v>
      </c>
      <c r="J431" t="n">
        <v>0</v>
      </c>
      <c r="K431" t="n">
        <v>0</v>
      </c>
      <c r="L431" t="n">
        <v>0</v>
      </c>
      <c r="M431" t="n">
        <v>0</v>
      </c>
      <c r="N431" t="n">
        <v>0</v>
      </c>
      <c r="O431" t="n">
        <v>0</v>
      </c>
      <c r="P431" t="n">
        <v>0</v>
      </c>
      <c r="Q431" t="n">
        <v>0</v>
      </c>
      <c r="R431" s="2" t="inlineStr"/>
    </row>
    <row r="432" ht="15" customHeight="1">
      <c r="A432" t="inlineStr">
        <is>
          <t>A 33691-2020</t>
        </is>
      </c>
      <c r="B432" s="1" t="n">
        <v>44022</v>
      </c>
      <c r="C432" s="1" t="n">
        <v>45575</v>
      </c>
      <c r="D432" t="inlineStr">
        <is>
          <t>VÄRMLANDS LÄN</t>
        </is>
      </c>
      <c r="E432" t="inlineStr">
        <is>
          <t>TORSBY</t>
        </is>
      </c>
      <c r="F432" t="inlineStr">
        <is>
          <t>Övriga Aktiebolag</t>
        </is>
      </c>
      <c r="G432" t="n">
        <v>3.8</v>
      </c>
      <c r="H432" t="n">
        <v>0</v>
      </c>
      <c r="I432" t="n">
        <v>0</v>
      </c>
      <c r="J432" t="n">
        <v>0</v>
      </c>
      <c r="K432" t="n">
        <v>0</v>
      </c>
      <c r="L432" t="n">
        <v>0</v>
      </c>
      <c r="M432" t="n">
        <v>0</v>
      </c>
      <c r="N432" t="n">
        <v>0</v>
      </c>
      <c r="O432" t="n">
        <v>0</v>
      </c>
      <c r="P432" t="n">
        <v>0</v>
      </c>
      <c r="Q432" t="n">
        <v>0</v>
      </c>
      <c r="R432" s="2" t="inlineStr"/>
    </row>
    <row r="433" ht="15" customHeight="1">
      <c r="A433" t="inlineStr">
        <is>
          <t>A 34901-2020</t>
        </is>
      </c>
      <c r="B433" s="1" t="n">
        <v>44022</v>
      </c>
      <c r="C433" s="1" t="n">
        <v>45575</v>
      </c>
      <c r="D433" t="inlineStr">
        <is>
          <t>VÄRMLANDS LÄN</t>
        </is>
      </c>
      <c r="E433" t="inlineStr">
        <is>
          <t>TORSBY</t>
        </is>
      </c>
      <c r="F433" t="inlineStr">
        <is>
          <t>Övriga Aktiebolag</t>
        </is>
      </c>
      <c r="G433" t="n">
        <v>0.4</v>
      </c>
      <c r="H433" t="n">
        <v>0</v>
      </c>
      <c r="I433" t="n">
        <v>0</v>
      </c>
      <c r="J433" t="n">
        <v>0</v>
      </c>
      <c r="K433" t="n">
        <v>0</v>
      </c>
      <c r="L433" t="n">
        <v>0</v>
      </c>
      <c r="M433" t="n">
        <v>0</v>
      </c>
      <c r="N433" t="n">
        <v>0</v>
      </c>
      <c r="O433" t="n">
        <v>0</v>
      </c>
      <c r="P433" t="n">
        <v>0</v>
      </c>
      <c r="Q433" t="n">
        <v>0</v>
      </c>
      <c r="R433" s="2" t="inlineStr"/>
    </row>
    <row r="434" ht="15" customHeight="1">
      <c r="A434" t="inlineStr">
        <is>
          <t>A 33908-2020</t>
        </is>
      </c>
      <c r="B434" s="1" t="n">
        <v>44027</v>
      </c>
      <c r="C434" s="1" t="n">
        <v>45575</v>
      </c>
      <c r="D434" t="inlineStr">
        <is>
          <t>VÄRMLANDS LÄN</t>
        </is>
      </c>
      <c r="E434" t="inlineStr">
        <is>
          <t>TORSBY</t>
        </is>
      </c>
      <c r="G434" t="n">
        <v>3.6</v>
      </c>
      <c r="H434" t="n">
        <v>0</v>
      </c>
      <c r="I434" t="n">
        <v>0</v>
      </c>
      <c r="J434" t="n">
        <v>0</v>
      </c>
      <c r="K434" t="n">
        <v>0</v>
      </c>
      <c r="L434" t="n">
        <v>0</v>
      </c>
      <c r="M434" t="n">
        <v>0</v>
      </c>
      <c r="N434" t="n">
        <v>0</v>
      </c>
      <c r="O434" t="n">
        <v>0</v>
      </c>
      <c r="P434" t="n">
        <v>0</v>
      </c>
      <c r="Q434" t="n">
        <v>0</v>
      </c>
      <c r="R434" s="2" t="inlineStr"/>
    </row>
    <row r="435" ht="15" customHeight="1">
      <c r="A435" t="inlineStr">
        <is>
          <t>A 33864-2020</t>
        </is>
      </c>
      <c r="B435" s="1" t="n">
        <v>44027</v>
      </c>
      <c r="C435" s="1" t="n">
        <v>45575</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34118-2020</t>
        </is>
      </c>
      <c r="B436" s="1" t="n">
        <v>44028</v>
      </c>
      <c r="C436" s="1" t="n">
        <v>45575</v>
      </c>
      <c r="D436" t="inlineStr">
        <is>
          <t>VÄRMLANDS LÄN</t>
        </is>
      </c>
      <c r="E436" t="inlineStr">
        <is>
          <t>TORSBY</t>
        </is>
      </c>
      <c r="G436" t="n">
        <v>1.8</v>
      </c>
      <c r="H436" t="n">
        <v>0</v>
      </c>
      <c r="I436" t="n">
        <v>0</v>
      </c>
      <c r="J436" t="n">
        <v>0</v>
      </c>
      <c r="K436" t="n">
        <v>0</v>
      </c>
      <c r="L436" t="n">
        <v>0</v>
      </c>
      <c r="M436" t="n">
        <v>0</v>
      </c>
      <c r="N436" t="n">
        <v>0</v>
      </c>
      <c r="O436" t="n">
        <v>0</v>
      </c>
      <c r="P436" t="n">
        <v>0</v>
      </c>
      <c r="Q436" t="n">
        <v>0</v>
      </c>
      <c r="R436" s="2" t="inlineStr"/>
    </row>
    <row r="437" ht="15" customHeight="1">
      <c r="A437" t="inlineStr">
        <is>
          <t>A 34247-2020</t>
        </is>
      </c>
      <c r="B437" s="1" t="n">
        <v>44029</v>
      </c>
      <c r="C437" s="1" t="n">
        <v>45575</v>
      </c>
      <c r="D437" t="inlineStr">
        <is>
          <t>VÄRMLANDS LÄN</t>
        </is>
      </c>
      <c r="E437" t="inlineStr">
        <is>
          <t>TORSBY</t>
        </is>
      </c>
      <c r="F437" t="inlineStr">
        <is>
          <t>Kommuner</t>
        </is>
      </c>
      <c r="G437" t="n">
        <v>3.3</v>
      </c>
      <c r="H437" t="n">
        <v>0</v>
      </c>
      <c r="I437" t="n">
        <v>0</v>
      </c>
      <c r="J437" t="n">
        <v>0</v>
      </c>
      <c r="K437" t="n">
        <v>0</v>
      </c>
      <c r="L437" t="n">
        <v>0</v>
      </c>
      <c r="M437" t="n">
        <v>0</v>
      </c>
      <c r="N437" t="n">
        <v>0</v>
      </c>
      <c r="O437" t="n">
        <v>0</v>
      </c>
      <c r="P437" t="n">
        <v>0</v>
      </c>
      <c r="Q437" t="n">
        <v>0</v>
      </c>
      <c r="R437" s="2" t="inlineStr"/>
    </row>
    <row r="438" ht="15" customHeight="1">
      <c r="A438" t="inlineStr">
        <is>
          <t>A 35132-2020</t>
        </is>
      </c>
      <c r="B438" s="1" t="n">
        <v>44040</v>
      </c>
      <c r="C438" s="1" t="n">
        <v>45575</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35174-2020</t>
        </is>
      </c>
      <c r="B439" s="1" t="n">
        <v>44040</v>
      </c>
      <c r="C439" s="1" t="n">
        <v>45575</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35500-2020</t>
        </is>
      </c>
      <c r="B440" s="1" t="n">
        <v>44043</v>
      </c>
      <c r="C440" s="1" t="n">
        <v>45575</v>
      </c>
      <c r="D440" t="inlineStr">
        <is>
          <t>VÄRMLANDS LÄN</t>
        </is>
      </c>
      <c r="E440" t="inlineStr">
        <is>
          <t>TORSBY</t>
        </is>
      </c>
      <c r="F440" t="inlineStr">
        <is>
          <t>Bergvik skog väst AB</t>
        </is>
      </c>
      <c r="G440" t="n">
        <v>1</v>
      </c>
      <c r="H440" t="n">
        <v>0</v>
      </c>
      <c r="I440" t="n">
        <v>0</v>
      </c>
      <c r="J440" t="n">
        <v>0</v>
      </c>
      <c r="K440" t="n">
        <v>0</v>
      </c>
      <c r="L440" t="n">
        <v>0</v>
      </c>
      <c r="M440" t="n">
        <v>0</v>
      </c>
      <c r="N440" t="n">
        <v>0</v>
      </c>
      <c r="O440" t="n">
        <v>0</v>
      </c>
      <c r="P440" t="n">
        <v>0</v>
      </c>
      <c r="Q440" t="n">
        <v>0</v>
      </c>
      <c r="R440" s="2" t="inlineStr"/>
    </row>
    <row r="441" ht="15" customHeight="1">
      <c r="A441" t="inlineStr">
        <is>
          <t>A 35778-2020</t>
        </is>
      </c>
      <c r="B441" s="1" t="n">
        <v>44046</v>
      </c>
      <c r="C441" s="1" t="n">
        <v>45575</v>
      </c>
      <c r="D441" t="inlineStr">
        <is>
          <t>VÄRMLANDS LÄN</t>
        </is>
      </c>
      <c r="E441" t="inlineStr">
        <is>
          <t>TORSBY</t>
        </is>
      </c>
      <c r="G441" t="n">
        <v>10.2</v>
      </c>
      <c r="H441" t="n">
        <v>0</v>
      </c>
      <c r="I441" t="n">
        <v>0</v>
      </c>
      <c r="J441" t="n">
        <v>0</v>
      </c>
      <c r="K441" t="n">
        <v>0</v>
      </c>
      <c r="L441" t="n">
        <v>0</v>
      </c>
      <c r="M441" t="n">
        <v>0</v>
      </c>
      <c r="N441" t="n">
        <v>0</v>
      </c>
      <c r="O441" t="n">
        <v>0</v>
      </c>
      <c r="P441" t="n">
        <v>0</v>
      </c>
      <c r="Q441" t="n">
        <v>0</v>
      </c>
      <c r="R441" s="2" t="inlineStr"/>
    </row>
    <row r="442" ht="15" customHeight="1">
      <c r="A442" t="inlineStr">
        <is>
          <t>A 35900-2020</t>
        </is>
      </c>
      <c r="B442" s="1" t="n">
        <v>44047</v>
      </c>
      <c r="C442" s="1" t="n">
        <v>45575</v>
      </c>
      <c r="D442" t="inlineStr">
        <is>
          <t>VÄRMLANDS LÄN</t>
        </is>
      </c>
      <c r="E442" t="inlineStr">
        <is>
          <t>TORSBY</t>
        </is>
      </c>
      <c r="G442" t="n">
        <v>7.2</v>
      </c>
      <c r="H442" t="n">
        <v>0</v>
      </c>
      <c r="I442" t="n">
        <v>0</v>
      </c>
      <c r="J442" t="n">
        <v>0</v>
      </c>
      <c r="K442" t="n">
        <v>0</v>
      </c>
      <c r="L442" t="n">
        <v>0</v>
      </c>
      <c r="M442" t="n">
        <v>0</v>
      </c>
      <c r="N442" t="n">
        <v>0</v>
      </c>
      <c r="O442" t="n">
        <v>0</v>
      </c>
      <c r="P442" t="n">
        <v>0</v>
      </c>
      <c r="Q442" t="n">
        <v>0</v>
      </c>
      <c r="R442" s="2" t="inlineStr"/>
    </row>
    <row r="443" ht="15" customHeight="1">
      <c r="A443" t="inlineStr">
        <is>
          <t>A 35955-2020</t>
        </is>
      </c>
      <c r="B443" s="1" t="n">
        <v>44047</v>
      </c>
      <c r="C443" s="1" t="n">
        <v>45575</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35826-2020</t>
        </is>
      </c>
      <c r="B444" s="1" t="n">
        <v>44047</v>
      </c>
      <c r="C444" s="1" t="n">
        <v>45575</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35905-2020</t>
        </is>
      </c>
      <c r="B445" s="1" t="n">
        <v>44047</v>
      </c>
      <c r="C445" s="1" t="n">
        <v>45575</v>
      </c>
      <c r="D445" t="inlineStr">
        <is>
          <t>VÄRMLANDS LÄN</t>
        </is>
      </c>
      <c r="E445" t="inlineStr">
        <is>
          <t>TORSBY</t>
        </is>
      </c>
      <c r="G445" t="n">
        <v>1.2</v>
      </c>
      <c r="H445" t="n">
        <v>0</v>
      </c>
      <c r="I445" t="n">
        <v>0</v>
      </c>
      <c r="J445" t="n">
        <v>0</v>
      </c>
      <c r="K445" t="n">
        <v>0</v>
      </c>
      <c r="L445" t="n">
        <v>0</v>
      </c>
      <c r="M445" t="n">
        <v>0</v>
      </c>
      <c r="N445" t="n">
        <v>0</v>
      </c>
      <c r="O445" t="n">
        <v>0</v>
      </c>
      <c r="P445" t="n">
        <v>0</v>
      </c>
      <c r="Q445" t="n">
        <v>0</v>
      </c>
      <c r="R445" s="2" t="inlineStr"/>
    </row>
    <row r="446" ht="15" customHeight="1">
      <c r="A446" t="inlineStr">
        <is>
          <t>A 36482-2020</t>
        </is>
      </c>
      <c r="B446" s="1" t="n">
        <v>44048</v>
      </c>
      <c r="C446" s="1" t="n">
        <v>45575</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36104-2020</t>
        </is>
      </c>
      <c r="B447" s="1" t="n">
        <v>44048</v>
      </c>
      <c r="C447" s="1" t="n">
        <v>45575</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36265-2020</t>
        </is>
      </c>
      <c r="B448" s="1" t="n">
        <v>44049</v>
      </c>
      <c r="C448" s="1" t="n">
        <v>45575</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36396-2020</t>
        </is>
      </c>
      <c r="B449" s="1" t="n">
        <v>44049</v>
      </c>
      <c r="C449" s="1" t="n">
        <v>45575</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36394-2020</t>
        </is>
      </c>
      <c r="B450" s="1" t="n">
        <v>44049</v>
      </c>
      <c r="C450" s="1" t="n">
        <v>45575</v>
      </c>
      <c r="D450" t="inlineStr">
        <is>
          <t>VÄRMLANDS LÄN</t>
        </is>
      </c>
      <c r="E450" t="inlineStr">
        <is>
          <t>TORSBY</t>
        </is>
      </c>
      <c r="G450" t="n">
        <v>7</v>
      </c>
      <c r="H450" t="n">
        <v>0</v>
      </c>
      <c r="I450" t="n">
        <v>0</v>
      </c>
      <c r="J450" t="n">
        <v>0</v>
      </c>
      <c r="K450" t="n">
        <v>0</v>
      </c>
      <c r="L450" t="n">
        <v>0</v>
      </c>
      <c r="M450" t="n">
        <v>0</v>
      </c>
      <c r="N450" t="n">
        <v>0</v>
      </c>
      <c r="O450" t="n">
        <v>0</v>
      </c>
      <c r="P450" t="n">
        <v>0</v>
      </c>
      <c r="Q450" t="n">
        <v>0</v>
      </c>
      <c r="R450" s="2" t="inlineStr"/>
    </row>
    <row r="451" ht="15" customHeight="1">
      <c r="A451" t="inlineStr">
        <is>
          <t>A 36847-2020</t>
        </is>
      </c>
      <c r="B451" s="1" t="n">
        <v>44053</v>
      </c>
      <c r="C451" s="1" t="n">
        <v>45575</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36901-2020</t>
        </is>
      </c>
      <c r="B452" s="1" t="n">
        <v>44053</v>
      </c>
      <c r="C452" s="1" t="n">
        <v>45575</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37305-2020</t>
        </is>
      </c>
      <c r="B453" s="1" t="n">
        <v>44055</v>
      </c>
      <c r="C453" s="1" t="n">
        <v>45575</v>
      </c>
      <c r="D453" t="inlineStr">
        <is>
          <t>VÄRMLANDS LÄN</t>
        </is>
      </c>
      <c r="E453" t="inlineStr">
        <is>
          <t>TORSBY</t>
        </is>
      </c>
      <c r="G453" t="n">
        <v>0.5</v>
      </c>
      <c r="H453" t="n">
        <v>0</v>
      </c>
      <c r="I453" t="n">
        <v>0</v>
      </c>
      <c r="J453" t="n">
        <v>0</v>
      </c>
      <c r="K453" t="n">
        <v>0</v>
      </c>
      <c r="L453" t="n">
        <v>0</v>
      </c>
      <c r="M453" t="n">
        <v>0</v>
      </c>
      <c r="N453" t="n">
        <v>0</v>
      </c>
      <c r="O453" t="n">
        <v>0</v>
      </c>
      <c r="P453" t="n">
        <v>0</v>
      </c>
      <c r="Q453" t="n">
        <v>0</v>
      </c>
      <c r="R453" s="2" t="inlineStr"/>
    </row>
    <row r="454" ht="15" customHeight="1">
      <c r="A454" t="inlineStr">
        <is>
          <t>A 37302-2020</t>
        </is>
      </c>
      <c r="B454" s="1" t="n">
        <v>44055</v>
      </c>
      <c r="C454" s="1" t="n">
        <v>45575</v>
      </c>
      <c r="D454" t="inlineStr">
        <is>
          <t>VÄRMLANDS LÄN</t>
        </is>
      </c>
      <c r="E454" t="inlineStr">
        <is>
          <t>TORSBY</t>
        </is>
      </c>
      <c r="G454" t="n">
        <v>1.3</v>
      </c>
      <c r="H454" t="n">
        <v>0</v>
      </c>
      <c r="I454" t="n">
        <v>0</v>
      </c>
      <c r="J454" t="n">
        <v>0</v>
      </c>
      <c r="K454" t="n">
        <v>0</v>
      </c>
      <c r="L454" t="n">
        <v>0</v>
      </c>
      <c r="M454" t="n">
        <v>0</v>
      </c>
      <c r="N454" t="n">
        <v>0</v>
      </c>
      <c r="O454" t="n">
        <v>0</v>
      </c>
      <c r="P454" t="n">
        <v>0</v>
      </c>
      <c r="Q454" t="n">
        <v>0</v>
      </c>
      <c r="R454" s="2" t="inlineStr"/>
    </row>
    <row r="455" ht="15" customHeight="1">
      <c r="A455" t="inlineStr">
        <is>
          <t>A 37307-2020</t>
        </is>
      </c>
      <c r="B455" s="1" t="n">
        <v>44055</v>
      </c>
      <c r="C455" s="1" t="n">
        <v>45575</v>
      </c>
      <c r="D455" t="inlineStr">
        <is>
          <t>VÄRMLANDS LÄN</t>
        </is>
      </c>
      <c r="E455" t="inlineStr">
        <is>
          <t>TORSBY</t>
        </is>
      </c>
      <c r="G455" t="n">
        <v>1.2</v>
      </c>
      <c r="H455" t="n">
        <v>0</v>
      </c>
      <c r="I455" t="n">
        <v>0</v>
      </c>
      <c r="J455" t="n">
        <v>0</v>
      </c>
      <c r="K455" t="n">
        <v>0</v>
      </c>
      <c r="L455" t="n">
        <v>0</v>
      </c>
      <c r="M455" t="n">
        <v>0</v>
      </c>
      <c r="N455" t="n">
        <v>0</v>
      </c>
      <c r="O455" t="n">
        <v>0</v>
      </c>
      <c r="P455" t="n">
        <v>0</v>
      </c>
      <c r="Q455" t="n">
        <v>0</v>
      </c>
      <c r="R455" s="2" t="inlineStr"/>
    </row>
    <row r="456" ht="15" customHeight="1">
      <c r="A456" t="inlineStr">
        <is>
          <t>A 37303-2020</t>
        </is>
      </c>
      <c r="B456" s="1" t="n">
        <v>44055</v>
      </c>
      <c r="C456" s="1" t="n">
        <v>45575</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38506-2020</t>
        </is>
      </c>
      <c r="B457" s="1" t="n">
        <v>44061</v>
      </c>
      <c r="C457" s="1" t="n">
        <v>45575</v>
      </c>
      <c r="D457" t="inlineStr">
        <is>
          <t>VÄRMLANDS LÄN</t>
        </is>
      </c>
      <c r="E457" t="inlineStr">
        <is>
          <t>TORSBY</t>
        </is>
      </c>
      <c r="G457" t="n">
        <v>5</v>
      </c>
      <c r="H457" t="n">
        <v>0</v>
      </c>
      <c r="I457" t="n">
        <v>0</v>
      </c>
      <c r="J457" t="n">
        <v>0</v>
      </c>
      <c r="K457" t="n">
        <v>0</v>
      </c>
      <c r="L457" t="n">
        <v>0</v>
      </c>
      <c r="M457" t="n">
        <v>0</v>
      </c>
      <c r="N457" t="n">
        <v>0</v>
      </c>
      <c r="O457" t="n">
        <v>0</v>
      </c>
      <c r="P457" t="n">
        <v>0</v>
      </c>
      <c r="Q457" t="n">
        <v>0</v>
      </c>
      <c r="R457" s="2" t="inlineStr"/>
    </row>
    <row r="458" ht="15" customHeight="1">
      <c r="A458" t="inlineStr">
        <is>
          <t>A 38978-2020</t>
        </is>
      </c>
      <c r="B458" s="1" t="n">
        <v>44062</v>
      </c>
      <c r="C458" s="1" t="n">
        <v>45575</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40218-2020</t>
        </is>
      </c>
      <c r="B459" s="1" t="n">
        <v>44064</v>
      </c>
      <c r="C459" s="1" t="n">
        <v>45575</v>
      </c>
      <c r="D459" t="inlineStr">
        <is>
          <t>VÄRMLANDS LÄN</t>
        </is>
      </c>
      <c r="E459" t="inlineStr">
        <is>
          <t>TORSBY</t>
        </is>
      </c>
      <c r="G459" t="n">
        <v>3.7</v>
      </c>
      <c r="H459" t="n">
        <v>0</v>
      </c>
      <c r="I459" t="n">
        <v>0</v>
      </c>
      <c r="J459" t="n">
        <v>0</v>
      </c>
      <c r="K459" t="n">
        <v>0</v>
      </c>
      <c r="L459" t="n">
        <v>0</v>
      </c>
      <c r="M459" t="n">
        <v>0</v>
      </c>
      <c r="N459" t="n">
        <v>0</v>
      </c>
      <c r="O459" t="n">
        <v>0</v>
      </c>
      <c r="P459" t="n">
        <v>0</v>
      </c>
      <c r="Q459" t="n">
        <v>0</v>
      </c>
      <c r="R459" s="2" t="inlineStr"/>
    </row>
    <row r="460" ht="15" customHeight="1">
      <c r="A460" t="inlineStr">
        <is>
          <t>A 40015-2020</t>
        </is>
      </c>
      <c r="B460" s="1" t="n">
        <v>44067</v>
      </c>
      <c r="C460" s="1" t="n">
        <v>45575</v>
      </c>
      <c r="D460" t="inlineStr">
        <is>
          <t>VÄRMLANDS LÄN</t>
        </is>
      </c>
      <c r="E460" t="inlineStr">
        <is>
          <t>TORSBY</t>
        </is>
      </c>
      <c r="G460" t="n">
        <v>5.7</v>
      </c>
      <c r="H460" t="n">
        <v>0</v>
      </c>
      <c r="I460" t="n">
        <v>0</v>
      </c>
      <c r="J460" t="n">
        <v>0</v>
      </c>
      <c r="K460" t="n">
        <v>0</v>
      </c>
      <c r="L460" t="n">
        <v>0</v>
      </c>
      <c r="M460" t="n">
        <v>0</v>
      </c>
      <c r="N460" t="n">
        <v>0</v>
      </c>
      <c r="O460" t="n">
        <v>0</v>
      </c>
      <c r="P460" t="n">
        <v>0</v>
      </c>
      <c r="Q460" t="n">
        <v>0</v>
      </c>
      <c r="R460" s="2" t="inlineStr"/>
    </row>
    <row r="461" ht="15" customHeight="1">
      <c r="A461" t="inlineStr">
        <is>
          <t>A 40550-2020</t>
        </is>
      </c>
      <c r="B461" s="1" t="n">
        <v>44069</v>
      </c>
      <c r="C461" s="1" t="n">
        <v>45575</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40594-2020</t>
        </is>
      </c>
      <c r="B462" s="1" t="n">
        <v>44069</v>
      </c>
      <c r="C462" s="1" t="n">
        <v>45575</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40509-2020</t>
        </is>
      </c>
      <c r="B463" s="1" t="n">
        <v>44069</v>
      </c>
      <c r="C463" s="1" t="n">
        <v>45575</v>
      </c>
      <c r="D463" t="inlineStr">
        <is>
          <t>VÄRMLANDS LÄN</t>
        </is>
      </c>
      <c r="E463" t="inlineStr">
        <is>
          <t>TORSBY</t>
        </is>
      </c>
      <c r="F463" t="inlineStr">
        <is>
          <t>Naturvårdsverket</t>
        </is>
      </c>
      <c r="G463" t="n">
        <v>57</v>
      </c>
      <c r="H463" t="n">
        <v>0</v>
      </c>
      <c r="I463" t="n">
        <v>0</v>
      </c>
      <c r="J463" t="n">
        <v>0</v>
      </c>
      <c r="K463" t="n">
        <v>0</v>
      </c>
      <c r="L463" t="n">
        <v>0</v>
      </c>
      <c r="M463" t="n">
        <v>0</v>
      </c>
      <c r="N463" t="n">
        <v>0</v>
      </c>
      <c r="O463" t="n">
        <v>0</v>
      </c>
      <c r="P463" t="n">
        <v>0</v>
      </c>
      <c r="Q463" t="n">
        <v>0</v>
      </c>
      <c r="R463" s="2" t="inlineStr"/>
    </row>
    <row r="464" ht="15" customHeight="1">
      <c r="A464" t="inlineStr">
        <is>
          <t>A 40601-2020</t>
        </is>
      </c>
      <c r="B464" s="1" t="n">
        <v>44069</v>
      </c>
      <c r="C464" s="1" t="n">
        <v>45575</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40994-2020</t>
        </is>
      </c>
      <c r="B465" s="1" t="n">
        <v>44070</v>
      </c>
      <c r="C465" s="1" t="n">
        <v>45575</v>
      </c>
      <c r="D465" t="inlineStr">
        <is>
          <t>VÄRMLANDS LÄN</t>
        </is>
      </c>
      <c r="E465" t="inlineStr">
        <is>
          <t>TORSBY</t>
        </is>
      </c>
      <c r="F465" t="inlineStr">
        <is>
          <t>Bergvik skog väst AB</t>
        </is>
      </c>
      <c r="G465" t="n">
        <v>3.8</v>
      </c>
      <c r="H465" t="n">
        <v>0</v>
      </c>
      <c r="I465" t="n">
        <v>0</v>
      </c>
      <c r="J465" t="n">
        <v>0</v>
      </c>
      <c r="K465" t="n">
        <v>0</v>
      </c>
      <c r="L465" t="n">
        <v>0</v>
      </c>
      <c r="M465" t="n">
        <v>0</v>
      </c>
      <c r="N465" t="n">
        <v>0</v>
      </c>
      <c r="O465" t="n">
        <v>0</v>
      </c>
      <c r="P465" t="n">
        <v>0</v>
      </c>
      <c r="Q465" t="n">
        <v>0</v>
      </c>
      <c r="R465" s="2" t="inlineStr"/>
    </row>
    <row r="466" ht="15" customHeight="1">
      <c r="A466" t="inlineStr">
        <is>
          <t>A 40987-2020</t>
        </is>
      </c>
      <c r="B466" s="1" t="n">
        <v>44070</v>
      </c>
      <c r="C466" s="1" t="n">
        <v>45575</v>
      </c>
      <c r="D466" t="inlineStr">
        <is>
          <t>VÄRMLANDS LÄN</t>
        </is>
      </c>
      <c r="E466" t="inlineStr">
        <is>
          <t>TORSBY</t>
        </is>
      </c>
      <c r="F466" t="inlineStr">
        <is>
          <t>Bergvik skog väst AB</t>
        </is>
      </c>
      <c r="G466" t="n">
        <v>0.4</v>
      </c>
      <c r="H466" t="n">
        <v>0</v>
      </c>
      <c r="I466" t="n">
        <v>0</v>
      </c>
      <c r="J466" t="n">
        <v>0</v>
      </c>
      <c r="K466" t="n">
        <v>0</v>
      </c>
      <c r="L466" t="n">
        <v>0</v>
      </c>
      <c r="M466" t="n">
        <v>0</v>
      </c>
      <c r="N466" t="n">
        <v>0</v>
      </c>
      <c r="O466" t="n">
        <v>0</v>
      </c>
      <c r="P466" t="n">
        <v>0</v>
      </c>
      <c r="Q466" t="n">
        <v>0</v>
      </c>
      <c r="R466" s="2" t="inlineStr"/>
    </row>
    <row r="467" ht="15" customHeight="1">
      <c r="A467" t="inlineStr">
        <is>
          <t>A 40993-2020</t>
        </is>
      </c>
      <c r="B467" s="1" t="n">
        <v>44070</v>
      </c>
      <c r="C467" s="1" t="n">
        <v>45575</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41469-2020</t>
        </is>
      </c>
      <c r="B468" s="1" t="n">
        <v>44074</v>
      </c>
      <c r="C468" s="1" t="n">
        <v>45575</v>
      </c>
      <c r="D468" t="inlineStr">
        <is>
          <t>VÄRMLANDS LÄN</t>
        </is>
      </c>
      <c r="E468" t="inlineStr">
        <is>
          <t>TORSBY</t>
        </is>
      </c>
      <c r="F468" t="inlineStr">
        <is>
          <t>Bergvik skog väst AB</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42391-2020</t>
        </is>
      </c>
      <c r="B469" s="1" t="n">
        <v>44076</v>
      </c>
      <c r="C469" s="1" t="n">
        <v>45575</v>
      </c>
      <c r="D469" t="inlineStr">
        <is>
          <t>VÄRMLANDS LÄN</t>
        </is>
      </c>
      <c r="E469" t="inlineStr">
        <is>
          <t>TORSBY</t>
        </is>
      </c>
      <c r="G469" t="n">
        <v>3.9</v>
      </c>
      <c r="H469" t="n">
        <v>0</v>
      </c>
      <c r="I469" t="n">
        <v>0</v>
      </c>
      <c r="J469" t="n">
        <v>0</v>
      </c>
      <c r="K469" t="n">
        <v>0</v>
      </c>
      <c r="L469" t="n">
        <v>0</v>
      </c>
      <c r="M469" t="n">
        <v>0</v>
      </c>
      <c r="N469" t="n">
        <v>0</v>
      </c>
      <c r="O469" t="n">
        <v>0</v>
      </c>
      <c r="P469" t="n">
        <v>0</v>
      </c>
      <c r="Q469" t="n">
        <v>0</v>
      </c>
      <c r="R469" s="2" t="inlineStr"/>
    </row>
    <row r="470" ht="15" customHeight="1">
      <c r="A470" t="inlineStr">
        <is>
          <t>A 42566-2020</t>
        </is>
      </c>
      <c r="B470" s="1" t="n">
        <v>44077</v>
      </c>
      <c r="C470" s="1" t="n">
        <v>45575</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42982-2020</t>
        </is>
      </c>
      <c r="B471" s="1" t="n">
        <v>44078</v>
      </c>
      <c r="C471" s="1" t="n">
        <v>45575</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44722-2020</t>
        </is>
      </c>
      <c r="B472" s="1" t="n">
        <v>44078</v>
      </c>
      <c r="C472" s="1" t="n">
        <v>45575</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43547-2020</t>
        </is>
      </c>
      <c r="B473" s="1" t="n">
        <v>44078</v>
      </c>
      <c r="C473" s="1" t="n">
        <v>45575</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44715-2020</t>
        </is>
      </c>
      <c r="B474" s="1" t="n">
        <v>44078</v>
      </c>
      <c r="C474" s="1" t="n">
        <v>45575</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44720-2020</t>
        </is>
      </c>
      <c r="B475" s="1" t="n">
        <v>44078</v>
      </c>
      <c r="C475" s="1" t="n">
        <v>45575</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43725-2020</t>
        </is>
      </c>
      <c r="B476" s="1" t="n">
        <v>44082</v>
      </c>
      <c r="C476" s="1" t="n">
        <v>45575</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44666-2020</t>
        </is>
      </c>
      <c r="B477" s="1" t="n">
        <v>44085</v>
      </c>
      <c r="C477" s="1" t="n">
        <v>45575</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46482-2020</t>
        </is>
      </c>
      <c r="B478" s="1" t="n">
        <v>44089</v>
      </c>
      <c r="C478" s="1" t="n">
        <v>45575</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45404-2020</t>
        </is>
      </c>
      <c r="B479" s="1" t="n">
        <v>44089</v>
      </c>
      <c r="C479" s="1" t="n">
        <v>45575</v>
      </c>
      <c r="D479" t="inlineStr">
        <is>
          <t>VÄRMLANDS LÄN</t>
        </is>
      </c>
      <c r="E479" t="inlineStr">
        <is>
          <t>TORSBY</t>
        </is>
      </c>
      <c r="G479" t="n">
        <v>3.2</v>
      </c>
      <c r="H479" t="n">
        <v>0</v>
      </c>
      <c r="I479" t="n">
        <v>0</v>
      </c>
      <c r="J479" t="n">
        <v>0</v>
      </c>
      <c r="K479" t="n">
        <v>0</v>
      </c>
      <c r="L479" t="n">
        <v>0</v>
      </c>
      <c r="M479" t="n">
        <v>0</v>
      </c>
      <c r="N479" t="n">
        <v>0</v>
      </c>
      <c r="O479" t="n">
        <v>0</v>
      </c>
      <c r="P479" t="n">
        <v>0</v>
      </c>
      <c r="Q479" t="n">
        <v>0</v>
      </c>
      <c r="R479" s="2" t="inlineStr"/>
    </row>
    <row r="480" ht="15" customHeight="1">
      <c r="A480" t="inlineStr">
        <is>
          <t>A 45872-2020</t>
        </is>
      </c>
      <c r="B480" s="1" t="n">
        <v>44091</v>
      </c>
      <c r="C480" s="1" t="n">
        <v>45575</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45898-2020</t>
        </is>
      </c>
      <c r="B481" s="1" t="n">
        <v>44091</v>
      </c>
      <c r="C481" s="1" t="n">
        <v>45575</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46271-2020</t>
        </is>
      </c>
      <c r="B482" s="1" t="n">
        <v>44092</v>
      </c>
      <c r="C482" s="1" t="n">
        <v>45575</v>
      </c>
      <c r="D482" t="inlineStr">
        <is>
          <t>VÄRMLANDS LÄN</t>
        </is>
      </c>
      <c r="E482" t="inlineStr">
        <is>
          <t>TORSBY</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47707-2020</t>
        </is>
      </c>
      <c r="B483" s="1" t="n">
        <v>44096</v>
      </c>
      <c r="C483" s="1" t="n">
        <v>45575</v>
      </c>
      <c r="D483" t="inlineStr">
        <is>
          <t>VÄRMLANDS LÄN</t>
        </is>
      </c>
      <c r="E483" t="inlineStr">
        <is>
          <t>TORSBY</t>
        </is>
      </c>
      <c r="F483" t="inlineStr">
        <is>
          <t>Kyrkan</t>
        </is>
      </c>
      <c r="G483" t="n">
        <v>1.2</v>
      </c>
      <c r="H483" t="n">
        <v>0</v>
      </c>
      <c r="I483" t="n">
        <v>0</v>
      </c>
      <c r="J483" t="n">
        <v>0</v>
      </c>
      <c r="K483" t="n">
        <v>0</v>
      </c>
      <c r="L483" t="n">
        <v>0</v>
      </c>
      <c r="M483" t="n">
        <v>0</v>
      </c>
      <c r="N483" t="n">
        <v>0</v>
      </c>
      <c r="O483" t="n">
        <v>0</v>
      </c>
      <c r="P483" t="n">
        <v>0</v>
      </c>
      <c r="Q483" t="n">
        <v>0</v>
      </c>
      <c r="R483" s="2" t="inlineStr"/>
    </row>
    <row r="484" ht="15" customHeight="1">
      <c r="A484" t="inlineStr">
        <is>
          <t>A 47709-2020</t>
        </is>
      </c>
      <c r="B484" s="1" t="n">
        <v>44096</v>
      </c>
      <c r="C484" s="1" t="n">
        <v>45575</v>
      </c>
      <c r="D484" t="inlineStr">
        <is>
          <t>VÄRMLANDS LÄN</t>
        </is>
      </c>
      <c r="E484" t="inlineStr">
        <is>
          <t>TORSBY</t>
        </is>
      </c>
      <c r="F484" t="inlineStr">
        <is>
          <t>Kyrkan</t>
        </is>
      </c>
      <c r="G484" t="n">
        <v>1.8</v>
      </c>
      <c r="H484" t="n">
        <v>0</v>
      </c>
      <c r="I484" t="n">
        <v>0</v>
      </c>
      <c r="J484" t="n">
        <v>0</v>
      </c>
      <c r="K484" t="n">
        <v>0</v>
      </c>
      <c r="L484" t="n">
        <v>0</v>
      </c>
      <c r="M484" t="n">
        <v>0</v>
      </c>
      <c r="N484" t="n">
        <v>0</v>
      </c>
      <c r="O484" t="n">
        <v>0</v>
      </c>
      <c r="P484" t="n">
        <v>0</v>
      </c>
      <c r="Q484" t="n">
        <v>0</v>
      </c>
      <c r="R484" s="2" t="inlineStr"/>
    </row>
    <row r="485" ht="15" customHeight="1">
      <c r="A485" t="inlineStr">
        <is>
          <t>A 47490-2020</t>
        </is>
      </c>
      <c r="B485" s="1" t="n">
        <v>44098</v>
      </c>
      <c r="C485" s="1" t="n">
        <v>45575</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48231-2020</t>
        </is>
      </c>
      <c r="B486" s="1" t="n">
        <v>44102</v>
      </c>
      <c r="C486" s="1" t="n">
        <v>45575</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48383-2020</t>
        </is>
      </c>
      <c r="B487" s="1" t="n">
        <v>44102</v>
      </c>
      <c r="C487" s="1" t="n">
        <v>45575</v>
      </c>
      <c r="D487" t="inlineStr">
        <is>
          <t>VÄRMLANDS LÄN</t>
        </is>
      </c>
      <c r="E487" t="inlineStr">
        <is>
          <t>TORSBY</t>
        </is>
      </c>
      <c r="G487" t="n">
        <v>2.9</v>
      </c>
      <c r="H487" t="n">
        <v>0</v>
      </c>
      <c r="I487" t="n">
        <v>0</v>
      </c>
      <c r="J487" t="n">
        <v>0</v>
      </c>
      <c r="K487" t="n">
        <v>0</v>
      </c>
      <c r="L487" t="n">
        <v>0</v>
      </c>
      <c r="M487" t="n">
        <v>0</v>
      </c>
      <c r="N487" t="n">
        <v>0</v>
      </c>
      <c r="O487" t="n">
        <v>0</v>
      </c>
      <c r="P487" t="n">
        <v>0</v>
      </c>
      <c r="Q487" t="n">
        <v>0</v>
      </c>
      <c r="R487" s="2" t="inlineStr"/>
    </row>
    <row r="488" ht="15" customHeight="1">
      <c r="A488" t="inlineStr">
        <is>
          <t>A 48488-2020</t>
        </is>
      </c>
      <c r="B488" s="1" t="n">
        <v>44103</v>
      </c>
      <c r="C488" s="1" t="n">
        <v>45575</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53557-2020</t>
        </is>
      </c>
      <c r="B489" s="1" t="n">
        <v>44104</v>
      </c>
      <c r="C489" s="1" t="n">
        <v>45575</v>
      </c>
      <c r="D489" t="inlineStr">
        <is>
          <t>VÄRMLANDS LÄN</t>
        </is>
      </c>
      <c r="E489" t="inlineStr">
        <is>
          <t>TORSBY</t>
        </is>
      </c>
      <c r="F489" t="inlineStr">
        <is>
          <t>Övriga statliga verk och myndigheter</t>
        </is>
      </c>
      <c r="G489" t="n">
        <v>1</v>
      </c>
      <c r="H489" t="n">
        <v>0</v>
      </c>
      <c r="I489" t="n">
        <v>0</v>
      </c>
      <c r="J489" t="n">
        <v>0</v>
      </c>
      <c r="K489" t="n">
        <v>0</v>
      </c>
      <c r="L489" t="n">
        <v>0</v>
      </c>
      <c r="M489" t="n">
        <v>0</v>
      </c>
      <c r="N489" t="n">
        <v>0</v>
      </c>
      <c r="O489" t="n">
        <v>0</v>
      </c>
      <c r="P489" t="n">
        <v>0</v>
      </c>
      <c r="Q489" t="n">
        <v>0</v>
      </c>
      <c r="R489" s="2" t="inlineStr"/>
    </row>
    <row r="490" ht="15" customHeight="1">
      <c r="A490" t="inlineStr">
        <is>
          <t>A 50084-2020</t>
        </is>
      </c>
      <c r="B490" s="1" t="n">
        <v>44109</v>
      </c>
      <c r="C490" s="1" t="n">
        <v>45575</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50092-2020</t>
        </is>
      </c>
      <c r="B491" s="1" t="n">
        <v>44109</v>
      </c>
      <c r="C491" s="1" t="n">
        <v>45575</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50103-2020</t>
        </is>
      </c>
      <c r="B492" s="1" t="n">
        <v>44109</v>
      </c>
      <c r="C492" s="1" t="n">
        <v>45575</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50096-2020</t>
        </is>
      </c>
      <c r="B493" s="1" t="n">
        <v>44109</v>
      </c>
      <c r="C493" s="1" t="n">
        <v>45575</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50486-2020</t>
        </is>
      </c>
      <c r="B494" s="1" t="n">
        <v>44110</v>
      </c>
      <c r="C494" s="1" t="n">
        <v>45575</v>
      </c>
      <c r="D494" t="inlineStr">
        <is>
          <t>VÄRMLANDS LÄN</t>
        </is>
      </c>
      <c r="E494" t="inlineStr">
        <is>
          <t>TORSBY</t>
        </is>
      </c>
      <c r="G494" t="n">
        <v>2.2</v>
      </c>
      <c r="H494" t="n">
        <v>0</v>
      </c>
      <c r="I494" t="n">
        <v>0</v>
      </c>
      <c r="J494" t="n">
        <v>0</v>
      </c>
      <c r="K494" t="n">
        <v>0</v>
      </c>
      <c r="L494" t="n">
        <v>0</v>
      </c>
      <c r="M494" t="n">
        <v>0</v>
      </c>
      <c r="N494" t="n">
        <v>0</v>
      </c>
      <c r="O494" t="n">
        <v>0</v>
      </c>
      <c r="P494" t="n">
        <v>0</v>
      </c>
      <c r="Q494" t="n">
        <v>0</v>
      </c>
      <c r="R494" s="2" t="inlineStr"/>
    </row>
    <row r="495" ht="15" customHeight="1">
      <c r="A495" t="inlineStr">
        <is>
          <t>A 50943-2020</t>
        </is>
      </c>
      <c r="B495" s="1" t="n">
        <v>44111</v>
      </c>
      <c r="C495" s="1" t="n">
        <v>45575</v>
      </c>
      <c r="D495" t="inlineStr">
        <is>
          <t>VÄRMLANDS LÄN</t>
        </is>
      </c>
      <c r="E495" t="inlineStr">
        <is>
          <t>TORSBY</t>
        </is>
      </c>
      <c r="F495" t="inlineStr">
        <is>
          <t>Bergvik skog väst AB</t>
        </is>
      </c>
      <c r="G495" t="n">
        <v>18.4</v>
      </c>
      <c r="H495" t="n">
        <v>0</v>
      </c>
      <c r="I495" t="n">
        <v>0</v>
      </c>
      <c r="J495" t="n">
        <v>0</v>
      </c>
      <c r="K495" t="n">
        <v>0</v>
      </c>
      <c r="L495" t="n">
        <v>0</v>
      </c>
      <c r="M495" t="n">
        <v>0</v>
      </c>
      <c r="N495" t="n">
        <v>0</v>
      </c>
      <c r="O495" t="n">
        <v>0</v>
      </c>
      <c r="P495" t="n">
        <v>0</v>
      </c>
      <c r="Q495" t="n">
        <v>0</v>
      </c>
      <c r="R495" s="2" t="inlineStr"/>
    </row>
    <row r="496" ht="15" customHeight="1">
      <c r="A496" t="inlineStr">
        <is>
          <t>A 51380-2020</t>
        </is>
      </c>
      <c r="B496" s="1" t="n">
        <v>44113</v>
      </c>
      <c r="C496" s="1" t="n">
        <v>45575</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51385-2020</t>
        </is>
      </c>
      <c r="B497" s="1" t="n">
        <v>44113</v>
      </c>
      <c r="C497" s="1" t="n">
        <v>45575</v>
      </c>
      <c r="D497" t="inlineStr">
        <is>
          <t>VÄRMLANDS LÄN</t>
        </is>
      </c>
      <c r="E497" t="inlineStr">
        <is>
          <t>TORSBY</t>
        </is>
      </c>
      <c r="G497" t="n">
        <v>6.8</v>
      </c>
      <c r="H497" t="n">
        <v>0</v>
      </c>
      <c r="I497" t="n">
        <v>0</v>
      </c>
      <c r="J497" t="n">
        <v>0</v>
      </c>
      <c r="K497" t="n">
        <v>0</v>
      </c>
      <c r="L497" t="n">
        <v>0</v>
      </c>
      <c r="M497" t="n">
        <v>0</v>
      </c>
      <c r="N497" t="n">
        <v>0</v>
      </c>
      <c r="O497" t="n">
        <v>0</v>
      </c>
      <c r="P497" t="n">
        <v>0</v>
      </c>
      <c r="Q497" t="n">
        <v>0</v>
      </c>
      <c r="R497" s="2" t="inlineStr"/>
    </row>
    <row r="498" ht="15" customHeight="1">
      <c r="A498" t="inlineStr">
        <is>
          <t>A 51389-2020</t>
        </is>
      </c>
      <c r="B498" s="1" t="n">
        <v>44113</v>
      </c>
      <c r="C498" s="1" t="n">
        <v>45575</v>
      </c>
      <c r="D498" t="inlineStr">
        <is>
          <t>VÄRMLANDS LÄN</t>
        </is>
      </c>
      <c r="E498" t="inlineStr">
        <is>
          <t>TORSBY</t>
        </is>
      </c>
      <c r="G498" t="n">
        <v>15.4</v>
      </c>
      <c r="H498" t="n">
        <v>0</v>
      </c>
      <c r="I498" t="n">
        <v>0</v>
      </c>
      <c r="J498" t="n">
        <v>0</v>
      </c>
      <c r="K498" t="n">
        <v>0</v>
      </c>
      <c r="L498" t="n">
        <v>0</v>
      </c>
      <c r="M498" t="n">
        <v>0</v>
      </c>
      <c r="N498" t="n">
        <v>0</v>
      </c>
      <c r="O498" t="n">
        <v>0</v>
      </c>
      <c r="P498" t="n">
        <v>0</v>
      </c>
      <c r="Q498" t="n">
        <v>0</v>
      </c>
      <c r="R498" s="2" t="inlineStr"/>
    </row>
    <row r="499" ht="15" customHeight="1">
      <c r="A499" t="inlineStr">
        <is>
          <t>A 51382-2020</t>
        </is>
      </c>
      <c r="B499" s="1" t="n">
        <v>44113</v>
      </c>
      <c r="C499" s="1" t="n">
        <v>45575</v>
      </c>
      <c r="D499" t="inlineStr">
        <is>
          <t>VÄRMLANDS LÄN</t>
        </is>
      </c>
      <c r="E499" t="inlineStr">
        <is>
          <t>TORSBY</t>
        </is>
      </c>
      <c r="G499" t="n">
        <v>0.5</v>
      </c>
      <c r="H499" t="n">
        <v>0</v>
      </c>
      <c r="I499" t="n">
        <v>0</v>
      </c>
      <c r="J499" t="n">
        <v>0</v>
      </c>
      <c r="K499" t="n">
        <v>0</v>
      </c>
      <c r="L499" t="n">
        <v>0</v>
      </c>
      <c r="M499" t="n">
        <v>0</v>
      </c>
      <c r="N499" t="n">
        <v>0</v>
      </c>
      <c r="O499" t="n">
        <v>0</v>
      </c>
      <c r="P499" t="n">
        <v>0</v>
      </c>
      <c r="Q499" t="n">
        <v>0</v>
      </c>
      <c r="R499" s="2" t="inlineStr"/>
    </row>
    <row r="500" ht="15" customHeight="1">
      <c r="A500" t="inlineStr">
        <is>
          <t>A 51381-2020</t>
        </is>
      </c>
      <c r="B500" s="1" t="n">
        <v>44113</v>
      </c>
      <c r="C500" s="1" t="n">
        <v>45575</v>
      </c>
      <c r="D500" t="inlineStr">
        <is>
          <t>VÄRMLANDS LÄN</t>
        </is>
      </c>
      <c r="E500" t="inlineStr">
        <is>
          <t>TORSBY</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51386-2020</t>
        </is>
      </c>
      <c r="B501" s="1" t="n">
        <v>44113</v>
      </c>
      <c r="C501" s="1" t="n">
        <v>45575</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51635-2020</t>
        </is>
      </c>
      <c r="B502" s="1" t="n">
        <v>44113</v>
      </c>
      <c r="C502" s="1" t="n">
        <v>45575</v>
      </c>
      <c r="D502" t="inlineStr">
        <is>
          <t>VÄRMLANDS LÄN</t>
        </is>
      </c>
      <c r="E502" t="inlineStr">
        <is>
          <t>TORSBY</t>
        </is>
      </c>
      <c r="F502" t="inlineStr">
        <is>
          <t>Bergvik skog väst AB</t>
        </is>
      </c>
      <c r="G502" t="n">
        <v>0.4</v>
      </c>
      <c r="H502" t="n">
        <v>0</v>
      </c>
      <c r="I502" t="n">
        <v>0</v>
      </c>
      <c r="J502" t="n">
        <v>0</v>
      </c>
      <c r="K502" t="n">
        <v>0</v>
      </c>
      <c r="L502" t="n">
        <v>0</v>
      </c>
      <c r="M502" t="n">
        <v>0</v>
      </c>
      <c r="N502" t="n">
        <v>0</v>
      </c>
      <c r="O502" t="n">
        <v>0</v>
      </c>
      <c r="P502" t="n">
        <v>0</v>
      </c>
      <c r="Q502" t="n">
        <v>0</v>
      </c>
      <c r="R502" s="2" t="inlineStr"/>
    </row>
    <row r="503" ht="15" customHeight="1">
      <c r="A503" t="inlineStr">
        <is>
          <t>A 51383-2020</t>
        </is>
      </c>
      <c r="B503" s="1" t="n">
        <v>44113</v>
      </c>
      <c r="C503" s="1" t="n">
        <v>45575</v>
      </c>
      <c r="D503" t="inlineStr">
        <is>
          <t>VÄRMLANDS LÄN</t>
        </is>
      </c>
      <c r="E503" t="inlineStr">
        <is>
          <t>TORSBY</t>
        </is>
      </c>
      <c r="G503" t="n">
        <v>3.8</v>
      </c>
      <c r="H503" t="n">
        <v>0</v>
      </c>
      <c r="I503" t="n">
        <v>0</v>
      </c>
      <c r="J503" t="n">
        <v>0</v>
      </c>
      <c r="K503" t="n">
        <v>0</v>
      </c>
      <c r="L503" t="n">
        <v>0</v>
      </c>
      <c r="M503" t="n">
        <v>0</v>
      </c>
      <c r="N503" t="n">
        <v>0</v>
      </c>
      <c r="O503" t="n">
        <v>0</v>
      </c>
      <c r="P503" t="n">
        <v>0</v>
      </c>
      <c r="Q503" t="n">
        <v>0</v>
      </c>
      <c r="R503" s="2" t="inlineStr"/>
    </row>
    <row r="504" ht="15" customHeight="1">
      <c r="A504" t="inlineStr">
        <is>
          <t>A 51838-2020</t>
        </is>
      </c>
      <c r="B504" s="1" t="n">
        <v>44116</v>
      </c>
      <c r="C504" s="1" t="n">
        <v>45575</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52460-2020</t>
        </is>
      </c>
      <c r="B505" s="1" t="n">
        <v>44116</v>
      </c>
      <c r="C505" s="1" t="n">
        <v>45575</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51837-2020</t>
        </is>
      </c>
      <c r="B506" s="1" t="n">
        <v>44116</v>
      </c>
      <c r="C506" s="1" t="n">
        <v>45575</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52141-2020</t>
        </is>
      </c>
      <c r="B507" s="1" t="n">
        <v>44117</v>
      </c>
      <c r="C507" s="1" t="n">
        <v>45575</v>
      </c>
      <c r="D507" t="inlineStr">
        <is>
          <t>VÄRMLANDS LÄN</t>
        </is>
      </c>
      <c r="E507" t="inlineStr">
        <is>
          <t>TORSBY</t>
        </is>
      </c>
      <c r="G507" t="n">
        <v>4.1</v>
      </c>
      <c r="H507" t="n">
        <v>0</v>
      </c>
      <c r="I507" t="n">
        <v>0</v>
      </c>
      <c r="J507" t="n">
        <v>0</v>
      </c>
      <c r="K507" t="n">
        <v>0</v>
      </c>
      <c r="L507" t="n">
        <v>0</v>
      </c>
      <c r="M507" t="n">
        <v>0</v>
      </c>
      <c r="N507" t="n">
        <v>0</v>
      </c>
      <c r="O507" t="n">
        <v>0</v>
      </c>
      <c r="P507" t="n">
        <v>0</v>
      </c>
      <c r="Q507" t="n">
        <v>0</v>
      </c>
      <c r="R507" s="2" t="inlineStr"/>
    </row>
    <row r="508" ht="15" customHeight="1">
      <c r="A508" t="inlineStr">
        <is>
          <t>A 52799-2020</t>
        </is>
      </c>
      <c r="B508" s="1" t="n">
        <v>44119</v>
      </c>
      <c r="C508" s="1" t="n">
        <v>45575</v>
      </c>
      <c r="D508" t="inlineStr">
        <is>
          <t>VÄRMLANDS LÄN</t>
        </is>
      </c>
      <c r="E508" t="inlineStr">
        <is>
          <t>TORSBY</t>
        </is>
      </c>
      <c r="G508" t="n">
        <v>6.2</v>
      </c>
      <c r="H508" t="n">
        <v>0</v>
      </c>
      <c r="I508" t="n">
        <v>0</v>
      </c>
      <c r="J508" t="n">
        <v>0</v>
      </c>
      <c r="K508" t="n">
        <v>0</v>
      </c>
      <c r="L508" t="n">
        <v>0</v>
      </c>
      <c r="M508" t="n">
        <v>0</v>
      </c>
      <c r="N508" t="n">
        <v>0</v>
      </c>
      <c r="O508" t="n">
        <v>0</v>
      </c>
      <c r="P508" t="n">
        <v>0</v>
      </c>
      <c r="Q508" t="n">
        <v>0</v>
      </c>
      <c r="R508" s="2" t="inlineStr"/>
    </row>
    <row r="509" ht="15" customHeight="1">
      <c r="A509" t="inlineStr">
        <is>
          <t>A 52979-2020</t>
        </is>
      </c>
      <c r="B509" s="1" t="n">
        <v>44120</v>
      </c>
      <c r="C509" s="1" t="n">
        <v>45575</v>
      </c>
      <c r="D509" t="inlineStr">
        <is>
          <t>VÄRMLANDS LÄN</t>
        </is>
      </c>
      <c r="E509" t="inlineStr">
        <is>
          <t>TORSBY</t>
        </is>
      </c>
      <c r="G509" t="n">
        <v>3.6</v>
      </c>
      <c r="H509" t="n">
        <v>0</v>
      </c>
      <c r="I509" t="n">
        <v>0</v>
      </c>
      <c r="J509" t="n">
        <v>0</v>
      </c>
      <c r="K509" t="n">
        <v>0</v>
      </c>
      <c r="L509" t="n">
        <v>0</v>
      </c>
      <c r="M509" t="n">
        <v>0</v>
      </c>
      <c r="N509" t="n">
        <v>0</v>
      </c>
      <c r="O509" t="n">
        <v>0</v>
      </c>
      <c r="P509" t="n">
        <v>0</v>
      </c>
      <c r="Q509" t="n">
        <v>0</v>
      </c>
      <c r="R509" s="2" t="inlineStr"/>
    </row>
    <row r="510" ht="15" customHeight="1">
      <c r="A510" t="inlineStr">
        <is>
          <t>A 53111-2020</t>
        </is>
      </c>
      <c r="B510" s="1" t="n">
        <v>44120</v>
      </c>
      <c r="C510" s="1" t="n">
        <v>45575</v>
      </c>
      <c r="D510" t="inlineStr">
        <is>
          <t>VÄRMLANDS LÄN</t>
        </is>
      </c>
      <c r="E510" t="inlineStr">
        <is>
          <t>TORSBY</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53771-2020</t>
        </is>
      </c>
      <c r="B511" s="1" t="n">
        <v>44124</v>
      </c>
      <c r="C511" s="1" t="n">
        <v>45575</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53733-2020</t>
        </is>
      </c>
      <c r="B512" s="1" t="n">
        <v>44124</v>
      </c>
      <c r="C512" s="1" t="n">
        <v>45575</v>
      </c>
      <c r="D512" t="inlineStr">
        <is>
          <t>VÄRMLANDS LÄN</t>
        </is>
      </c>
      <c r="E512" t="inlineStr">
        <is>
          <t>TORSBY</t>
        </is>
      </c>
      <c r="G512" t="n">
        <v>2.7</v>
      </c>
      <c r="H512" t="n">
        <v>0</v>
      </c>
      <c r="I512" t="n">
        <v>0</v>
      </c>
      <c r="J512" t="n">
        <v>0</v>
      </c>
      <c r="K512" t="n">
        <v>0</v>
      </c>
      <c r="L512" t="n">
        <v>0</v>
      </c>
      <c r="M512" t="n">
        <v>0</v>
      </c>
      <c r="N512" t="n">
        <v>0</v>
      </c>
      <c r="O512" t="n">
        <v>0</v>
      </c>
      <c r="P512" t="n">
        <v>0</v>
      </c>
      <c r="Q512" t="n">
        <v>0</v>
      </c>
      <c r="R512" s="2" t="inlineStr"/>
    </row>
    <row r="513" ht="15" customHeight="1">
      <c r="A513" t="inlineStr">
        <is>
          <t>A 54331-2020</t>
        </is>
      </c>
      <c r="B513" s="1" t="n">
        <v>44124</v>
      </c>
      <c r="C513" s="1" t="n">
        <v>45575</v>
      </c>
      <c r="D513" t="inlineStr">
        <is>
          <t>VÄRMLANDS LÄN</t>
        </is>
      </c>
      <c r="E513" t="inlineStr">
        <is>
          <t>TORSBY</t>
        </is>
      </c>
      <c r="G513" t="n">
        <v>1.9</v>
      </c>
      <c r="H513" t="n">
        <v>0</v>
      </c>
      <c r="I513" t="n">
        <v>0</v>
      </c>
      <c r="J513" t="n">
        <v>0</v>
      </c>
      <c r="K513" t="n">
        <v>0</v>
      </c>
      <c r="L513" t="n">
        <v>0</v>
      </c>
      <c r="M513" t="n">
        <v>0</v>
      </c>
      <c r="N513" t="n">
        <v>0</v>
      </c>
      <c r="O513" t="n">
        <v>0</v>
      </c>
      <c r="P513" t="n">
        <v>0</v>
      </c>
      <c r="Q513" t="n">
        <v>0</v>
      </c>
      <c r="R513" s="2" t="inlineStr"/>
    </row>
    <row r="514" ht="15" customHeight="1">
      <c r="A514" t="inlineStr">
        <is>
          <t>A 54060-2020</t>
        </is>
      </c>
      <c r="B514" s="1" t="n">
        <v>44125</v>
      </c>
      <c r="C514" s="1" t="n">
        <v>45575</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54072-2020</t>
        </is>
      </c>
      <c r="B515" s="1" t="n">
        <v>44125</v>
      </c>
      <c r="C515" s="1" t="n">
        <v>45575</v>
      </c>
      <c r="D515" t="inlineStr">
        <is>
          <t>VÄRMLANDS LÄN</t>
        </is>
      </c>
      <c r="E515" t="inlineStr">
        <is>
          <t>TORSBY</t>
        </is>
      </c>
      <c r="G515" t="n">
        <v>5</v>
      </c>
      <c r="H515" t="n">
        <v>0</v>
      </c>
      <c r="I515" t="n">
        <v>0</v>
      </c>
      <c r="J515" t="n">
        <v>0</v>
      </c>
      <c r="K515" t="n">
        <v>0</v>
      </c>
      <c r="L515" t="n">
        <v>0</v>
      </c>
      <c r="M515" t="n">
        <v>0</v>
      </c>
      <c r="N515" t="n">
        <v>0</v>
      </c>
      <c r="O515" t="n">
        <v>0</v>
      </c>
      <c r="P515" t="n">
        <v>0</v>
      </c>
      <c r="Q515" t="n">
        <v>0</v>
      </c>
      <c r="R515" s="2" t="inlineStr"/>
    </row>
    <row r="516" ht="15" customHeight="1">
      <c r="A516" t="inlineStr">
        <is>
          <t>A 54916-2020</t>
        </is>
      </c>
      <c r="B516" s="1" t="n">
        <v>44127</v>
      </c>
      <c r="C516" s="1" t="n">
        <v>45575</v>
      </c>
      <c r="D516" t="inlineStr">
        <is>
          <t>VÄRMLANDS LÄN</t>
        </is>
      </c>
      <c r="E516" t="inlineStr">
        <is>
          <t>TORSBY</t>
        </is>
      </c>
      <c r="F516" t="inlineStr">
        <is>
          <t>Kyrkan</t>
        </is>
      </c>
      <c r="G516" t="n">
        <v>0.7</v>
      </c>
      <c r="H516" t="n">
        <v>0</v>
      </c>
      <c r="I516" t="n">
        <v>0</v>
      </c>
      <c r="J516" t="n">
        <v>0</v>
      </c>
      <c r="K516" t="n">
        <v>0</v>
      </c>
      <c r="L516" t="n">
        <v>0</v>
      </c>
      <c r="M516" t="n">
        <v>0</v>
      </c>
      <c r="N516" t="n">
        <v>0</v>
      </c>
      <c r="O516" t="n">
        <v>0</v>
      </c>
      <c r="P516" t="n">
        <v>0</v>
      </c>
      <c r="Q516" t="n">
        <v>0</v>
      </c>
      <c r="R516" s="2" t="inlineStr"/>
    </row>
    <row r="517" ht="15" customHeight="1">
      <c r="A517" t="inlineStr">
        <is>
          <t>A 54924-2020</t>
        </is>
      </c>
      <c r="B517" s="1" t="n">
        <v>44127</v>
      </c>
      <c r="C517" s="1" t="n">
        <v>45575</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55058-2020</t>
        </is>
      </c>
      <c r="B518" s="1" t="n">
        <v>44130</v>
      </c>
      <c r="C518" s="1" t="n">
        <v>45575</v>
      </c>
      <c r="D518" t="inlineStr">
        <is>
          <t>VÄRMLANDS LÄN</t>
        </is>
      </c>
      <c r="E518" t="inlineStr">
        <is>
          <t>TORSBY</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55217-2020</t>
        </is>
      </c>
      <c r="B519" s="1" t="n">
        <v>44130</v>
      </c>
      <c r="C519" s="1" t="n">
        <v>45575</v>
      </c>
      <c r="D519" t="inlineStr">
        <is>
          <t>VÄRMLANDS LÄN</t>
        </is>
      </c>
      <c r="E519" t="inlineStr">
        <is>
          <t>TORSBY</t>
        </is>
      </c>
      <c r="G519" t="n">
        <v>4.2</v>
      </c>
      <c r="H519" t="n">
        <v>0</v>
      </c>
      <c r="I519" t="n">
        <v>0</v>
      </c>
      <c r="J519" t="n">
        <v>0</v>
      </c>
      <c r="K519" t="n">
        <v>0</v>
      </c>
      <c r="L519" t="n">
        <v>0</v>
      </c>
      <c r="M519" t="n">
        <v>0</v>
      </c>
      <c r="N519" t="n">
        <v>0</v>
      </c>
      <c r="O519" t="n">
        <v>0</v>
      </c>
      <c r="P519" t="n">
        <v>0</v>
      </c>
      <c r="Q519" t="n">
        <v>0</v>
      </c>
      <c r="R519" s="2" t="inlineStr"/>
    </row>
    <row r="520" ht="15" customHeight="1">
      <c r="A520" t="inlineStr">
        <is>
          <t>A 55401-2020</t>
        </is>
      </c>
      <c r="B520" s="1" t="n">
        <v>44131</v>
      </c>
      <c r="C520" s="1" t="n">
        <v>45575</v>
      </c>
      <c r="D520" t="inlineStr">
        <is>
          <t>VÄRMLANDS LÄN</t>
        </is>
      </c>
      <c r="E520" t="inlineStr">
        <is>
          <t>TORSBY</t>
        </is>
      </c>
      <c r="G520" t="n">
        <v>1.9</v>
      </c>
      <c r="H520" t="n">
        <v>0</v>
      </c>
      <c r="I520" t="n">
        <v>0</v>
      </c>
      <c r="J520" t="n">
        <v>0</v>
      </c>
      <c r="K520" t="n">
        <v>0</v>
      </c>
      <c r="L520" t="n">
        <v>0</v>
      </c>
      <c r="M520" t="n">
        <v>0</v>
      </c>
      <c r="N520" t="n">
        <v>0</v>
      </c>
      <c r="O520" t="n">
        <v>0</v>
      </c>
      <c r="P520" t="n">
        <v>0</v>
      </c>
      <c r="Q520" t="n">
        <v>0</v>
      </c>
      <c r="R520" s="2" t="inlineStr"/>
    </row>
    <row r="521" ht="15" customHeight="1">
      <c r="A521" t="inlineStr">
        <is>
          <t>A 56979-2020</t>
        </is>
      </c>
      <c r="B521" s="1" t="n">
        <v>44138</v>
      </c>
      <c r="C521" s="1" t="n">
        <v>45575</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57119-2020</t>
        </is>
      </c>
      <c r="B522" s="1" t="n">
        <v>44139</v>
      </c>
      <c r="C522" s="1" t="n">
        <v>45575</v>
      </c>
      <c r="D522" t="inlineStr">
        <is>
          <t>VÄRMLANDS LÄN</t>
        </is>
      </c>
      <c r="E522" t="inlineStr">
        <is>
          <t>TORSBY</t>
        </is>
      </c>
      <c r="G522" t="n">
        <v>1</v>
      </c>
      <c r="H522" t="n">
        <v>0</v>
      </c>
      <c r="I522" t="n">
        <v>0</v>
      </c>
      <c r="J522" t="n">
        <v>0</v>
      </c>
      <c r="K522" t="n">
        <v>0</v>
      </c>
      <c r="L522" t="n">
        <v>0</v>
      </c>
      <c r="M522" t="n">
        <v>0</v>
      </c>
      <c r="N522" t="n">
        <v>0</v>
      </c>
      <c r="O522" t="n">
        <v>0</v>
      </c>
      <c r="P522" t="n">
        <v>0</v>
      </c>
      <c r="Q522" t="n">
        <v>0</v>
      </c>
      <c r="R522" s="2" t="inlineStr"/>
    </row>
    <row r="523" ht="15" customHeight="1">
      <c r="A523" t="inlineStr">
        <is>
          <t>A 57896-2020</t>
        </is>
      </c>
      <c r="B523" s="1" t="n">
        <v>44141</v>
      </c>
      <c r="C523" s="1" t="n">
        <v>45575</v>
      </c>
      <c r="D523" t="inlineStr">
        <is>
          <t>VÄRMLANDS LÄN</t>
        </is>
      </c>
      <c r="E523" t="inlineStr">
        <is>
          <t>TORSBY</t>
        </is>
      </c>
      <c r="F523" t="inlineStr">
        <is>
          <t>Bergvik skog väst AB</t>
        </is>
      </c>
      <c r="G523" t="n">
        <v>5.2</v>
      </c>
      <c r="H523" t="n">
        <v>0</v>
      </c>
      <c r="I523" t="n">
        <v>0</v>
      </c>
      <c r="J523" t="n">
        <v>0</v>
      </c>
      <c r="K523" t="n">
        <v>0</v>
      </c>
      <c r="L523" t="n">
        <v>0</v>
      </c>
      <c r="M523" t="n">
        <v>0</v>
      </c>
      <c r="N523" t="n">
        <v>0</v>
      </c>
      <c r="O523" t="n">
        <v>0</v>
      </c>
      <c r="P523" t="n">
        <v>0</v>
      </c>
      <c r="Q523" t="n">
        <v>0</v>
      </c>
      <c r="R523" s="2" t="inlineStr"/>
    </row>
    <row r="524" ht="15" customHeight="1">
      <c r="A524" t="inlineStr">
        <is>
          <t>A 57980-2020</t>
        </is>
      </c>
      <c r="B524" s="1" t="n">
        <v>44143</v>
      </c>
      <c r="C524" s="1" t="n">
        <v>45575</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58078-2020</t>
        </is>
      </c>
      <c r="B525" s="1" t="n">
        <v>44144</v>
      </c>
      <c r="C525" s="1" t="n">
        <v>45575</v>
      </c>
      <c r="D525" t="inlineStr">
        <is>
          <t>VÄRMLANDS LÄN</t>
        </is>
      </c>
      <c r="E525" t="inlineStr">
        <is>
          <t>TORSBY</t>
        </is>
      </c>
      <c r="G525" t="n">
        <v>1.6</v>
      </c>
      <c r="H525" t="n">
        <v>0</v>
      </c>
      <c r="I525" t="n">
        <v>0</v>
      </c>
      <c r="J525" t="n">
        <v>0</v>
      </c>
      <c r="K525" t="n">
        <v>0</v>
      </c>
      <c r="L525" t="n">
        <v>0</v>
      </c>
      <c r="M525" t="n">
        <v>0</v>
      </c>
      <c r="N525" t="n">
        <v>0</v>
      </c>
      <c r="O525" t="n">
        <v>0</v>
      </c>
      <c r="P525" t="n">
        <v>0</v>
      </c>
      <c r="Q525" t="n">
        <v>0</v>
      </c>
      <c r="R525" s="2" t="inlineStr"/>
    </row>
    <row r="526" ht="15" customHeight="1">
      <c r="A526" t="inlineStr">
        <is>
          <t>A 58599-2020</t>
        </is>
      </c>
      <c r="B526" s="1" t="n">
        <v>44145</v>
      </c>
      <c r="C526" s="1" t="n">
        <v>45575</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58574-2020</t>
        </is>
      </c>
      <c r="B527" s="1" t="n">
        <v>44145</v>
      </c>
      <c r="C527" s="1" t="n">
        <v>45575</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58643-2020</t>
        </is>
      </c>
      <c r="B528" s="1" t="n">
        <v>44145</v>
      </c>
      <c r="C528" s="1" t="n">
        <v>45575</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58680-2020</t>
        </is>
      </c>
      <c r="B529" s="1" t="n">
        <v>44146</v>
      </c>
      <c r="C529" s="1" t="n">
        <v>45575</v>
      </c>
      <c r="D529" t="inlineStr">
        <is>
          <t>VÄRMLANDS LÄN</t>
        </is>
      </c>
      <c r="E529" t="inlineStr">
        <is>
          <t>TORSBY</t>
        </is>
      </c>
      <c r="G529" t="n">
        <v>4.7</v>
      </c>
      <c r="H529" t="n">
        <v>0</v>
      </c>
      <c r="I529" t="n">
        <v>0</v>
      </c>
      <c r="J529" t="n">
        <v>0</v>
      </c>
      <c r="K529" t="n">
        <v>0</v>
      </c>
      <c r="L529" t="n">
        <v>0</v>
      </c>
      <c r="M529" t="n">
        <v>0</v>
      </c>
      <c r="N529" t="n">
        <v>0</v>
      </c>
      <c r="O529" t="n">
        <v>0</v>
      </c>
      <c r="P529" t="n">
        <v>0</v>
      </c>
      <c r="Q529" t="n">
        <v>0</v>
      </c>
      <c r="R529" s="2" t="inlineStr"/>
    </row>
    <row r="530" ht="15" customHeight="1">
      <c r="A530" t="inlineStr">
        <is>
          <t>A 58877-2020</t>
        </is>
      </c>
      <c r="B530" s="1" t="n">
        <v>44146</v>
      </c>
      <c r="C530" s="1" t="n">
        <v>45575</v>
      </c>
      <c r="D530" t="inlineStr">
        <is>
          <t>VÄRMLANDS LÄN</t>
        </is>
      </c>
      <c r="E530" t="inlineStr">
        <is>
          <t>TORSBY</t>
        </is>
      </c>
      <c r="G530" t="n">
        <v>2</v>
      </c>
      <c r="H530" t="n">
        <v>0</v>
      </c>
      <c r="I530" t="n">
        <v>0</v>
      </c>
      <c r="J530" t="n">
        <v>0</v>
      </c>
      <c r="K530" t="n">
        <v>0</v>
      </c>
      <c r="L530" t="n">
        <v>0</v>
      </c>
      <c r="M530" t="n">
        <v>0</v>
      </c>
      <c r="N530" t="n">
        <v>0</v>
      </c>
      <c r="O530" t="n">
        <v>0</v>
      </c>
      <c r="P530" t="n">
        <v>0</v>
      </c>
      <c r="Q530" t="n">
        <v>0</v>
      </c>
      <c r="R530" s="2" t="inlineStr"/>
    </row>
    <row r="531" ht="15" customHeight="1">
      <c r="A531" t="inlineStr">
        <is>
          <t>A 58930-2020</t>
        </is>
      </c>
      <c r="B531" s="1" t="n">
        <v>44146</v>
      </c>
      <c r="C531" s="1" t="n">
        <v>45575</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59800-2020</t>
        </is>
      </c>
      <c r="B532" s="1" t="n">
        <v>44151</v>
      </c>
      <c r="C532" s="1" t="n">
        <v>45575</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60167-2020</t>
        </is>
      </c>
      <c r="B533" s="1" t="n">
        <v>44152</v>
      </c>
      <c r="C533" s="1" t="n">
        <v>45575</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60533-2020</t>
        </is>
      </c>
      <c r="B534" s="1" t="n">
        <v>44153</v>
      </c>
      <c r="C534" s="1" t="n">
        <v>45575</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60719-2020</t>
        </is>
      </c>
      <c r="B535" s="1" t="n">
        <v>44153</v>
      </c>
      <c r="C535" s="1" t="n">
        <v>45575</v>
      </c>
      <c r="D535" t="inlineStr">
        <is>
          <t>VÄRMLANDS LÄN</t>
        </is>
      </c>
      <c r="E535" t="inlineStr">
        <is>
          <t>TORSBY</t>
        </is>
      </c>
      <c r="G535" t="n">
        <v>2.6</v>
      </c>
      <c r="H535" t="n">
        <v>0</v>
      </c>
      <c r="I535" t="n">
        <v>0</v>
      </c>
      <c r="J535" t="n">
        <v>0</v>
      </c>
      <c r="K535" t="n">
        <v>0</v>
      </c>
      <c r="L535" t="n">
        <v>0</v>
      </c>
      <c r="M535" t="n">
        <v>0</v>
      </c>
      <c r="N535" t="n">
        <v>0</v>
      </c>
      <c r="O535" t="n">
        <v>0</v>
      </c>
      <c r="P535" t="n">
        <v>0</v>
      </c>
      <c r="Q535" t="n">
        <v>0</v>
      </c>
      <c r="R535" s="2" t="inlineStr"/>
    </row>
    <row r="536" ht="15" customHeight="1">
      <c r="A536" t="inlineStr">
        <is>
          <t>A 60823-2020</t>
        </is>
      </c>
      <c r="B536" s="1" t="n">
        <v>44153</v>
      </c>
      <c r="C536" s="1" t="n">
        <v>45575</v>
      </c>
      <c r="D536" t="inlineStr">
        <is>
          <t>VÄRMLANDS LÄN</t>
        </is>
      </c>
      <c r="E536" t="inlineStr">
        <is>
          <t>TORSBY</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60941-2020</t>
        </is>
      </c>
      <c r="B537" s="1" t="n">
        <v>44154</v>
      </c>
      <c r="C537" s="1" t="n">
        <v>45575</v>
      </c>
      <c r="D537" t="inlineStr">
        <is>
          <t>VÄRMLANDS LÄN</t>
        </is>
      </c>
      <c r="E537" t="inlineStr">
        <is>
          <t>TORSBY</t>
        </is>
      </c>
      <c r="G537" t="n">
        <v>4.1</v>
      </c>
      <c r="H537" t="n">
        <v>0</v>
      </c>
      <c r="I537" t="n">
        <v>0</v>
      </c>
      <c r="J537" t="n">
        <v>0</v>
      </c>
      <c r="K537" t="n">
        <v>0</v>
      </c>
      <c r="L537" t="n">
        <v>0</v>
      </c>
      <c r="M537" t="n">
        <v>0</v>
      </c>
      <c r="N537" t="n">
        <v>0</v>
      </c>
      <c r="O537" t="n">
        <v>0</v>
      </c>
      <c r="P537" t="n">
        <v>0</v>
      </c>
      <c r="Q537" t="n">
        <v>0</v>
      </c>
      <c r="R537" s="2" t="inlineStr"/>
    </row>
    <row r="538" ht="15" customHeight="1">
      <c r="A538" t="inlineStr">
        <is>
          <t>A 61009-2020</t>
        </is>
      </c>
      <c r="B538" s="1" t="n">
        <v>44154</v>
      </c>
      <c r="C538" s="1" t="n">
        <v>45575</v>
      </c>
      <c r="D538" t="inlineStr">
        <is>
          <t>VÄRMLANDS LÄN</t>
        </is>
      </c>
      <c r="E538" t="inlineStr">
        <is>
          <t>TORSBY</t>
        </is>
      </c>
      <c r="G538" t="n">
        <v>2</v>
      </c>
      <c r="H538" t="n">
        <v>0</v>
      </c>
      <c r="I538" t="n">
        <v>0</v>
      </c>
      <c r="J538" t="n">
        <v>0</v>
      </c>
      <c r="K538" t="n">
        <v>0</v>
      </c>
      <c r="L538" t="n">
        <v>0</v>
      </c>
      <c r="M538" t="n">
        <v>0</v>
      </c>
      <c r="N538" t="n">
        <v>0</v>
      </c>
      <c r="O538" t="n">
        <v>0</v>
      </c>
      <c r="P538" t="n">
        <v>0</v>
      </c>
      <c r="Q538" t="n">
        <v>0</v>
      </c>
      <c r="R538" s="2" t="inlineStr"/>
    </row>
    <row r="539" ht="15" customHeight="1">
      <c r="A539" t="inlineStr">
        <is>
          <t>A 61594-2020</t>
        </is>
      </c>
      <c r="B539" s="1" t="n">
        <v>44154</v>
      </c>
      <c r="C539" s="1" t="n">
        <v>45575</v>
      </c>
      <c r="D539" t="inlineStr">
        <is>
          <t>VÄRMLANDS LÄN</t>
        </is>
      </c>
      <c r="E539" t="inlineStr">
        <is>
          <t>TORSBY</t>
        </is>
      </c>
      <c r="G539" t="n">
        <v>6</v>
      </c>
      <c r="H539" t="n">
        <v>0</v>
      </c>
      <c r="I539" t="n">
        <v>0</v>
      </c>
      <c r="J539" t="n">
        <v>0</v>
      </c>
      <c r="K539" t="n">
        <v>0</v>
      </c>
      <c r="L539" t="n">
        <v>0</v>
      </c>
      <c r="M539" t="n">
        <v>0</v>
      </c>
      <c r="N539" t="n">
        <v>0</v>
      </c>
      <c r="O539" t="n">
        <v>0</v>
      </c>
      <c r="P539" t="n">
        <v>0</v>
      </c>
      <c r="Q539" t="n">
        <v>0</v>
      </c>
      <c r="R539" s="2" t="inlineStr"/>
    </row>
    <row r="540" ht="15" customHeight="1">
      <c r="A540" t="inlineStr">
        <is>
          <t>A 61970-2020</t>
        </is>
      </c>
      <c r="B540" s="1" t="n">
        <v>44155</v>
      </c>
      <c r="C540" s="1" t="n">
        <v>45575</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61738-2020</t>
        </is>
      </c>
      <c r="B541" s="1" t="n">
        <v>44158</v>
      </c>
      <c r="C541" s="1" t="n">
        <v>45575</v>
      </c>
      <c r="D541" t="inlineStr">
        <is>
          <t>VÄRMLANDS LÄN</t>
        </is>
      </c>
      <c r="E541" t="inlineStr">
        <is>
          <t>TORSBY</t>
        </is>
      </c>
      <c r="F541" t="inlineStr">
        <is>
          <t>Kommuner</t>
        </is>
      </c>
      <c r="G541" t="n">
        <v>5.8</v>
      </c>
      <c r="H541" t="n">
        <v>0</v>
      </c>
      <c r="I541" t="n">
        <v>0</v>
      </c>
      <c r="J541" t="n">
        <v>0</v>
      </c>
      <c r="K541" t="n">
        <v>0</v>
      </c>
      <c r="L541" t="n">
        <v>0</v>
      </c>
      <c r="M541" t="n">
        <v>0</v>
      </c>
      <c r="N541" t="n">
        <v>0</v>
      </c>
      <c r="O541" t="n">
        <v>0</v>
      </c>
      <c r="P541" t="n">
        <v>0</v>
      </c>
      <c r="Q541" t="n">
        <v>0</v>
      </c>
      <c r="R541" s="2" t="inlineStr"/>
    </row>
    <row r="542" ht="15" customHeight="1">
      <c r="A542" t="inlineStr">
        <is>
          <t>A 61753-2020</t>
        </is>
      </c>
      <c r="B542" s="1" t="n">
        <v>44158</v>
      </c>
      <c r="C542" s="1" t="n">
        <v>45575</v>
      </c>
      <c r="D542" t="inlineStr">
        <is>
          <t>VÄRMLANDS LÄN</t>
        </is>
      </c>
      <c r="E542" t="inlineStr">
        <is>
          <t>TORSBY</t>
        </is>
      </c>
      <c r="G542" t="n">
        <v>2.2</v>
      </c>
      <c r="H542" t="n">
        <v>0</v>
      </c>
      <c r="I542" t="n">
        <v>0</v>
      </c>
      <c r="J542" t="n">
        <v>0</v>
      </c>
      <c r="K542" t="n">
        <v>0</v>
      </c>
      <c r="L542" t="n">
        <v>0</v>
      </c>
      <c r="M542" t="n">
        <v>0</v>
      </c>
      <c r="N542" t="n">
        <v>0</v>
      </c>
      <c r="O542" t="n">
        <v>0</v>
      </c>
      <c r="P542" t="n">
        <v>0</v>
      </c>
      <c r="Q542" t="n">
        <v>0</v>
      </c>
      <c r="R542" s="2" t="inlineStr"/>
    </row>
    <row r="543" ht="15" customHeight="1">
      <c r="A543" t="inlineStr">
        <is>
          <t>A 61998-2020</t>
        </is>
      </c>
      <c r="B543" s="1" t="n">
        <v>44158</v>
      </c>
      <c r="C543" s="1" t="n">
        <v>45575</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61910-2020</t>
        </is>
      </c>
      <c r="B544" s="1" t="n">
        <v>44159</v>
      </c>
      <c r="C544" s="1" t="n">
        <v>45575</v>
      </c>
      <c r="D544" t="inlineStr">
        <is>
          <t>VÄRMLANDS LÄN</t>
        </is>
      </c>
      <c r="E544" t="inlineStr">
        <is>
          <t>TORSBY</t>
        </is>
      </c>
      <c r="G544" t="n">
        <v>1.2</v>
      </c>
      <c r="H544" t="n">
        <v>0</v>
      </c>
      <c r="I544" t="n">
        <v>0</v>
      </c>
      <c r="J544" t="n">
        <v>0</v>
      </c>
      <c r="K544" t="n">
        <v>0</v>
      </c>
      <c r="L544" t="n">
        <v>0</v>
      </c>
      <c r="M544" t="n">
        <v>0</v>
      </c>
      <c r="N544" t="n">
        <v>0</v>
      </c>
      <c r="O544" t="n">
        <v>0</v>
      </c>
      <c r="P544" t="n">
        <v>0</v>
      </c>
      <c r="Q544" t="n">
        <v>0</v>
      </c>
      <c r="R544" s="2" t="inlineStr"/>
    </row>
    <row r="545" ht="15" customHeight="1">
      <c r="A545" t="inlineStr">
        <is>
          <t>A 61956-2020</t>
        </is>
      </c>
      <c r="B545" s="1" t="n">
        <v>44159</v>
      </c>
      <c r="C545" s="1" t="n">
        <v>45575</v>
      </c>
      <c r="D545" t="inlineStr">
        <is>
          <t>VÄRMLANDS LÄN</t>
        </is>
      </c>
      <c r="E545" t="inlineStr">
        <is>
          <t>TORSBY</t>
        </is>
      </c>
      <c r="F545" t="inlineStr">
        <is>
          <t>Kommuner</t>
        </is>
      </c>
      <c r="G545" t="n">
        <v>7.5</v>
      </c>
      <c r="H545" t="n">
        <v>0</v>
      </c>
      <c r="I545" t="n">
        <v>0</v>
      </c>
      <c r="J545" t="n">
        <v>0</v>
      </c>
      <c r="K545" t="n">
        <v>0</v>
      </c>
      <c r="L545" t="n">
        <v>0</v>
      </c>
      <c r="M545" t="n">
        <v>0</v>
      </c>
      <c r="N545" t="n">
        <v>0</v>
      </c>
      <c r="O545" t="n">
        <v>0</v>
      </c>
      <c r="P545" t="n">
        <v>0</v>
      </c>
      <c r="Q545" t="n">
        <v>0</v>
      </c>
      <c r="R545" s="2" t="inlineStr"/>
    </row>
    <row r="546" ht="15" customHeight="1">
      <c r="A546" t="inlineStr">
        <is>
          <t>A 62209-2020</t>
        </is>
      </c>
      <c r="B546" s="1" t="n">
        <v>44159</v>
      </c>
      <c r="C546" s="1" t="n">
        <v>45575</v>
      </c>
      <c r="D546" t="inlineStr">
        <is>
          <t>VÄRMLANDS LÄN</t>
        </is>
      </c>
      <c r="E546" t="inlineStr">
        <is>
          <t>TORSBY</t>
        </is>
      </c>
      <c r="F546" t="inlineStr">
        <is>
          <t>Kommuner</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62211-2020</t>
        </is>
      </c>
      <c r="B547" s="1" t="n">
        <v>44159</v>
      </c>
      <c r="C547" s="1" t="n">
        <v>45575</v>
      </c>
      <c r="D547" t="inlineStr">
        <is>
          <t>VÄRMLANDS LÄN</t>
        </is>
      </c>
      <c r="E547" t="inlineStr">
        <is>
          <t>TORSBY</t>
        </is>
      </c>
      <c r="F547" t="inlineStr">
        <is>
          <t>Kommuner</t>
        </is>
      </c>
      <c r="G547" t="n">
        <v>3.2</v>
      </c>
      <c r="H547" t="n">
        <v>0</v>
      </c>
      <c r="I547" t="n">
        <v>0</v>
      </c>
      <c r="J547" t="n">
        <v>0</v>
      </c>
      <c r="K547" t="n">
        <v>0</v>
      </c>
      <c r="L547" t="n">
        <v>0</v>
      </c>
      <c r="M547" t="n">
        <v>0</v>
      </c>
      <c r="N547" t="n">
        <v>0</v>
      </c>
      <c r="O547" t="n">
        <v>0</v>
      </c>
      <c r="P547" t="n">
        <v>0</v>
      </c>
      <c r="Q547" t="n">
        <v>0</v>
      </c>
      <c r="R547" s="2" t="inlineStr"/>
    </row>
    <row r="548" ht="15" customHeight="1">
      <c r="A548" t="inlineStr">
        <is>
          <t>A 62915-2020</t>
        </is>
      </c>
      <c r="B548" s="1" t="n">
        <v>44162</v>
      </c>
      <c r="C548" s="1" t="n">
        <v>45575</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63565-2020</t>
        </is>
      </c>
      <c r="B549" s="1" t="n">
        <v>44165</v>
      </c>
      <c r="C549" s="1" t="n">
        <v>45575</v>
      </c>
      <c r="D549" t="inlineStr">
        <is>
          <t>VÄRMLANDS LÄN</t>
        </is>
      </c>
      <c r="E549" t="inlineStr">
        <is>
          <t>TORSBY</t>
        </is>
      </c>
      <c r="G549" t="n">
        <v>10.3</v>
      </c>
      <c r="H549" t="n">
        <v>0</v>
      </c>
      <c r="I549" t="n">
        <v>0</v>
      </c>
      <c r="J549" t="n">
        <v>0</v>
      </c>
      <c r="K549" t="n">
        <v>0</v>
      </c>
      <c r="L549" t="n">
        <v>0</v>
      </c>
      <c r="M549" t="n">
        <v>0</v>
      </c>
      <c r="N549" t="n">
        <v>0</v>
      </c>
      <c r="O549" t="n">
        <v>0</v>
      </c>
      <c r="P549" t="n">
        <v>0</v>
      </c>
      <c r="Q549" t="n">
        <v>0</v>
      </c>
      <c r="R549" s="2" t="inlineStr"/>
    </row>
    <row r="550" ht="15" customHeight="1">
      <c r="A550" t="inlineStr">
        <is>
          <t>A 64396-2020</t>
        </is>
      </c>
      <c r="B550" s="1" t="n">
        <v>44168</v>
      </c>
      <c r="C550" s="1" t="n">
        <v>45575</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64434-2020</t>
        </is>
      </c>
      <c r="B551" s="1" t="n">
        <v>44168</v>
      </c>
      <c r="C551" s="1" t="n">
        <v>45575</v>
      </c>
      <c r="D551" t="inlineStr">
        <is>
          <t>VÄRMLANDS LÄN</t>
        </is>
      </c>
      <c r="E551" t="inlineStr">
        <is>
          <t>TORSBY</t>
        </is>
      </c>
      <c r="G551" t="n">
        <v>7.7</v>
      </c>
      <c r="H551" t="n">
        <v>0</v>
      </c>
      <c r="I551" t="n">
        <v>0</v>
      </c>
      <c r="J551" t="n">
        <v>0</v>
      </c>
      <c r="K551" t="n">
        <v>0</v>
      </c>
      <c r="L551" t="n">
        <v>0</v>
      </c>
      <c r="M551" t="n">
        <v>0</v>
      </c>
      <c r="N551" t="n">
        <v>0</v>
      </c>
      <c r="O551" t="n">
        <v>0</v>
      </c>
      <c r="P551" t="n">
        <v>0</v>
      </c>
      <c r="Q551" t="n">
        <v>0</v>
      </c>
      <c r="R551" s="2" t="inlineStr"/>
    </row>
    <row r="552" ht="15" customHeight="1">
      <c r="A552" t="inlineStr">
        <is>
          <t>A 65369-2020</t>
        </is>
      </c>
      <c r="B552" s="1" t="n">
        <v>44169</v>
      </c>
      <c r="C552" s="1" t="n">
        <v>45575</v>
      </c>
      <c r="D552" t="inlineStr">
        <is>
          <t>VÄRMLANDS LÄN</t>
        </is>
      </c>
      <c r="E552" t="inlineStr">
        <is>
          <t>TORSBY</t>
        </is>
      </c>
      <c r="G552" t="n">
        <v>32.5</v>
      </c>
      <c r="H552" t="n">
        <v>0</v>
      </c>
      <c r="I552" t="n">
        <v>0</v>
      </c>
      <c r="J552" t="n">
        <v>0</v>
      </c>
      <c r="K552" t="n">
        <v>0</v>
      </c>
      <c r="L552" t="n">
        <v>0</v>
      </c>
      <c r="M552" t="n">
        <v>0</v>
      </c>
      <c r="N552" t="n">
        <v>0</v>
      </c>
      <c r="O552" t="n">
        <v>0</v>
      </c>
      <c r="P552" t="n">
        <v>0</v>
      </c>
      <c r="Q552" t="n">
        <v>0</v>
      </c>
      <c r="R552" s="2" t="inlineStr"/>
    </row>
    <row r="553" ht="15" customHeight="1">
      <c r="A553" t="inlineStr">
        <is>
          <t>A 65482-2020</t>
        </is>
      </c>
      <c r="B553" s="1" t="n">
        <v>44169</v>
      </c>
      <c r="C553" s="1" t="n">
        <v>45575</v>
      </c>
      <c r="D553" t="inlineStr">
        <is>
          <t>VÄRMLANDS LÄN</t>
        </is>
      </c>
      <c r="E553" t="inlineStr">
        <is>
          <t>TORSBY</t>
        </is>
      </c>
      <c r="F553" t="inlineStr">
        <is>
          <t>Kyrkan</t>
        </is>
      </c>
      <c r="G553" t="n">
        <v>21.6</v>
      </c>
      <c r="H553" t="n">
        <v>0</v>
      </c>
      <c r="I553" t="n">
        <v>0</v>
      </c>
      <c r="J553" t="n">
        <v>0</v>
      </c>
      <c r="K553" t="n">
        <v>0</v>
      </c>
      <c r="L553" t="n">
        <v>0</v>
      </c>
      <c r="M553" t="n">
        <v>0</v>
      </c>
      <c r="N553" t="n">
        <v>0</v>
      </c>
      <c r="O553" t="n">
        <v>0</v>
      </c>
      <c r="P553" t="n">
        <v>0</v>
      </c>
      <c r="Q553" t="n">
        <v>0</v>
      </c>
      <c r="R553" s="2" t="inlineStr"/>
    </row>
    <row r="554" ht="15" customHeight="1">
      <c r="A554" t="inlineStr">
        <is>
          <t>A 65398-2020</t>
        </is>
      </c>
      <c r="B554" s="1" t="n">
        <v>44169</v>
      </c>
      <c r="C554" s="1" t="n">
        <v>45575</v>
      </c>
      <c r="D554" t="inlineStr">
        <is>
          <t>VÄRMLANDS LÄN</t>
        </is>
      </c>
      <c r="E554" t="inlineStr">
        <is>
          <t>TORSBY</t>
        </is>
      </c>
      <c r="G554" t="n">
        <v>3.6</v>
      </c>
      <c r="H554" t="n">
        <v>0</v>
      </c>
      <c r="I554" t="n">
        <v>0</v>
      </c>
      <c r="J554" t="n">
        <v>0</v>
      </c>
      <c r="K554" t="n">
        <v>0</v>
      </c>
      <c r="L554" t="n">
        <v>0</v>
      </c>
      <c r="M554" t="n">
        <v>0</v>
      </c>
      <c r="N554" t="n">
        <v>0</v>
      </c>
      <c r="O554" t="n">
        <v>0</v>
      </c>
      <c r="P554" t="n">
        <v>0</v>
      </c>
      <c r="Q554" t="n">
        <v>0</v>
      </c>
      <c r="R554" s="2" t="inlineStr"/>
    </row>
    <row r="555" ht="15" customHeight="1">
      <c r="A555" t="inlineStr">
        <is>
          <t>A 65678-2020</t>
        </is>
      </c>
      <c r="B555" s="1" t="n">
        <v>44172</v>
      </c>
      <c r="C555" s="1" t="n">
        <v>45575</v>
      </c>
      <c r="D555" t="inlineStr">
        <is>
          <t>VÄRMLANDS LÄN</t>
        </is>
      </c>
      <c r="E555" t="inlineStr">
        <is>
          <t>TORSBY</t>
        </is>
      </c>
      <c r="G555" t="n">
        <v>3.5</v>
      </c>
      <c r="H555" t="n">
        <v>0</v>
      </c>
      <c r="I555" t="n">
        <v>0</v>
      </c>
      <c r="J555" t="n">
        <v>0</v>
      </c>
      <c r="K555" t="n">
        <v>0</v>
      </c>
      <c r="L555" t="n">
        <v>0</v>
      </c>
      <c r="M555" t="n">
        <v>0</v>
      </c>
      <c r="N555" t="n">
        <v>0</v>
      </c>
      <c r="O555" t="n">
        <v>0</v>
      </c>
      <c r="P555" t="n">
        <v>0</v>
      </c>
      <c r="Q555" t="n">
        <v>0</v>
      </c>
      <c r="R555" s="2" t="inlineStr"/>
    </row>
    <row r="556" ht="15" customHeight="1">
      <c r="A556" t="inlineStr">
        <is>
          <t>A 65827-2020</t>
        </is>
      </c>
      <c r="B556" s="1" t="n">
        <v>44173</v>
      </c>
      <c r="C556" s="1" t="n">
        <v>45575</v>
      </c>
      <c r="D556" t="inlineStr">
        <is>
          <t>VÄRMLANDS LÄN</t>
        </is>
      </c>
      <c r="E556" t="inlineStr">
        <is>
          <t>TORSBY</t>
        </is>
      </c>
      <c r="G556" t="n">
        <v>6.7</v>
      </c>
      <c r="H556" t="n">
        <v>0</v>
      </c>
      <c r="I556" t="n">
        <v>0</v>
      </c>
      <c r="J556" t="n">
        <v>0</v>
      </c>
      <c r="K556" t="n">
        <v>0</v>
      </c>
      <c r="L556" t="n">
        <v>0</v>
      </c>
      <c r="M556" t="n">
        <v>0</v>
      </c>
      <c r="N556" t="n">
        <v>0</v>
      </c>
      <c r="O556" t="n">
        <v>0</v>
      </c>
      <c r="P556" t="n">
        <v>0</v>
      </c>
      <c r="Q556" t="n">
        <v>0</v>
      </c>
      <c r="R556" s="2" t="inlineStr"/>
    </row>
    <row r="557" ht="15" customHeight="1">
      <c r="A557" t="inlineStr">
        <is>
          <t>A 66703-2020</t>
        </is>
      </c>
      <c r="B557" s="1" t="n">
        <v>44174</v>
      </c>
      <c r="C557" s="1" t="n">
        <v>45575</v>
      </c>
      <c r="D557" t="inlineStr">
        <is>
          <t>VÄRMLANDS LÄN</t>
        </is>
      </c>
      <c r="E557" t="inlineStr">
        <is>
          <t>TORSBY</t>
        </is>
      </c>
      <c r="G557" t="n">
        <v>6.3</v>
      </c>
      <c r="H557" t="n">
        <v>0</v>
      </c>
      <c r="I557" t="n">
        <v>0</v>
      </c>
      <c r="J557" t="n">
        <v>0</v>
      </c>
      <c r="K557" t="n">
        <v>0</v>
      </c>
      <c r="L557" t="n">
        <v>0</v>
      </c>
      <c r="M557" t="n">
        <v>0</v>
      </c>
      <c r="N557" t="n">
        <v>0</v>
      </c>
      <c r="O557" t="n">
        <v>0</v>
      </c>
      <c r="P557" t="n">
        <v>0</v>
      </c>
      <c r="Q557" t="n">
        <v>0</v>
      </c>
      <c r="R557" s="2" t="inlineStr"/>
    </row>
    <row r="558" ht="15" customHeight="1">
      <c r="A558" t="inlineStr">
        <is>
          <t>A 66194-2020</t>
        </is>
      </c>
      <c r="B558" s="1" t="n">
        <v>44175</v>
      </c>
      <c r="C558" s="1" t="n">
        <v>45575</v>
      </c>
      <c r="D558" t="inlineStr">
        <is>
          <t>VÄRMLANDS LÄN</t>
        </is>
      </c>
      <c r="E558" t="inlineStr">
        <is>
          <t>TORSBY</t>
        </is>
      </c>
      <c r="F558" t="inlineStr">
        <is>
          <t>Bergvik skog väst AB</t>
        </is>
      </c>
      <c r="G558" t="n">
        <v>18.4</v>
      </c>
      <c r="H558" t="n">
        <v>0</v>
      </c>
      <c r="I558" t="n">
        <v>0</v>
      </c>
      <c r="J558" t="n">
        <v>0</v>
      </c>
      <c r="K558" t="n">
        <v>0</v>
      </c>
      <c r="L558" t="n">
        <v>0</v>
      </c>
      <c r="M558" t="n">
        <v>0</v>
      </c>
      <c r="N558" t="n">
        <v>0</v>
      </c>
      <c r="O558" t="n">
        <v>0</v>
      </c>
      <c r="P558" t="n">
        <v>0</v>
      </c>
      <c r="Q558" t="n">
        <v>0</v>
      </c>
      <c r="R558" s="2" t="inlineStr"/>
    </row>
    <row r="559" ht="15" customHeight="1">
      <c r="A559" t="inlineStr">
        <is>
          <t>A 66326-2020</t>
        </is>
      </c>
      <c r="B559" s="1" t="n">
        <v>44176</v>
      </c>
      <c r="C559" s="1" t="n">
        <v>45575</v>
      </c>
      <c r="D559" t="inlineStr">
        <is>
          <t>VÄRMLANDS LÄN</t>
        </is>
      </c>
      <c r="E559" t="inlineStr">
        <is>
          <t>TORSBY</t>
        </is>
      </c>
      <c r="G559" t="n">
        <v>1.7</v>
      </c>
      <c r="H559" t="n">
        <v>0</v>
      </c>
      <c r="I559" t="n">
        <v>0</v>
      </c>
      <c r="J559" t="n">
        <v>0</v>
      </c>
      <c r="K559" t="n">
        <v>0</v>
      </c>
      <c r="L559" t="n">
        <v>0</v>
      </c>
      <c r="M559" t="n">
        <v>0</v>
      </c>
      <c r="N559" t="n">
        <v>0</v>
      </c>
      <c r="O559" t="n">
        <v>0</v>
      </c>
      <c r="P559" t="n">
        <v>0</v>
      </c>
      <c r="Q559" t="n">
        <v>0</v>
      </c>
      <c r="R559" s="2" t="inlineStr"/>
    </row>
    <row r="560" ht="15" customHeight="1">
      <c r="A560" t="inlineStr">
        <is>
          <t>A 67084-2020</t>
        </is>
      </c>
      <c r="B560" s="1" t="n">
        <v>44179</v>
      </c>
      <c r="C560" s="1" t="n">
        <v>45575</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67547-2020</t>
        </is>
      </c>
      <c r="B561" s="1" t="n">
        <v>44181</v>
      </c>
      <c r="C561" s="1" t="n">
        <v>45575</v>
      </c>
      <c r="D561" t="inlineStr">
        <is>
          <t>VÄRMLANDS LÄN</t>
        </is>
      </c>
      <c r="E561" t="inlineStr">
        <is>
          <t>TORSBY</t>
        </is>
      </c>
      <c r="G561" t="n">
        <v>3</v>
      </c>
      <c r="H561" t="n">
        <v>0</v>
      </c>
      <c r="I561" t="n">
        <v>0</v>
      </c>
      <c r="J561" t="n">
        <v>0</v>
      </c>
      <c r="K561" t="n">
        <v>0</v>
      </c>
      <c r="L561" t="n">
        <v>0</v>
      </c>
      <c r="M561" t="n">
        <v>0</v>
      </c>
      <c r="N561" t="n">
        <v>0</v>
      </c>
      <c r="O561" t="n">
        <v>0</v>
      </c>
      <c r="P561" t="n">
        <v>0</v>
      </c>
      <c r="Q561" t="n">
        <v>0</v>
      </c>
      <c r="R561" s="2" t="inlineStr"/>
    </row>
    <row r="562" ht="15" customHeight="1">
      <c r="A562" t="inlineStr">
        <is>
          <t>A 67464-2020</t>
        </is>
      </c>
      <c r="B562" s="1" t="n">
        <v>44181</v>
      </c>
      <c r="C562" s="1" t="n">
        <v>45575</v>
      </c>
      <c r="D562" t="inlineStr">
        <is>
          <t>VÄRMLANDS LÄN</t>
        </is>
      </c>
      <c r="E562" t="inlineStr">
        <is>
          <t>TORSBY</t>
        </is>
      </c>
      <c r="G562" t="n">
        <v>1.5</v>
      </c>
      <c r="H562" t="n">
        <v>0</v>
      </c>
      <c r="I562" t="n">
        <v>0</v>
      </c>
      <c r="J562" t="n">
        <v>0</v>
      </c>
      <c r="K562" t="n">
        <v>0</v>
      </c>
      <c r="L562" t="n">
        <v>0</v>
      </c>
      <c r="M562" t="n">
        <v>0</v>
      </c>
      <c r="N562" t="n">
        <v>0</v>
      </c>
      <c r="O562" t="n">
        <v>0</v>
      </c>
      <c r="P562" t="n">
        <v>0</v>
      </c>
      <c r="Q562" t="n">
        <v>0</v>
      </c>
      <c r="R562" s="2" t="inlineStr"/>
    </row>
    <row r="563" ht="15" customHeight="1">
      <c r="A563" t="inlineStr">
        <is>
          <t>A 67734-2020</t>
        </is>
      </c>
      <c r="B563" s="1" t="n">
        <v>44182</v>
      </c>
      <c r="C563" s="1" t="n">
        <v>45575</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68220-2020</t>
        </is>
      </c>
      <c r="B564" s="1" t="n">
        <v>44183</v>
      </c>
      <c r="C564" s="1" t="n">
        <v>45575</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68238-2020</t>
        </is>
      </c>
      <c r="B565" s="1" t="n">
        <v>44183</v>
      </c>
      <c r="C565" s="1" t="n">
        <v>45575</v>
      </c>
      <c r="D565" t="inlineStr">
        <is>
          <t>VÄRMLANDS LÄN</t>
        </is>
      </c>
      <c r="E565" t="inlineStr">
        <is>
          <t>TORSBY</t>
        </is>
      </c>
      <c r="F565" t="inlineStr">
        <is>
          <t>Bergvik skog väst AB</t>
        </is>
      </c>
      <c r="G565" t="n">
        <v>6.7</v>
      </c>
      <c r="H565" t="n">
        <v>0</v>
      </c>
      <c r="I565" t="n">
        <v>0</v>
      </c>
      <c r="J565" t="n">
        <v>0</v>
      </c>
      <c r="K565" t="n">
        <v>0</v>
      </c>
      <c r="L565" t="n">
        <v>0</v>
      </c>
      <c r="M565" t="n">
        <v>0</v>
      </c>
      <c r="N565" t="n">
        <v>0</v>
      </c>
      <c r="O565" t="n">
        <v>0</v>
      </c>
      <c r="P565" t="n">
        <v>0</v>
      </c>
      <c r="Q565" t="n">
        <v>0</v>
      </c>
      <c r="R565" s="2" t="inlineStr"/>
    </row>
    <row r="566" ht="15" customHeight="1">
      <c r="A566" t="inlineStr">
        <is>
          <t>A 68246-2020</t>
        </is>
      </c>
      <c r="B566" s="1" t="n">
        <v>44183</v>
      </c>
      <c r="C566" s="1" t="n">
        <v>45575</v>
      </c>
      <c r="D566" t="inlineStr">
        <is>
          <t>VÄRMLANDS LÄN</t>
        </is>
      </c>
      <c r="E566" t="inlineStr">
        <is>
          <t>TORSBY</t>
        </is>
      </c>
      <c r="G566" t="n">
        <v>2.5</v>
      </c>
      <c r="H566" t="n">
        <v>0</v>
      </c>
      <c r="I566" t="n">
        <v>0</v>
      </c>
      <c r="J566" t="n">
        <v>0</v>
      </c>
      <c r="K566" t="n">
        <v>0</v>
      </c>
      <c r="L566" t="n">
        <v>0</v>
      </c>
      <c r="M566" t="n">
        <v>0</v>
      </c>
      <c r="N566" t="n">
        <v>0</v>
      </c>
      <c r="O566" t="n">
        <v>0</v>
      </c>
      <c r="P566" t="n">
        <v>0</v>
      </c>
      <c r="Q566" t="n">
        <v>0</v>
      </c>
      <c r="R566" s="2" t="inlineStr"/>
    </row>
    <row r="567" ht="15" customHeight="1">
      <c r="A567" t="inlineStr">
        <is>
          <t>A 68603-2020</t>
        </is>
      </c>
      <c r="B567" s="1" t="n">
        <v>44186</v>
      </c>
      <c r="C567" s="1" t="n">
        <v>45575</v>
      </c>
      <c r="D567" t="inlineStr">
        <is>
          <t>VÄRMLANDS LÄN</t>
        </is>
      </c>
      <c r="E567" t="inlineStr">
        <is>
          <t>TORSBY</t>
        </is>
      </c>
      <c r="G567" t="n">
        <v>11.2</v>
      </c>
      <c r="H567" t="n">
        <v>0</v>
      </c>
      <c r="I567" t="n">
        <v>0</v>
      </c>
      <c r="J567" t="n">
        <v>0</v>
      </c>
      <c r="K567" t="n">
        <v>0</v>
      </c>
      <c r="L567" t="n">
        <v>0</v>
      </c>
      <c r="M567" t="n">
        <v>0</v>
      </c>
      <c r="N567" t="n">
        <v>0</v>
      </c>
      <c r="O567" t="n">
        <v>0</v>
      </c>
      <c r="P567" t="n">
        <v>0</v>
      </c>
      <c r="Q567" t="n">
        <v>0</v>
      </c>
      <c r="R567" s="2" t="inlineStr"/>
    </row>
    <row r="568" ht="15" customHeight="1">
      <c r="A568" t="inlineStr">
        <is>
          <t>A 69245-2020</t>
        </is>
      </c>
      <c r="B568" s="1" t="n">
        <v>44192</v>
      </c>
      <c r="C568" s="1" t="n">
        <v>45575</v>
      </c>
      <c r="D568" t="inlineStr">
        <is>
          <t>VÄRMLANDS LÄN</t>
        </is>
      </c>
      <c r="E568" t="inlineStr">
        <is>
          <t>TORSBY</t>
        </is>
      </c>
      <c r="G568" t="n">
        <v>0.2</v>
      </c>
      <c r="H568" t="n">
        <v>0</v>
      </c>
      <c r="I568" t="n">
        <v>0</v>
      </c>
      <c r="J568" t="n">
        <v>0</v>
      </c>
      <c r="K568" t="n">
        <v>0</v>
      </c>
      <c r="L568" t="n">
        <v>0</v>
      </c>
      <c r="M568" t="n">
        <v>0</v>
      </c>
      <c r="N568" t="n">
        <v>0</v>
      </c>
      <c r="O568" t="n">
        <v>0</v>
      </c>
      <c r="P568" t="n">
        <v>0</v>
      </c>
      <c r="Q568" t="n">
        <v>0</v>
      </c>
      <c r="R568" s="2" t="inlineStr"/>
    </row>
    <row r="569" ht="15" customHeight="1">
      <c r="A569" t="inlineStr">
        <is>
          <t>A 69250-2020</t>
        </is>
      </c>
      <c r="B569" s="1" t="n">
        <v>44192</v>
      </c>
      <c r="C569" s="1" t="n">
        <v>45575</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69242-2020</t>
        </is>
      </c>
      <c r="B570" s="1" t="n">
        <v>44192</v>
      </c>
      <c r="C570" s="1" t="n">
        <v>45575</v>
      </c>
      <c r="D570" t="inlineStr">
        <is>
          <t>VÄRMLANDS LÄN</t>
        </is>
      </c>
      <c r="E570" t="inlineStr">
        <is>
          <t>TORSBY</t>
        </is>
      </c>
      <c r="G570" t="n">
        <v>0.5</v>
      </c>
      <c r="H570" t="n">
        <v>0</v>
      </c>
      <c r="I570" t="n">
        <v>0</v>
      </c>
      <c r="J570" t="n">
        <v>0</v>
      </c>
      <c r="K570" t="n">
        <v>0</v>
      </c>
      <c r="L570" t="n">
        <v>0</v>
      </c>
      <c r="M570" t="n">
        <v>0</v>
      </c>
      <c r="N570" t="n">
        <v>0</v>
      </c>
      <c r="O570" t="n">
        <v>0</v>
      </c>
      <c r="P570" t="n">
        <v>0</v>
      </c>
      <c r="Q570" t="n">
        <v>0</v>
      </c>
      <c r="R570" s="2" t="inlineStr"/>
    </row>
    <row r="571" ht="15" customHeight="1">
      <c r="A571" t="inlineStr">
        <is>
          <t>A 69247-2020</t>
        </is>
      </c>
      <c r="B571" s="1" t="n">
        <v>44192</v>
      </c>
      <c r="C571" s="1" t="n">
        <v>45575</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69244-2020</t>
        </is>
      </c>
      <c r="B572" s="1" t="n">
        <v>44192</v>
      </c>
      <c r="C572" s="1" t="n">
        <v>45575</v>
      </c>
      <c r="D572" t="inlineStr">
        <is>
          <t>VÄRMLANDS LÄN</t>
        </is>
      </c>
      <c r="E572" t="inlineStr">
        <is>
          <t>TORSBY</t>
        </is>
      </c>
      <c r="G572" t="n">
        <v>2.6</v>
      </c>
      <c r="H572" t="n">
        <v>0</v>
      </c>
      <c r="I572" t="n">
        <v>0</v>
      </c>
      <c r="J572" t="n">
        <v>0</v>
      </c>
      <c r="K572" t="n">
        <v>0</v>
      </c>
      <c r="L572" t="n">
        <v>0</v>
      </c>
      <c r="M572" t="n">
        <v>0</v>
      </c>
      <c r="N572" t="n">
        <v>0</v>
      </c>
      <c r="O572" t="n">
        <v>0</v>
      </c>
      <c r="P572" t="n">
        <v>0</v>
      </c>
      <c r="Q572" t="n">
        <v>0</v>
      </c>
      <c r="R572" s="2" t="inlineStr"/>
    </row>
    <row r="573" ht="15" customHeight="1">
      <c r="A573" t="inlineStr">
        <is>
          <t>A 69248-2020</t>
        </is>
      </c>
      <c r="B573" s="1" t="n">
        <v>44192</v>
      </c>
      <c r="C573" s="1" t="n">
        <v>45575</v>
      </c>
      <c r="D573" t="inlineStr">
        <is>
          <t>VÄRMLANDS LÄN</t>
        </is>
      </c>
      <c r="E573" t="inlineStr">
        <is>
          <t>TORSBY</t>
        </is>
      </c>
      <c r="G573" t="n">
        <v>0.4</v>
      </c>
      <c r="H573" t="n">
        <v>0</v>
      </c>
      <c r="I573" t="n">
        <v>0</v>
      </c>
      <c r="J573" t="n">
        <v>0</v>
      </c>
      <c r="K573" t="n">
        <v>0</v>
      </c>
      <c r="L573" t="n">
        <v>0</v>
      </c>
      <c r="M573" t="n">
        <v>0</v>
      </c>
      <c r="N573" t="n">
        <v>0</v>
      </c>
      <c r="O573" t="n">
        <v>0</v>
      </c>
      <c r="P573" t="n">
        <v>0</v>
      </c>
      <c r="Q573" t="n">
        <v>0</v>
      </c>
      <c r="R573" s="2" t="inlineStr"/>
    </row>
    <row r="574" ht="15" customHeight="1">
      <c r="A574" t="inlineStr">
        <is>
          <t>A 69241-2020</t>
        </is>
      </c>
      <c r="B574" s="1" t="n">
        <v>44192</v>
      </c>
      <c r="C574" s="1" t="n">
        <v>45575</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69246-2020</t>
        </is>
      </c>
      <c r="B575" s="1" t="n">
        <v>44192</v>
      </c>
      <c r="C575" s="1" t="n">
        <v>45575</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69434-2020</t>
        </is>
      </c>
      <c r="B576" s="1" t="n">
        <v>44194</v>
      </c>
      <c r="C576" s="1" t="n">
        <v>45575</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69448-2020</t>
        </is>
      </c>
      <c r="B577" s="1" t="n">
        <v>44194</v>
      </c>
      <c r="C577" s="1" t="n">
        <v>45575</v>
      </c>
      <c r="D577" t="inlineStr">
        <is>
          <t>VÄRMLANDS LÄN</t>
        </is>
      </c>
      <c r="E577" t="inlineStr">
        <is>
          <t>TORSBY</t>
        </is>
      </c>
      <c r="G577" t="n">
        <v>4.8</v>
      </c>
      <c r="H577" t="n">
        <v>0</v>
      </c>
      <c r="I577" t="n">
        <v>0</v>
      </c>
      <c r="J577" t="n">
        <v>0</v>
      </c>
      <c r="K577" t="n">
        <v>0</v>
      </c>
      <c r="L577" t="n">
        <v>0</v>
      </c>
      <c r="M577" t="n">
        <v>0</v>
      </c>
      <c r="N577" t="n">
        <v>0</v>
      </c>
      <c r="O577" t="n">
        <v>0</v>
      </c>
      <c r="P577" t="n">
        <v>0</v>
      </c>
      <c r="Q577" t="n">
        <v>0</v>
      </c>
      <c r="R577" s="2" t="inlineStr"/>
    </row>
    <row r="578" ht="15" customHeight="1">
      <c r="A578" t="inlineStr">
        <is>
          <t>A 69628-2020</t>
        </is>
      </c>
      <c r="B578" s="1" t="n">
        <v>44195</v>
      </c>
      <c r="C578" s="1" t="n">
        <v>45575</v>
      </c>
      <c r="D578" t="inlineStr">
        <is>
          <t>VÄRMLANDS LÄN</t>
        </is>
      </c>
      <c r="E578" t="inlineStr">
        <is>
          <t>TORSBY</t>
        </is>
      </c>
      <c r="G578" t="n">
        <v>2.1</v>
      </c>
      <c r="H578" t="n">
        <v>0</v>
      </c>
      <c r="I578" t="n">
        <v>0</v>
      </c>
      <c r="J578" t="n">
        <v>0</v>
      </c>
      <c r="K578" t="n">
        <v>0</v>
      </c>
      <c r="L578" t="n">
        <v>0</v>
      </c>
      <c r="M578" t="n">
        <v>0</v>
      </c>
      <c r="N578" t="n">
        <v>0</v>
      </c>
      <c r="O578" t="n">
        <v>0</v>
      </c>
      <c r="P578" t="n">
        <v>0</v>
      </c>
      <c r="Q578" t="n">
        <v>0</v>
      </c>
      <c r="R578" s="2" t="inlineStr"/>
    </row>
    <row r="579" ht="15" customHeight="1">
      <c r="A579" t="inlineStr">
        <is>
          <t>A 339-2021</t>
        </is>
      </c>
      <c r="B579" s="1" t="n">
        <v>44201</v>
      </c>
      <c r="C579" s="1" t="n">
        <v>45575</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1516-2021</t>
        </is>
      </c>
      <c r="B580" s="1" t="n">
        <v>44209</v>
      </c>
      <c r="C580" s="1" t="n">
        <v>45575</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1526-2021</t>
        </is>
      </c>
      <c r="B581" s="1" t="n">
        <v>44209</v>
      </c>
      <c r="C581" s="1" t="n">
        <v>45575</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1535-2021</t>
        </is>
      </c>
      <c r="B582" s="1" t="n">
        <v>44209</v>
      </c>
      <c r="C582" s="1" t="n">
        <v>45575</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1544-2021</t>
        </is>
      </c>
      <c r="B583" s="1" t="n">
        <v>44209</v>
      </c>
      <c r="C583" s="1" t="n">
        <v>45575</v>
      </c>
      <c r="D583" t="inlineStr">
        <is>
          <t>VÄRMLANDS LÄN</t>
        </is>
      </c>
      <c r="E583" t="inlineStr">
        <is>
          <t>TORSBY</t>
        </is>
      </c>
      <c r="G583" t="n">
        <v>0.9</v>
      </c>
      <c r="H583" t="n">
        <v>0</v>
      </c>
      <c r="I583" t="n">
        <v>0</v>
      </c>
      <c r="J583" t="n">
        <v>0</v>
      </c>
      <c r="K583" t="n">
        <v>0</v>
      </c>
      <c r="L583" t="n">
        <v>0</v>
      </c>
      <c r="M583" t="n">
        <v>0</v>
      </c>
      <c r="N583" t="n">
        <v>0</v>
      </c>
      <c r="O583" t="n">
        <v>0</v>
      </c>
      <c r="P583" t="n">
        <v>0</v>
      </c>
      <c r="Q583" t="n">
        <v>0</v>
      </c>
      <c r="R583" s="2" t="inlineStr"/>
    </row>
    <row r="584" ht="15" customHeight="1">
      <c r="A584" t="inlineStr">
        <is>
          <t>A 2321-2021</t>
        </is>
      </c>
      <c r="B584" s="1" t="n">
        <v>44214</v>
      </c>
      <c r="C584" s="1" t="n">
        <v>45575</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2576-2021</t>
        </is>
      </c>
      <c r="B585" s="1" t="n">
        <v>44214</v>
      </c>
      <c r="C585" s="1" t="n">
        <v>45575</v>
      </c>
      <c r="D585" t="inlineStr">
        <is>
          <t>VÄRMLANDS LÄN</t>
        </is>
      </c>
      <c r="E585" t="inlineStr">
        <is>
          <t>TORSBY</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2758-2021</t>
        </is>
      </c>
      <c r="B586" s="1" t="n">
        <v>44215</v>
      </c>
      <c r="C586" s="1" t="n">
        <v>45575</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3160-2021</t>
        </is>
      </c>
      <c r="B587" s="1" t="n">
        <v>44217</v>
      </c>
      <c r="C587" s="1" t="n">
        <v>45575</v>
      </c>
      <c r="D587" t="inlineStr">
        <is>
          <t>VÄRMLANDS LÄN</t>
        </is>
      </c>
      <c r="E587" t="inlineStr">
        <is>
          <t>TORSBY</t>
        </is>
      </c>
      <c r="G587" t="n">
        <v>4.4</v>
      </c>
      <c r="H587" t="n">
        <v>0</v>
      </c>
      <c r="I587" t="n">
        <v>0</v>
      </c>
      <c r="J587" t="n">
        <v>0</v>
      </c>
      <c r="K587" t="n">
        <v>0</v>
      </c>
      <c r="L587" t="n">
        <v>0</v>
      </c>
      <c r="M587" t="n">
        <v>0</v>
      </c>
      <c r="N587" t="n">
        <v>0</v>
      </c>
      <c r="O587" t="n">
        <v>0</v>
      </c>
      <c r="P587" t="n">
        <v>0</v>
      </c>
      <c r="Q587" t="n">
        <v>0</v>
      </c>
      <c r="R587" s="2" t="inlineStr"/>
    </row>
    <row r="588" ht="15" customHeight="1">
      <c r="A588" t="inlineStr">
        <is>
          <t>A 3336-2021</t>
        </is>
      </c>
      <c r="B588" s="1" t="n">
        <v>44217</v>
      </c>
      <c r="C588" s="1" t="n">
        <v>45575</v>
      </c>
      <c r="D588" t="inlineStr">
        <is>
          <t>VÄRMLANDS LÄN</t>
        </is>
      </c>
      <c r="E588" t="inlineStr">
        <is>
          <t>TORSBY</t>
        </is>
      </c>
      <c r="G588" t="n">
        <v>3.7</v>
      </c>
      <c r="H588" t="n">
        <v>0</v>
      </c>
      <c r="I588" t="n">
        <v>0</v>
      </c>
      <c r="J588" t="n">
        <v>0</v>
      </c>
      <c r="K588" t="n">
        <v>0</v>
      </c>
      <c r="L588" t="n">
        <v>0</v>
      </c>
      <c r="M588" t="n">
        <v>0</v>
      </c>
      <c r="N588" t="n">
        <v>0</v>
      </c>
      <c r="O588" t="n">
        <v>0</v>
      </c>
      <c r="P588" t="n">
        <v>0</v>
      </c>
      <c r="Q588" t="n">
        <v>0</v>
      </c>
      <c r="R588" s="2" t="inlineStr"/>
    </row>
    <row r="589" ht="15" customHeight="1">
      <c r="A589" t="inlineStr">
        <is>
          <t>A 4392-2021</t>
        </is>
      </c>
      <c r="B589" s="1" t="n">
        <v>44223</v>
      </c>
      <c r="C589" s="1" t="n">
        <v>45575</v>
      </c>
      <c r="D589" t="inlineStr">
        <is>
          <t>VÄRMLANDS LÄN</t>
        </is>
      </c>
      <c r="E589" t="inlineStr">
        <is>
          <t>TORSBY</t>
        </is>
      </c>
      <c r="G589" t="n">
        <v>3.8</v>
      </c>
      <c r="H589" t="n">
        <v>0</v>
      </c>
      <c r="I589" t="n">
        <v>0</v>
      </c>
      <c r="J589" t="n">
        <v>0</v>
      </c>
      <c r="K589" t="n">
        <v>0</v>
      </c>
      <c r="L589" t="n">
        <v>0</v>
      </c>
      <c r="M589" t="n">
        <v>0</v>
      </c>
      <c r="N589" t="n">
        <v>0</v>
      </c>
      <c r="O589" t="n">
        <v>0</v>
      </c>
      <c r="P589" t="n">
        <v>0</v>
      </c>
      <c r="Q589" t="n">
        <v>0</v>
      </c>
      <c r="R589" s="2" t="inlineStr"/>
    </row>
    <row r="590" ht="15" customHeight="1">
      <c r="A590" t="inlineStr">
        <is>
          <t>A 4558-2021</t>
        </is>
      </c>
      <c r="B590" s="1" t="n">
        <v>44223</v>
      </c>
      <c r="C590" s="1" t="n">
        <v>45575</v>
      </c>
      <c r="D590" t="inlineStr">
        <is>
          <t>VÄRMLANDS LÄN</t>
        </is>
      </c>
      <c r="E590" t="inlineStr">
        <is>
          <t>TORSBY</t>
        </is>
      </c>
      <c r="G590" t="n">
        <v>0.9</v>
      </c>
      <c r="H590" t="n">
        <v>0</v>
      </c>
      <c r="I590" t="n">
        <v>0</v>
      </c>
      <c r="J590" t="n">
        <v>0</v>
      </c>
      <c r="K590" t="n">
        <v>0</v>
      </c>
      <c r="L590" t="n">
        <v>0</v>
      </c>
      <c r="M590" t="n">
        <v>0</v>
      </c>
      <c r="N590" t="n">
        <v>0</v>
      </c>
      <c r="O590" t="n">
        <v>0</v>
      </c>
      <c r="P590" t="n">
        <v>0</v>
      </c>
      <c r="Q590" t="n">
        <v>0</v>
      </c>
      <c r="R590" s="2" t="inlineStr"/>
    </row>
    <row r="591" ht="15" customHeight="1">
      <c r="A591" t="inlineStr">
        <is>
          <t>A 4393-2021</t>
        </is>
      </c>
      <c r="B591" s="1" t="n">
        <v>44223</v>
      </c>
      <c r="C591" s="1" t="n">
        <v>45575</v>
      </c>
      <c r="D591" t="inlineStr">
        <is>
          <t>VÄRMLANDS LÄN</t>
        </is>
      </c>
      <c r="E591" t="inlineStr">
        <is>
          <t>TORSBY</t>
        </is>
      </c>
      <c r="G591" t="n">
        <v>2.8</v>
      </c>
      <c r="H591" t="n">
        <v>0</v>
      </c>
      <c r="I591" t="n">
        <v>0</v>
      </c>
      <c r="J591" t="n">
        <v>0</v>
      </c>
      <c r="K591" t="n">
        <v>0</v>
      </c>
      <c r="L591" t="n">
        <v>0</v>
      </c>
      <c r="M591" t="n">
        <v>0</v>
      </c>
      <c r="N591" t="n">
        <v>0</v>
      </c>
      <c r="O591" t="n">
        <v>0</v>
      </c>
      <c r="P591" t="n">
        <v>0</v>
      </c>
      <c r="Q591" t="n">
        <v>0</v>
      </c>
      <c r="R591" s="2" t="inlineStr"/>
    </row>
    <row r="592" ht="15" customHeight="1">
      <c r="A592" t="inlineStr">
        <is>
          <t>A 4564-2021</t>
        </is>
      </c>
      <c r="B592" s="1" t="n">
        <v>44223</v>
      </c>
      <c r="C592" s="1" t="n">
        <v>45575</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4479-2021</t>
        </is>
      </c>
      <c r="B593" s="1" t="n">
        <v>44224</v>
      </c>
      <c r="C593" s="1" t="n">
        <v>45575</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4711-2021</t>
        </is>
      </c>
      <c r="B594" s="1" t="n">
        <v>44225</v>
      </c>
      <c r="C594" s="1" t="n">
        <v>45575</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5050-2021</t>
        </is>
      </c>
      <c r="B595" s="1" t="n">
        <v>44228</v>
      </c>
      <c r="C595" s="1" t="n">
        <v>45575</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5105-2021</t>
        </is>
      </c>
      <c r="B596" s="1" t="n">
        <v>44228</v>
      </c>
      <c r="C596" s="1" t="n">
        <v>45575</v>
      </c>
      <c r="D596" t="inlineStr">
        <is>
          <t>VÄRMLANDS LÄN</t>
        </is>
      </c>
      <c r="E596" t="inlineStr">
        <is>
          <t>TORSBY</t>
        </is>
      </c>
      <c r="G596" t="n">
        <v>5.6</v>
      </c>
      <c r="H596" t="n">
        <v>0</v>
      </c>
      <c r="I596" t="n">
        <v>0</v>
      </c>
      <c r="J596" t="n">
        <v>0</v>
      </c>
      <c r="K596" t="n">
        <v>0</v>
      </c>
      <c r="L596" t="n">
        <v>0</v>
      </c>
      <c r="M596" t="n">
        <v>0</v>
      </c>
      <c r="N596" t="n">
        <v>0</v>
      </c>
      <c r="O596" t="n">
        <v>0</v>
      </c>
      <c r="P596" t="n">
        <v>0</v>
      </c>
      <c r="Q596" t="n">
        <v>0</v>
      </c>
      <c r="R596" s="2" t="inlineStr"/>
    </row>
    <row r="597" ht="15" customHeight="1">
      <c r="A597" t="inlineStr">
        <is>
          <t>A 5365-2021</t>
        </is>
      </c>
      <c r="B597" s="1" t="n">
        <v>44229</v>
      </c>
      <c r="C597" s="1" t="n">
        <v>45575</v>
      </c>
      <c r="D597" t="inlineStr">
        <is>
          <t>VÄRMLANDS LÄN</t>
        </is>
      </c>
      <c r="E597" t="inlineStr">
        <is>
          <t>TORSBY</t>
        </is>
      </c>
      <c r="G597" t="n">
        <v>8.1</v>
      </c>
      <c r="H597" t="n">
        <v>0</v>
      </c>
      <c r="I597" t="n">
        <v>0</v>
      </c>
      <c r="J597" t="n">
        <v>0</v>
      </c>
      <c r="K597" t="n">
        <v>0</v>
      </c>
      <c r="L597" t="n">
        <v>0</v>
      </c>
      <c r="M597" t="n">
        <v>0</v>
      </c>
      <c r="N597" t="n">
        <v>0</v>
      </c>
      <c r="O597" t="n">
        <v>0</v>
      </c>
      <c r="P597" t="n">
        <v>0</v>
      </c>
      <c r="Q597" t="n">
        <v>0</v>
      </c>
      <c r="R597" s="2" t="inlineStr"/>
    </row>
    <row r="598" ht="15" customHeight="1">
      <c r="A598" t="inlineStr">
        <is>
          <t>A 5572-2021</t>
        </is>
      </c>
      <c r="B598" s="1" t="n">
        <v>44230</v>
      </c>
      <c r="C598" s="1" t="n">
        <v>45575</v>
      </c>
      <c r="D598" t="inlineStr">
        <is>
          <t>VÄRMLANDS LÄN</t>
        </is>
      </c>
      <c r="E598" t="inlineStr">
        <is>
          <t>TORSBY</t>
        </is>
      </c>
      <c r="G598" t="n">
        <v>2</v>
      </c>
      <c r="H598" t="n">
        <v>0</v>
      </c>
      <c r="I598" t="n">
        <v>0</v>
      </c>
      <c r="J598" t="n">
        <v>0</v>
      </c>
      <c r="K598" t="n">
        <v>0</v>
      </c>
      <c r="L598" t="n">
        <v>0</v>
      </c>
      <c r="M598" t="n">
        <v>0</v>
      </c>
      <c r="N598" t="n">
        <v>0</v>
      </c>
      <c r="O598" t="n">
        <v>0</v>
      </c>
      <c r="P598" t="n">
        <v>0</v>
      </c>
      <c r="Q598" t="n">
        <v>0</v>
      </c>
      <c r="R598" s="2" t="inlineStr"/>
    </row>
    <row r="599" ht="15" customHeight="1">
      <c r="A599" t="inlineStr">
        <is>
          <t>A 5839-2021</t>
        </is>
      </c>
      <c r="B599" s="1" t="n">
        <v>44231</v>
      </c>
      <c r="C599" s="1" t="n">
        <v>45575</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6063-2021</t>
        </is>
      </c>
      <c r="B600" s="1" t="n">
        <v>44232</v>
      </c>
      <c r="C600" s="1" t="n">
        <v>45575</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6111-2021</t>
        </is>
      </c>
      <c r="B601" s="1" t="n">
        <v>44232</v>
      </c>
      <c r="C601" s="1" t="n">
        <v>45575</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6121-2021</t>
        </is>
      </c>
      <c r="B602" s="1" t="n">
        <v>44232</v>
      </c>
      <c r="C602" s="1" t="n">
        <v>45575</v>
      </c>
      <c r="D602" t="inlineStr">
        <is>
          <t>VÄRMLANDS LÄN</t>
        </is>
      </c>
      <c r="E602" t="inlineStr">
        <is>
          <t>TORSBY</t>
        </is>
      </c>
      <c r="G602" t="n">
        <v>2.9</v>
      </c>
      <c r="H602" t="n">
        <v>0</v>
      </c>
      <c r="I602" t="n">
        <v>0</v>
      </c>
      <c r="J602" t="n">
        <v>0</v>
      </c>
      <c r="K602" t="n">
        <v>0</v>
      </c>
      <c r="L602" t="n">
        <v>0</v>
      </c>
      <c r="M602" t="n">
        <v>0</v>
      </c>
      <c r="N602" t="n">
        <v>0</v>
      </c>
      <c r="O602" t="n">
        <v>0</v>
      </c>
      <c r="P602" t="n">
        <v>0</v>
      </c>
      <c r="Q602" t="n">
        <v>0</v>
      </c>
      <c r="R602" s="2" t="inlineStr"/>
    </row>
    <row r="603" ht="15" customHeight="1">
      <c r="A603" t="inlineStr">
        <is>
          <t>A 6068-2021</t>
        </is>
      </c>
      <c r="B603" s="1" t="n">
        <v>44232</v>
      </c>
      <c r="C603" s="1" t="n">
        <v>45575</v>
      </c>
      <c r="D603" t="inlineStr">
        <is>
          <t>VÄRMLANDS LÄN</t>
        </is>
      </c>
      <c r="E603" t="inlineStr">
        <is>
          <t>TORSBY</t>
        </is>
      </c>
      <c r="G603" t="n">
        <v>1.3</v>
      </c>
      <c r="H603" t="n">
        <v>0</v>
      </c>
      <c r="I603" t="n">
        <v>0</v>
      </c>
      <c r="J603" t="n">
        <v>0</v>
      </c>
      <c r="K603" t="n">
        <v>0</v>
      </c>
      <c r="L603" t="n">
        <v>0</v>
      </c>
      <c r="M603" t="n">
        <v>0</v>
      </c>
      <c r="N603" t="n">
        <v>0</v>
      </c>
      <c r="O603" t="n">
        <v>0</v>
      </c>
      <c r="P603" t="n">
        <v>0</v>
      </c>
      <c r="Q603" t="n">
        <v>0</v>
      </c>
      <c r="R603" s="2" t="inlineStr"/>
    </row>
    <row r="604" ht="15" customHeight="1">
      <c r="A604" t="inlineStr">
        <is>
          <t>A 6102-2021</t>
        </is>
      </c>
      <c r="B604" s="1" t="n">
        <v>44232</v>
      </c>
      <c r="C604" s="1" t="n">
        <v>45575</v>
      </c>
      <c r="D604" t="inlineStr">
        <is>
          <t>VÄRMLANDS LÄN</t>
        </is>
      </c>
      <c r="E604" t="inlineStr">
        <is>
          <t>TORSBY</t>
        </is>
      </c>
      <c r="G604" t="n">
        <v>1.5</v>
      </c>
      <c r="H604" t="n">
        <v>0</v>
      </c>
      <c r="I604" t="n">
        <v>0</v>
      </c>
      <c r="J604" t="n">
        <v>0</v>
      </c>
      <c r="K604" t="n">
        <v>0</v>
      </c>
      <c r="L604" t="n">
        <v>0</v>
      </c>
      <c r="M604" t="n">
        <v>0</v>
      </c>
      <c r="N604" t="n">
        <v>0</v>
      </c>
      <c r="O604" t="n">
        <v>0</v>
      </c>
      <c r="P604" t="n">
        <v>0</v>
      </c>
      <c r="Q604" t="n">
        <v>0</v>
      </c>
      <c r="R604" s="2" t="inlineStr"/>
    </row>
    <row r="605" ht="15" customHeight="1">
      <c r="A605" t="inlineStr">
        <is>
          <t>A 6656-2021</t>
        </is>
      </c>
      <c r="B605" s="1" t="n">
        <v>44236</v>
      </c>
      <c r="C605" s="1" t="n">
        <v>45575</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7661-2021</t>
        </is>
      </c>
      <c r="B606" s="1" t="n">
        <v>44242</v>
      </c>
      <c r="C606" s="1" t="n">
        <v>45575</v>
      </c>
      <c r="D606" t="inlineStr">
        <is>
          <t>VÄRMLANDS LÄN</t>
        </is>
      </c>
      <c r="E606" t="inlineStr">
        <is>
          <t>TORSBY</t>
        </is>
      </c>
      <c r="G606" t="n">
        <v>1.8</v>
      </c>
      <c r="H606" t="n">
        <v>0</v>
      </c>
      <c r="I606" t="n">
        <v>0</v>
      </c>
      <c r="J606" t="n">
        <v>0</v>
      </c>
      <c r="K606" t="n">
        <v>0</v>
      </c>
      <c r="L606" t="n">
        <v>0</v>
      </c>
      <c r="M606" t="n">
        <v>0</v>
      </c>
      <c r="N606" t="n">
        <v>0</v>
      </c>
      <c r="O606" t="n">
        <v>0</v>
      </c>
      <c r="P606" t="n">
        <v>0</v>
      </c>
      <c r="Q606" t="n">
        <v>0</v>
      </c>
      <c r="R606" s="2" t="inlineStr"/>
    </row>
    <row r="607" ht="15" customHeight="1">
      <c r="A607" t="inlineStr">
        <is>
          <t>A 8034-2021</t>
        </is>
      </c>
      <c r="B607" s="1" t="n">
        <v>44243</v>
      </c>
      <c r="C607" s="1" t="n">
        <v>45575</v>
      </c>
      <c r="D607" t="inlineStr">
        <is>
          <t>VÄRMLANDS LÄN</t>
        </is>
      </c>
      <c r="E607" t="inlineStr">
        <is>
          <t>TORSBY</t>
        </is>
      </c>
      <c r="G607" t="n">
        <v>15.4</v>
      </c>
      <c r="H607" t="n">
        <v>0</v>
      </c>
      <c r="I607" t="n">
        <v>0</v>
      </c>
      <c r="J607" t="n">
        <v>0</v>
      </c>
      <c r="K607" t="n">
        <v>0</v>
      </c>
      <c r="L607" t="n">
        <v>0</v>
      </c>
      <c r="M607" t="n">
        <v>0</v>
      </c>
      <c r="N607" t="n">
        <v>0</v>
      </c>
      <c r="O607" t="n">
        <v>0</v>
      </c>
      <c r="P607" t="n">
        <v>0</v>
      </c>
      <c r="Q607" t="n">
        <v>0</v>
      </c>
      <c r="R607" s="2" t="inlineStr"/>
    </row>
    <row r="608" ht="15" customHeight="1">
      <c r="A608" t="inlineStr">
        <is>
          <t>A 7898-2021</t>
        </is>
      </c>
      <c r="B608" s="1" t="n">
        <v>44243</v>
      </c>
      <c r="C608" s="1" t="n">
        <v>45575</v>
      </c>
      <c r="D608" t="inlineStr">
        <is>
          <t>VÄRMLANDS LÄN</t>
        </is>
      </c>
      <c r="E608" t="inlineStr">
        <is>
          <t>TORSBY</t>
        </is>
      </c>
      <c r="G608" t="n">
        <v>1.7</v>
      </c>
      <c r="H608" t="n">
        <v>0</v>
      </c>
      <c r="I608" t="n">
        <v>0</v>
      </c>
      <c r="J608" t="n">
        <v>0</v>
      </c>
      <c r="K608" t="n">
        <v>0</v>
      </c>
      <c r="L608" t="n">
        <v>0</v>
      </c>
      <c r="M608" t="n">
        <v>0</v>
      </c>
      <c r="N608" t="n">
        <v>0</v>
      </c>
      <c r="O608" t="n">
        <v>0</v>
      </c>
      <c r="P608" t="n">
        <v>0</v>
      </c>
      <c r="Q608" t="n">
        <v>0</v>
      </c>
      <c r="R608" s="2" t="inlineStr"/>
    </row>
    <row r="609" ht="15" customHeight="1">
      <c r="A609" t="inlineStr">
        <is>
          <t>A 8910-2021</t>
        </is>
      </c>
      <c r="B609" s="1" t="n">
        <v>44246</v>
      </c>
      <c r="C609" s="1" t="n">
        <v>45575</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9775-2021</t>
        </is>
      </c>
      <c r="B610" s="1" t="n">
        <v>44252</v>
      </c>
      <c r="C610" s="1" t="n">
        <v>45575</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10133-2021</t>
        </is>
      </c>
      <c r="B611" s="1" t="n">
        <v>44256</v>
      </c>
      <c r="C611" s="1" t="n">
        <v>45575</v>
      </c>
      <c r="D611" t="inlineStr">
        <is>
          <t>VÄRMLANDS LÄN</t>
        </is>
      </c>
      <c r="E611" t="inlineStr">
        <is>
          <t>TORSBY</t>
        </is>
      </c>
      <c r="G611" t="n">
        <v>5</v>
      </c>
      <c r="H611" t="n">
        <v>0</v>
      </c>
      <c r="I611" t="n">
        <v>0</v>
      </c>
      <c r="J611" t="n">
        <v>0</v>
      </c>
      <c r="K611" t="n">
        <v>0</v>
      </c>
      <c r="L611" t="n">
        <v>0</v>
      </c>
      <c r="M611" t="n">
        <v>0</v>
      </c>
      <c r="N611" t="n">
        <v>0</v>
      </c>
      <c r="O611" t="n">
        <v>0</v>
      </c>
      <c r="P611" t="n">
        <v>0</v>
      </c>
      <c r="Q611" t="n">
        <v>0</v>
      </c>
      <c r="R611" s="2" t="inlineStr"/>
    </row>
    <row r="612" ht="15" customHeight="1">
      <c r="A612" t="inlineStr">
        <is>
          <t>A 10118-2021</t>
        </is>
      </c>
      <c r="B612" s="1" t="n">
        <v>44256</v>
      </c>
      <c r="C612" s="1" t="n">
        <v>45575</v>
      </c>
      <c r="D612" t="inlineStr">
        <is>
          <t>VÄRMLANDS LÄN</t>
        </is>
      </c>
      <c r="E612" t="inlineStr">
        <is>
          <t>TORSBY</t>
        </is>
      </c>
      <c r="G612" t="n">
        <v>12.5</v>
      </c>
      <c r="H612" t="n">
        <v>0</v>
      </c>
      <c r="I612" t="n">
        <v>0</v>
      </c>
      <c r="J612" t="n">
        <v>0</v>
      </c>
      <c r="K612" t="n">
        <v>0</v>
      </c>
      <c r="L612" t="n">
        <v>0</v>
      </c>
      <c r="M612" t="n">
        <v>0</v>
      </c>
      <c r="N612" t="n">
        <v>0</v>
      </c>
      <c r="O612" t="n">
        <v>0</v>
      </c>
      <c r="P612" t="n">
        <v>0</v>
      </c>
      <c r="Q612" t="n">
        <v>0</v>
      </c>
      <c r="R612" s="2" t="inlineStr"/>
    </row>
    <row r="613" ht="15" customHeight="1">
      <c r="A613" t="inlineStr">
        <is>
          <t>A 10579-2021</t>
        </is>
      </c>
      <c r="B613" s="1" t="n">
        <v>44257</v>
      </c>
      <c r="C613" s="1" t="n">
        <v>45575</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10778-2021</t>
        </is>
      </c>
      <c r="B614" s="1" t="n">
        <v>44259</v>
      </c>
      <c r="C614" s="1" t="n">
        <v>45575</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11695-2021</t>
        </is>
      </c>
      <c r="B615" s="1" t="n">
        <v>44264</v>
      </c>
      <c r="C615" s="1" t="n">
        <v>45575</v>
      </c>
      <c r="D615" t="inlineStr">
        <is>
          <t>VÄRMLANDS LÄN</t>
        </is>
      </c>
      <c r="E615" t="inlineStr">
        <is>
          <t>TORSBY</t>
        </is>
      </c>
      <c r="G615" t="n">
        <v>3</v>
      </c>
      <c r="H615" t="n">
        <v>0</v>
      </c>
      <c r="I615" t="n">
        <v>0</v>
      </c>
      <c r="J615" t="n">
        <v>0</v>
      </c>
      <c r="K615" t="n">
        <v>0</v>
      </c>
      <c r="L615" t="n">
        <v>0</v>
      </c>
      <c r="M615" t="n">
        <v>0</v>
      </c>
      <c r="N615" t="n">
        <v>0</v>
      </c>
      <c r="O615" t="n">
        <v>0</v>
      </c>
      <c r="P615" t="n">
        <v>0</v>
      </c>
      <c r="Q615" t="n">
        <v>0</v>
      </c>
      <c r="R615" s="2" t="inlineStr"/>
    </row>
    <row r="616" ht="15" customHeight="1">
      <c r="A616" t="inlineStr">
        <is>
          <t>A 11947-2021</t>
        </is>
      </c>
      <c r="B616" s="1" t="n">
        <v>44265</v>
      </c>
      <c r="C616" s="1" t="n">
        <v>45575</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13013-2021</t>
        </is>
      </c>
      <c r="B617" s="1" t="n">
        <v>44271</v>
      </c>
      <c r="C617" s="1" t="n">
        <v>45575</v>
      </c>
      <c r="D617" t="inlineStr">
        <is>
          <t>VÄRMLANDS LÄN</t>
        </is>
      </c>
      <c r="E617" t="inlineStr">
        <is>
          <t>TORSBY</t>
        </is>
      </c>
      <c r="G617" t="n">
        <v>7.7</v>
      </c>
      <c r="H617" t="n">
        <v>0</v>
      </c>
      <c r="I617" t="n">
        <v>0</v>
      </c>
      <c r="J617" t="n">
        <v>0</v>
      </c>
      <c r="K617" t="n">
        <v>0</v>
      </c>
      <c r="L617" t="n">
        <v>0</v>
      </c>
      <c r="M617" t="n">
        <v>0</v>
      </c>
      <c r="N617" t="n">
        <v>0</v>
      </c>
      <c r="O617" t="n">
        <v>0</v>
      </c>
      <c r="P617" t="n">
        <v>0</v>
      </c>
      <c r="Q617" t="n">
        <v>0</v>
      </c>
      <c r="R617" s="2" t="inlineStr"/>
    </row>
    <row r="618" ht="15" customHeight="1">
      <c r="A618" t="inlineStr">
        <is>
          <t>A 14942-2021</t>
        </is>
      </c>
      <c r="B618" s="1" t="n">
        <v>44281</v>
      </c>
      <c r="C618" s="1" t="n">
        <v>45575</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15279-2021</t>
        </is>
      </c>
      <c r="B619" s="1" t="n">
        <v>44284</v>
      </c>
      <c r="C619" s="1" t="n">
        <v>45575</v>
      </c>
      <c r="D619" t="inlineStr">
        <is>
          <t>VÄRMLANDS LÄN</t>
        </is>
      </c>
      <c r="E619" t="inlineStr">
        <is>
          <t>TORSBY</t>
        </is>
      </c>
      <c r="G619" t="n">
        <v>3.9</v>
      </c>
      <c r="H619" t="n">
        <v>0</v>
      </c>
      <c r="I619" t="n">
        <v>0</v>
      </c>
      <c r="J619" t="n">
        <v>0</v>
      </c>
      <c r="K619" t="n">
        <v>0</v>
      </c>
      <c r="L619" t="n">
        <v>0</v>
      </c>
      <c r="M619" t="n">
        <v>0</v>
      </c>
      <c r="N619" t="n">
        <v>0</v>
      </c>
      <c r="O619" t="n">
        <v>0</v>
      </c>
      <c r="P619" t="n">
        <v>0</v>
      </c>
      <c r="Q619" t="n">
        <v>0</v>
      </c>
      <c r="R619" s="2" t="inlineStr"/>
    </row>
    <row r="620" ht="15" customHeight="1">
      <c r="A620" t="inlineStr">
        <is>
          <t>A 16191-2021</t>
        </is>
      </c>
      <c r="B620" s="1" t="n">
        <v>44285</v>
      </c>
      <c r="C620" s="1" t="n">
        <v>45575</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15854-2021</t>
        </is>
      </c>
      <c r="B621" s="1" t="n">
        <v>44286</v>
      </c>
      <c r="C621" s="1" t="n">
        <v>45575</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15853-2021</t>
        </is>
      </c>
      <c r="B622" s="1" t="n">
        <v>44286</v>
      </c>
      <c r="C622" s="1" t="n">
        <v>45575</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15945-2021</t>
        </is>
      </c>
      <c r="B623" s="1" t="n">
        <v>44287</v>
      </c>
      <c r="C623" s="1" t="n">
        <v>45575</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15939-2021</t>
        </is>
      </c>
      <c r="B624" s="1" t="n">
        <v>44287</v>
      </c>
      <c r="C624" s="1" t="n">
        <v>45575</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16303-2021</t>
        </is>
      </c>
      <c r="B625" s="1" t="n">
        <v>44292</v>
      </c>
      <c r="C625" s="1" t="n">
        <v>45575</v>
      </c>
      <c r="D625" t="inlineStr">
        <is>
          <t>VÄRMLANDS LÄN</t>
        </is>
      </c>
      <c r="E625" t="inlineStr">
        <is>
          <t>TORSBY</t>
        </is>
      </c>
      <c r="G625" t="n">
        <v>3.5</v>
      </c>
      <c r="H625" t="n">
        <v>0</v>
      </c>
      <c r="I625" t="n">
        <v>0</v>
      </c>
      <c r="J625" t="n">
        <v>0</v>
      </c>
      <c r="K625" t="n">
        <v>0</v>
      </c>
      <c r="L625" t="n">
        <v>0</v>
      </c>
      <c r="M625" t="n">
        <v>0</v>
      </c>
      <c r="N625" t="n">
        <v>0</v>
      </c>
      <c r="O625" t="n">
        <v>0</v>
      </c>
      <c r="P625" t="n">
        <v>0</v>
      </c>
      <c r="Q625" t="n">
        <v>0</v>
      </c>
      <c r="R625" s="2" t="inlineStr"/>
    </row>
    <row r="626" ht="15" customHeight="1">
      <c r="A626" t="inlineStr">
        <is>
          <t>A 16299-2021</t>
        </is>
      </c>
      <c r="B626" s="1" t="n">
        <v>44292</v>
      </c>
      <c r="C626" s="1" t="n">
        <v>45575</v>
      </c>
      <c r="D626" t="inlineStr">
        <is>
          <t>VÄRMLANDS LÄN</t>
        </is>
      </c>
      <c r="E626" t="inlineStr">
        <is>
          <t>TORSBY</t>
        </is>
      </c>
      <c r="G626" t="n">
        <v>3.4</v>
      </c>
      <c r="H626" t="n">
        <v>0</v>
      </c>
      <c r="I626" t="n">
        <v>0</v>
      </c>
      <c r="J626" t="n">
        <v>0</v>
      </c>
      <c r="K626" t="n">
        <v>0</v>
      </c>
      <c r="L626" t="n">
        <v>0</v>
      </c>
      <c r="M626" t="n">
        <v>0</v>
      </c>
      <c r="N626" t="n">
        <v>0</v>
      </c>
      <c r="O626" t="n">
        <v>0</v>
      </c>
      <c r="P626" t="n">
        <v>0</v>
      </c>
      <c r="Q626" t="n">
        <v>0</v>
      </c>
      <c r="R626" s="2" t="inlineStr"/>
    </row>
    <row r="627" ht="15" customHeight="1">
      <c r="A627" t="inlineStr">
        <is>
          <t>A 16375-2021</t>
        </is>
      </c>
      <c r="B627" s="1" t="n">
        <v>44292</v>
      </c>
      <c r="C627" s="1" t="n">
        <v>45575</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17249-2021</t>
        </is>
      </c>
      <c r="B628" s="1" t="n">
        <v>44298</v>
      </c>
      <c r="C628" s="1" t="n">
        <v>45575</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17941-2021</t>
        </is>
      </c>
      <c r="B629" s="1" t="n">
        <v>44301</v>
      </c>
      <c r="C629" s="1" t="n">
        <v>45575</v>
      </c>
      <c r="D629" t="inlineStr">
        <is>
          <t>VÄRMLANDS LÄN</t>
        </is>
      </c>
      <c r="E629" t="inlineStr">
        <is>
          <t>TORSBY</t>
        </is>
      </c>
      <c r="F629" t="inlineStr">
        <is>
          <t>Kommuner</t>
        </is>
      </c>
      <c r="G629" t="n">
        <v>8</v>
      </c>
      <c r="H629" t="n">
        <v>0</v>
      </c>
      <c r="I629" t="n">
        <v>0</v>
      </c>
      <c r="J629" t="n">
        <v>0</v>
      </c>
      <c r="K629" t="n">
        <v>0</v>
      </c>
      <c r="L629" t="n">
        <v>0</v>
      </c>
      <c r="M629" t="n">
        <v>0</v>
      </c>
      <c r="N629" t="n">
        <v>0</v>
      </c>
      <c r="O629" t="n">
        <v>0</v>
      </c>
      <c r="P629" t="n">
        <v>0</v>
      </c>
      <c r="Q629" t="n">
        <v>0</v>
      </c>
      <c r="R629" s="2" t="inlineStr"/>
    </row>
    <row r="630" ht="15" customHeight="1">
      <c r="A630" t="inlineStr">
        <is>
          <t>A 17962-2021</t>
        </is>
      </c>
      <c r="B630" s="1" t="n">
        <v>44301</v>
      </c>
      <c r="C630" s="1" t="n">
        <v>45575</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17944-2021</t>
        </is>
      </c>
      <c r="B631" s="1" t="n">
        <v>44301</v>
      </c>
      <c r="C631" s="1" t="n">
        <v>45575</v>
      </c>
      <c r="D631" t="inlineStr">
        <is>
          <t>VÄRMLANDS LÄN</t>
        </is>
      </c>
      <c r="E631" t="inlineStr">
        <is>
          <t>TORSBY</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23524-2021</t>
        </is>
      </c>
      <c r="B632" s="1" t="n">
        <v>44301</v>
      </c>
      <c r="C632" s="1" t="n">
        <v>45575</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18174-2021</t>
        </is>
      </c>
      <c r="B633" s="1" t="n">
        <v>44302</v>
      </c>
      <c r="C633" s="1" t="n">
        <v>45575</v>
      </c>
      <c r="D633" t="inlineStr">
        <is>
          <t>VÄRMLANDS LÄN</t>
        </is>
      </c>
      <c r="E633" t="inlineStr">
        <is>
          <t>TORSBY</t>
        </is>
      </c>
      <c r="G633" t="n">
        <v>4.5</v>
      </c>
      <c r="H633" t="n">
        <v>0</v>
      </c>
      <c r="I633" t="n">
        <v>0</v>
      </c>
      <c r="J633" t="n">
        <v>0</v>
      </c>
      <c r="K633" t="n">
        <v>0</v>
      </c>
      <c r="L633" t="n">
        <v>0</v>
      </c>
      <c r="M633" t="n">
        <v>0</v>
      </c>
      <c r="N633" t="n">
        <v>0</v>
      </c>
      <c r="O633" t="n">
        <v>0</v>
      </c>
      <c r="P633" t="n">
        <v>0</v>
      </c>
      <c r="Q633" t="n">
        <v>0</v>
      </c>
      <c r="R633" s="2" t="inlineStr"/>
    </row>
    <row r="634" ht="15" customHeight="1">
      <c r="A634" t="inlineStr">
        <is>
          <t>A 18033-2021</t>
        </is>
      </c>
      <c r="B634" s="1" t="n">
        <v>44302</v>
      </c>
      <c r="C634" s="1" t="n">
        <v>45575</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18354-2021</t>
        </is>
      </c>
      <c r="B635" s="1" t="n">
        <v>44305</v>
      </c>
      <c r="C635" s="1" t="n">
        <v>45575</v>
      </c>
      <c r="D635" t="inlineStr">
        <is>
          <t>VÄRMLANDS LÄN</t>
        </is>
      </c>
      <c r="E635" t="inlineStr">
        <is>
          <t>TORSBY</t>
        </is>
      </c>
      <c r="F635" t="inlineStr">
        <is>
          <t>Kommuner</t>
        </is>
      </c>
      <c r="G635" t="n">
        <v>2.4</v>
      </c>
      <c r="H635" t="n">
        <v>0</v>
      </c>
      <c r="I635" t="n">
        <v>0</v>
      </c>
      <c r="J635" t="n">
        <v>0</v>
      </c>
      <c r="K635" t="n">
        <v>0</v>
      </c>
      <c r="L635" t="n">
        <v>0</v>
      </c>
      <c r="M635" t="n">
        <v>0</v>
      </c>
      <c r="N635" t="n">
        <v>0</v>
      </c>
      <c r="O635" t="n">
        <v>0</v>
      </c>
      <c r="P635" t="n">
        <v>0</v>
      </c>
      <c r="Q635" t="n">
        <v>0</v>
      </c>
      <c r="R635" s="2" t="inlineStr"/>
    </row>
    <row r="636" ht="15" customHeight="1">
      <c r="A636" t="inlineStr">
        <is>
          <t>A 18344-2021</t>
        </is>
      </c>
      <c r="B636" s="1" t="n">
        <v>44305</v>
      </c>
      <c r="C636" s="1" t="n">
        <v>45575</v>
      </c>
      <c r="D636" t="inlineStr">
        <is>
          <t>VÄRMLANDS LÄN</t>
        </is>
      </c>
      <c r="E636" t="inlineStr">
        <is>
          <t>TORSBY</t>
        </is>
      </c>
      <c r="F636" t="inlineStr">
        <is>
          <t>Kommuner</t>
        </is>
      </c>
      <c r="G636" t="n">
        <v>4.3</v>
      </c>
      <c r="H636" t="n">
        <v>0</v>
      </c>
      <c r="I636" t="n">
        <v>0</v>
      </c>
      <c r="J636" t="n">
        <v>0</v>
      </c>
      <c r="K636" t="n">
        <v>0</v>
      </c>
      <c r="L636" t="n">
        <v>0</v>
      </c>
      <c r="M636" t="n">
        <v>0</v>
      </c>
      <c r="N636" t="n">
        <v>0</v>
      </c>
      <c r="O636" t="n">
        <v>0</v>
      </c>
      <c r="P636" t="n">
        <v>0</v>
      </c>
      <c r="Q636" t="n">
        <v>0</v>
      </c>
      <c r="R636" s="2" t="inlineStr"/>
    </row>
    <row r="637" ht="15" customHeight="1">
      <c r="A637" t="inlineStr">
        <is>
          <t>A 18349-2021</t>
        </is>
      </c>
      <c r="B637" s="1" t="n">
        <v>44305</v>
      </c>
      <c r="C637" s="1" t="n">
        <v>45575</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18560-2021</t>
        </is>
      </c>
      <c r="B638" s="1" t="n">
        <v>44306</v>
      </c>
      <c r="C638" s="1" t="n">
        <v>45575</v>
      </c>
      <c r="D638" t="inlineStr">
        <is>
          <t>VÄRMLANDS LÄN</t>
        </is>
      </c>
      <c r="E638" t="inlineStr">
        <is>
          <t>TORSBY</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19031-2021</t>
        </is>
      </c>
      <c r="B639" s="1" t="n">
        <v>44308</v>
      </c>
      <c r="C639" s="1" t="n">
        <v>45575</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19338-2021</t>
        </is>
      </c>
      <c r="B640" s="1" t="n">
        <v>44309</v>
      </c>
      <c r="C640" s="1" t="n">
        <v>45575</v>
      </c>
      <c r="D640" t="inlineStr">
        <is>
          <t>VÄRMLANDS LÄN</t>
        </is>
      </c>
      <c r="E640" t="inlineStr">
        <is>
          <t>TORSBY</t>
        </is>
      </c>
      <c r="F640" t="inlineStr">
        <is>
          <t>Bergvik skog väst AB</t>
        </is>
      </c>
      <c r="G640" t="n">
        <v>3.7</v>
      </c>
      <c r="H640" t="n">
        <v>0</v>
      </c>
      <c r="I640" t="n">
        <v>0</v>
      </c>
      <c r="J640" t="n">
        <v>0</v>
      </c>
      <c r="K640" t="n">
        <v>0</v>
      </c>
      <c r="L640" t="n">
        <v>0</v>
      </c>
      <c r="M640" t="n">
        <v>0</v>
      </c>
      <c r="N640" t="n">
        <v>0</v>
      </c>
      <c r="O640" t="n">
        <v>0</v>
      </c>
      <c r="P640" t="n">
        <v>0</v>
      </c>
      <c r="Q640" t="n">
        <v>0</v>
      </c>
      <c r="R640" s="2" t="inlineStr"/>
    </row>
    <row r="641" ht="15" customHeight="1">
      <c r="A641" t="inlineStr">
        <is>
          <t>A 19375-2021</t>
        </is>
      </c>
      <c r="B641" s="1" t="n">
        <v>44309</v>
      </c>
      <c r="C641" s="1" t="n">
        <v>45575</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20182-2021</t>
        </is>
      </c>
      <c r="B642" s="1" t="n">
        <v>44312</v>
      </c>
      <c r="C642" s="1" t="n">
        <v>45575</v>
      </c>
      <c r="D642" t="inlineStr">
        <is>
          <t>VÄRMLANDS LÄN</t>
        </is>
      </c>
      <c r="E642" t="inlineStr">
        <is>
          <t>TORSBY</t>
        </is>
      </c>
      <c r="G642" t="n">
        <v>14.4</v>
      </c>
      <c r="H642" t="n">
        <v>0</v>
      </c>
      <c r="I642" t="n">
        <v>0</v>
      </c>
      <c r="J642" t="n">
        <v>0</v>
      </c>
      <c r="K642" t="n">
        <v>0</v>
      </c>
      <c r="L642" t="n">
        <v>0</v>
      </c>
      <c r="M642" t="n">
        <v>0</v>
      </c>
      <c r="N642" t="n">
        <v>0</v>
      </c>
      <c r="O642" t="n">
        <v>0</v>
      </c>
      <c r="P642" t="n">
        <v>0</v>
      </c>
      <c r="Q642" t="n">
        <v>0</v>
      </c>
      <c r="R642" s="2" t="inlineStr"/>
    </row>
    <row r="643" ht="15" customHeight="1">
      <c r="A643" t="inlineStr">
        <is>
          <t>A 20199-2021</t>
        </is>
      </c>
      <c r="B643" s="1" t="n">
        <v>44312</v>
      </c>
      <c r="C643" s="1" t="n">
        <v>45575</v>
      </c>
      <c r="D643" t="inlineStr">
        <is>
          <t>VÄRMLANDS LÄN</t>
        </is>
      </c>
      <c r="E643" t="inlineStr">
        <is>
          <t>TORSBY</t>
        </is>
      </c>
      <c r="G643" t="n">
        <v>11.4</v>
      </c>
      <c r="H643" t="n">
        <v>0</v>
      </c>
      <c r="I643" t="n">
        <v>0</v>
      </c>
      <c r="J643" t="n">
        <v>0</v>
      </c>
      <c r="K643" t="n">
        <v>0</v>
      </c>
      <c r="L643" t="n">
        <v>0</v>
      </c>
      <c r="M643" t="n">
        <v>0</v>
      </c>
      <c r="N643" t="n">
        <v>0</v>
      </c>
      <c r="O643" t="n">
        <v>0</v>
      </c>
      <c r="P643" t="n">
        <v>0</v>
      </c>
      <c r="Q643" t="n">
        <v>0</v>
      </c>
      <c r="R643" s="2" t="inlineStr"/>
    </row>
    <row r="644" ht="15" customHeight="1">
      <c r="A644" t="inlineStr">
        <is>
          <t>A 20170-2021</t>
        </is>
      </c>
      <c r="B644" s="1" t="n">
        <v>44312</v>
      </c>
      <c r="C644" s="1" t="n">
        <v>45575</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19877-2021</t>
        </is>
      </c>
      <c r="B645" s="1" t="n">
        <v>44313</v>
      </c>
      <c r="C645" s="1" t="n">
        <v>45575</v>
      </c>
      <c r="D645" t="inlineStr">
        <is>
          <t>VÄRMLANDS LÄN</t>
        </is>
      </c>
      <c r="E645" t="inlineStr">
        <is>
          <t>TORSBY</t>
        </is>
      </c>
      <c r="G645" t="n">
        <v>1.7</v>
      </c>
      <c r="H645" t="n">
        <v>0</v>
      </c>
      <c r="I645" t="n">
        <v>0</v>
      </c>
      <c r="J645" t="n">
        <v>0</v>
      </c>
      <c r="K645" t="n">
        <v>0</v>
      </c>
      <c r="L645" t="n">
        <v>0</v>
      </c>
      <c r="M645" t="n">
        <v>0</v>
      </c>
      <c r="N645" t="n">
        <v>0</v>
      </c>
      <c r="O645" t="n">
        <v>0</v>
      </c>
      <c r="P645" t="n">
        <v>0</v>
      </c>
      <c r="Q645" t="n">
        <v>0</v>
      </c>
      <c r="R645" s="2" t="inlineStr"/>
    </row>
    <row r="646" ht="15" customHeight="1">
      <c r="A646" t="inlineStr">
        <is>
          <t>A 19974-2021</t>
        </is>
      </c>
      <c r="B646" s="1" t="n">
        <v>44313</v>
      </c>
      <c r="C646" s="1" t="n">
        <v>45575</v>
      </c>
      <c r="D646" t="inlineStr">
        <is>
          <t>VÄRMLANDS LÄN</t>
        </is>
      </c>
      <c r="E646" t="inlineStr">
        <is>
          <t>TORSBY</t>
        </is>
      </c>
      <c r="G646" t="n">
        <v>0.4</v>
      </c>
      <c r="H646" t="n">
        <v>0</v>
      </c>
      <c r="I646" t="n">
        <v>0</v>
      </c>
      <c r="J646" t="n">
        <v>0</v>
      </c>
      <c r="K646" t="n">
        <v>0</v>
      </c>
      <c r="L646" t="n">
        <v>0</v>
      </c>
      <c r="M646" t="n">
        <v>0</v>
      </c>
      <c r="N646" t="n">
        <v>0</v>
      </c>
      <c r="O646" t="n">
        <v>0</v>
      </c>
      <c r="P646" t="n">
        <v>0</v>
      </c>
      <c r="Q646" t="n">
        <v>0</v>
      </c>
      <c r="R646" s="2" t="inlineStr"/>
    </row>
    <row r="647" ht="15" customHeight="1">
      <c r="A647" t="inlineStr">
        <is>
          <t>A 20122-2021</t>
        </is>
      </c>
      <c r="B647" s="1" t="n">
        <v>44314</v>
      </c>
      <c r="C647" s="1" t="n">
        <v>45575</v>
      </c>
      <c r="D647" t="inlineStr">
        <is>
          <t>VÄRMLANDS LÄN</t>
        </is>
      </c>
      <c r="E647" t="inlineStr">
        <is>
          <t>TORSBY</t>
        </is>
      </c>
      <c r="G647" t="n">
        <v>2.5</v>
      </c>
      <c r="H647" t="n">
        <v>0</v>
      </c>
      <c r="I647" t="n">
        <v>0</v>
      </c>
      <c r="J647" t="n">
        <v>0</v>
      </c>
      <c r="K647" t="n">
        <v>0</v>
      </c>
      <c r="L647" t="n">
        <v>0</v>
      </c>
      <c r="M647" t="n">
        <v>0</v>
      </c>
      <c r="N647" t="n">
        <v>0</v>
      </c>
      <c r="O647" t="n">
        <v>0</v>
      </c>
      <c r="P647" t="n">
        <v>0</v>
      </c>
      <c r="Q647" t="n">
        <v>0</v>
      </c>
      <c r="R647" s="2" t="inlineStr"/>
    </row>
    <row r="648" ht="15" customHeight="1">
      <c r="A648" t="inlineStr">
        <is>
          <t>A 20895-2021</t>
        </is>
      </c>
      <c r="B648" s="1" t="n">
        <v>44319</v>
      </c>
      <c r="C648" s="1" t="n">
        <v>45575</v>
      </c>
      <c r="D648" t="inlineStr">
        <is>
          <t>VÄRMLANDS LÄN</t>
        </is>
      </c>
      <c r="E648" t="inlineStr">
        <is>
          <t>TORSBY</t>
        </is>
      </c>
      <c r="G648" t="n">
        <v>16.6</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45575</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45575</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45575</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45575</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45575</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45575</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45575</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45575</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45575</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45575</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45575</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45575</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45575</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45575</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45575</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45575</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45575</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45575</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45575</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45575</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45575</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45575</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45575</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45575</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45575</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45575</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45575</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45575</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45575</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45575</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45575</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45575</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45575</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45575</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45575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45575</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45575</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45575</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45575</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45575</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45575</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45575</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45575</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45575</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45575</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45575</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45575</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45575</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45575</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45575</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45575</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45575</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45575</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45575</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45575</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45575</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45575</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45575</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45575</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45575</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45575</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45575</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45575</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45575</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45575</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45575</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45575</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45575</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45575</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45575</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45575</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45575</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45575</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45575</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45575</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45575</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45575</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45575</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45575</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45575</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45575</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45575</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45575</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45575</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45575</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45575</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45575</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45575</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45575</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45575</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45575</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45575</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45575</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45575</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45575</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45575</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45575</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45575</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45575</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45575</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45575</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45575</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45575</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45575</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45575</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45575</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45575</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45575</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45575</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45575</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45575</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45575</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45575</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45575</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45575</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45575</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45575</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45575</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45575</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45575</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45575</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45575</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45575</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45575</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45575</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45575</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45575</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45575</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45575</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45575</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45575</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45575</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45575</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45575</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45575</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45575</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45575</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45575</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45575</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45575</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45575</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45575</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45575</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45575</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45575</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45575</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45575</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45575</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45575</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45575</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45575</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45575</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45575</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45575</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45575</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45575</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45575</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45575</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45575</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45575</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45575</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45575</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45575</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45575</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45575</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45575</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45575</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45575</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45575</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45575</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45575</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45575</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45575</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45575</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45575</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45575</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45575</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45575</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45575</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45575</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45575</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45575</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45575</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45575</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45575</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45575</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45575</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45575</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45575</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45575</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45575</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45575</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45575</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45575</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45575</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45575</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45575</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45575</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45575</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45575</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45575</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45575</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45575</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45575</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45575</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45575</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45575</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45575</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45575</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45575</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45575</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45575</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45575</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45575</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45575</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45575</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45575</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45575</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45575</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45575</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45575</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45575</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45575</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45575</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45575</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45575</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45575</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45575</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45575</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45575</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45575</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45575</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45575</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45575</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45575</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45575</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45575</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45575</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45575</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45575</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45575</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45575</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45575</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45575</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45575</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45575</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45575</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45575</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45575</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45575</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45575</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45575</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45575</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45575</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45575</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45575</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45575</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45575</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45575</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45575</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45575</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45575</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45575</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45575</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45575</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45575</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45575</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45575</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45575</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45575</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45575</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45575</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45575</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45575</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45575</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45575</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45575</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45575</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45575</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45575</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45575</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45575</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45575</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45575</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45575</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45575</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45575</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45575</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45575</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45575</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45575</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45575</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45575</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45575</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45575</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45575</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45575</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45575</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45575</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45575</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45575</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45575</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45575</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45575</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45575</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45575</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45575</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45575</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45575</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45575</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45575</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45575</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45575</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45575</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45575</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45575</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45575</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45575</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45575</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45575</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45575</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45575</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45575</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45575</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45575</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45575</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45575</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45575</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45575</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45575</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45575</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45575</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45575</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45575</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45575</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45575</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45575</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45575</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45575</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45575</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45575</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45575</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45575</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45575</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45575</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45575</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45575</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45575</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45575</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45575</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45575</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45575</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45575</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45575</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45575</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45575</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45575</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45575</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45575</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45575</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45575</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45575</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45575</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45575</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45575</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45575</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45575</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45575</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45575</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45575</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45575</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45575</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45575</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45575</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45575</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45575</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45575</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45575</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45575</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45575</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45575</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45575</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45575</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45575</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45575</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45575</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45575</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45575</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45575</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45575</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45575</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45575</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45575</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45575</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45575</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45575</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45575</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45575</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45575</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45575</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45575</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45575</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45575</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45575</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45575</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45575</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45575</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45575</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45575</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45575</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45575</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45575</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45575</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45575</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45575</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45575</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45575</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45575</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45575</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45575</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45575</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45575</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45575</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45575</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45575</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45575</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45575</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45575</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45575</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45575</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45575</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45575</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45575</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45575</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45575</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45575</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45575</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45575</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45575</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45575</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45575</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45575</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45575</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45575</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45575</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45575</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45575</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45575</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45575</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45575</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45575</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45575</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45575</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45575</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45575</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45575</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45575</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45575</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45575</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45575</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45575</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45575</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45575</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45575</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45575</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45575</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45575</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45575</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45575</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45575</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45575</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45575</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45575</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45575</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45575</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45575</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45575</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45575</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45575</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45575</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45575</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45575</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45575</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45575</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45575</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45575</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45575</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45575</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45575</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45575</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45575</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45575</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45575</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45575</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45575</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45575</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45575</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45575</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45575</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45575</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45575</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45575</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45575</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45575</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45575</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45575</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45575</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45575</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45575</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45575</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45575</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45575</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45575</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45575</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45575</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45575</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45575</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45575</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45575</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45575</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45575</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45575</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45575</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45575</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45575</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45575</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45575</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45575</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45575</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45575</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45575</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45575</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45575</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45575</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45575</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45575</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45575</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45575</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45575</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45575</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45575</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45575</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45575</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45575</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45575</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45575</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45575</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45575</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45575</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45575</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45575</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45575</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45575</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45575</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45575</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45575</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45575</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45575</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45575</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45575</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45575</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45575</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45575</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45575</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45575</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45575</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45575</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45575</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45575</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45575</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45575</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45575</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45575</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45575</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45575</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45575</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45575</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45575</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45575</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45575</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45575</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45575</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45575</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45575</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45575</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45575</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45575</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45575</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45575</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45575</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45575</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45575</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45575</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45575</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45575</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45575</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45575</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45575</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45575</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45575</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45575</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45575</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45575</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45575</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45575</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45575</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45575</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45575</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45575</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45575</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45575</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45575</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45575</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45575</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45575</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45575</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45575</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45575</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45575</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45575</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45575</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45575</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45575</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45575</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45575</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45575</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45575</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45575</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45575</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45575</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45575</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45575</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45575</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45575</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45575</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45575</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45575</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45575</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45575</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45575</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45575</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45575</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45575</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45575</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45575</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45575</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45575</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45575</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45575</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45575</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45575</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45575</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45575</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45575</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45575</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45575</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45575</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45575</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45575</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45575</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45575</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45575</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45575</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45575</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45575</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45575</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45575</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45575</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45575</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45575</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45575</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45575</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45575</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45575</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45575</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45575</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45575</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45575</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45575</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45575</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45575</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45575</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45575</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45575</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45575</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45575</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45575</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45575</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45575</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45575</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45575</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45575</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45575</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45575</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45575</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45575</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45575</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45575</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45575</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45575</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45575</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45575</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45575</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45575</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45575</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45575</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45575</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45575</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45575</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45575</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45575</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45575</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45575</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45575</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45575</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45575</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45575</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45575</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45575</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45575</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45575</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45575</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45575</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45575</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45575</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45575</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45575</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45575</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45575</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45575</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45575</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45575</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45575</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45575</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45575</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45575</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45575</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45575</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45575</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45575</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45575</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45575</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45575</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45575</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45575</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45575</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45575</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45575</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45575</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45575</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45575</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45575</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45575</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45575</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45575</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45575</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45575</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45575</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45575</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45575</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45575</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45575</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45575</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45575</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45575</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45575</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45575</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45575</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45575</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45575</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45575</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45575</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45575</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45575</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45575</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45575</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45575</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45575</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45575</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45575</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45575</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45575</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45575</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45575</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45575</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45575</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45575</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45575</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45575</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45575</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45575</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45575</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45575</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45575</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45575</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45575</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45575</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45575</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45575</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45575</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45575</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45575</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45575</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45575</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45575</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45575</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45575</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45575</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45575</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45575</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45575</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45575</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45575</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45575</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45575</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45575</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45575</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45575</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45575</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45575</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45575</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45575</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45575</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45575</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45575</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45575</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45575</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45575</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45575</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45575</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45575</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45575</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45575</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45575</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45575</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45575</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45575</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45575</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45575</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45575</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45575</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45575</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45575</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45575</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45575</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45575</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45575</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45575</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45575</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45575</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45575</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45575</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45575</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45575</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45575</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45575</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45575</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45575</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45575</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45575</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45575</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45575</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45575</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45575</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45575</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45575</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45575</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45575</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45575</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45575</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45575</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45575</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45575</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45575</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45575</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45575</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45575</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45575</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45575</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45575</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45575</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45575</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45575</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45575</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45575</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45575</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45575</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45575</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45575</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45575</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45575</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45575</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45575</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45575</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45575</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45575</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45575</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45575</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45575</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45575</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45575</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45575</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45575</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45575</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45575</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45575</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45575</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45575</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45575</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45575</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45575</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45575</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45575</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45575</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45575</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45575</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45575</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45575</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45575</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45575</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45575</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45575</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45575</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45575</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45575</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45575</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45575</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45575</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45575</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45575</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45575</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45575</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45575</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45575</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45575</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45575</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45575</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45575</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45575</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45575</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45575</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45575</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45575</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45575</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45575</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45575</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45575</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45575</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45575</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45575</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45575</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45575</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45575</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45575</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45575</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45575</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45575</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45575</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45575</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45575</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45575</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45575</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45575</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45575</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45575</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45575</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45575</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45575</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45575</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45575</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45575</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45575</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45575</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45575</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45575</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45575</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45575</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45575</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45575</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45575</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45575</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45575</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45575</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45575</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45575</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45575</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45575</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45575</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45575</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45575</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45575</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45575</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45575</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45575</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45575</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45575</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45575</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45575</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45575</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45575</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45575</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45575</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45575</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45575</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45575</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45575</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45575</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45575</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45575</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45575</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45575</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45575</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45575</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45575</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45575</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45575</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45575</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45575</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45575</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45575</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45575</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45575</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45575</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45575</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45575</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45575</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45575</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45575</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45575</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45575</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45575</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45575</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45575</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45575</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45575</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45575</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45575</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45575</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45575</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45575</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45575</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45575</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45575</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45575</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45575</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45575</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45575</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45575</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45575</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45575</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45575</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45575</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45575</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45575</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45575</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45575</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45575</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45575</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45575</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45575</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45575</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45575</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45575</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45575</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45575</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45575</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45575</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45575</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45575</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45575</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45575</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45575</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45575</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45575</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45575</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45575</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45575</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45575</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45575</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45575</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45575</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45575</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45575</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45575</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45575</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45575</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45575</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45575</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45575</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45575</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45575</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45575</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45575</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45575</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45575</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45575</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45575</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45575</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45575</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45575</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45575</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45575</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45575</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45575</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45575</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45575</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45575</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45575</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45575</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45575</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45575</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45575</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45575</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45575</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45575</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45575</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45575</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45575</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45575</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45575</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45575</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45575</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45575</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45575</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45575</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45575</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45575</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45575</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45575</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45575</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45575</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45575</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45575</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45575</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45575</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45575</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45575</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45575</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45575</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45575</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45575</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45575</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45575</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45575</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45575</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45575</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45575</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45575</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45575</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45575</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45575</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45575</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45575</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45575</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45575</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45575</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45575</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45575</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45575</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45575</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45575</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45575</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45575</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45575</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45575</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45575</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45575</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45575</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45575</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45575</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45575</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45575</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45575</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45575</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45575</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45575</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45575</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45575</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45575</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45575</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45575</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45575</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45575</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45575</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45575</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45575</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45575</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45575</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45575</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45575</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45575</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45575</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45575</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45575</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45575</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45575</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45575</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45575</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45575</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45575</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45575</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45575</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45575</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45575</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45575</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45575</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45575</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45575</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45575</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45575</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45575</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45575</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45575</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45575</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45575</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45575</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45575</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45575</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45575</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45575</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45575</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45575</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45575</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45575</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45575</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45575</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45575</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45575</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45575</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45575</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45575</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45575</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45575</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45575</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45575</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45575</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45575</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45575</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45575</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45575</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45575</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45575</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45575</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45575</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45575</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45575</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45575</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45575</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45575</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45575</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45575</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45575</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45575</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45575</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45575</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45575</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45575</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45575</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45575</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45575</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45575</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45575</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45575</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45575</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45575</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45575</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45575</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45575</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45575</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45575</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45575</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45575</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45575</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45575</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45575</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45575</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45575</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45575</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45575</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45575</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45575</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45575</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45575</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45575</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45575</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45575</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45575</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45575</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45575</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45575</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45575</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45575</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45575</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45575</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45575</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45575</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45575</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45575</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45575</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45575</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45575</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45575</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45575</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45575</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45575</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45575</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45575</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45575</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45575</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45575</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45575</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45575</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45575</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45575</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45575</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45575</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45575</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45575</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45575</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45575</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45575</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45575</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45575</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45575</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45575</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45575</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45575</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45575</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45575</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45575</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45575</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45575</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45575</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45575</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45575</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45575</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45575</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45575</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45575</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45575</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45575</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45575</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45575</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45575</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45575</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45575</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45575</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45575</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45575</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45575</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45575</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45575</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45575</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45575</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45575</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45575</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45575</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45575</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45575</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45575</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45575</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45575</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45575</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45575</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45575</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45575</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45575</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45575</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45575</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45575</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45575</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45575</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45575</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45575</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45575</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45575</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45575</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45575</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45575</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45575</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45575</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45575</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45575</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45575</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45575</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45575</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45575</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45575</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45575</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45575</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45575</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45575</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45575</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45575</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45575</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45575</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45575</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45575</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45575</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45575</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45575</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45575</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45575</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45575</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45575</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45575</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45575</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45575</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45575</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45575</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45575</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45575</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45575</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45575</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45575</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45575</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45575</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45575</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45575</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45575</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45575</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45575</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45575</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45575</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45575</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45575</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45575</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45575</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45575</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45575</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45575</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45575</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45575</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45575</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45575</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45575</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45575</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45575</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45575</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45575</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45575</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45575</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45575</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45575</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45575</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45575</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45575</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45575</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45575</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45575</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45575</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45575</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45575</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45575</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45575</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45575</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45575</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45575</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45575</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45575</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45575</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45575</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45575</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45575</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45575</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45575</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45575</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45575</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45575</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45575</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45575</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45575</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45575</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45575</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45575</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45575</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45575</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45575</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45575</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45575</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45575</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45575</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45575</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45575</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45575</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45575</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45575</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45575</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45575</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45575</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45575</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45575</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45575</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45575</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45575</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45575</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45575</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45575</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45575</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45575</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45575</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45575</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45575</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45575</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45575</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45575</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45575</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45575</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45575</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45575</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45575</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45575</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45575</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45575</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45575</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45575</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45575</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45575</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45575</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45575</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45575</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45575</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45575</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45575</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45575</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45575</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45575</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45575</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45575</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45575</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45575</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45575</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45575</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45575</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45575</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45575</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45575</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45575</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45575</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45575</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45575</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45575</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45575</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45575</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45575</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45575</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45575</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45575</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45575</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45575</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45575</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45575</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45575</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45575</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45575</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45575</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45575</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45575</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45575</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45575</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45575</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45575</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45575</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45575</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45575</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45575</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45575</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45575</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45575</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45575</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45575</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45575</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45575</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45575</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45575</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45575</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45575</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45575</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45575</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45575</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45575</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45575</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45575</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45575</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45575</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45575</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45575</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45575</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45575</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45575</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45575</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45575</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45575</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45575</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45575</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45575</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45575</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45575</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45575</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45575</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45575</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45575</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45575</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45575</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45575</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45575</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45575</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45575</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45575</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45575</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45575</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45575</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45575</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45575</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45575</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45575</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45575</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45575</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45575</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45575</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45575</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45575</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45575</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45575</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45575</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45575</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45575</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45575</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45575</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45575</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45575</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45575</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45575</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45575</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45575</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45575</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45575</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45575</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45575</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45575</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45575</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45575</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45575</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45575</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45575</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45575</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45575</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45575</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45575</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45575</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45575</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45575</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45575</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45575</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45575</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45575</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45575</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45575</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45575</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45575</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45575</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45575</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45575</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45575</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45575</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45575</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45575</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45575</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45575</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45575</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45575</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45575</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45575</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45575</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45575</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45575</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45575</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45575</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45575</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45575</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45575</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45575</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45575</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45575</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45575</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45575</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45575</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45575</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45575</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45575</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45575</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45575</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45575</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45575</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45575</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45575</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45575</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45575</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45575</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45575</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45575</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45575</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45575</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45575</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45575</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45575</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45575</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45575</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45575</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45575</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45575</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45575</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45575</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45575</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45575</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45575</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45575</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45575</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45575</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45575</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45575</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45575</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45575</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45575</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45575</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45575</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45575</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45575</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45575</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45575</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45575</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45575</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45575</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45575</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45575</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45575</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45575</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45575</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45575</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45575</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45575</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45575</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45575</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45575</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45575</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45575</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45575</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45575</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45575</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45575</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45575</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45575</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45575</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45575</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45575</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45575</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45575</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45575</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45575</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45575</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45575</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45575</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45575</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45575</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45575</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45575</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45575</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45575</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45575</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45575</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45575</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45575</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45575</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45575</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45575</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45575</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45575</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45575</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45575</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45575</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45575</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45575</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45575</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45575</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45575</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45575</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45575</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45575</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45575</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45575</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45575</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45575</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45575</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45575</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45575</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45575</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45575</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45575</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45575</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45575</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45575</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45575</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45575</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45575</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45575</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45575</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45575</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45575</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45575</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45575</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45575</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45575</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45575</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45575</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45575</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45575</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45575</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45575</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45575</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45575</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45575</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45575</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45575</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45575</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45575</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45575</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45575</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45575</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45575</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45575</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45575</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45575</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45575</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45575</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45575</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45575</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45575</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45575</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45575</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45575</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45575</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45575</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45575</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45575</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45575</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45575</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45575</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45575</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45575</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45575</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45575</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45575</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45575</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45575</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45575</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45575</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45575</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45575</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45575</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45575</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45575</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45575</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45575</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45575</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45575</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45575</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45575</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45575</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45575</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45575</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45575</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45575</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45575</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45575</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45575</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45575</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45575</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45575</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45575</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45575</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45575</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45575</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45575</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45575</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45575</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45575</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45575</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45575</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45575</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45575</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45575</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45575</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45575</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45575</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45575</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45575</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45575</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45575</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45575</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45575</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45575</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45575</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45575</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45575</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45575</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45575</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45575</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45575</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45575</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45575</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45575</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45575</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45575</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45575</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45575</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45575</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45575</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45575</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45575</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45575</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45575</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45575</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45575</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45575</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45575</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45575</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45575</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45575</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45575</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45575</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45575</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45575</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45575</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45575</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45575</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45575</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45575</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45575</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45575</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45575</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45575</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45575</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45575</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45575</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45575</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45575</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45575</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45575</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45575</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45575</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45575</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45575</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45575</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45575</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45575</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45575</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45575</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45575</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45575</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45575</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45575</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45575</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45575</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45575</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45575</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45575</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45575</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45575</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45575</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45575</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45575</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45575</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45575</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45575</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45575</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45575</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45575</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45575</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45575</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45575</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45575</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45575</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45575</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45575</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45575</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45575</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45575</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45575</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45575</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45575</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45575</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45575</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45575</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45575</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45575</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45575</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45575</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45575</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45575</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45575</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45575</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45575</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45575</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45575</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45575</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45575</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45575</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45575</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45575</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45575</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45575</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45575</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45575</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45575</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39587-2024</t>
        </is>
      </c>
      <c r="B2663" s="1" t="n">
        <v>45551</v>
      </c>
      <c r="C2663" s="1" t="n">
        <v>45575</v>
      </c>
      <c r="D2663" t="inlineStr">
        <is>
          <t>VÄRMLANDS LÄN</t>
        </is>
      </c>
      <c r="E2663" t="inlineStr">
        <is>
          <t>TORSBY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39277-2024</t>
        </is>
      </c>
      <c r="B2664" s="1" t="n">
        <v>45551</v>
      </c>
      <c r="C2664" s="1" t="n">
        <v>45575</v>
      </c>
      <c r="D2664" t="inlineStr">
        <is>
          <t>VÄRMLANDS LÄN</t>
        </is>
      </c>
      <c r="E2664" t="inlineStr">
        <is>
          <t>TORSBY</t>
        </is>
      </c>
      <c r="F2664" t="inlineStr">
        <is>
          <t>Bergvik skog väst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39378-2024</t>
        </is>
      </c>
      <c r="B2665" s="1" t="n">
        <v>45551</v>
      </c>
      <c r="C2665" s="1" t="n">
        <v>45575</v>
      </c>
      <c r="D2665" t="inlineStr">
        <is>
          <t>VÄRMLANDS LÄN</t>
        </is>
      </c>
      <c r="E2665" t="inlineStr">
        <is>
          <t>TORSBY</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39383-2024</t>
        </is>
      </c>
      <c r="B2666" s="1" t="n">
        <v>45551</v>
      </c>
      <c r="C2666" s="1" t="n">
        <v>45575</v>
      </c>
      <c r="D2666" t="inlineStr">
        <is>
          <t>VÄRMLANDS LÄN</t>
        </is>
      </c>
      <c r="E2666" t="inlineStr">
        <is>
          <t>TORSBY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39569-2024</t>
        </is>
      </c>
      <c r="B2667" s="1" t="n">
        <v>45551</v>
      </c>
      <c r="C2667" s="1" t="n">
        <v>45575</v>
      </c>
      <c r="D2667" t="inlineStr">
        <is>
          <t>VÄRMLANDS LÄN</t>
        </is>
      </c>
      <c r="E2667" t="inlineStr">
        <is>
          <t>TORSBY</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45575</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45575</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39746-2024</t>
        </is>
      </c>
      <c r="B2670" s="1" t="n">
        <v>45552</v>
      </c>
      <c r="C2670" s="1" t="n">
        <v>45575</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45575</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45575</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39768-2024</t>
        </is>
      </c>
      <c r="B2673" s="1" t="n">
        <v>45552</v>
      </c>
      <c r="C2673" s="1" t="n">
        <v>45575</v>
      </c>
      <c r="D2673" t="inlineStr">
        <is>
          <t>VÄRMLANDS LÄN</t>
        </is>
      </c>
      <c r="E2673" t="inlineStr">
        <is>
          <t>TORSBY</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39772-2024</t>
        </is>
      </c>
      <c r="B2674" s="1" t="n">
        <v>45552</v>
      </c>
      <c r="C2674" s="1" t="n">
        <v>45575</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39770-2024</t>
        </is>
      </c>
      <c r="B2675" s="1" t="n">
        <v>45552</v>
      </c>
      <c r="C2675" s="1" t="n">
        <v>45575</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39769-2024</t>
        </is>
      </c>
      <c r="B2676" s="1" t="n">
        <v>45552</v>
      </c>
      <c r="C2676" s="1" t="n">
        <v>45575</v>
      </c>
      <c r="D2676" t="inlineStr">
        <is>
          <t>VÄRMLANDS LÄN</t>
        </is>
      </c>
      <c r="E2676" t="inlineStr">
        <is>
          <t>TORSBY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45575</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45575</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45575</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40227-2024</t>
        </is>
      </c>
      <c r="B2680" s="1" t="n">
        <v>45554</v>
      </c>
      <c r="C2680" s="1" t="n">
        <v>45575</v>
      </c>
      <c r="D2680" t="inlineStr">
        <is>
          <t>VÄRMLANDS LÄN</t>
        </is>
      </c>
      <c r="E2680" t="inlineStr">
        <is>
          <t>TORSBY</t>
        </is>
      </c>
      <c r="F2680" t="inlineStr">
        <is>
          <t>Bergvik skog väst AB</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40301-2024</t>
        </is>
      </c>
      <c r="B2681" s="1" t="n">
        <v>45554</v>
      </c>
      <c r="C2681" s="1" t="n">
        <v>45575</v>
      </c>
      <c r="D2681" t="inlineStr">
        <is>
          <t>VÄRMLANDS LÄN</t>
        </is>
      </c>
      <c r="E2681" t="inlineStr">
        <is>
          <t>TORSBY</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40157-2024</t>
        </is>
      </c>
      <c r="B2682" s="1" t="n">
        <v>45554</v>
      </c>
      <c r="C2682" s="1" t="n">
        <v>45575</v>
      </c>
      <c r="D2682" t="inlineStr">
        <is>
          <t>VÄRMLANDS LÄN</t>
        </is>
      </c>
      <c r="E2682" t="inlineStr">
        <is>
          <t>TORSBY</t>
        </is>
      </c>
      <c r="F2682" t="inlineStr">
        <is>
          <t>Bergvik skog väst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45575</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45575</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45575</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45575</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45575</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40987-2024</t>
        </is>
      </c>
      <c r="B2688" s="1" t="n">
        <v>45558</v>
      </c>
      <c r="C2688" s="1" t="n">
        <v>45575</v>
      </c>
      <c r="D2688" t="inlineStr">
        <is>
          <t>VÄRMLANDS LÄN</t>
        </is>
      </c>
      <c r="E2688" t="inlineStr">
        <is>
          <t>TORSBY</t>
        </is>
      </c>
      <c r="G2688" t="n">
        <v>11.6</v>
      </c>
      <c r="H2688" t="n">
        <v>0</v>
      </c>
      <c r="I2688" t="n">
        <v>0</v>
      </c>
      <c r="J2688" t="n">
        <v>0</v>
      </c>
      <c r="K2688" t="n">
        <v>0</v>
      </c>
      <c r="L2688" t="n">
        <v>0</v>
      </c>
      <c r="M2688" t="n">
        <v>0</v>
      </c>
      <c r="N2688" t="n">
        <v>0</v>
      </c>
      <c r="O2688" t="n">
        <v>0</v>
      </c>
      <c r="P2688" t="n">
        <v>0</v>
      </c>
      <c r="Q2688" t="n">
        <v>0</v>
      </c>
      <c r="R2688" s="2" t="inlineStr"/>
    </row>
    <row r="2689" ht="15" customHeight="1">
      <c r="A2689" t="inlineStr">
        <is>
          <t>A 40807-2024</t>
        </is>
      </c>
      <c r="B2689" s="1" t="n">
        <v>45558</v>
      </c>
      <c r="C2689" s="1" t="n">
        <v>45575</v>
      </c>
      <c r="D2689" t="inlineStr">
        <is>
          <t>VÄRMLANDS LÄN</t>
        </is>
      </c>
      <c r="E2689" t="inlineStr">
        <is>
          <t>TORSBY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40914-2024</t>
        </is>
      </c>
      <c r="B2690" s="1" t="n">
        <v>45558</v>
      </c>
      <c r="C2690" s="1" t="n">
        <v>45575</v>
      </c>
      <c r="D2690" t="inlineStr">
        <is>
          <t>VÄRMLANDS LÄN</t>
        </is>
      </c>
      <c r="E2690" t="inlineStr">
        <is>
          <t>TORSBY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45575</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45575</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41501-2024</t>
        </is>
      </c>
      <c r="B2693" s="1" t="n">
        <v>45560</v>
      </c>
      <c r="C2693" s="1" t="n">
        <v>45575</v>
      </c>
      <c r="D2693" t="inlineStr">
        <is>
          <t>VÄRMLANDS LÄN</t>
        </is>
      </c>
      <c r="E2693" t="inlineStr">
        <is>
          <t>TORSBY</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41529-2024</t>
        </is>
      </c>
      <c r="B2694" s="1" t="n">
        <v>45560</v>
      </c>
      <c r="C2694" s="1" t="n">
        <v>45575</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41518-2024</t>
        </is>
      </c>
      <c r="B2695" s="1" t="n">
        <v>45560</v>
      </c>
      <c r="C2695" s="1" t="n">
        <v>45575</v>
      </c>
      <c r="D2695" t="inlineStr">
        <is>
          <t>VÄRMLANDS LÄN</t>
        </is>
      </c>
      <c r="E2695" t="inlineStr">
        <is>
          <t>TORSBY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41534-2024</t>
        </is>
      </c>
      <c r="B2696" s="1" t="n">
        <v>45560</v>
      </c>
      <c r="C2696" s="1" t="n">
        <v>45575</v>
      </c>
      <c r="D2696" t="inlineStr">
        <is>
          <t>VÄRMLANDS LÄN</t>
        </is>
      </c>
      <c r="E2696" t="inlineStr">
        <is>
          <t>TORSBY</t>
        </is>
      </c>
      <c r="G2696" t="n">
        <v>17.3</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45575</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41504-2024</t>
        </is>
      </c>
      <c r="B2698" s="1" t="n">
        <v>45560</v>
      </c>
      <c r="C2698" s="1" t="n">
        <v>45575</v>
      </c>
      <c r="D2698" t="inlineStr">
        <is>
          <t>VÄRMLANDS LÄN</t>
        </is>
      </c>
      <c r="E2698" t="inlineStr">
        <is>
          <t>TORSBY</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41720-2024</t>
        </is>
      </c>
      <c r="B2699" s="1" t="n">
        <v>45560</v>
      </c>
      <c r="C2699" s="1" t="n">
        <v>45575</v>
      </c>
      <c r="D2699" t="inlineStr">
        <is>
          <t>VÄRMLANDS LÄN</t>
        </is>
      </c>
      <c r="E2699" t="inlineStr">
        <is>
          <t>TORSBY</t>
        </is>
      </c>
      <c r="F2699" t="inlineStr">
        <is>
          <t>Bergvik skog väst AB</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45575</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45575</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45575</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42250-2024</t>
        </is>
      </c>
      <c r="B2703" s="1" t="n">
        <v>45562</v>
      </c>
      <c r="C2703" s="1" t="n">
        <v>45575</v>
      </c>
      <c r="D2703" t="inlineStr">
        <is>
          <t>VÄRMLANDS LÄN</t>
        </is>
      </c>
      <c r="E2703" t="inlineStr">
        <is>
          <t>TORSBY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42176-2024</t>
        </is>
      </c>
      <c r="B2704" s="1" t="n">
        <v>45562</v>
      </c>
      <c r="C2704" s="1" t="n">
        <v>45575</v>
      </c>
      <c r="D2704" t="inlineStr">
        <is>
          <t>VÄRMLANDS LÄN</t>
        </is>
      </c>
      <c r="E2704" t="inlineStr">
        <is>
          <t>TORSBY</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45575</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45575</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45575</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42457-2024</t>
        </is>
      </c>
      <c r="B2708" s="1" t="n">
        <v>45565</v>
      </c>
      <c r="C2708" s="1" t="n">
        <v>45575</v>
      </c>
      <c r="D2708" t="inlineStr">
        <is>
          <t>VÄRMLANDS LÄN</t>
        </is>
      </c>
      <c r="E2708" t="inlineStr">
        <is>
          <t>TORSBY</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42424-2024</t>
        </is>
      </c>
      <c r="B2709" s="1" t="n">
        <v>45565</v>
      </c>
      <c r="C2709" s="1" t="n">
        <v>45575</v>
      </c>
      <c r="D2709" t="inlineStr">
        <is>
          <t>VÄRMLANDS LÄN</t>
        </is>
      </c>
      <c r="E2709" t="inlineStr">
        <is>
          <t>TORSBY</t>
        </is>
      </c>
      <c r="F2709" t="inlineStr">
        <is>
          <t>Bergvik skog väst AB</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42428-2024</t>
        </is>
      </c>
      <c r="B2710" s="1" t="n">
        <v>45565</v>
      </c>
      <c r="C2710" s="1" t="n">
        <v>45575</v>
      </c>
      <c r="D2710" t="inlineStr">
        <is>
          <t>VÄRMLANDS LÄN</t>
        </is>
      </c>
      <c r="E2710" t="inlineStr">
        <is>
          <t>TORSBY</t>
        </is>
      </c>
      <c r="F2710" t="inlineStr">
        <is>
          <t>Bergvik skog väst AB</t>
        </is>
      </c>
      <c r="G2710" t="n">
        <v>20.7</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45575</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45575</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43037-2024</t>
        </is>
      </c>
      <c r="B2713" s="1" t="n">
        <v>45567</v>
      </c>
      <c r="C2713" s="1" t="n">
        <v>45575</v>
      </c>
      <c r="D2713" t="inlineStr">
        <is>
          <t>VÄRMLANDS LÄN</t>
        </is>
      </c>
      <c r="E2713" t="inlineStr">
        <is>
          <t>TORSBY</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43044-2024</t>
        </is>
      </c>
      <c r="B2714" s="1" t="n">
        <v>45567</v>
      </c>
      <c r="C2714" s="1" t="n">
        <v>45575</v>
      </c>
      <c r="D2714" t="inlineStr">
        <is>
          <t>VÄRMLANDS LÄN</t>
        </is>
      </c>
      <c r="E2714" t="inlineStr">
        <is>
          <t>TORSBY</t>
        </is>
      </c>
      <c r="F2714" t="inlineStr">
        <is>
          <t>Bergvik skog väst AB</t>
        </is>
      </c>
      <c r="G2714" t="n">
        <v>42.7</v>
      </c>
      <c r="H2714" t="n">
        <v>0</v>
      </c>
      <c r="I2714" t="n">
        <v>0</v>
      </c>
      <c r="J2714" t="n">
        <v>0</v>
      </c>
      <c r="K2714" t="n">
        <v>0</v>
      </c>
      <c r="L2714" t="n">
        <v>0</v>
      </c>
      <c r="M2714" t="n">
        <v>0</v>
      </c>
      <c r="N2714" t="n">
        <v>0</v>
      </c>
      <c r="O2714" t="n">
        <v>0</v>
      </c>
      <c r="P2714" t="n">
        <v>0</v>
      </c>
      <c r="Q2714" t="n">
        <v>0</v>
      </c>
      <c r="R2714" s="2" t="inlineStr"/>
    </row>
    <row r="2715" ht="15" customHeight="1">
      <c r="A2715" t="inlineStr">
        <is>
          <t>A 43144-2024</t>
        </is>
      </c>
      <c r="B2715" s="1" t="n">
        <v>45567</v>
      </c>
      <c r="C2715" s="1" t="n">
        <v>45575</v>
      </c>
      <c r="D2715" t="inlineStr">
        <is>
          <t>VÄRMLANDS LÄN</t>
        </is>
      </c>
      <c r="E2715" t="inlineStr">
        <is>
          <t>TORSBY</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43164-2024</t>
        </is>
      </c>
      <c r="B2716" s="1" t="n">
        <v>45567</v>
      </c>
      <c r="C2716" s="1" t="n">
        <v>45575</v>
      </c>
      <c r="D2716" t="inlineStr">
        <is>
          <t>VÄRMLANDS LÄN</t>
        </is>
      </c>
      <c r="E2716" t="inlineStr">
        <is>
          <t>TORSBY</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42945-2024</t>
        </is>
      </c>
      <c r="B2717" s="1" t="n">
        <v>45567</v>
      </c>
      <c r="C2717" s="1" t="n">
        <v>45575</v>
      </c>
      <c r="D2717" t="inlineStr">
        <is>
          <t>VÄRMLANDS LÄN</t>
        </is>
      </c>
      <c r="E2717" t="inlineStr">
        <is>
          <t>TORSBY</t>
        </is>
      </c>
      <c r="F2717" t="inlineStr">
        <is>
          <t>Bergvik skog väst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43137-2024</t>
        </is>
      </c>
      <c r="B2718" s="1" t="n">
        <v>45567</v>
      </c>
      <c r="C2718" s="1" t="n">
        <v>45575</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43256-2024</t>
        </is>
      </c>
      <c r="B2719" s="1" t="n">
        <v>45568</v>
      </c>
      <c r="C2719" s="1" t="n">
        <v>45575</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43301-2024</t>
        </is>
      </c>
      <c r="B2720" s="1" t="n">
        <v>45568</v>
      </c>
      <c r="C2720" s="1" t="n">
        <v>45575</v>
      </c>
      <c r="D2720" t="inlineStr">
        <is>
          <t>VÄRMLANDS LÄN</t>
        </is>
      </c>
      <c r="E2720" t="inlineStr">
        <is>
          <t>TORSBY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43336-2024</t>
        </is>
      </c>
      <c r="B2721" s="1" t="n">
        <v>45568</v>
      </c>
      <c r="C2721" s="1" t="n">
        <v>45575</v>
      </c>
      <c r="D2721" t="inlineStr">
        <is>
          <t>VÄRMLANDS LÄN</t>
        </is>
      </c>
      <c r="E2721" t="inlineStr">
        <is>
          <t>TORSBY</t>
        </is>
      </c>
      <c r="F2721" t="inlineStr">
        <is>
          <t>Bergvik skog väst AB</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43420-2024</t>
        </is>
      </c>
      <c r="B2722" s="1" t="n">
        <v>45568</v>
      </c>
      <c r="C2722" s="1" t="n">
        <v>45575</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43295-2024</t>
        </is>
      </c>
      <c r="B2723" s="1" t="n">
        <v>45568</v>
      </c>
      <c r="C2723" s="1" t="n">
        <v>45575</v>
      </c>
      <c r="D2723" t="inlineStr">
        <is>
          <t>VÄRMLANDS LÄN</t>
        </is>
      </c>
      <c r="E2723" t="inlineStr">
        <is>
          <t>TORSBY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43409-2024</t>
        </is>
      </c>
      <c r="B2724" s="1" t="n">
        <v>45568</v>
      </c>
      <c r="C2724" s="1" t="n">
        <v>45575</v>
      </c>
      <c r="D2724" t="inlineStr">
        <is>
          <t>VÄRMLANDS LÄN</t>
        </is>
      </c>
      <c r="E2724" t="inlineStr">
        <is>
          <t>TORSBY</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43538-2024</t>
        </is>
      </c>
      <c r="B2725" s="1" t="n">
        <v>45569</v>
      </c>
      <c r="C2725" s="1" t="n">
        <v>45575</v>
      </c>
      <c r="D2725" t="inlineStr">
        <is>
          <t>VÄRMLANDS LÄN</t>
        </is>
      </c>
      <c r="E2725" t="inlineStr">
        <is>
          <t>TORSBY</t>
        </is>
      </c>
      <c r="F2725" t="inlineStr">
        <is>
          <t>Bergvik skog väst AB</t>
        </is>
      </c>
      <c r="G2725" t="n">
        <v>14.4</v>
      </c>
      <c r="H2725" t="n">
        <v>0</v>
      </c>
      <c r="I2725" t="n">
        <v>0</v>
      </c>
      <c r="J2725" t="n">
        <v>0</v>
      </c>
      <c r="K2725" t="n">
        <v>0</v>
      </c>
      <c r="L2725" t="n">
        <v>0</v>
      </c>
      <c r="M2725" t="n">
        <v>0</v>
      </c>
      <c r="N2725" t="n">
        <v>0</v>
      </c>
      <c r="O2725" t="n">
        <v>0</v>
      </c>
      <c r="P2725" t="n">
        <v>0</v>
      </c>
      <c r="Q2725" t="n">
        <v>0</v>
      </c>
      <c r="R2725" s="2" t="inlineStr"/>
    </row>
    <row r="2726" ht="15" customHeight="1">
      <c r="A2726" t="inlineStr">
        <is>
          <t>A 43739-2024</t>
        </is>
      </c>
      <c r="B2726" s="1" t="n">
        <v>45569</v>
      </c>
      <c r="C2726" s="1" t="n">
        <v>45575</v>
      </c>
      <c r="D2726" t="inlineStr">
        <is>
          <t>VÄRMLANDS LÄN</t>
        </is>
      </c>
      <c r="E2726" t="inlineStr">
        <is>
          <t>TORSBY</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43718-2024</t>
        </is>
      </c>
      <c r="B2727" s="1" t="n">
        <v>45569</v>
      </c>
      <c r="C2727" s="1" t="n">
        <v>45575</v>
      </c>
      <c r="D2727" t="inlineStr">
        <is>
          <t>VÄRMLANDS LÄN</t>
        </is>
      </c>
      <c r="E2727" t="inlineStr">
        <is>
          <t>TORSBY</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43545-2024</t>
        </is>
      </c>
      <c r="B2728" s="1" t="n">
        <v>45569</v>
      </c>
      <c r="C2728" s="1" t="n">
        <v>45575</v>
      </c>
      <c r="D2728" t="inlineStr">
        <is>
          <t>VÄRMLANDS LÄN</t>
        </is>
      </c>
      <c r="E2728" t="inlineStr">
        <is>
          <t>TORSBY</t>
        </is>
      </c>
      <c r="F2728" t="inlineStr">
        <is>
          <t>Bergvik skog väst AB</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43864-2024</t>
        </is>
      </c>
      <c r="B2729" s="1" t="n">
        <v>45572</v>
      </c>
      <c r="C2729" s="1" t="n">
        <v>45575</v>
      </c>
      <c r="D2729" t="inlineStr">
        <is>
          <t>VÄRMLANDS LÄN</t>
        </is>
      </c>
      <c r="E2729" t="inlineStr">
        <is>
          <t>TORSBY</t>
        </is>
      </c>
      <c r="F2729" t="inlineStr">
        <is>
          <t>Kommuner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43988-2024</t>
        </is>
      </c>
      <c r="B2730" s="1" t="n">
        <v>45572</v>
      </c>
      <c r="C2730" s="1" t="n">
        <v>45575</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44059-2024</t>
        </is>
      </c>
      <c r="B2731" s="1" t="n">
        <v>45572</v>
      </c>
      <c r="C2731" s="1" t="n">
        <v>45575</v>
      </c>
      <c r="D2731" t="inlineStr">
        <is>
          <t>VÄRMLANDS LÄN</t>
        </is>
      </c>
      <c r="E2731" t="inlineStr">
        <is>
          <t>TORSBY</t>
        </is>
      </c>
      <c r="F2731" t="inlineStr">
        <is>
          <t>Bergvik skog väst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44081-2024</t>
        </is>
      </c>
      <c r="B2732" s="1" t="n">
        <v>45572</v>
      </c>
      <c r="C2732" s="1" t="n">
        <v>45575</v>
      </c>
      <c r="D2732" t="inlineStr">
        <is>
          <t>VÄRMLANDS LÄN</t>
        </is>
      </c>
      <c r="E2732" t="inlineStr">
        <is>
          <t>TORSBY</t>
        </is>
      </c>
      <c r="F2732" t="inlineStr">
        <is>
          <t>Bergvik skog väst AB</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44204-2024</t>
        </is>
      </c>
      <c r="B2733" s="1" t="n">
        <v>45573</v>
      </c>
      <c r="C2733" s="1" t="n">
        <v>45575</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44276-2024</t>
        </is>
      </c>
      <c r="B2734" s="1" t="n">
        <v>45573</v>
      </c>
      <c r="C2734" s="1" t="n">
        <v>45575</v>
      </c>
      <c r="D2734" t="inlineStr">
        <is>
          <t>VÄRMLANDS LÄN</t>
        </is>
      </c>
      <c r="E2734" t="inlineStr">
        <is>
          <t>TORSBY</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44278-2024</t>
        </is>
      </c>
      <c r="B2735" s="1" t="n">
        <v>45573</v>
      </c>
      <c r="C2735" s="1" t="n">
        <v>45575</v>
      </c>
      <c r="D2735" t="inlineStr">
        <is>
          <t>VÄRMLANDS LÄN</t>
        </is>
      </c>
      <c r="E2735" t="inlineStr">
        <is>
          <t>TORSBY</t>
        </is>
      </c>
      <c r="F2735" t="inlineStr">
        <is>
          <t>Bergvik skog väst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44303-2024</t>
        </is>
      </c>
      <c r="B2736" s="1" t="n">
        <v>45573</v>
      </c>
      <c r="C2736" s="1" t="n">
        <v>45575</v>
      </c>
      <c r="D2736" t="inlineStr">
        <is>
          <t>VÄRMLANDS LÄN</t>
        </is>
      </c>
      <c r="E2736" t="inlineStr">
        <is>
          <t>TORSBY</t>
        </is>
      </c>
      <c r="F2736" t="inlineStr">
        <is>
          <t>Bergvik skog väst AB</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44325-2024</t>
        </is>
      </c>
      <c r="B2737" s="1" t="n">
        <v>45573</v>
      </c>
      <c r="C2737" s="1" t="n">
        <v>45575</v>
      </c>
      <c r="D2737" t="inlineStr">
        <is>
          <t>VÄRMLANDS LÄN</t>
        </is>
      </c>
      <c r="E2737" t="inlineStr">
        <is>
          <t>TORSBY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44338-2024</t>
        </is>
      </c>
      <c r="B2738" s="1" t="n">
        <v>45573</v>
      </c>
      <c r="C2738" s="1" t="n">
        <v>45575</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44342-2024</t>
        </is>
      </c>
      <c r="B2739" s="1" t="n">
        <v>45573</v>
      </c>
      <c r="C2739" s="1" t="n">
        <v>45575</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44352-2024</t>
        </is>
      </c>
      <c r="B2740" s="1" t="n">
        <v>45573</v>
      </c>
      <c r="C2740" s="1" t="n">
        <v>45575</v>
      </c>
      <c r="D2740" t="inlineStr">
        <is>
          <t>VÄRMLANDS LÄN</t>
        </is>
      </c>
      <c r="E2740" t="inlineStr">
        <is>
          <t>TORSBY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44349-2024</t>
        </is>
      </c>
      <c r="B2741" s="1" t="n">
        <v>45573</v>
      </c>
      <c r="C2741" s="1" t="n">
        <v>45575</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44422-2024</t>
        </is>
      </c>
      <c r="B2742" s="1" t="n">
        <v>45573</v>
      </c>
      <c r="C2742" s="1" t="n">
        <v>45575</v>
      </c>
      <c r="D2742" t="inlineStr">
        <is>
          <t>VÄRMLANDS LÄN</t>
        </is>
      </c>
      <c r="E2742" t="inlineStr">
        <is>
          <t>TORSBY</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44690-2024</t>
        </is>
      </c>
      <c r="B2743" s="1" t="n">
        <v>45574</v>
      </c>
      <c r="C2743" s="1" t="n">
        <v>45575</v>
      </c>
      <c r="D2743" t="inlineStr">
        <is>
          <t>VÄRMLANDS LÄN</t>
        </is>
      </c>
      <c r="E2743" t="inlineStr">
        <is>
          <t>TORSBY</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44659-2024</t>
        </is>
      </c>
      <c r="B2744" s="1" t="n">
        <v>45574</v>
      </c>
      <c r="C2744" s="1" t="n">
        <v>45575</v>
      </c>
      <c r="D2744" t="inlineStr">
        <is>
          <t>VÄRMLANDS LÄN</t>
        </is>
      </c>
      <c r="E2744" t="inlineStr">
        <is>
          <t>TORSBY</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44683-2024</t>
        </is>
      </c>
      <c r="B2745" s="1" t="n">
        <v>45574</v>
      </c>
      <c r="C2745" s="1" t="n">
        <v>45575</v>
      </c>
      <c r="D2745" t="inlineStr">
        <is>
          <t>VÄRMLANDS LÄN</t>
        </is>
      </c>
      <c r="E2745" t="inlineStr">
        <is>
          <t>TORSBY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44448-2024</t>
        </is>
      </c>
      <c r="B2746" s="1" t="n">
        <v>45574</v>
      </c>
      <c r="C2746" s="1" t="n">
        <v>45575</v>
      </c>
      <c r="D2746" t="inlineStr">
        <is>
          <t>VÄRMLANDS LÄN</t>
        </is>
      </c>
      <c r="E2746" t="inlineStr">
        <is>
          <t>TORSBY</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44470-2024</t>
        </is>
      </c>
      <c r="B2747" s="1" t="n">
        <v>45574</v>
      </c>
      <c r="C2747" s="1" t="n">
        <v>45575</v>
      </c>
      <c r="D2747" t="inlineStr">
        <is>
          <t>VÄRMLANDS LÄN</t>
        </is>
      </c>
      <c r="E2747" t="inlineStr">
        <is>
          <t>TORSBY</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44764-2024</t>
        </is>
      </c>
      <c r="B2748" s="1" t="n">
        <v>45574</v>
      </c>
      <c r="C2748" s="1" t="n">
        <v>45575</v>
      </c>
      <c r="D2748" t="inlineStr">
        <is>
          <t>VÄRMLANDS LÄN</t>
        </is>
      </c>
      <c r="E2748" t="inlineStr">
        <is>
          <t>TORSBY</t>
        </is>
      </c>
      <c r="F2748" t="inlineStr">
        <is>
          <t>Bergvik skog väst AB</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44838-2024</t>
        </is>
      </c>
      <c r="B2749" s="1" t="n">
        <v>45574</v>
      </c>
      <c r="C2749" s="1" t="n">
        <v>45575</v>
      </c>
      <c r="D2749" t="inlineStr">
        <is>
          <t>VÄRMLANDS LÄN</t>
        </is>
      </c>
      <c r="E2749" t="inlineStr">
        <is>
          <t>TORSBY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44685-2024</t>
        </is>
      </c>
      <c r="B2750" s="1" t="n">
        <v>45574</v>
      </c>
      <c r="C2750" s="1" t="n">
        <v>45575</v>
      </c>
      <c r="D2750" t="inlineStr">
        <is>
          <t>VÄRMLANDS LÄN</t>
        </is>
      </c>
      <c r="E2750" t="inlineStr">
        <is>
          <t>TORSBY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44697-2024</t>
        </is>
      </c>
      <c r="B2751" s="1" t="n">
        <v>45574</v>
      </c>
      <c r="C2751" s="1" t="n">
        <v>45575</v>
      </c>
      <c r="D2751" t="inlineStr">
        <is>
          <t>VÄRMLANDS LÄN</t>
        </is>
      </c>
      <c r="E2751" t="inlineStr">
        <is>
          <t>TORSBY</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44770-2024</t>
        </is>
      </c>
      <c r="B2752" s="1" t="n">
        <v>45574</v>
      </c>
      <c r="C2752" s="1" t="n">
        <v>45575</v>
      </c>
      <c r="D2752" t="inlineStr">
        <is>
          <t>VÄRMLANDS LÄN</t>
        </is>
      </c>
      <c r="E2752" t="inlineStr">
        <is>
          <t>TORSBY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44786-2024</t>
        </is>
      </c>
      <c r="B2753" s="1" t="n">
        <v>45574</v>
      </c>
      <c r="C2753" s="1" t="n">
        <v>45575</v>
      </c>
      <c r="D2753" t="inlineStr">
        <is>
          <t>VÄRMLANDS LÄN</t>
        </is>
      </c>
      <c r="E2753" t="inlineStr">
        <is>
          <t>TORSBY</t>
        </is>
      </c>
      <c r="F2753" t="inlineStr">
        <is>
          <t>Bergvik skog väst AB</t>
        </is>
      </c>
      <c r="G2753" t="n">
        <v>21.9</v>
      </c>
      <c r="H2753" t="n">
        <v>0</v>
      </c>
      <c r="I2753" t="n">
        <v>0</v>
      </c>
      <c r="J2753" t="n">
        <v>0</v>
      </c>
      <c r="K2753" t="n">
        <v>0</v>
      </c>
      <c r="L2753" t="n">
        <v>0</v>
      </c>
      <c r="M2753" t="n">
        <v>0</v>
      </c>
      <c r="N2753" t="n">
        <v>0</v>
      </c>
      <c r="O2753" t="n">
        <v>0</v>
      </c>
      <c r="P2753" t="n">
        <v>0</v>
      </c>
      <c r="Q2753" t="n">
        <v>0</v>
      </c>
      <c r="R2753" s="2" t="inlineStr"/>
    </row>
    <row r="2754">
      <c r="A2754" t="inlineStr">
        <is>
          <t>A 44702-2024</t>
        </is>
      </c>
      <c r="B2754" s="1" t="n">
        <v>45574</v>
      </c>
      <c r="C2754" s="1" t="n">
        <v>45575</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2024-10-10T12:19:48Z</dcterms:created>
  <dcterms:modified xmlns:dcterms="http://purl.org/dc/terms/" xmlns:xsi="http://www.w3.org/2001/XMLSchema-instance" xsi:type="dcterms:W3CDTF">2024-10-10T12:19:50Z</dcterms:modified>
</cp:coreProperties>
</file>