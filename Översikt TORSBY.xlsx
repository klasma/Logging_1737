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45832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45832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45832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45832</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45832</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45832</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45832</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45832</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45832</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45832</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45832</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45832</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45832</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45832</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45832</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45832</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45832</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45832</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45832</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45832</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45832</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45832</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45832</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45832</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45832</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45832</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45832</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45832</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45832</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45832</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45832</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45832</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45832</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45832</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45832</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45832</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45832</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45832</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45832</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45832</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45832</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45832</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45832</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45832</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45832</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45832</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45832</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45832</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45832</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45832</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45832</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45832</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45832</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45832</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45832</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45832</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45832</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45832</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45832</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45832</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45832</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45832</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45832</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45832</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45832</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45832</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45832</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45832</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45832</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45832</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45832</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45832</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45832</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45832</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45832</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45832</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45832</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45832</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45832</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45832</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45832</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45832</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45832</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45832</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45832</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45832</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45832</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45832</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45832</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45832</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45832</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45832</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45832</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45832</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45832</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45832</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45832</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45832</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45832</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45832</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45832</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45832</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45832</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45832</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45832</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45832</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45832</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45832</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45832</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45832</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45832</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45832</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45832</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45832</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45832</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45832</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45832</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45832</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45832</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45832</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45832</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45832</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45832</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45832</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45832</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45832</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45832</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45832</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45832</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45832</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45832</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45832</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45832</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45832</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45832</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45832</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45832</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45832</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45832</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45832</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45832</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45832</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45832</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45832</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45832</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45832</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45832</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45832</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45832</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45832</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45832</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45832</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45832</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45832</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45832</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45832</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45832</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45832</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45832</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45832</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45832</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45832</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45832</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45832</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45832</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45832</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45832</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45832</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45832</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45832</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45832</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45832</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45832</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45832</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45832</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45832</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45832</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45832</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45832</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45832</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45832</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45832</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45832</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45832</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45832</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45832</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45832</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45832</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45832</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45832</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45832</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45832</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45832</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45832</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45832</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45832</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25217-2025</t>
        </is>
      </c>
      <c r="B199" s="1" t="n">
        <v>45800</v>
      </c>
      <c r="C199" s="1" t="n">
        <v>45832</v>
      </c>
      <c r="D199" t="inlineStr">
        <is>
          <t>VÄRMLANDS LÄN</t>
        </is>
      </c>
      <c r="E199" t="inlineStr">
        <is>
          <t>TORSBY</t>
        </is>
      </c>
      <c r="G199" t="n">
        <v>10.9</v>
      </c>
      <c r="H199" t="n">
        <v>0</v>
      </c>
      <c r="I199" t="n">
        <v>0</v>
      </c>
      <c r="J199" t="n">
        <v>1</v>
      </c>
      <c r="K199" t="n">
        <v>0</v>
      </c>
      <c r="L199" t="n">
        <v>0</v>
      </c>
      <c r="M199" t="n">
        <v>0</v>
      </c>
      <c r="N199" t="n">
        <v>0</v>
      </c>
      <c r="O199" t="n">
        <v>1</v>
      </c>
      <c r="P199" t="n">
        <v>0</v>
      </c>
      <c r="Q199" t="n">
        <v>1</v>
      </c>
      <c r="R199" s="2" t="inlineStr">
        <is>
          <t>Dvärgbägarlav</t>
        </is>
      </c>
      <c r="S199">
        <f>HYPERLINK("https://klasma.github.io/Logging_171737/artfynd/A 25217-2025 artfynd.xlsx", "A 25217-2025")</f>
        <v/>
      </c>
      <c r="T199">
        <f>HYPERLINK("https://klasma.github.io/Logging_171737/kartor/A 25217-2025 karta.png", "A 25217-2025")</f>
        <v/>
      </c>
      <c r="V199">
        <f>HYPERLINK("https://klasma.github.io/Logging_171737/klagomål/A 25217-2025 FSC-klagomål.docx", "A 25217-2025")</f>
        <v/>
      </c>
      <c r="W199">
        <f>HYPERLINK("https://klasma.github.io/Logging_171737/klagomålsmail/A 25217-2025 FSC-klagomål mail.docx", "A 25217-2025")</f>
        <v/>
      </c>
      <c r="X199">
        <f>HYPERLINK("https://klasma.github.io/Logging_171737/tillsyn/A 25217-2025 tillsynsbegäran.docx", "A 25217-2025")</f>
        <v/>
      </c>
      <c r="Y199">
        <f>HYPERLINK("https://klasma.github.io/Logging_171737/tillsynsmail/A 25217-2025 tillsynsbegäran mail.docx", "A 25217-2025")</f>
        <v/>
      </c>
    </row>
    <row r="200" ht="15" customHeight="1">
      <c r="A200" t="inlineStr">
        <is>
          <t>A 25276-2025</t>
        </is>
      </c>
      <c r="B200" s="1" t="n">
        <v>45800</v>
      </c>
      <c r="C200" s="1" t="n">
        <v>45832</v>
      </c>
      <c r="D200" t="inlineStr">
        <is>
          <t>VÄRMLANDS LÄN</t>
        </is>
      </c>
      <c r="E200" t="inlineStr">
        <is>
          <t>TORSBY</t>
        </is>
      </c>
      <c r="G200" t="n">
        <v>27.6</v>
      </c>
      <c r="H200" t="n">
        <v>0</v>
      </c>
      <c r="I200" t="n">
        <v>0</v>
      </c>
      <c r="J200" t="n">
        <v>1</v>
      </c>
      <c r="K200" t="n">
        <v>0</v>
      </c>
      <c r="L200" t="n">
        <v>0</v>
      </c>
      <c r="M200" t="n">
        <v>0</v>
      </c>
      <c r="N200" t="n">
        <v>0</v>
      </c>
      <c r="O200" t="n">
        <v>1</v>
      </c>
      <c r="P200" t="n">
        <v>0</v>
      </c>
      <c r="Q200" t="n">
        <v>1</v>
      </c>
      <c r="R200" s="2" t="inlineStr">
        <is>
          <t>Lunglav</t>
        </is>
      </c>
      <c r="S200">
        <f>HYPERLINK("https://klasma.github.io/Logging_171737/artfynd/A 25276-2025 artfynd.xlsx", "A 25276-2025")</f>
        <v/>
      </c>
      <c r="T200">
        <f>HYPERLINK("https://klasma.github.io/Logging_171737/kartor/A 25276-2025 karta.png", "A 25276-2025")</f>
        <v/>
      </c>
      <c r="V200">
        <f>HYPERLINK("https://klasma.github.io/Logging_171737/klagomål/A 25276-2025 FSC-klagomål.docx", "A 25276-2025")</f>
        <v/>
      </c>
      <c r="W200">
        <f>HYPERLINK("https://klasma.github.io/Logging_171737/klagomålsmail/A 25276-2025 FSC-klagomål mail.docx", "A 25276-2025")</f>
        <v/>
      </c>
      <c r="X200">
        <f>HYPERLINK("https://klasma.github.io/Logging_171737/tillsyn/A 25276-2025 tillsynsbegäran.docx", "A 25276-2025")</f>
        <v/>
      </c>
      <c r="Y200">
        <f>HYPERLINK("https://klasma.github.io/Logging_171737/tillsynsmail/A 25276-2025 tillsynsbegäran mail.docx", "A 25276-2025")</f>
        <v/>
      </c>
    </row>
    <row r="201" ht="15" customHeight="1">
      <c r="A201" t="inlineStr">
        <is>
          <t>A 25802-2025</t>
        </is>
      </c>
      <c r="B201" s="1" t="n">
        <v>45804</v>
      </c>
      <c r="C201" s="1" t="n">
        <v>45832</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45832</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45832</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45832</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45832</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45832</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45832</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45832</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45832</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45832</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45832</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45832</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45832</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45832</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45832</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45832</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45832</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45832</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45832</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45832</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45832</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45832</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45832</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45832</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45832</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45832</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45832</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45832</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45832</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45832</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45832</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45832</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45832</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45832</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45832</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45832</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45832</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45832</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45832</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45832</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45832</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45832</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45832</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45832</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45832</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45832</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45832</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45832</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45832</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45832</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45832</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45832</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45832</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45832</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45832</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45832</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45832</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45832</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45832</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45832</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45832</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45832</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45832</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45832</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45832</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45832</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45832</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45832</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45832</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45832</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45832</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45832</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45832</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45832</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45832</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45832</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45832</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45832</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45832</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45832</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45832</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45832</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45832</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45832</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45832</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45832</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45832</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45832</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45832</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45832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45832</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45832</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45832</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45832</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45832</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45832</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45832</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45832</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45832</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45832</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45832</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45832</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45832</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45832</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45832</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45832</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45832</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45832</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45832</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45832</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45832</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45832</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45832</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45832</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45832</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45832</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45832</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45832</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45832</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45832</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45832</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45832</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45832</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45832</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45832</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45832</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45832</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45832</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45832</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45832</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45832</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45832</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45832</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45832</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45832</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45832</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45832</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45832</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45832</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45832</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45832</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45832</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45832</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45832</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45832</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45832</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45832</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45832</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45832</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45832</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45832</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45832</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45832</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45832</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45832</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45832</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45832</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45832</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45832</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45832</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45832</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45832</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45832</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45832</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45832</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45832</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45832</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45832</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45832</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45832</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45832</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45832</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45832</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45832</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45832</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45832</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45832</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45832</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45832</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45832</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45832</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45832</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45832</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45832</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45832</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45832</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45832</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45832</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45832</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45832</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45832</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45832</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45832</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45832</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45832</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45832</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45832</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45832</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45832</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45832</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45832</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45832</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45832</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45832</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45832</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45832</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45832</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45832</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45832</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45832</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45832</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45832</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45832</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45832</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45832</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45832</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45832</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45832</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45832</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45832</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45832</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45832</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45832</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45832</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45832</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45832</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45832</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45832</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45832</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45832</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45832</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45832</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45832</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45832</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45832</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45832</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45832</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45832</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45832</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45832</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45832</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45832</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45832</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45832</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45832</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45832</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45832</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45832</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45832</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45832</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45832</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45832</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45832</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45832</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45832</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45832</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45832</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45832</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45832</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45832</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45832</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45832</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45832</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45832</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45832</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45832</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45832</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45832</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45832</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45832</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45832</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45832</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45832</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45832</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45832</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45832</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45832</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45832</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45832</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45832</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45832</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45832</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45832</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45832</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45832</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45832</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45832</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45832</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45832</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45832</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45832</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45832</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45832</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45832</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45832</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45832</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45832</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45832</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45832</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45832</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45832</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45832</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45832</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45832</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45832</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45832</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45832</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45832</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45832</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45832</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45832</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45832</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45832</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45832</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45832</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45832</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45832</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45832</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45832</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45832</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45832</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45832</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45832</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45832</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45832</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45832</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45832</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45832</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45832</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45832</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45832</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45832</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45832</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45832</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45832</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45832</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45832</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45832</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45832</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45832</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45832</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45832</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45832</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45832</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45832</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45832</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45832</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45832</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45832</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45832</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45832</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45832</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45832</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45832</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45832</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45832</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45832</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45832</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45832</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45832</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45832</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45832</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45832</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45832</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45832</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45832</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45832</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45832</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45832</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45832</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45832</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45832</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45832</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45832</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45832</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45832</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45832</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45832</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45832</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45832</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45832</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45832</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45832</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45832</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45832</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45832</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45832</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45832</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45832</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45832</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45832</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45832</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45832</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45832</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45832</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45832</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45832</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45832</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45832</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45832</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45832</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45832</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45832</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45832</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45832</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45832</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45832</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45832</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45832</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45832</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45832</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45832</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45832</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45832</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45832</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45832</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45832</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45832</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45832</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45832</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45832</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45832</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45832</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45832</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45832</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45832</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45832</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45832</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45832</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45832</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45832</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45832</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45832</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45832</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45832</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45832</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45832</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45832</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45832</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45832</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45832</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45832</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45832</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45832</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45832</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45832</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45832</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45832</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45832</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45832</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45832</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45832</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45832</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45832</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45832</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45832</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45832</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45832</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45832</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45832</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45832</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45832</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45832</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45832</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45832</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45832</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45832</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45832</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45832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45832</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45832</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45832</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45832</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45832</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45832</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45832</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45832</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45832</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45832</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45832</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45832</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45832</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45832</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45832</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45832</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45832</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45832</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45832</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45832</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45832</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45832</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45832</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45832</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45832</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45832</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45832</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45832</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45832</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45832</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45832</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45832</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45832</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45832</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45832</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45832</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45832</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45832</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45832</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45832</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45832</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45832</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45832</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45832</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45832</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45832</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45832</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45832</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45832</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45832</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45832</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45832</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45832</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45832</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45832</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45832</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45832</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45832</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45832</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45832</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45832</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45832</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45832</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45832</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45832</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45832</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45832</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45832</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45832</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45832</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45832</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45832</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45832</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45832</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45832</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45832</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45832</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45832</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45832</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45832</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45832</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45832</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45832</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45832</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45832</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45832</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45832</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45832</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45832</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45832</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45832</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45832</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45832</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45832</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45832</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45832</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45832</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45832</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45832</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45832</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45832</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45832</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45832</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45832</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45832</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45832</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45832</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45832</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45832</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45832</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45832</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45832</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45832</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45832</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45832</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45832</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45832</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45832</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45832</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45832</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45832</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45832</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45832</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45832</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45832</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45832</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45832</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45832</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45832</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45832</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45832</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45832</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45832</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45832</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45832</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45832</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45832</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45832</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45832</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45832</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45832</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45832</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45832</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45832</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45832</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45832</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45832</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45832</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45832</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45832</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45832</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45832</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45832</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45832</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45832</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45832</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45832</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45832</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45832</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45832</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45832</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45832</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45832</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45832</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45832</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45832</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45832</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45832</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45832</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45832</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45832</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45832</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45832</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45832</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45832</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45832</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45832</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45832</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45832</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45832</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45832</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45832</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45832</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45832</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45832</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45832</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45832</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45832</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45832</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45832</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45832</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45832</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45832</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45832</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45832</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45832</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45832</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45832</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45832</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45832</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45832</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45832</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45832</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45832</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45832</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45832</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45832</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45832</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45832</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45832</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45832</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45832</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45832</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45832</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45832</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45832</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45832</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45832</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45832</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45832</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45832</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45832</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45832</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45832</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45832</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45832</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45832</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45832</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45832</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45832</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45832</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45832</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45832</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45832</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45832</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45832</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45832</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45832</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45832</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45832</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45832</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45832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45832</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45832</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45832</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45832</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45832</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45832</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45832</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45832</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45832</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45832</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45832</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45832</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45832</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45832</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45832</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45832</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45832</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45832</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45832</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45832</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45832</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45832</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45832</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45832</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45832</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45832</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45832</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45832</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45832</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45832</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45832</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45832</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45832</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45832</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45832</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45832</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45832</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45832</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45832</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45832</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45832</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45832</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45832</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45832</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45832</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45832</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45832</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45832</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45832</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45832</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45832</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45832</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45832</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45832</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45832</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45832</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45832</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45832</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45832</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45832</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45832</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45832</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45832</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45832</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45832</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45832</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45832</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45832</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45832</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45832</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45832</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45832</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45832</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45832</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45832</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45832</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45832</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45832</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45832</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45832</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45832</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45832</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45832</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45832</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45832</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45832</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45832</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45832</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45832</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45832</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45832</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45832</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45832</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45832</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45832</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45832</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45832</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45832</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45832</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45832</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45832</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45832</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45832</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45832</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45832</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45832</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45832</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45832</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45832</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45832</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45832</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45832</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45832</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45832</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45832</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45832</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45832</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45832</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45832</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45832</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45832</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45832</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45832</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45832</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45832</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45832</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45832</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45832</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45832</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45832</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45832</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45832</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45832</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45832</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45832</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45832</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45832</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45832</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45832</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45832</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45832</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45832</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45832</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45832</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45832</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45832</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45832</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45832</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45832</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45832</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45832</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45832</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45832</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45832</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45832</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45832</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45832</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45832</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45832</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45832</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45832</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45832</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45832</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45832</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45832</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45832</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45832</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45832</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45832</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45832</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45832</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45832</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45832</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45832</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45832</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45832</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45832</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45832</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45832</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45832</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45832</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45832</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45832</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45832</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45832</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45832</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45832</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45832</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45832</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45832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45832</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45832</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45832</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45832</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45832</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45832</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45832</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45832</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45832</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45832</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45832</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45832</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45832</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45832</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45832</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45832</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45832</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45832</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45832</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45832</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45832</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45832</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45832</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45832</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45832</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45832</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45832</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45832</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45832</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45832</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45832</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45832</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45832</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45832</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45832</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45832</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45832</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45832</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45832</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45832</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45832</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45832</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45832</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45832</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45832</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45832</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45832</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45832</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45832</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45832</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45832</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45832</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45832</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45832</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45832</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45832</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45832</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45832</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45832</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45832</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45832</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45832</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45832</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45832</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45832</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45832</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45832</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45832</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45832</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45832</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45832</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45832</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45832</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45832</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45832</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45832</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45832</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45832</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45832</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45832</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45832</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45832</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45832</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45832</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45832</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45832</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45832</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45832</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45832</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45832</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45832</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45832</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45832</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45832</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45832</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45832</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45832</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45832</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45832</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45832</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45832</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45832</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45832</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45832</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45832</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45832</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45832</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45832</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45832</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45832</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45832</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45832</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45832</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45832</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45832</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45832</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45832</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45832</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45832</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45832</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45832</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45832</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45832</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45832</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45832</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45832</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45832</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45832</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45832</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45832</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45832</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45832</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45832</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45832</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45832</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45832</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45832</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45832</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45832</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45832</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45832</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45832</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45832</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45832</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45832</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45832</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45832</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45832</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45832</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45832</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45832</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45832</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45832</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45832</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45832</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45832</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45832</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45832</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45832</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45832</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45832</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45832</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45832</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45832</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45832</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45832</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45832</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45832</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45832</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45832</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45832</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45832</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45832</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45832</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45832</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45832</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45832</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45832</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45832</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45832</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45832</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45832</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45832</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45832</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45832</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45832</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45832</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45832</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45832</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45832</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45832</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45832</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45832</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45832</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45832</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45832</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45832</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45832</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45832</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45832</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45832</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45832</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45832</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45832</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45832</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45832</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45832</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45832</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45832</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45832</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45832</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45832</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45832</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45832</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45832</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45832</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45832</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45832</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45832</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45832</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45832</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45832</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45832</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45832</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45832</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45832</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45832</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45832</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45832</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45832</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45832</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45832</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45832</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45832</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45832</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45832</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45832</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45832</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45832</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45832</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45832</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45832</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45832</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45832</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45832</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45832</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45832</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45832</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45832</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45832</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45832</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45832</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45832</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45832</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45832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45832</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45832</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45832</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45832</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45832</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45832</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45832</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45832</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45832</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45832</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45832</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45832</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45832</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45832</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45832</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45832</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45832</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45832</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45832</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45832</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45832</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45832</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45832</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45832</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45832</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45832</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45832</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45832</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45832</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45832</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45832</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45832</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45832</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45832</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45832</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45832</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45832</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45832</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45832</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45832</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45832</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45832</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45832</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45832</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45832</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45832</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45832</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45832</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45832</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45832</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45832</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45832</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45832</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45832</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45832</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45832</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45832</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45832</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45832</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45832</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45832</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45832</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45832</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45832</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45832</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45832</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45832</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45832</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45832</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45832</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45832</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45832</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45832</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45832</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45832</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45832</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45832</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45832</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45832</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45832</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45832</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45832</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45832</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45832</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45832</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45832</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45832</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45832</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45832</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45832</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45832</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45832</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45832</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45832</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45832</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45832</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45832</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45832</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45832</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45832</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45832</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45832</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45832</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45832</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45832</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45832</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45832</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45832</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45832</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45832</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45832</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45832</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45832</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45832</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45832</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45832</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45832</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45832</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45832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45832</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45832</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45832</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45832</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45832</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45832</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45832</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45832</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45832</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45832</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45832</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45832</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45832</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45832</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45832</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45832</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45832</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45832</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45832</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45832</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45832</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45832</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45832</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45832</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45832</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45832</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45832</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45832</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45832</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45832</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45832</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45832</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45832</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45832</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45832</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45832</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45832</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45832</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45832</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45832</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45832</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45832</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45832</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45832</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45832</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45832</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45832</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45832</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45832</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45832</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45832</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45832</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45832</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45832</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45832</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45832</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45832</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45832</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45832</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45832</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45832</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45832</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45832</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45832</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45832</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45832</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45832</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45832</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45832</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45832</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45832</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45832</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45832</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45832</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45832</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45832</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45832</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45832</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45832</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45832</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45832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45832</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45832</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45832</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45832</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45832</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45832</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45832</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45832</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45832</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45832</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45832</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45832</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45832</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45832</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45832</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45832</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45832</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45832</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45832</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45832</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45832</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45832</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45832</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45832</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45832</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45832</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45832</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45832</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45832</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45832</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45832</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45832</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45832</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45832</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45832</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45832</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45832</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45832</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45832</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45832</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45832</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45832</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45832</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45832</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45832</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45832</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45832</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45832</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45832</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45832</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45832</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45832</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45832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45832</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45832</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45832</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45832</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45832</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45832</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45832</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45832</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45832</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45832</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45832</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45832</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45832</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45832</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45832</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45832</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45832</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45832</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45832</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45832</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45832</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45832</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45832</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45832</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45832</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45832</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45832</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45832</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45832</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45832</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45832</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45832</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45832</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45832</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45832</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45832</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45832</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45832</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45832</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45832</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45832</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45832</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45832</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45832</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45832</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45832</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45832</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45832</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45832</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45832</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45832</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45832</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45832</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45832</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45832</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45832</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45832</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45832</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45832</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45832</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45832</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45832</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45832</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45832</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45832</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45832</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45832</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45832</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45832</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45832</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45832</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45832</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45832</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45832</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45832</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45832</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45832</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45832</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45832</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45832</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45832</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45832</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45832</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45832</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45832</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45832</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45832</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45832</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45832</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45832</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45832</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45832</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45832</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45832</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45832</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45832</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45832</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45832</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45832</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45832</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45832</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45832</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45832</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45832</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45832</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45832</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45832</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45832</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45832</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45832</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45832</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45832</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45832</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45832</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45832</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45832</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45832</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45832</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45832</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45832</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45832</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45832</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45832</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45832</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45832</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45832</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45832</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45832</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45832</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45832</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45832</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45832</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45832</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45832</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45832</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45832</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45832</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45832</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45832</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45832</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45832</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45832</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45832</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45832</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45832</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45832</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45832</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45832</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45832</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45832</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45832</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45832</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45832</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45832</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45832</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45832</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45832</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45832</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45832</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45832</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45832</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45832</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45832</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45832</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45832</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45832</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45832</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45832</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45832</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45832</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45832</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45832</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45832</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45832</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45832</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45832</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45832</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45832</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45832</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45832</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45832</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45832</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45832</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45832</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45832</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45832</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45832</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45832</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45832</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45832</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45832</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45832</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45832</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45832</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45832</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45832</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45832</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45832</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45832</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45832</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45832</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45832</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45832</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45832</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45832</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45832</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45832</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45832</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45832</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45832</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45832</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45832</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45832</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45832</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45832</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45832</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45832</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45832</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45832</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45832</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45832</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45832</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45832</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45832</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45832</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45832</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45832</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45832</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45832</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45832</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45832</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45832</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45832</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45832</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45832</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45832</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45832</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45832</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45832</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45832</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45832</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45832</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45832</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45832</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45832</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45832</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45832</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45832</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45832</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45832</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45832</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45832</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45832</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45832</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45832</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45832</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45832</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45832</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45832</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45832</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45832</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45832</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45832</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45832</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45832</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45832</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45832</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45832</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45832</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45832</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45832</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45832</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45832</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45832</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45832</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45832</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45832</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45832</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45832</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45832</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45832</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45832</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45832</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45832</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45832</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45832</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45832</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45832</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45832</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45832</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45832</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45832</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45832</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45832</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45832</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45832</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45832</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45832</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45832</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45832</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45832</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45832</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45832</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45832</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45832</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45832</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45832</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45832</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45832</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45832</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45832</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45832</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45832</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45832</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45832</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45832</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45832</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45832</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45832</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45832</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45832</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45832</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45832</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45832</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45832</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45832</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45832</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45832</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45832</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45832</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45832</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45832</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45832</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45832</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45832</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45832</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45832</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45832</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45832</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45832</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45832</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45832</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45832</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45832</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45832</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45832</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45832</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45832</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45832</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45832</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45832</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45832</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45832</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45832</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45832</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45832</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45832</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45832</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45832</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45832</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45832</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45832</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45832</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45832</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45832</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45832</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45832</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45832</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45832</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45832</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45832</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45832</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45832</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45832</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45832</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45832</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45832</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45832</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45832</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45832</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45832</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45832</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45832</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45832</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45832</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45832</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45832</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45832</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45832</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45832</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45832</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45832</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45832</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45832</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45832</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45832</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45832</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45832</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45832</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45832</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45832</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45832</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45832</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45832</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45832</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45832</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45832</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45832</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45832</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45832</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45832</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45832</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45832</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45832</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45832</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45832</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45832</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45832</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45832</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45832</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45832</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45832</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45832</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45832</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45832</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45832</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45832</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45832</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45832</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45832</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45832</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45832</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45832</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45832</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45832</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45832</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45832</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45832</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45832</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45832</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45832</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45832</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45832</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45832</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45832</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45832</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45832</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45832</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45832</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45832</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45832</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45832</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45832</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45832</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45832</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45832</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45832</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45832</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45832</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45832</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45832</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45832</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45832</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45832</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45832</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45832</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45832</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45832</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45832</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45832</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45832</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45832</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45832</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45832</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45832</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45832</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45832</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45832</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45832</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45832</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45832</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45832</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45832</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45832</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45832</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45832</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45832</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45832</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45832</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45832</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45832</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45832</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45832</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45832</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45832</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45832</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45832</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45832</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45832</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45832</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45832</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45832</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45832</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45832</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45832</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45832</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45832</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45832</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45832</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45832</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45832</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45832</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45832</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45832</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45832</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45832</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45832</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45832</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45832</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45832</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45832</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45832</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45832</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45832</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45832</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45832</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45832</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45832</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45832</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45832</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45832</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45832</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45832</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45832</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45832</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45832</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45832</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45832</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45832</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45832</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45832</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45832</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45832</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45832</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45832</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45832</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45832</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45832</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45832</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45832</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45832</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45832</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45832</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45832</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45832</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45832</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45832</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45832</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45832</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45832</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45832</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45832</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45832</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45832</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45832</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45832</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45832</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45832</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45832</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45832</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45832</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45832</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45832</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45832</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45832</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45832</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45832</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45832</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45832</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45832</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45832</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45832</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45832</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45832</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45832</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45832</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45832</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45832</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45832</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45832</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45832</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45832</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45832</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45832</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45832</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45832</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45832</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45832</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45832</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45832</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45832</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45832</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45832</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45832</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45832</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45832</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45832</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45832</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45832</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45832</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45832</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45832</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45832</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45832</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45832</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45832</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45832</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45832</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45832</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45832</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45832</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45832</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45832</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45832</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45832</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45832</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45832</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45832</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45832</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45832</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45832</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45832</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45832</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45832</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45832</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45832</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45832</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45832</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45832</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45832</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45832</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45832</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45832</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45832</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45832</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45832</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45832</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45832</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45832</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45832</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45832</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45832</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45832</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45832</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45832</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45832</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45832</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45832</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45832</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45832</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45832</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45832</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45832</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45832</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45832</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45832</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45832</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45832</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45832</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45832</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45832</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45832</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45832</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45832</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45832</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45832</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45832</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45832</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45832</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45832</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45832</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45832</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45832</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45832</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45832</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45832</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45832</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45832</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45832</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45832</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45832</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45832</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45832</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45832</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45832</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45832</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45832</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45832</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45832</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45832</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45832</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45832</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45832</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45832</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45832</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45832</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45832</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45832</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45832</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45832</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45832</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45832</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45832</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45832</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45832</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45832</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45832</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45832</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45832</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45832</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45832</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45832</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45832</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45832</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45832</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45832</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45832</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45832</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45832</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45832</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45832</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45832</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45832</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45832</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45832</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45832</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45832</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45832</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45832</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45832</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45832</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45832</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45832</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45832</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45832</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45832</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45832</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45832</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45832</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45832</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45832</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45832</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45832</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45832</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45832</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45832</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45832</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45832</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45832</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45832</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45832</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45832</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45832</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45832</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45832</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45832</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45832</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45832</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45832</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45832</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45832</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45832</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45832</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45832</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45832</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45832</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45832</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45832</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45832</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45832</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45832</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45832</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45832</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45832</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45832</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45832</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45832</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45832</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45832</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45832</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45832</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45832</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45832</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45832</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45832</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45832</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45832</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45832</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45832</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45832</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45832</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45832</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45832</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45832</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45832</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45832</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45832</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45832</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45832</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45832</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45832</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45832</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45832</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45832</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45832</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45832</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45832</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45832</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45832</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45832</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45832</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45832</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45832</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45832</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45832</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45832</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45832</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45832</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45832</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45832</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45832</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45832</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45832</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45832</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45832</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45832</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45832</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45832</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45832</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45832</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45832</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45832</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45832</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45832</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45832</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45832</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45832</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45832</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45832</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45832</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45832</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45832</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45832</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45832</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45832</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45832</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45832</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45832</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45832</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45832</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45832</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45832</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45832</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45832</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45832</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45832</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45832</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45832</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45832</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45832</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45832</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45832</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45832</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45832</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45832</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45832</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45832</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45832</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45832</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45832</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45832</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45832</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45832</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45832</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45832</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45832</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45832</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45832</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45832</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45832</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45832</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45832</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45832</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45832</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45832</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45832</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45832</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45832</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45832</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45832</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45832</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45832</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45832</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45832</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45832</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45832</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45832</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45832</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45832</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45832</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45832</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45832</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45832</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45832</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45832</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45832</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45832</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45832</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45832</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45832</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45832</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45832</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45832</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45832</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45832</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45832</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45832</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45832</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45832</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45832</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45832</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45832</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45832</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45832</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45832</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45832</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45832</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45832</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45832</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45832</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45832</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45832</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45832</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45832</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45832</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45832</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45832</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45832</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45832</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45832</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45832</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45832</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45832</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45832</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45832</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45832</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45832</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45832</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45832</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45832</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45832</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45832</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45832</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45832</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45832</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45832</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45832</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45832</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45832</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45832</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45832</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45832</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45832</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45832</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45832</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45832</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45832</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45832</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45832</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45832</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45832</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45832</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45832</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45832</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45832</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45832</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45832</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45832</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45832</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45832</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45832</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45832</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45832</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45832</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45832</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45832</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45832</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45832</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45832</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45832</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45832</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45832</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45832</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45832</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45832</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45832</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45832</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45832</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45832</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45832</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45832</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45832</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45832</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45832</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45832</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45832</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45832</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45832</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45832</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45832</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45832</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45832</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45832</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45832</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45832</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45832</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45832</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45832</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45832</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45832</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45832</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45832</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45832</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45832</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45832</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45832</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45832</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45832</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45832</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45832</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45832</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45832</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45832</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45832</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45832</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45832</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45832</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45832</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45832</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45832</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45832</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45832</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45832</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45832</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45832</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45832</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45832</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45832</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45832</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45832</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45832</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45832</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45832</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45832</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45832</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45832</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45832</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45832</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45832</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45832</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45832</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45832</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45832</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45832</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45832</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45832</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45832</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45832</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45832</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45832</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45832</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45832</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45832</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45832</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45832</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45832</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45832</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45832</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45832</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45832</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45832</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45832</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45832</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45832</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45832</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45832</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45832</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45832</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45832</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45832</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45832</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45832</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45832</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45832</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45832</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45832</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45832</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45832</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45832</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45832</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45832</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45832</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45832</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45832</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45832</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45832</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45832</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45832</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45832</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45832</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45832</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45832</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45832</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45832</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45832</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45832</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45832</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45832</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45832</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45832</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45832</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45832</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45832</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45832</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45832</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45832</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45832</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45832</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45832</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45832</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45832</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45832</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45832</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45832</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45832</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45832</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45832</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45832</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45832</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45832</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45832</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45832</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45832</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45832</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45832</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45832</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45832</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45832</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45832</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45832</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45832</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45832</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45832</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45832</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45832</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45832</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45832</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45832</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45832</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45832</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45832</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45832</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45832</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45832</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45832</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45832</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45832</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45832</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45832</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45832</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45832</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45832</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45832</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45832</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45832</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45832</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45832</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45832</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45832</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45832</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45832</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45832</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45832</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45832</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45832</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45832</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45832</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45832</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45832</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45832</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45832</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45832</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45832</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45832</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45832</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45832</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45832</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45832</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45832</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45832</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45832</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45832</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45832</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45832</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45832</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45832</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45832</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45832</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45832</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45832</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45832</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45832</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45832</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45832</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45832</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45832</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45832</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45832</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45832</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45832</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45832</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45832</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45832</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45832</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45832</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45832</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45832</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45832</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45832</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45832</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45832</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45832</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45832</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45832</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45832</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45832</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45832</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45832</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45832</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45832</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45832</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45832</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45832</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45832</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45832</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45832</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45832</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45832</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45832</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45832</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45832</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45832</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45832</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45832</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45832</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45832</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45832</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45832</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45832</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45832</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45832</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45832</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45832</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45832</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45832</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45832</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45832</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45832</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45832</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45832</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45832</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45832</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45832</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45832</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45832</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45832</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45832</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45832</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45832</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45832</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45832</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45832</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45832</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45832</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45832</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45832</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45832</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45832</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45832</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45832</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45832</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45832</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45832</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45832</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45832</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45832</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45832</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45832</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45832</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45832</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45832</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45832</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45832</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45832</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45832</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45832</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45832</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45832</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45832</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45832</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45832</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45832</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45832</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45832</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45832</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45832</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45832</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45832</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45832</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45832</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45832</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45832</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45832</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45832</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45832</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45832</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45832</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45832</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45832</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45832</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45832</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45832</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45832</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45832</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45832</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45832</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45832</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45832</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45832</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45832</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45832</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45832</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45832</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45832</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45832</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45832</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45832</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45832</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45832</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45832</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45832</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45832</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45832</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45832</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45832</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45832</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45832</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45832</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45832</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45832</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45832</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45832</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45832</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45832</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45832</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45832</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45832</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45832</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45832</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45832</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45832</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45832</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45832</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45832</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45832</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45832</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45832</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45832</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45832</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45832</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45832</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45832</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45832</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45832</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45832</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45832</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45832</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45832</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45832</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45832</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45832</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45832</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45832</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45832</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45832</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45832</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45832</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45832</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45832</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45832</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45832</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45832</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45832</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45832</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45832</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45832</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45832</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45832</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45832</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45832</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45832</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45832</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45832</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45832</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45832</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45832</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45832</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45832</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45832</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45832</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45832</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45832</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45832</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45832</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45832</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45832</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45832</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45832</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45832</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45832</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45832</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45832</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45832</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45832</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45832</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45832</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45832</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45832</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45832</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45832</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45832</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45832</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45832</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45832</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45832</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45832</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45832</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45832</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45832</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45832</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45832</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45832</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45832</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45832</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45832</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45832</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45832</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45832</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45832</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45832</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45832</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45832</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45832</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45832</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45832</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45832</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45832</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45832</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45832</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45832</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45832</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45832</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45832</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45832</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45832</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45832</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45832</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45832</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45832</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45832</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45832</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45832</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45832</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45832</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45832</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45832</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45832</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45832</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45832</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45832</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45832</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45832</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45832</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45832</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45832</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45832</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45832</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45832</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45832</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45832</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45832</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45832</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45832</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45832</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45832</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45832</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45832</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45832</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45832</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45832</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45832</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45832</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45832</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45832</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45832</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45832</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45832</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45832</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45832</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45832</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45832</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45832</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45832</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45832</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45832</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45832</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45832</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45832</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45832</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45832</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45832</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45832</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45832</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45832</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45832</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45832</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45832</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45832</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45832</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45832</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45832</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45832</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45832</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45832</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45832</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45832</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45832</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45832</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45832</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45832</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45832</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45832</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45832</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45832</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45832</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45832</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45832</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45832</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45832</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45832</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45832</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45832</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45832</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45832</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45832</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45832</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45832</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45832</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45832</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45832</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45832</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45832</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45832</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45832</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45832</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45832</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45832</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45832</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45832</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45832</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45832</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45832</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45832</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45832</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45832</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45832</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45832</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45832</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45832</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45832</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45832</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45832</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45832</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45832</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45832</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45832</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45832</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45832</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45832</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45832</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45832</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45832</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45832</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45832</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45832</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45832</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45832</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45832</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45832</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45832</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45832</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45832</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45832</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45832</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45832</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45832</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45832</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45832</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45832</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45832</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45832</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45832</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45832</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45832</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45832</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45832</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45832</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45832</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45832</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45832</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45832</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45832</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45832</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45832</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45832</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45832</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45832</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45832</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45832</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45832</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45832</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45832</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45832</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45832</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45832</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45832</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45832</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45832</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45832</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45832</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45832</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45832</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45832</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45832</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45832</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45832</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45832</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45832</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45832</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45832</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45832</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45832</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45832</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45832</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45832</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45832</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45832</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45832</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45832</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45832</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45832</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45832</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45832</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45832</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45832</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45832</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45832</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45832</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45832</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45832</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45832</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45832</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45832</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45832</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45832</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45832</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45832</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45832</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45832</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45832</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45832</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45832</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45832</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45832</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45832</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45832</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45832</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45832</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45832</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45832</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45832</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45832</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45832</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45832</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45832</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45832</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45832</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45832</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45832</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45832</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45832</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45832</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45832</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45832</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45832</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45832</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45832</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45832</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45832</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45832</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45832</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45832</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45832</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45832</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45832</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45832</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45832</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45832</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45832</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45832</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45832</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45832</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45832</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45832</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45832</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45832</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45832</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45832</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45832</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45832</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45832</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45832</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45832</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45832</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45832</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45832</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45832</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45832</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45832</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45832</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45832</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45832</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45832</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45832</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45832</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45832</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45832</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45832</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45832</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45832</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45832</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45832</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24455-2025</t>
        </is>
      </c>
      <c r="B3382" s="1" t="n">
        <v>45798</v>
      </c>
      <c r="C3382" s="1" t="n">
        <v>45832</v>
      </c>
      <c r="D3382" t="inlineStr">
        <is>
          <t>VÄRMLANDS LÄN</t>
        </is>
      </c>
      <c r="E3382" t="inlineStr">
        <is>
          <t>TORSBY</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24576-2025</t>
        </is>
      </c>
      <c r="B3383" s="1" t="n">
        <v>45798</v>
      </c>
      <c r="C3383" s="1" t="n">
        <v>45832</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24580-2025</t>
        </is>
      </c>
      <c r="B3384" s="1" t="n">
        <v>45798</v>
      </c>
      <c r="C3384" s="1" t="n">
        <v>45832</v>
      </c>
      <c r="D3384" t="inlineStr">
        <is>
          <t>VÄRMLANDS LÄN</t>
        </is>
      </c>
      <c r="E3384" t="inlineStr">
        <is>
          <t>TORSBY</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45832</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24528-2025</t>
        </is>
      </c>
      <c r="B3386" s="1" t="n">
        <v>45798</v>
      </c>
      <c r="C3386" s="1" t="n">
        <v>45832</v>
      </c>
      <c r="D3386" t="inlineStr">
        <is>
          <t>VÄRMLANDS LÄN</t>
        </is>
      </c>
      <c r="E3386" t="inlineStr">
        <is>
          <t>TORSBY</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24597-2025</t>
        </is>
      </c>
      <c r="B3387" s="1" t="n">
        <v>45798</v>
      </c>
      <c r="C3387" s="1" t="n">
        <v>45832</v>
      </c>
      <c r="D3387" t="inlineStr">
        <is>
          <t>VÄRMLANDS LÄN</t>
        </is>
      </c>
      <c r="E3387" t="inlineStr">
        <is>
          <t>TORSBY</t>
        </is>
      </c>
      <c r="F3387" t="inlineStr">
        <is>
          <t>Övriga statliga verk och myndigheter</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24599-2025</t>
        </is>
      </c>
      <c r="B3388" s="1" t="n">
        <v>45798</v>
      </c>
      <c r="C3388" s="1" t="n">
        <v>45832</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24757-2025</t>
        </is>
      </c>
      <c r="B3389" s="1" t="n">
        <v>45799</v>
      </c>
      <c r="C3389" s="1" t="n">
        <v>45832</v>
      </c>
      <c r="D3389" t="inlineStr">
        <is>
          <t>VÄRMLANDS LÄN</t>
        </is>
      </c>
      <c r="E3389" t="inlineStr">
        <is>
          <t>TORSBY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25050-2025</t>
        </is>
      </c>
      <c r="B3390" s="1" t="n">
        <v>45799</v>
      </c>
      <c r="C3390" s="1" t="n">
        <v>45832</v>
      </c>
      <c r="D3390" t="inlineStr">
        <is>
          <t>VÄRMLANDS LÄN</t>
        </is>
      </c>
      <c r="E3390" t="inlineStr">
        <is>
          <t>TORSBY</t>
        </is>
      </c>
      <c r="F3390" t="inlineStr">
        <is>
          <t>Bergvik skog väst AB</t>
        </is>
      </c>
      <c r="G3390" t="n">
        <v>39.7</v>
      </c>
      <c r="H3390" t="n">
        <v>0</v>
      </c>
      <c r="I3390" t="n">
        <v>0</v>
      </c>
      <c r="J3390" t="n">
        <v>0</v>
      </c>
      <c r="K3390" t="n">
        <v>0</v>
      </c>
      <c r="L3390" t="n">
        <v>0</v>
      </c>
      <c r="M3390" t="n">
        <v>0</v>
      </c>
      <c r="N3390" t="n">
        <v>0</v>
      </c>
      <c r="O3390" t="n">
        <v>0</v>
      </c>
      <c r="P3390" t="n">
        <v>0</v>
      </c>
      <c r="Q3390" t="n">
        <v>0</v>
      </c>
      <c r="R3390" s="2" t="inlineStr"/>
    </row>
    <row r="3391" ht="15" customHeight="1">
      <c r="A3391" t="inlineStr">
        <is>
          <t>A 24967-2025</t>
        </is>
      </c>
      <c r="B3391" s="1" t="n">
        <v>45799</v>
      </c>
      <c r="C3391" s="1" t="n">
        <v>45832</v>
      </c>
      <c r="D3391" t="inlineStr">
        <is>
          <t>VÄRMLANDS LÄN</t>
        </is>
      </c>
      <c r="E3391" t="inlineStr">
        <is>
          <t>TORSBY</t>
        </is>
      </c>
      <c r="F3391" t="inlineStr">
        <is>
          <t>Bergvik skog väst AB</t>
        </is>
      </c>
      <c r="G3391" t="n">
        <v>17.6</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45832</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24726-2025</t>
        </is>
      </c>
      <c r="B3393" s="1" t="n">
        <v>45799</v>
      </c>
      <c r="C3393" s="1" t="n">
        <v>45832</v>
      </c>
      <c r="D3393" t="inlineStr">
        <is>
          <t>VÄRMLANDS LÄN</t>
        </is>
      </c>
      <c r="E3393" t="inlineStr">
        <is>
          <t>TORSBY</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25296-2025</t>
        </is>
      </c>
      <c r="B3394" s="1" t="n">
        <v>45800</v>
      </c>
      <c r="C3394" s="1" t="n">
        <v>45832</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25218-2025</t>
        </is>
      </c>
      <c r="B3395" s="1" t="n">
        <v>45800</v>
      </c>
      <c r="C3395" s="1" t="n">
        <v>45832</v>
      </c>
      <c r="D3395" t="inlineStr">
        <is>
          <t>VÄRMLANDS LÄN</t>
        </is>
      </c>
      <c r="E3395" t="inlineStr">
        <is>
          <t>TORSBY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25428-2025</t>
        </is>
      </c>
      <c r="B3396" s="1" t="n">
        <v>45800</v>
      </c>
      <c r="C3396" s="1" t="n">
        <v>45832</v>
      </c>
      <c r="D3396" t="inlineStr">
        <is>
          <t>VÄRMLANDS LÄN</t>
        </is>
      </c>
      <c r="E3396" t="inlineStr">
        <is>
          <t>TORSBY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25353-2025</t>
        </is>
      </c>
      <c r="B3397" s="1" t="n">
        <v>45800</v>
      </c>
      <c r="C3397" s="1" t="n">
        <v>45832</v>
      </c>
      <c r="D3397" t="inlineStr">
        <is>
          <t>VÄRMLANDS LÄN</t>
        </is>
      </c>
      <c r="E3397" t="inlineStr">
        <is>
          <t>TORSBY</t>
        </is>
      </c>
      <c r="F3397" t="inlineStr">
        <is>
          <t>Bergvik skog väst AB</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25369-2025</t>
        </is>
      </c>
      <c r="B3398" s="1" t="n">
        <v>45800</v>
      </c>
      <c r="C3398" s="1" t="n">
        <v>45832</v>
      </c>
      <c r="D3398" t="inlineStr">
        <is>
          <t>VÄRMLANDS LÄN</t>
        </is>
      </c>
      <c r="E3398" t="inlineStr">
        <is>
          <t>TORSBY</t>
        </is>
      </c>
      <c r="F3398" t="inlineStr">
        <is>
          <t>Bergvik skog väst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25186-2025</t>
        </is>
      </c>
      <c r="B3399" s="1" t="n">
        <v>45800</v>
      </c>
      <c r="C3399" s="1" t="n">
        <v>45832</v>
      </c>
      <c r="D3399" t="inlineStr">
        <is>
          <t>VÄRMLANDS LÄN</t>
        </is>
      </c>
      <c r="E3399" t="inlineStr">
        <is>
          <t>TORSBY</t>
        </is>
      </c>
      <c r="F3399" t="inlineStr">
        <is>
          <t>Kyrkan</t>
        </is>
      </c>
      <c r="G3399" t="n">
        <v>10.2</v>
      </c>
      <c r="H3399" t="n">
        <v>0</v>
      </c>
      <c r="I3399" t="n">
        <v>0</v>
      </c>
      <c r="J3399" t="n">
        <v>0</v>
      </c>
      <c r="K3399" t="n">
        <v>0</v>
      </c>
      <c r="L3399" t="n">
        <v>0</v>
      </c>
      <c r="M3399" t="n">
        <v>0</v>
      </c>
      <c r="N3399" t="n">
        <v>0</v>
      </c>
      <c r="O3399" t="n">
        <v>0</v>
      </c>
      <c r="P3399" t="n">
        <v>0</v>
      </c>
      <c r="Q3399" t="n">
        <v>0</v>
      </c>
      <c r="R3399" s="2" t="inlineStr"/>
    </row>
    <row r="3400" ht="15" customHeight="1">
      <c r="A3400" t="inlineStr">
        <is>
          <t>A 25227-2025</t>
        </is>
      </c>
      <c r="B3400" s="1" t="n">
        <v>45800</v>
      </c>
      <c r="C3400" s="1" t="n">
        <v>45832</v>
      </c>
      <c r="D3400" t="inlineStr">
        <is>
          <t>VÄRMLANDS LÄN</t>
        </is>
      </c>
      <c r="E3400" t="inlineStr">
        <is>
          <t>TORSBY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25328-2025</t>
        </is>
      </c>
      <c r="B3401" s="1" t="n">
        <v>45800</v>
      </c>
      <c r="C3401" s="1" t="n">
        <v>45832</v>
      </c>
      <c r="D3401" t="inlineStr">
        <is>
          <t>VÄRMLANDS LÄN</t>
        </is>
      </c>
      <c r="E3401" t="inlineStr">
        <is>
          <t>TORSBY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45832</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45832</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45832</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25653-2025</t>
        </is>
      </c>
      <c r="B3405" s="1" t="n">
        <v>45803</v>
      </c>
      <c r="C3405" s="1" t="n">
        <v>45832</v>
      </c>
      <c r="D3405" t="inlineStr">
        <is>
          <t>VÄRMLANDS LÄN</t>
        </is>
      </c>
      <c r="E3405" t="inlineStr">
        <is>
          <t>TORSBY</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45832</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45832</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25959-2025</t>
        </is>
      </c>
      <c r="B3408" s="1" t="n">
        <v>45804</v>
      </c>
      <c r="C3408" s="1" t="n">
        <v>45832</v>
      </c>
      <c r="D3408" t="inlineStr">
        <is>
          <t>VÄRMLANDS LÄN</t>
        </is>
      </c>
      <c r="E3408" t="inlineStr">
        <is>
          <t>TORSBY</t>
        </is>
      </c>
      <c r="F3408" t="inlineStr">
        <is>
          <t>Bergvik skog väst AB</t>
        </is>
      </c>
      <c r="G3408" t="n">
        <v>17.6</v>
      </c>
      <c r="H3408" t="n">
        <v>0</v>
      </c>
      <c r="I3408" t="n">
        <v>0</v>
      </c>
      <c r="J3408" t="n">
        <v>0</v>
      </c>
      <c r="K3408" t="n">
        <v>0</v>
      </c>
      <c r="L3408" t="n">
        <v>0</v>
      </c>
      <c r="M3408" t="n">
        <v>0</v>
      </c>
      <c r="N3408" t="n">
        <v>0</v>
      </c>
      <c r="O3408" t="n">
        <v>0</v>
      </c>
      <c r="P3408" t="n">
        <v>0</v>
      </c>
      <c r="Q3408" t="n">
        <v>0</v>
      </c>
      <c r="R3408" s="2" t="inlineStr"/>
    </row>
    <row r="3409" ht="15" customHeight="1">
      <c r="A3409" t="inlineStr">
        <is>
          <t>A 25974-2025</t>
        </is>
      </c>
      <c r="B3409" s="1" t="n">
        <v>45804</v>
      </c>
      <c r="C3409" s="1" t="n">
        <v>45832</v>
      </c>
      <c r="D3409" t="inlineStr">
        <is>
          <t>VÄRMLANDS LÄN</t>
        </is>
      </c>
      <c r="E3409" t="inlineStr">
        <is>
          <t>TORSBY</t>
        </is>
      </c>
      <c r="F3409" t="inlineStr">
        <is>
          <t>Bergvik skog väst AB</t>
        </is>
      </c>
      <c r="G3409" t="n">
        <v>24.6</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45832</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45832</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25808-2025</t>
        </is>
      </c>
      <c r="B3412" s="1" t="n">
        <v>45804</v>
      </c>
      <c r="C3412" s="1" t="n">
        <v>45832</v>
      </c>
      <c r="D3412" t="inlineStr">
        <is>
          <t>VÄRMLANDS LÄN</t>
        </is>
      </c>
      <c r="E3412" t="inlineStr">
        <is>
          <t>TORSBY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25917-2025</t>
        </is>
      </c>
      <c r="B3413" s="1" t="n">
        <v>45804</v>
      </c>
      <c r="C3413" s="1" t="n">
        <v>45832</v>
      </c>
      <c r="D3413" t="inlineStr">
        <is>
          <t>VÄRMLANDS LÄN</t>
        </is>
      </c>
      <c r="E3413" t="inlineStr">
        <is>
          <t>TORSBY</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25956-2025</t>
        </is>
      </c>
      <c r="B3414" s="1" t="n">
        <v>45804</v>
      </c>
      <c r="C3414" s="1" t="n">
        <v>45832</v>
      </c>
      <c r="D3414" t="inlineStr">
        <is>
          <t>VÄRMLANDS LÄN</t>
        </is>
      </c>
      <c r="E3414" t="inlineStr">
        <is>
          <t>TORSBY</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25961-2025</t>
        </is>
      </c>
      <c r="B3415" s="1" t="n">
        <v>45804</v>
      </c>
      <c r="C3415" s="1" t="n">
        <v>45832</v>
      </c>
      <c r="D3415" t="inlineStr">
        <is>
          <t>VÄRMLANDS LÄN</t>
        </is>
      </c>
      <c r="E3415" t="inlineStr">
        <is>
          <t>TORSBY</t>
        </is>
      </c>
      <c r="G3415" t="n">
        <v>17.8</v>
      </c>
      <c r="H3415" t="n">
        <v>0</v>
      </c>
      <c r="I3415" t="n">
        <v>0</v>
      </c>
      <c r="J3415" t="n">
        <v>0</v>
      </c>
      <c r="K3415" t="n">
        <v>0</v>
      </c>
      <c r="L3415" t="n">
        <v>0</v>
      </c>
      <c r="M3415" t="n">
        <v>0</v>
      </c>
      <c r="N3415" t="n">
        <v>0</v>
      </c>
      <c r="O3415" t="n">
        <v>0</v>
      </c>
      <c r="P3415" t="n">
        <v>0</v>
      </c>
      <c r="Q3415" t="n">
        <v>0</v>
      </c>
      <c r="R3415" s="2" t="inlineStr"/>
    </row>
    <row r="3416" ht="15" customHeight="1">
      <c r="A3416" t="inlineStr">
        <is>
          <t>A 25915-2025</t>
        </is>
      </c>
      <c r="B3416" s="1" t="n">
        <v>45804</v>
      </c>
      <c r="C3416" s="1" t="n">
        <v>45832</v>
      </c>
      <c r="D3416" t="inlineStr">
        <is>
          <t>VÄRMLANDS LÄN</t>
        </is>
      </c>
      <c r="E3416" t="inlineStr">
        <is>
          <t>TORSBY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25866-2025</t>
        </is>
      </c>
      <c r="B3417" s="1" t="n">
        <v>45804</v>
      </c>
      <c r="C3417" s="1" t="n">
        <v>45832</v>
      </c>
      <c r="D3417" t="inlineStr">
        <is>
          <t>VÄRMLANDS LÄN</t>
        </is>
      </c>
      <c r="E3417" t="inlineStr">
        <is>
          <t>TORSBY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25881-2025</t>
        </is>
      </c>
      <c r="B3418" s="1" t="n">
        <v>45804</v>
      </c>
      <c r="C3418" s="1" t="n">
        <v>45832</v>
      </c>
      <c r="D3418" t="inlineStr">
        <is>
          <t>VÄRMLANDS LÄN</t>
        </is>
      </c>
      <c r="E3418" t="inlineStr">
        <is>
          <t>TORSBY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25859-2025</t>
        </is>
      </c>
      <c r="B3419" s="1" t="n">
        <v>45804</v>
      </c>
      <c r="C3419" s="1" t="n">
        <v>45832</v>
      </c>
      <c r="D3419" t="inlineStr">
        <is>
          <t>VÄRMLANDS LÄN</t>
        </is>
      </c>
      <c r="E3419" t="inlineStr">
        <is>
          <t>TORSBY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26342-2025</t>
        </is>
      </c>
      <c r="B3420" s="1" t="n">
        <v>45805</v>
      </c>
      <c r="C3420" s="1" t="n">
        <v>45832</v>
      </c>
      <c r="D3420" t="inlineStr">
        <is>
          <t>VÄRMLANDS LÄN</t>
        </is>
      </c>
      <c r="E3420" t="inlineStr">
        <is>
          <t>TORSBY</t>
        </is>
      </c>
      <c r="F3420" t="inlineStr">
        <is>
          <t>Bergvik skog väst AB</t>
        </is>
      </c>
      <c r="G3420" t="n">
        <v>13.6</v>
      </c>
      <c r="H3420" t="n">
        <v>0</v>
      </c>
      <c r="I3420" t="n">
        <v>0</v>
      </c>
      <c r="J3420" t="n">
        <v>0</v>
      </c>
      <c r="K3420" t="n">
        <v>0</v>
      </c>
      <c r="L3420" t="n">
        <v>0</v>
      </c>
      <c r="M3420" t="n">
        <v>0</v>
      </c>
      <c r="N3420" t="n">
        <v>0</v>
      </c>
      <c r="O3420" t="n">
        <v>0</v>
      </c>
      <c r="P3420" t="n">
        <v>0</v>
      </c>
      <c r="Q3420" t="n">
        <v>0</v>
      </c>
      <c r="R3420" s="2" t="inlineStr"/>
    </row>
    <row r="3421" ht="15" customHeight="1">
      <c r="A3421" t="inlineStr">
        <is>
          <t>A 26061-2025</t>
        </is>
      </c>
      <c r="B3421" s="1" t="n">
        <v>45805</v>
      </c>
      <c r="C3421" s="1" t="n">
        <v>45832</v>
      </c>
      <c r="D3421" t="inlineStr">
        <is>
          <t>VÄRMLANDS LÄN</t>
        </is>
      </c>
      <c r="E3421" t="inlineStr">
        <is>
          <t>TORSBY</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45832</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45832</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45832</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45832</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45832</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26491-2025</t>
        </is>
      </c>
      <c r="B3427" s="1" t="n">
        <v>45807</v>
      </c>
      <c r="C3427" s="1" t="n">
        <v>45832</v>
      </c>
      <c r="D3427" t="inlineStr">
        <is>
          <t>VÄRMLANDS LÄN</t>
        </is>
      </c>
      <c r="E3427" t="inlineStr">
        <is>
          <t>TORSBY</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26479-2025</t>
        </is>
      </c>
      <c r="B3428" s="1" t="n">
        <v>45807</v>
      </c>
      <c r="C3428" s="1" t="n">
        <v>45832</v>
      </c>
      <c r="D3428" t="inlineStr">
        <is>
          <t>VÄRMLANDS LÄN</t>
        </is>
      </c>
      <c r="E3428" t="inlineStr">
        <is>
          <t>TORSBY</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26504-2025</t>
        </is>
      </c>
      <c r="B3429" s="1" t="n">
        <v>45807</v>
      </c>
      <c r="C3429" s="1" t="n">
        <v>45832</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26505-2025</t>
        </is>
      </c>
      <c r="B3430" s="1" t="n">
        <v>45807</v>
      </c>
      <c r="C3430" s="1" t="n">
        <v>45832</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26539-2025</t>
        </is>
      </c>
      <c r="B3431" s="1" t="n">
        <v>45807</v>
      </c>
      <c r="C3431" s="1" t="n">
        <v>45832</v>
      </c>
      <c r="D3431" t="inlineStr">
        <is>
          <t>VÄRMLANDS LÄN</t>
        </is>
      </c>
      <c r="E3431" t="inlineStr">
        <is>
          <t>TORSBY</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26563-2025</t>
        </is>
      </c>
      <c r="B3432" s="1" t="n">
        <v>45807</v>
      </c>
      <c r="C3432" s="1" t="n">
        <v>45832</v>
      </c>
      <c r="D3432" t="inlineStr">
        <is>
          <t>VÄRMLANDS LÄN</t>
        </is>
      </c>
      <c r="E3432" t="inlineStr">
        <is>
          <t>TORSBY</t>
        </is>
      </c>
      <c r="F3432" t="inlineStr">
        <is>
          <t>Bergvik skog väst AB</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26507-2025</t>
        </is>
      </c>
      <c r="B3433" s="1" t="n">
        <v>45807</v>
      </c>
      <c r="C3433" s="1" t="n">
        <v>45832</v>
      </c>
      <c r="D3433" t="inlineStr">
        <is>
          <t>VÄRMLANDS LÄN</t>
        </is>
      </c>
      <c r="E3433" t="inlineStr">
        <is>
          <t>TORSBY</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26533-2025</t>
        </is>
      </c>
      <c r="B3434" s="1" t="n">
        <v>45807</v>
      </c>
      <c r="C3434" s="1" t="n">
        <v>45832</v>
      </c>
      <c r="D3434" t="inlineStr">
        <is>
          <t>VÄRMLANDS LÄN</t>
        </is>
      </c>
      <c r="E3434" t="inlineStr">
        <is>
          <t>TORSBY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26564-2025</t>
        </is>
      </c>
      <c r="B3435" s="1" t="n">
        <v>45807</v>
      </c>
      <c r="C3435" s="1" t="n">
        <v>45832</v>
      </c>
      <c r="D3435" t="inlineStr">
        <is>
          <t>VÄRMLANDS LÄN</t>
        </is>
      </c>
      <c r="E3435" t="inlineStr">
        <is>
          <t>TORSBY</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26487-2025</t>
        </is>
      </c>
      <c r="B3436" s="1" t="n">
        <v>45807</v>
      </c>
      <c r="C3436" s="1" t="n">
        <v>45832</v>
      </c>
      <c r="D3436" t="inlineStr">
        <is>
          <t>VÄRMLANDS LÄN</t>
        </is>
      </c>
      <c r="E3436" t="inlineStr">
        <is>
          <t>TORSBY</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26511-2025</t>
        </is>
      </c>
      <c r="B3437" s="1" t="n">
        <v>45807</v>
      </c>
      <c r="C3437" s="1" t="n">
        <v>45832</v>
      </c>
      <c r="D3437" t="inlineStr">
        <is>
          <t>VÄRMLANDS LÄN</t>
        </is>
      </c>
      <c r="E3437" t="inlineStr">
        <is>
          <t>TORSBY</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45832</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45832</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45832</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45832</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26960-2025</t>
        </is>
      </c>
      <c r="B3442" s="1" t="n">
        <v>45811</v>
      </c>
      <c r="C3442" s="1" t="n">
        <v>45832</v>
      </c>
      <c r="D3442" t="inlineStr">
        <is>
          <t>VÄRMLANDS LÄN</t>
        </is>
      </c>
      <c r="E3442" t="inlineStr">
        <is>
          <t>TORSBY</t>
        </is>
      </c>
      <c r="F3442" t="inlineStr">
        <is>
          <t>Kyrkan</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27043-2025</t>
        </is>
      </c>
      <c r="B3443" s="1" t="n">
        <v>45811</v>
      </c>
      <c r="C3443" s="1" t="n">
        <v>45832</v>
      </c>
      <c r="D3443" t="inlineStr">
        <is>
          <t>VÄRMLANDS LÄN</t>
        </is>
      </c>
      <c r="E3443" t="inlineStr">
        <is>
          <t>TORSBY</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26897-2025</t>
        </is>
      </c>
      <c r="B3444" s="1" t="n">
        <v>45811</v>
      </c>
      <c r="C3444" s="1" t="n">
        <v>45832</v>
      </c>
      <c r="D3444" t="inlineStr">
        <is>
          <t>VÄRMLANDS LÄN</t>
        </is>
      </c>
      <c r="E3444" t="inlineStr">
        <is>
          <t>TORSBY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27056-2025</t>
        </is>
      </c>
      <c r="B3445" s="1" t="n">
        <v>45811</v>
      </c>
      <c r="C3445" s="1" t="n">
        <v>45832</v>
      </c>
      <c r="D3445" t="inlineStr">
        <is>
          <t>VÄRMLANDS LÄN</t>
        </is>
      </c>
      <c r="E3445" t="inlineStr">
        <is>
          <t>TORSBY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45832</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45832</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26890-2025</t>
        </is>
      </c>
      <c r="B3448" s="1" t="n">
        <v>45811</v>
      </c>
      <c r="C3448" s="1" t="n">
        <v>45832</v>
      </c>
      <c r="D3448" t="inlineStr">
        <is>
          <t>VÄRMLANDS LÄN</t>
        </is>
      </c>
      <c r="E3448" t="inlineStr">
        <is>
          <t>TORSBY</t>
        </is>
      </c>
      <c r="F3448" t="inlineStr">
        <is>
          <t>Bergvik skog väst AB</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26898-2025</t>
        </is>
      </c>
      <c r="B3449" s="1" t="n">
        <v>45811</v>
      </c>
      <c r="C3449" s="1" t="n">
        <v>45832</v>
      </c>
      <c r="D3449" t="inlineStr">
        <is>
          <t>VÄRMLANDS LÄN</t>
        </is>
      </c>
      <c r="E3449" t="inlineStr">
        <is>
          <t>TORSBY</t>
        </is>
      </c>
      <c r="F3449" t="inlineStr">
        <is>
          <t>Övriga Aktiebolag</t>
        </is>
      </c>
      <c r="G3449" t="n">
        <v>37.8</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45832</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27174-2025</t>
        </is>
      </c>
      <c r="B3451" s="1" t="n">
        <v>45812</v>
      </c>
      <c r="C3451" s="1" t="n">
        <v>45832</v>
      </c>
      <c r="D3451" t="inlineStr">
        <is>
          <t>VÄRMLANDS LÄN</t>
        </is>
      </c>
      <c r="E3451" t="inlineStr">
        <is>
          <t>TORSBY</t>
        </is>
      </c>
      <c r="F3451" t="inlineStr">
        <is>
          <t>Kyrkan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27291-2025</t>
        </is>
      </c>
      <c r="B3452" s="1" t="n">
        <v>45812</v>
      </c>
      <c r="C3452" s="1" t="n">
        <v>45832</v>
      </c>
      <c r="D3452" t="inlineStr">
        <is>
          <t>VÄRMLANDS LÄN</t>
        </is>
      </c>
      <c r="E3452" t="inlineStr">
        <is>
          <t>TORSBY</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27450-2025</t>
        </is>
      </c>
      <c r="B3453" s="1" t="n">
        <v>45813</v>
      </c>
      <c r="C3453" s="1" t="n">
        <v>45832</v>
      </c>
      <c r="D3453" t="inlineStr">
        <is>
          <t>VÄRMLANDS LÄN</t>
        </is>
      </c>
      <c r="E3453" t="inlineStr">
        <is>
          <t>TORSBY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27467-2025</t>
        </is>
      </c>
      <c r="B3454" s="1" t="n">
        <v>45813</v>
      </c>
      <c r="C3454" s="1" t="n">
        <v>45832</v>
      </c>
      <c r="D3454" t="inlineStr">
        <is>
          <t>VÄRMLANDS LÄN</t>
        </is>
      </c>
      <c r="E3454" t="inlineStr">
        <is>
          <t>TORSBY</t>
        </is>
      </c>
      <c r="F3454" t="inlineStr">
        <is>
          <t>Bergvik skog väst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27674-2025</t>
        </is>
      </c>
      <c r="B3455" s="1" t="n">
        <v>45813</v>
      </c>
      <c r="C3455" s="1" t="n">
        <v>45832</v>
      </c>
      <c r="D3455" t="inlineStr">
        <is>
          <t>VÄRMLANDS LÄN</t>
        </is>
      </c>
      <c r="E3455" t="inlineStr">
        <is>
          <t>TORSBY</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27470-2025</t>
        </is>
      </c>
      <c r="B3456" s="1" t="n">
        <v>45813</v>
      </c>
      <c r="C3456" s="1" t="n">
        <v>45832</v>
      </c>
      <c r="D3456" t="inlineStr">
        <is>
          <t>VÄRMLANDS LÄN</t>
        </is>
      </c>
      <c r="E3456" t="inlineStr">
        <is>
          <t>TORSBY</t>
        </is>
      </c>
      <c r="G3456" t="n">
        <v>17.9</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45832</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45832</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45832</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27759-2025</t>
        </is>
      </c>
      <c r="B3460" s="1" t="n">
        <v>45816</v>
      </c>
      <c r="C3460" s="1" t="n">
        <v>45832</v>
      </c>
      <c r="D3460" t="inlineStr">
        <is>
          <t>VÄRMLANDS LÄN</t>
        </is>
      </c>
      <c r="E3460" t="inlineStr">
        <is>
          <t>TORSBY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27758-2025</t>
        </is>
      </c>
      <c r="B3461" s="1" t="n">
        <v>45816</v>
      </c>
      <c r="C3461" s="1" t="n">
        <v>45832</v>
      </c>
      <c r="D3461" t="inlineStr">
        <is>
          <t>VÄRMLANDS LÄN</t>
        </is>
      </c>
      <c r="E3461" t="inlineStr">
        <is>
          <t>TORSBY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27906-2025</t>
        </is>
      </c>
      <c r="B3462" s="1" t="n">
        <v>45817</v>
      </c>
      <c r="C3462" s="1" t="n">
        <v>45832</v>
      </c>
      <c r="D3462" t="inlineStr">
        <is>
          <t>VÄRMLANDS LÄN</t>
        </is>
      </c>
      <c r="E3462" t="inlineStr">
        <is>
          <t>TORSBY</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27962-2025</t>
        </is>
      </c>
      <c r="B3463" s="1" t="n">
        <v>45817</v>
      </c>
      <c r="C3463" s="1" t="n">
        <v>45832</v>
      </c>
      <c r="D3463" t="inlineStr">
        <is>
          <t>VÄRMLANDS LÄN</t>
        </is>
      </c>
      <c r="E3463" t="inlineStr">
        <is>
          <t>TORSBY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27968-2025</t>
        </is>
      </c>
      <c r="B3464" s="1" t="n">
        <v>45817</v>
      </c>
      <c r="C3464" s="1" t="n">
        <v>45832</v>
      </c>
      <c r="D3464" t="inlineStr">
        <is>
          <t>VÄRMLANDS LÄN</t>
        </is>
      </c>
      <c r="E3464" t="inlineStr">
        <is>
          <t>TORSBY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45832</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27863-2025</t>
        </is>
      </c>
      <c r="B3466" s="1" t="n">
        <v>45817</v>
      </c>
      <c r="C3466" s="1" t="n">
        <v>45832</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45832</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45832</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45832</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28214-2025</t>
        </is>
      </c>
      <c r="B3470" s="1" t="n">
        <v>45818</v>
      </c>
      <c r="C3470" s="1" t="n">
        <v>45832</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45832</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28511-2025</t>
        </is>
      </c>
      <c r="B3472" s="1" t="n">
        <v>45819</v>
      </c>
      <c r="C3472" s="1" t="n">
        <v>45832</v>
      </c>
      <c r="D3472" t="inlineStr">
        <is>
          <t>VÄRMLANDS LÄN</t>
        </is>
      </c>
      <c r="E3472" t="inlineStr">
        <is>
          <t>TORSBY</t>
        </is>
      </c>
      <c r="F3472" t="inlineStr">
        <is>
          <t>Bergvik skog väst AB</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45832</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28757-2025</t>
        </is>
      </c>
      <c r="B3474" s="1" t="n">
        <v>45820</v>
      </c>
      <c r="C3474" s="1" t="n">
        <v>45832</v>
      </c>
      <c r="D3474" t="inlineStr">
        <is>
          <t>VÄRMLANDS LÄN</t>
        </is>
      </c>
      <c r="E3474" t="inlineStr">
        <is>
          <t>TORSBY</t>
        </is>
      </c>
      <c r="G3474" t="n">
        <v>12.1</v>
      </c>
      <c r="H3474" t="n">
        <v>0</v>
      </c>
      <c r="I3474" t="n">
        <v>0</v>
      </c>
      <c r="J3474" t="n">
        <v>0</v>
      </c>
      <c r="K3474" t="n">
        <v>0</v>
      </c>
      <c r="L3474" t="n">
        <v>0</v>
      </c>
      <c r="M3474" t="n">
        <v>0</v>
      </c>
      <c r="N3474" t="n">
        <v>0</v>
      </c>
      <c r="O3474" t="n">
        <v>0</v>
      </c>
      <c r="P3474" t="n">
        <v>0</v>
      </c>
      <c r="Q3474" t="n">
        <v>0</v>
      </c>
      <c r="R3474" s="2" t="inlineStr"/>
    </row>
    <row r="3475" ht="15" customHeight="1">
      <c r="A3475" t="inlineStr">
        <is>
          <t>A 28765-2025</t>
        </is>
      </c>
      <c r="B3475" s="1" t="n">
        <v>45820</v>
      </c>
      <c r="C3475" s="1" t="n">
        <v>45832</v>
      </c>
      <c r="D3475" t="inlineStr">
        <is>
          <t>VÄRMLANDS LÄN</t>
        </is>
      </c>
      <c r="E3475" t="inlineStr">
        <is>
          <t>TORSBY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28791-2025</t>
        </is>
      </c>
      <c r="B3476" s="1" t="n">
        <v>45820</v>
      </c>
      <c r="C3476" s="1" t="n">
        <v>45832</v>
      </c>
      <c r="D3476" t="inlineStr">
        <is>
          <t>VÄRMLANDS LÄN</t>
        </is>
      </c>
      <c r="E3476" t="inlineStr">
        <is>
          <t>TORSBY</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28761-2025</t>
        </is>
      </c>
      <c r="B3477" s="1" t="n">
        <v>45820</v>
      </c>
      <c r="C3477" s="1" t="n">
        <v>45832</v>
      </c>
      <c r="D3477" t="inlineStr">
        <is>
          <t>VÄRMLANDS LÄN</t>
        </is>
      </c>
      <c r="E3477" t="inlineStr">
        <is>
          <t>TORSBY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28774-2025</t>
        </is>
      </c>
      <c r="B3478" s="1" t="n">
        <v>45820</v>
      </c>
      <c r="C3478" s="1" t="n">
        <v>45832</v>
      </c>
      <c r="D3478" t="inlineStr">
        <is>
          <t>VÄRMLANDS LÄN</t>
        </is>
      </c>
      <c r="E3478" t="inlineStr">
        <is>
          <t>TORSBY</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28784-2025</t>
        </is>
      </c>
      <c r="B3479" s="1" t="n">
        <v>45820</v>
      </c>
      <c r="C3479" s="1" t="n">
        <v>45832</v>
      </c>
      <c r="D3479" t="inlineStr">
        <is>
          <t>VÄRMLANDS LÄN</t>
        </is>
      </c>
      <c r="E3479" t="inlineStr">
        <is>
          <t>TORSBY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28939-2025</t>
        </is>
      </c>
      <c r="B3480" s="1" t="n">
        <v>45820</v>
      </c>
      <c r="C3480" s="1" t="n">
        <v>45832</v>
      </c>
      <c r="D3480" t="inlineStr">
        <is>
          <t>VÄRMLANDS LÄN</t>
        </is>
      </c>
      <c r="E3480" t="inlineStr">
        <is>
          <t>TORSBY</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28898-2025</t>
        </is>
      </c>
      <c r="B3481" s="1" t="n">
        <v>45820</v>
      </c>
      <c r="C3481" s="1" t="n">
        <v>45832</v>
      </c>
      <c r="D3481" t="inlineStr">
        <is>
          <t>VÄRMLANDS LÄN</t>
        </is>
      </c>
      <c r="E3481" t="inlineStr">
        <is>
          <t>TORSBY</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45832</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45832</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29130-2025</t>
        </is>
      </c>
      <c r="B3484" s="1" t="n">
        <v>45821</v>
      </c>
      <c r="C3484" s="1" t="n">
        <v>45832</v>
      </c>
      <c r="D3484" t="inlineStr">
        <is>
          <t>VÄRMLANDS LÄN</t>
        </is>
      </c>
      <c r="E3484" t="inlineStr">
        <is>
          <t>TORSBY</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29307-2025</t>
        </is>
      </c>
      <c r="B3485" s="1" t="n">
        <v>45824</v>
      </c>
      <c r="C3485" s="1" t="n">
        <v>45832</v>
      </c>
      <c r="D3485" t="inlineStr">
        <is>
          <t>VÄRMLANDS LÄN</t>
        </is>
      </c>
      <c r="E3485" t="inlineStr">
        <is>
          <t>TORSBY</t>
        </is>
      </c>
      <c r="F3485" t="inlineStr">
        <is>
          <t>Övriga Aktiebolag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29312-2025</t>
        </is>
      </c>
      <c r="B3486" s="1" t="n">
        <v>45824</v>
      </c>
      <c r="C3486" s="1" t="n">
        <v>45832</v>
      </c>
      <c r="D3486" t="inlineStr">
        <is>
          <t>VÄRMLANDS LÄN</t>
        </is>
      </c>
      <c r="E3486" t="inlineStr">
        <is>
          <t>TORSBY</t>
        </is>
      </c>
      <c r="F3486" t="inlineStr">
        <is>
          <t>Övriga Aktiebolag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29251-2025</t>
        </is>
      </c>
      <c r="B3487" s="1" t="n">
        <v>45824</v>
      </c>
      <c r="C3487" s="1" t="n">
        <v>45832</v>
      </c>
      <c r="D3487" t="inlineStr">
        <is>
          <t>VÄRMLANDS LÄN</t>
        </is>
      </c>
      <c r="E3487" t="inlineStr">
        <is>
          <t>TORSBY</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29403-2025</t>
        </is>
      </c>
      <c r="B3488" s="1" t="n">
        <v>45824</v>
      </c>
      <c r="C3488" s="1" t="n">
        <v>45832</v>
      </c>
      <c r="D3488" t="inlineStr">
        <is>
          <t>VÄRMLANDS LÄN</t>
        </is>
      </c>
      <c r="E3488" t="inlineStr">
        <is>
          <t>TORSBY</t>
        </is>
      </c>
      <c r="F3488" t="inlineStr">
        <is>
          <t>Bergvik skog väst AB</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29512-2025</t>
        </is>
      </c>
      <c r="B3489" s="1" t="n">
        <v>45825</v>
      </c>
      <c r="C3489" s="1" t="n">
        <v>45832</v>
      </c>
      <c r="D3489" t="inlineStr">
        <is>
          <t>VÄRMLANDS LÄN</t>
        </is>
      </c>
      <c r="E3489" t="inlineStr">
        <is>
          <t>TORSBY</t>
        </is>
      </c>
      <c r="F3489" t="inlineStr">
        <is>
          <t>Bergvik skog väst AB</t>
        </is>
      </c>
      <c r="G3489" t="n">
        <v>17.9</v>
      </c>
      <c r="H3489" t="n">
        <v>0</v>
      </c>
      <c r="I3489" t="n">
        <v>0</v>
      </c>
      <c r="J3489" t="n">
        <v>0</v>
      </c>
      <c r="K3489" t="n">
        <v>0</v>
      </c>
      <c r="L3489" t="n">
        <v>0</v>
      </c>
      <c r="M3489" t="n">
        <v>0</v>
      </c>
      <c r="N3489" t="n">
        <v>0</v>
      </c>
      <c r="O3489" t="n">
        <v>0</v>
      </c>
      <c r="P3489" t="n">
        <v>0</v>
      </c>
      <c r="Q3489" t="n">
        <v>0</v>
      </c>
      <c r="R3489" s="2" t="inlineStr"/>
    </row>
    <row r="3490" ht="15" customHeight="1">
      <c r="A3490" t="inlineStr">
        <is>
          <t>A 29525-2025</t>
        </is>
      </c>
      <c r="B3490" s="1" t="n">
        <v>45825</v>
      </c>
      <c r="C3490" s="1" t="n">
        <v>45832</v>
      </c>
      <c r="D3490" t="inlineStr">
        <is>
          <t>VÄRMLANDS LÄN</t>
        </is>
      </c>
      <c r="E3490" t="inlineStr">
        <is>
          <t>TORSBY</t>
        </is>
      </c>
      <c r="F3490" t="inlineStr">
        <is>
          <t>Bergvik skog väst AB</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29587-2025</t>
        </is>
      </c>
      <c r="B3491" s="1" t="n">
        <v>45825</v>
      </c>
      <c r="C3491" s="1" t="n">
        <v>45832</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29641-2025</t>
        </is>
      </c>
      <c r="B3492" s="1" t="n">
        <v>45825</v>
      </c>
      <c r="C3492" s="1" t="n">
        <v>45832</v>
      </c>
      <c r="D3492" t="inlineStr">
        <is>
          <t>VÄRMLANDS LÄN</t>
        </is>
      </c>
      <c r="E3492" t="inlineStr">
        <is>
          <t>TORSBY</t>
        </is>
      </c>
      <c r="G3492" t="n">
        <v>23.4</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45832</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29650-2025</t>
        </is>
      </c>
      <c r="B3494" s="1" t="n">
        <v>45825</v>
      </c>
      <c r="C3494" s="1" t="n">
        <v>45832</v>
      </c>
      <c r="D3494" t="inlineStr">
        <is>
          <t>VÄRMLANDS LÄN</t>
        </is>
      </c>
      <c r="E3494" t="inlineStr">
        <is>
          <t>TORSBY</t>
        </is>
      </c>
      <c r="G3494" t="n">
        <v>16.8</v>
      </c>
      <c r="H3494" t="n">
        <v>0</v>
      </c>
      <c r="I3494" t="n">
        <v>0</v>
      </c>
      <c r="J3494" t="n">
        <v>0</v>
      </c>
      <c r="K3494" t="n">
        <v>0</v>
      </c>
      <c r="L3494" t="n">
        <v>0</v>
      </c>
      <c r="M3494" t="n">
        <v>0</v>
      </c>
      <c r="N3494" t="n">
        <v>0</v>
      </c>
      <c r="O3494" t="n">
        <v>0</v>
      </c>
      <c r="P3494" t="n">
        <v>0</v>
      </c>
      <c r="Q3494" t="n">
        <v>0</v>
      </c>
      <c r="R3494" s="2" t="inlineStr"/>
    </row>
    <row r="3495" ht="15" customHeight="1">
      <c r="A3495" t="inlineStr">
        <is>
          <t>A 30026-2025</t>
        </is>
      </c>
      <c r="B3495" s="1" t="n">
        <v>45826</v>
      </c>
      <c r="C3495" s="1" t="n">
        <v>45832</v>
      </c>
      <c r="D3495" t="inlineStr">
        <is>
          <t>VÄRMLANDS LÄN</t>
        </is>
      </c>
      <c r="E3495" t="inlineStr">
        <is>
          <t>TORSBY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30078-2025</t>
        </is>
      </c>
      <c r="B3496" s="1" t="n">
        <v>45826</v>
      </c>
      <c r="C3496" s="1" t="n">
        <v>45832</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30074-2025</t>
        </is>
      </c>
      <c r="B3497" s="1" t="n">
        <v>45826</v>
      </c>
      <c r="C3497" s="1" t="n">
        <v>45832</v>
      </c>
      <c r="D3497" t="inlineStr">
        <is>
          <t>VÄRMLANDS LÄN</t>
        </is>
      </c>
      <c r="E3497" t="inlineStr">
        <is>
          <t>TORSBY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30153-2025</t>
        </is>
      </c>
      <c r="B3498" s="1" t="n">
        <v>45827</v>
      </c>
      <c r="C3498" s="1" t="n">
        <v>45832</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30388-2025</t>
        </is>
      </c>
      <c r="B3499" s="1" t="n">
        <v>45827</v>
      </c>
      <c r="C3499" s="1" t="n">
        <v>45832</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30199-2025</t>
        </is>
      </c>
      <c r="B3500" s="1" t="n">
        <v>45827</v>
      </c>
      <c r="C3500" s="1" t="n">
        <v>45832</v>
      </c>
      <c r="D3500" t="inlineStr">
        <is>
          <t>VÄRMLANDS LÄN</t>
        </is>
      </c>
      <c r="E3500" t="inlineStr">
        <is>
          <t>TORSBY</t>
        </is>
      </c>
      <c r="F3500" t="inlineStr">
        <is>
          <t>Bergvik skog väst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30214-2025</t>
        </is>
      </c>
      <c r="B3501" s="1" t="n">
        <v>45827</v>
      </c>
      <c r="C3501" s="1" t="n">
        <v>45832</v>
      </c>
      <c r="D3501" t="inlineStr">
        <is>
          <t>VÄRMLANDS LÄN</t>
        </is>
      </c>
      <c r="E3501" t="inlineStr">
        <is>
          <t>TORSBY</t>
        </is>
      </c>
      <c r="F3501" t="inlineStr">
        <is>
          <t>Bergvik skog väst AB</t>
        </is>
      </c>
      <c r="G3501" t="n">
        <v>13.9</v>
      </c>
      <c r="H3501" t="n">
        <v>0</v>
      </c>
      <c r="I3501" t="n">
        <v>0</v>
      </c>
      <c r="J3501" t="n">
        <v>0</v>
      </c>
      <c r="K3501" t="n">
        <v>0</v>
      </c>
      <c r="L3501" t="n">
        <v>0</v>
      </c>
      <c r="M3501" t="n">
        <v>0</v>
      </c>
      <c r="N3501" t="n">
        <v>0</v>
      </c>
      <c r="O3501" t="n">
        <v>0</v>
      </c>
      <c r="P3501" t="n">
        <v>0</v>
      </c>
      <c r="Q3501" t="n">
        <v>0</v>
      </c>
      <c r="R3501" s="2" t="inlineStr"/>
    </row>
    <row r="3502" ht="15" customHeight="1">
      <c r="A3502" t="inlineStr">
        <is>
          <t>A 30151-2025</t>
        </is>
      </c>
      <c r="B3502" s="1" t="n">
        <v>45827</v>
      </c>
      <c r="C3502" s="1" t="n">
        <v>45832</v>
      </c>
      <c r="D3502" t="inlineStr">
        <is>
          <t>VÄRMLANDS LÄN</t>
        </is>
      </c>
      <c r="E3502" t="inlineStr">
        <is>
          <t>TORSBY</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30333-2025</t>
        </is>
      </c>
      <c r="B3503" s="1" t="n">
        <v>45827</v>
      </c>
      <c r="C3503" s="1" t="n">
        <v>45832</v>
      </c>
      <c r="D3503" t="inlineStr">
        <is>
          <t>VÄRMLANDS LÄN</t>
        </is>
      </c>
      <c r="E3503" t="inlineStr">
        <is>
          <t>TORSBY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45832</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45832</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30377-2025</t>
        </is>
      </c>
      <c r="B3506" s="1" t="n">
        <v>45827</v>
      </c>
      <c r="C3506" s="1" t="n">
        <v>45832</v>
      </c>
      <c r="D3506" t="inlineStr">
        <is>
          <t>VÄRMLANDS LÄN</t>
        </is>
      </c>
      <c r="E3506" t="inlineStr">
        <is>
          <t>TORSBY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30717-2025</t>
        </is>
      </c>
      <c r="B3507" s="1" t="n">
        <v>45831</v>
      </c>
      <c r="C3507" s="1" t="n">
        <v>45832</v>
      </c>
      <c r="D3507" t="inlineStr">
        <is>
          <t>VÄRMLANDS LÄN</t>
        </is>
      </c>
      <c r="E3507" t="inlineStr">
        <is>
          <t>TORSBY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30735-2025</t>
        </is>
      </c>
      <c r="B3508" s="1" t="n">
        <v>45831</v>
      </c>
      <c r="C3508" s="1" t="n">
        <v>45832</v>
      </c>
      <c r="D3508" t="inlineStr">
        <is>
          <t>VÄRMLANDS LÄN</t>
        </is>
      </c>
      <c r="E3508" t="inlineStr">
        <is>
          <t>TORSBY</t>
        </is>
      </c>
      <c r="F3508" t="inlineStr">
        <is>
          <t>Bergvik skog väst AB</t>
        </is>
      </c>
      <c r="G3508" t="n">
        <v>11.2</v>
      </c>
      <c r="H3508" t="n">
        <v>0</v>
      </c>
      <c r="I3508" t="n">
        <v>0</v>
      </c>
      <c r="J3508" t="n">
        <v>0</v>
      </c>
      <c r="K3508" t="n">
        <v>0</v>
      </c>
      <c r="L3508" t="n">
        <v>0</v>
      </c>
      <c r="M3508" t="n">
        <v>0</v>
      </c>
      <c r="N3508" t="n">
        <v>0</v>
      </c>
      <c r="O3508" t="n">
        <v>0</v>
      </c>
      <c r="P3508" t="n">
        <v>0</v>
      </c>
      <c r="Q3508" t="n">
        <v>0</v>
      </c>
      <c r="R3508" s="2" t="inlineStr"/>
    </row>
    <row r="3509" ht="15" customHeight="1">
      <c r="A3509" t="inlineStr">
        <is>
          <t>A 30607-2025</t>
        </is>
      </c>
      <c r="B3509" s="1" t="n">
        <v>45831</v>
      </c>
      <c r="C3509" s="1" t="n">
        <v>45832</v>
      </c>
      <c r="D3509" t="inlineStr">
        <is>
          <t>VÄRMLANDS LÄN</t>
        </is>
      </c>
      <c r="E3509" t="inlineStr">
        <is>
          <t>TORSBY</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30738-2025</t>
        </is>
      </c>
      <c r="B3510" s="1" t="n">
        <v>45831</v>
      </c>
      <c r="C3510" s="1" t="n">
        <v>45832</v>
      </c>
      <c r="D3510" t="inlineStr">
        <is>
          <t>VÄRMLANDS LÄN</t>
        </is>
      </c>
      <c r="E3510" t="inlineStr">
        <is>
          <t>TORSBY</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30560-2025</t>
        </is>
      </c>
      <c r="B3511" s="1" t="n">
        <v>45831</v>
      </c>
      <c r="C3511" s="1" t="n">
        <v>45832</v>
      </c>
      <c r="D3511" t="inlineStr">
        <is>
          <t>VÄRMLANDS LÄN</t>
        </is>
      </c>
      <c r="E3511" t="inlineStr">
        <is>
          <t>TORSBY</t>
        </is>
      </c>
      <c r="G3511" t="n">
        <v>0.9</v>
      </c>
      <c r="H3511" t="n">
        <v>0</v>
      </c>
      <c r="I3511" t="n">
        <v>0</v>
      </c>
      <c r="J3511" t="n">
        <v>0</v>
      </c>
      <c r="K3511" t="n">
        <v>0</v>
      </c>
      <c r="L3511" t="n">
        <v>0</v>
      </c>
      <c r="M3511" t="n">
        <v>0</v>
      </c>
      <c r="N3511" t="n">
        <v>0</v>
      </c>
      <c r="O3511" t="n">
        <v>0</v>
      </c>
      <c r="P3511" t="n">
        <v>0</v>
      </c>
      <c r="Q3511" t="n">
        <v>0</v>
      </c>
      <c r="R3511" s="2" t="inlineStr"/>
    </row>
    <row r="3512">
      <c r="A3512" t="inlineStr">
        <is>
          <t>A 30836-2025</t>
        </is>
      </c>
      <c r="B3512" s="1" t="n">
        <v>45831</v>
      </c>
      <c r="C3512" s="1" t="n">
        <v>45832</v>
      </c>
      <c r="D3512" t="inlineStr">
        <is>
          <t>VÄRMLANDS LÄN</t>
        </is>
      </c>
      <c r="E3512" t="inlineStr">
        <is>
          <t>TORSBY</t>
        </is>
      </c>
      <c r="G3512" t="n">
        <v>1.1</v>
      </c>
      <c r="H3512" t="n">
        <v>0</v>
      </c>
      <c r="I3512" t="n">
        <v>0</v>
      </c>
      <c r="J3512" t="n">
        <v>0</v>
      </c>
      <c r="K3512" t="n">
        <v>0</v>
      </c>
      <c r="L3512" t="n">
        <v>0</v>
      </c>
      <c r="M3512" t="n">
        <v>0</v>
      </c>
      <c r="N3512" t="n">
        <v>0</v>
      </c>
      <c r="O3512" t="n">
        <v>0</v>
      </c>
      <c r="P3512" t="n">
        <v>0</v>
      </c>
      <c r="Q3512" t="n">
        <v>0</v>
      </c>
      <c r="R3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2025-06-24T19:56:49Z</dcterms:created>
  <dcterms:modified xmlns:dcterms="http://purl.org/dc/terms/" xmlns:xsi="http://www.w3.org/2001/XMLSchema-instance" xsi:type="dcterms:W3CDTF">2025-06-24T19:56:51Z</dcterms:modified>
</cp:coreProperties>
</file>