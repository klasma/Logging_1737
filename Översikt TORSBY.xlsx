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45513</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45513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45513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45513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45513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45513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45513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45513</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45513</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45513</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45513</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45513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45513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45513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45513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45513</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45513</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45513</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45513</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45513</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45513</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45513</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45513</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45513</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45513</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45513</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45513</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45513</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45513</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45513</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45513</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45513</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45513</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45513</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45513</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45513</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45513</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45513</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45513</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45513</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45513</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45513</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45513</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45513</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45513</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45513</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45513</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45513</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45513</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45513</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45513</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45513</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45513</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45513</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45513</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45513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45513</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45513</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45513</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45513</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45513</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45513</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45513</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45513</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45513</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45513</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45513</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45513</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45513</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45513</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22174-2022</t>
        </is>
      </c>
      <c r="B72" s="1" t="n">
        <v>44712</v>
      </c>
      <c r="C72" s="1" t="n">
        <v>45513</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28156-2022</t>
        </is>
      </c>
      <c r="B73" s="1" t="n">
        <v>44746</v>
      </c>
      <c r="C73" s="1" t="n">
        <v>45513</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34930-2022</t>
        </is>
      </c>
      <c r="B74" s="1" t="n">
        <v>44796</v>
      </c>
      <c r="C74" s="1" t="n">
        <v>45513</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2000-2023</t>
        </is>
      </c>
      <c r="B75" s="1" t="n">
        <v>44939</v>
      </c>
      <c r="C75" s="1" t="n">
        <v>45513</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45513</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13364-2023</t>
        </is>
      </c>
      <c r="B77" s="1" t="n">
        <v>45005</v>
      </c>
      <c r="C77" s="1" t="n">
        <v>45513</v>
      </c>
      <c r="D77" t="inlineStr">
        <is>
          <t>VÄRMLANDS LÄN</t>
        </is>
      </c>
      <c r="E77" t="inlineStr">
        <is>
          <t>TORSBY</t>
        </is>
      </c>
      <c r="G77" t="n">
        <v>16.3</v>
      </c>
      <c r="H77" t="n">
        <v>0</v>
      </c>
      <c r="I77" t="n">
        <v>1</v>
      </c>
      <c r="J77" t="n">
        <v>1</v>
      </c>
      <c r="K77" t="n">
        <v>0</v>
      </c>
      <c r="L77" t="n">
        <v>0</v>
      </c>
      <c r="M77" t="n">
        <v>0</v>
      </c>
      <c r="N77" t="n">
        <v>0</v>
      </c>
      <c r="O77" t="n">
        <v>1</v>
      </c>
      <c r="P77" t="n">
        <v>0</v>
      </c>
      <c r="Q77" t="n">
        <v>2</v>
      </c>
      <c r="R77" s="2" t="inlineStr">
        <is>
          <t>Mörk kolflarnlav
Dropptaggsvamp</t>
        </is>
      </c>
      <c r="S77">
        <f>HYPERLINK("https://klasma.github.io/Logging_1737/artfynd/A 13364-2023 artfynd.xlsx", "A 13364-2023")</f>
        <v/>
      </c>
      <c r="T77">
        <f>HYPERLINK("https://klasma.github.io/Logging_1737/kartor/A 13364-2023 karta.png", "A 13364-2023")</f>
        <v/>
      </c>
      <c r="V77">
        <f>HYPERLINK("https://klasma.github.io/Logging_1737/klagomål/A 13364-2023 FSC-klagomål.docx", "A 13364-2023")</f>
        <v/>
      </c>
      <c r="W77">
        <f>HYPERLINK("https://klasma.github.io/Logging_1737/klagomålsmail/A 13364-2023 FSC-klagomål mail.docx", "A 13364-2023")</f>
        <v/>
      </c>
      <c r="X77">
        <f>HYPERLINK("https://klasma.github.io/Logging_1737/tillsyn/A 13364-2023 tillsynsbegäran.docx", "A 13364-2023")</f>
        <v/>
      </c>
      <c r="Y77">
        <f>HYPERLINK("https://klasma.github.io/Logging_1737/tillsynsmail/A 13364-2023 tillsynsbegäran mail.docx", "A 13364-2023")</f>
        <v/>
      </c>
    </row>
    <row r="78" ht="15" customHeight="1">
      <c r="A78" t="inlineStr">
        <is>
          <t>A 16414-2023</t>
        </is>
      </c>
      <c r="B78" s="1" t="n">
        <v>45022</v>
      </c>
      <c r="C78" s="1" t="n">
        <v>45513</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16442-2023</t>
        </is>
      </c>
      <c r="B79" s="1" t="n">
        <v>45026</v>
      </c>
      <c r="C79" s="1" t="n">
        <v>45513</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42610-2023</t>
        </is>
      </c>
      <c r="B80" s="1" t="n">
        <v>45181</v>
      </c>
      <c r="C80" s="1" t="n">
        <v>45513</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46008-2023</t>
        </is>
      </c>
      <c r="B81" s="1" t="n">
        <v>45196</v>
      </c>
      <c r="C81" s="1" t="n">
        <v>45513</v>
      </c>
      <c r="D81" t="inlineStr">
        <is>
          <t>VÄRMLANDS LÄN</t>
        </is>
      </c>
      <c r="E81" t="inlineStr">
        <is>
          <t>TORSBY</t>
        </is>
      </c>
      <c r="G81" t="n">
        <v>15.4</v>
      </c>
      <c r="H81" t="n">
        <v>0</v>
      </c>
      <c r="I81" t="n">
        <v>0</v>
      </c>
      <c r="J81" t="n">
        <v>2</v>
      </c>
      <c r="K81" t="n">
        <v>0</v>
      </c>
      <c r="L81" t="n">
        <v>0</v>
      </c>
      <c r="M81" t="n">
        <v>0</v>
      </c>
      <c r="N81" t="n">
        <v>0</v>
      </c>
      <c r="O81" t="n">
        <v>2</v>
      </c>
      <c r="P81" t="n">
        <v>0</v>
      </c>
      <c r="Q81" t="n">
        <v>2</v>
      </c>
      <c r="R81" s="2" t="inlineStr">
        <is>
          <t>Dvärgbägarlav
Garnlav</t>
        </is>
      </c>
      <c r="S81">
        <f>HYPERLINK("https://klasma.github.io/Logging_1737/artfynd/A 46008-2023 artfynd.xlsx", "A 46008-2023")</f>
        <v/>
      </c>
      <c r="T81">
        <f>HYPERLINK("https://klasma.github.io/Logging_1737/kartor/A 46008-2023 karta.png", "A 46008-2023")</f>
        <v/>
      </c>
      <c r="V81">
        <f>HYPERLINK("https://klasma.github.io/Logging_1737/klagomål/A 46008-2023 FSC-klagomål.docx", "A 46008-2023")</f>
        <v/>
      </c>
      <c r="W81">
        <f>HYPERLINK("https://klasma.github.io/Logging_1737/klagomålsmail/A 46008-2023 FSC-klagomål mail.docx", "A 46008-2023")</f>
        <v/>
      </c>
      <c r="X81">
        <f>HYPERLINK("https://klasma.github.io/Logging_1737/tillsyn/A 46008-2023 tillsynsbegäran.docx", "A 46008-2023")</f>
        <v/>
      </c>
      <c r="Y81">
        <f>HYPERLINK("https://klasma.github.io/Logging_1737/tillsynsmail/A 46008-2023 tillsynsbegäran mail.docx", "A 46008-2023")</f>
        <v/>
      </c>
    </row>
    <row r="82" ht="15" customHeight="1">
      <c r="A82" t="inlineStr">
        <is>
          <t>A 48292-2023</t>
        </is>
      </c>
      <c r="B82" s="1" t="n">
        <v>45205</v>
      </c>
      <c r="C82" s="1" t="n">
        <v>45513</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62955-2023</t>
        </is>
      </c>
      <c r="B83" s="1" t="n">
        <v>45271</v>
      </c>
      <c r="C83" s="1" t="n">
        <v>45513</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4068-2024</t>
        </is>
      </c>
      <c r="B84" s="1" t="n">
        <v>45323</v>
      </c>
      <c r="C84" s="1" t="n">
        <v>45513</v>
      </c>
      <c r="D84" t="inlineStr">
        <is>
          <t>VÄRMLANDS LÄN</t>
        </is>
      </c>
      <c r="E84" t="inlineStr">
        <is>
          <t>TORSBY</t>
        </is>
      </c>
      <c r="G84" t="n">
        <v>2.9</v>
      </c>
      <c r="H84" t="n">
        <v>1</v>
      </c>
      <c r="I84" t="n">
        <v>2</v>
      </c>
      <c r="J84" t="n">
        <v>0</v>
      </c>
      <c r="K84" t="n">
        <v>0</v>
      </c>
      <c r="L84" t="n">
        <v>0</v>
      </c>
      <c r="M84" t="n">
        <v>0</v>
      </c>
      <c r="N84" t="n">
        <v>0</v>
      </c>
      <c r="O84" t="n">
        <v>0</v>
      </c>
      <c r="P84" t="n">
        <v>0</v>
      </c>
      <c r="Q84" t="n">
        <v>2</v>
      </c>
      <c r="R84" s="2" t="inlineStr">
        <is>
          <t>Korallrot
Springkorn</t>
        </is>
      </c>
      <c r="S84">
        <f>HYPERLINK("https://klasma.github.io/Logging_1737/artfynd/A 4068-2024 artfynd.xlsx", "A 4068-2024")</f>
        <v/>
      </c>
      <c r="T84">
        <f>HYPERLINK("https://klasma.github.io/Logging_1737/kartor/A 4068-2024 karta.png", "A 4068-2024")</f>
        <v/>
      </c>
      <c r="V84">
        <f>HYPERLINK("https://klasma.github.io/Logging_1737/klagomål/A 4068-2024 FSC-klagomål.docx", "A 4068-2024")</f>
        <v/>
      </c>
      <c r="W84">
        <f>HYPERLINK("https://klasma.github.io/Logging_1737/klagomålsmail/A 4068-2024 FSC-klagomål mail.docx", "A 4068-2024")</f>
        <v/>
      </c>
      <c r="X84">
        <f>HYPERLINK("https://klasma.github.io/Logging_1737/tillsyn/A 4068-2024 tillsynsbegäran.docx", "A 4068-2024")</f>
        <v/>
      </c>
      <c r="Y84">
        <f>HYPERLINK("https://klasma.github.io/Logging_1737/tillsynsmail/A 4068-2024 tillsynsbegäran mail.docx", "A 4068-2024")</f>
        <v/>
      </c>
    </row>
    <row r="85" ht="15" customHeight="1">
      <c r="A85" t="inlineStr">
        <is>
          <t>A 23091-2024</t>
        </is>
      </c>
      <c r="B85" s="1" t="n">
        <v>45450</v>
      </c>
      <c r="C85" s="1" t="n">
        <v>45513</v>
      </c>
      <c r="D85" t="inlineStr">
        <is>
          <t>VÄRMLANDS LÄN</t>
        </is>
      </c>
      <c r="E85" t="inlineStr">
        <is>
          <t>TORSBY</t>
        </is>
      </c>
      <c r="F85" t="inlineStr">
        <is>
          <t>Bergvik skog väst AB</t>
        </is>
      </c>
      <c r="G85" t="n">
        <v>14.3</v>
      </c>
      <c r="H85" t="n">
        <v>0</v>
      </c>
      <c r="I85" t="n">
        <v>1</v>
      </c>
      <c r="J85" t="n">
        <v>1</v>
      </c>
      <c r="K85" t="n">
        <v>0</v>
      </c>
      <c r="L85" t="n">
        <v>0</v>
      </c>
      <c r="M85" t="n">
        <v>0</v>
      </c>
      <c r="N85" t="n">
        <v>0</v>
      </c>
      <c r="O85" t="n">
        <v>1</v>
      </c>
      <c r="P85" t="n">
        <v>0</v>
      </c>
      <c r="Q85" t="n">
        <v>2</v>
      </c>
      <c r="R85" s="2" t="inlineStr">
        <is>
          <t>Vedskivlav
Kambräken</t>
        </is>
      </c>
      <c r="S85">
        <f>HYPERLINK("https://klasma.github.io/Logging_1737/artfynd/A 23091-2024 artfynd.xlsx", "A 23091-2024")</f>
        <v/>
      </c>
      <c r="T85">
        <f>HYPERLINK("https://klasma.github.io/Logging_1737/kartor/A 23091-2024 karta.png", "A 23091-2024")</f>
        <v/>
      </c>
      <c r="V85">
        <f>HYPERLINK("https://klasma.github.io/Logging_1737/klagomål/A 23091-2024 FSC-klagomål.docx", "A 23091-2024")</f>
        <v/>
      </c>
      <c r="W85">
        <f>HYPERLINK("https://klasma.github.io/Logging_1737/klagomålsmail/A 23091-2024 FSC-klagomål mail.docx", "A 23091-2024")</f>
        <v/>
      </c>
      <c r="X85">
        <f>HYPERLINK("https://klasma.github.io/Logging_1737/tillsyn/A 23091-2024 tillsynsbegäran.docx", "A 23091-2024")</f>
        <v/>
      </c>
      <c r="Y85">
        <f>HYPERLINK("https://klasma.github.io/Logging_1737/tillsynsmail/A 23091-2024 tillsynsbegäran mail.docx", "A 23091-2024")</f>
        <v/>
      </c>
    </row>
    <row r="86" ht="15" customHeight="1">
      <c r="A86" t="inlineStr">
        <is>
          <t>A 18499-2019</t>
        </is>
      </c>
      <c r="B86" s="1" t="n">
        <v>43559</v>
      </c>
      <c r="C86" s="1" t="n">
        <v>45513</v>
      </c>
      <c r="D86" t="inlineStr">
        <is>
          <t>VÄRMLANDS LÄN</t>
        </is>
      </c>
      <c r="E86" t="inlineStr">
        <is>
          <t>TORSBY</t>
        </is>
      </c>
      <c r="G86" t="n">
        <v>4.8</v>
      </c>
      <c r="H86" t="n">
        <v>0</v>
      </c>
      <c r="I86" t="n">
        <v>0</v>
      </c>
      <c r="J86" t="n">
        <v>0</v>
      </c>
      <c r="K86" t="n">
        <v>1</v>
      </c>
      <c r="L86" t="n">
        <v>0</v>
      </c>
      <c r="M86" t="n">
        <v>0</v>
      </c>
      <c r="N86" t="n">
        <v>0</v>
      </c>
      <c r="O86" t="n">
        <v>1</v>
      </c>
      <c r="P86" t="n">
        <v>1</v>
      </c>
      <c r="Q86" t="n">
        <v>1</v>
      </c>
      <c r="R86" s="2" t="inlineStr">
        <is>
          <t>Raggbock</t>
        </is>
      </c>
      <c r="S86">
        <f>HYPERLINK("https://klasma.github.io/Logging_1737/artfynd/A 18499-2019 artfynd.xlsx", "A 18499-2019")</f>
        <v/>
      </c>
      <c r="T86">
        <f>HYPERLINK("https://klasma.github.io/Logging_1737/kartor/A 18499-2019 karta.png", "A 18499-2019")</f>
        <v/>
      </c>
      <c r="V86">
        <f>HYPERLINK("https://klasma.github.io/Logging_1737/klagomål/A 18499-2019 FSC-klagomål.docx", "A 18499-2019")</f>
        <v/>
      </c>
      <c r="W86">
        <f>HYPERLINK("https://klasma.github.io/Logging_1737/klagomålsmail/A 18499-2019 FSC-klagomål mail.docx", "A 18499-2019")</f>
        <v/>
      </c>
      <c r="X86">
        <f>HYPERLINK("https://klasma.github.io/Logging_1737/tillsyn/A 18499-2019 tillsynsbegäran.docx", "A 18499-2019")</f>
        <v/>
      </c>
      <c r="Y86">
        <f>HYPERLINK("https://klasma.github.io/Logging_1737/tillsynsmail/A 18499-2019 tillsynsbegäran mail.docx", "A 18499-2019")</f>
        <v/>
      </c>
    </row>
    <row r="87" ht="15" customHeight="1">
      <c r="A87" t="inlineStr">
        <is>
          <t>A 31848-2019</t>
        </is>
      </c>
      <c r="B87" s="1" t="n">
        <v>43642</v>
      </c>
      <c r="C87" s="1" t="n">
        <v>45513</v>
      </c>
      <c r="D87" t="inlineStr">
        <is>
          <t>VÄRMLANDS LÄN</t>
        </is>
      </c>
      <c r="E87" t="inlineStr">
        <is>
          <t>TORSBY</t>
        </is>
      </c>
      <c r="G87" t="n">
        <v>6.1</v>
      </c>
      <c r="H87" t="n">
        <v>1</v>
      </c>
      <c r="I87" t="n">
        <v>0</v>
      </c>
      <c r="J87" t="n">
        <v>0</v>
      </c>
      <c r="K87" t="n">
        <v>1</v>
      </c>
      <c r="L87" t="n">
        <v>0</v>
      </c>
      <c r="M87" t="n">
        <v>0</v>
      </c>
      <c r="N87" t="n">
        <v>0</v>
      </c>
      <c r="O87" t="n">
        <v>1</v>
      </c>
      <c r="P87" t="n">
        <v>1</v>
      </c>
      <c r="Q87" t="n">
        <v>1</v>
      </c>
      <c r="R87" s="2" t="inlineStr">
        <is>
          <t>Knärot</t>
        </is>
      </c>
      <c r="S87">
        <f>HYPERLINK("https://klasma.github.io/Logging_1737/artfynd/A 31848-2019 artfynd.xlsx", "A 31848-2019")</f>
        <v/>
      </c>
      <c r="T87">
        <f>HYPERLINK("https://klasma.github.io/Logging_1737/kartor/A 31848-2019 karta.png", "A 31848-2019")</f>
        <v/>
      </c>
      <c r="U87">
        <f>HYPERLINK("https://klasma.github.io/Logging_1737/knärot/A 31848-2019 karta knärot.png", "A 31848-2019")</f>
        <v/>
      </c>
      <c r="V87">
        <f>HYPERLINK("https://klasma.github.io/Logging_1737/klagomål/A 31848-2019 FSC-klagomål.docx", "A 31848-2019")</f>
        <v/>
      </c>
      <c r="W87">
        <f>HYPERLINK("https://klasma.github.io/Logging_1737/klagomålsmail/A 31848-2019 FSC-klagomål mail.docx", "A 31848-2019")</f>
        <v/>
      </c>
      <c r="X87">
        <f>HYPERLINK("https://klasma.github.io/Logging_1737/tillsyn/A 31848-2019 tillsynsbegäran.docx", "A 31848-2019")</f>
        <v/>
      </c>
      <c r="Y87">
        <f>HYPERLINK("https://klasma.github.io/Logging_1737/tillsynsmail/A 31848-2019 tillsynsbegäran mail.docx", "A 31848-2019")</f>
        <v/>
      </c>
    </row>
    <row r="88" ht="15" customHeight="1">
      <c r="A88" t="inlineStr">
        <is>
          <t>A 45844-2019</t>
        </is>
      </c>
      <c r="B88" s="1" t="n">
        <v>43717</v>
      </c>
      <c r="C88" s="1" t="n">
        <v>45513</v>
      </c>
      <c r="D88" t="inlineStr">
        <is>
          <t>VÄRMLANDS LÄN</t>
        </is>
      </c>
      <c r="E88" t="inlineStr">
        <is>
          <t>TORSBY</t>
        </is>
      </c>
      <c r="G88" t="n">
        <v>4.1</v>
      </c>
      <c r="H88" t="n">
        <v>1</v>
      </c>
      <c r="I88" t="n">
        <v>0</v>
      </c>
      <c r="J88" t="n">
        <v>1</v>
      </c>
      <c r="K88" t="n">
        <v>0</v>
      </c>
      <c r="L88" t="n">
        <v>0</v>
      </c>
      <c r="M88" t="n">
        <v>0</v>
      </c>
      <c r="N88" t="n">
        <v>0</v>
      </c>
      <c r="O88" t="n">
        <v>1</v>
      </c>
      <c r="P88" t="n">
        <v>0</v>
      </c>
      <c r="Q88" t="n">
        <v>1</v>
      </c>
      <c r="R88" s="2" t="inlineStr">
        <is>
          <t>Talltita</t>
        </is>
      </c>
      <c r="S88">
        <f>HYPERLINK("https://klasma.github.io/Logging_1737/artfynd/A 45844-2019 artfynd.xlsx", "A 45844-2019")</f>
        <v/>
      </c>
      <c r="T88">
        <f>HYPERLINK("https://klasma.github.io/Logging_1737/kartor/A 45844-2019 karta.png", "A 45844-2019")</f>
        <v/>
      </c>
      <c r="V88">
        <f>HYPERLINK("https://klasma.github.io/Logging_1737/klagomål/A 45844-2019 FSC-klagomål.docx", "A 45844-2019")</f>
        <v/>
      </c>
      <c r="W88">
        <f>HYPERLINK("https://klasma.github.io/Logging_1737/klagomålsmail/A 45844-2019 FSC-klagomål mail.docx", "A 45844-2019")</f>
        <v/>
      </c>
      <c r="X88">
        <f>HYPERLINK("https://klasma.github.io/Logging_1737/tillsyn/A 45844-2019 tillsynsbegäran.docx", "A 45844-2019")</f>
        <v/>
      </c>
      <c r="Y88">
        <f>HYPERLINK("https://klasma.github.io/Logging_1737/tillsynsmail/A 45844-2019 tillsynsbegäran mail.docx", "A 45844-2019")</f>
        <v/>
      </c>
      <c r="Z88">
        <f>HYPERLINK("https://klasma.github.io/Logging_1737/fåglar/A 45844-2019 prioriterade fågelarter.docx", "A 45844-2019")</f>
        <v/>
      </c>
    </row>
    <row r="89" ht="15" customHeight="1">
      <c r="A89" t="inlineStr">
        <is>
          <t>A 47731-2019</t>
        </is>
      </c>
      <c r="B89" s="1" t="n">
        <v>43724</v>
      </c>
      <c r="C89" s="1" t="n">
        <v>45513</v>
      </c>
      <c r="D89" t="inlineStr">
        <is>
          <t>VÄRMLANDS LÄN</t>
        </is>
      </c>
      <c r="E89" t="inlineStr">
        <is>
          <t>TORSBY</t>
        </is>
      </c>
      <c r="G89" t="n">
        <v>3.5</v>
      </c>
      <c r="H89" t="n">
        <v>1</v>
      </c>
      <c r="I89" t="n">
        <v>0</v>
      </c>
      <c r="J89" t="n">
        <v>1</v>
      </c>
      <c r="K89" t="n">
        <v>0</v>
      </c>
      <c r="L89" t="n">
        <v>0</v>
      </c>
      <c r="M89" t="n">
        <v>0</v>
      </c>
      <c r="N89" t="n">
        <v>0</v>
      </c>
      <c r="O89" t="n">
        <v>1</v>
      </c>
      <c r="P89" t="n">
        <v>0</v>
      </c>
      <c r="Q89" t="n">
        <v>1</v>
      </c>
      <c r="R89" s="2" t="inlineStr">
        <is>
          <t>Gulsparv</t>
        </is>
      </c>
      <c r="S89">
        <f>HYPERLINK("https://klasma.github.io/Logging_1737/artfynd/A 47731-2019 artfynd.xlsx", "A 47731-2019")</f>
        <v/>
      </c>
      <c r="T89">
        <f>HYPERLINK("https://klasma.github.io/Logging_1737/kartor/A 47731-2019 karta.png", "A 47731-2019")</f>
        <v/>
      </c>
      <c r="V89">
        <f>HYPERLINK("https://klasma.github.io/Logging_1737/klagomål/A 47731-2019 FSC-klagomål.docx", "A 47731-2019")</f>
        <v/>
      </c>
      <c r="W89">
        <f>HYPERLINK("https://klasma.github.io/Logging_1737/klagomålsmail/A 47731-2019 FSC-klagomål mail.docx", "A 47731-2019")</f>
        <v/>
      </c>
      <c r="X89">
        <f>HYPERLINK("https://klasma.github.io/Logging_1737/tillsyn/A 47731-2019 tillsynsbegäran.docx", "A 47731-2019")</f>
        <v/>
      </c>
      <c r="Y89">
        <f>HYPERLINK("https://klasma.github.io/Logging_1737/tillsynsmail/A 47731-2019 tillsynsbegäran mail.docx", "A 47731-2019")</f>
        <v/>
      </c>
      <c r="Z89">
        <f>HYPERLINK("https://klasma.github.io/Logging_1737/fåglar/A 47731-2019 prioriterade fågelarter.docx", "A 47731-2019")</f>
        <v/>
      </c>
    </row>
    <row r="90" ht="15" customHeight="1">
      <c r="A90" t="inlineStr">
        <is>
          <t>A 53924-2019</t>
        </is>
      </c>
      <c r="B90" s="1" t="n">
        <v>43742</v>
      </c>
      <c r="C90" s="1" t="n">
        <v>45513</v>
      </c>
      <c r="D90" t="inlineStr">
        <is>
          <t>VÄRMLANDS LÄN</t>
        </is>
      </c>
      <c r="E90" t="inlineStr">
        <is>
          <t>TORSBY</t>
        </is>
      </c>
      <c r="G90" t="n">
        <v>7.1</v>
      </c>
      <c r="H90" t="n">
        <v>1</v>
      </c>
      <c r="I90" t="n">
        <v>0</v>
      </c>
      <c r="J90" t="n">
        <v>0</v>
      </c>
      <c r="K90" t="n">
        <v>0</v>
      </c>
      <c r="L90" t="n">
        <v>0</v>
      </c>
      <c r="M90" t="n">
        <v>0</v>
      </c>
      <c r="N90" t="n">
        <v>0</v>
      </c>
      <c r="O90" t="n">
        <v>0</v>
      </c>
      <c r="P90" t="n">
        <v>0</v>
      </c>
      <c r="Q90" t="n">
        <v>1</v>
      </c>
      <c r="R90" s="2" t="inlineStr">
        <is>
          <t>Fläcknycklar</t>
        </is>
      </c>
      <c r="S90">
        <f>HYPERLINK("https://klasma.github.io/Logging_1737/artfynd/A 53924-2019 artfynd.xlsx", "A 53924-2019")</f>
        <v/>
      </c>
      <c r="T90">
        <f>HYPERLINK("https://klasma.github.io/Logging_1737/kartor/A 53924-2019 karta.png", "A 53924-2019")</f>
        <v/>
      </c>
      <c r="V90">
        <f>HYPERLINK("https://klasma.github.io/Logging_1737/klagomål/A 53924-2019 FSC-klagomål.docx", "A 53924-2019")</f>
        <v/>
      </c>
      <c r="W90">
        <f>HYPERLINK("https://klasma.github.io/Logging_1737/klagomålsmail/A 53924-2019 FSC-klagomål mail.docx", "A 53924-2019")</f>
        <v/>
      </c>
      <c r="X90">
        <f>HYPERLINK("https://klasma.github.io/Logging_1737/tillsyn/A 53924-2019 tillsynsbegäran.docx", "A 53924-2019")</f>
        <v/>
      </c>
      <c r="Y90">
        <f>HYPERLINK("https://klasma.github.io/Logging_1737/tillsynsmail/A 53924-2019 tillsynsbegäran mail.docx", "A 53924-2019")</f>
        <v/>
      </c>
    </row>
    <row r="91" ht="15" customHeight="1">
      <c r="A91" t="inlineStr">
        <is>
          <t>A 63767-2019</t>
        </is>
      </c>
      <c r="B91" s="1" t="n">
        <v>43795</v>
      </c>
      <c r="C91" s="1" t="n">
        <v>45513</v>
      </c>
      <c r="D91" t="inlineStr">
        <is>
          <t>VÄRMLANDS LÄN</t>
        </is>
      </c>
      <c r="E91" t="inlineStr">
        <is>
          <t>TORSBY</t>
        </is>
      </c>
      <c r="G91" t="n">
        <v>1.4</v>
      </c>
      <c r="H91" t="n">
        <v>0</v>
      </c>
      <c r="I91" t="n">
        <v>0</v>
      </c>
      <c r="J91" t="n">
        <v>1</v>
      </c>
      <c r="K91" t="n">
        <v>0</v>
      </c>
      <c r="L91" t="n">
        <v>0</v>
      </c>
      <c r="M91" t="n">
        <v>0</v>
      </c>
      <c r="N91" t="n">
        <v>0</v>
      </c>
      <c r="O91" t="n">
        <v>1</v>
      </c>
      <c r="P91" t="n">
        <v>0</v>
      </c>
      <c r="Q91" t="n">
        <v>1</v>
      </c>
      <c r="R91" s="2" t="inlineStr">
        <is>
          <t>Garnlav</t>
        </is>
      </c>
      <c r="S91">
        <f>HYPERLINK("https://klasma.github.io/Logging_1737/artfynd/A 63767-2019 artfynd.xlsx", "A 63767-2019")</f>
        <v/>
      </c>
      <c r="T91">
        <f>HYPERLINK("https://klasma.github.io/Logging_1737/kartor/A 63767-2019 karta.png", "A 63767-2019")</f>
        <v/>
      </c>
      <c r="V91">
        <f>HYPERLINK("https://klasma.github.io/Logging_1737/klagomål/A 63767-2019 FSC-klagomål.docx", "A 63767-2019")</f>
        <v/>
      </c>
      <c r="W91">
        <f>HYPERLINK("https://klasma.github.io/Logging_1737/klagomålsmail/A 63767-2019 FSC-klagomål mail.docx", "A 63767-2019")</f>
        <v/>
      </c>
      <c r="X91">
        <f>HYPERLINK("https://klasma.github.io/Logging_1737/tillsyn/A 63767-2019 tillsynsbegäran.docx", "A 63767-2019")</f>
        <v/>
      </c>
      <c r="Y91">
        <f>HYPERLINK("https://klasma.github.io/Logging_1737/tillsynsmail/A 63767-2019 tillsynsbegäran mail.docx", "A 63767-2019")</f>
        <v/>
      </c>
    </row>
    <row r="92" ht="15" customHeight="1">
      <c r="A92" t="inlineStr">
        <is>
          <t>A 65129-2019</t>
        </is>
      </c>
      <c r="B92" s="1" t="n">
        <v>43802</v>
      </c>
      <c r="C92" s="1" t="n">
        <v>45513</v>
      </c>
      <c r="D92" t="inlineStr">
        <is>
          <t>VÄRMLANDS LÄN</t>
        </is>
      </c>
      <c r="E92" t="inlineStr">
        <is>
          <t>TORSBY</t>
        </is>
      </c>
      <c r="G92" t="n">
        <v>3.3</v>
      </c>
      <c r="H92" t="n">
        <v>0</v>
      </c>
      <c r="I92" t="n">
        <v>0</v>
      </c>
      <c r="J92" t="n">
        <v>1</v>
      </c>
      <c r="K92" t="n">
        <v>0</v>
      </c>
      <c r="L92" t="n">
        <v>0</v>
      </c>
      <c r="M92" t="n">
        <v>0</v>
      </c>
      <c r="N92" t="n">
        <v>0</v>
      </c>
      <c r="O92" t="n">
        <v>1</v>
      </c>
      <c r="P92" t="n">
        <v>0</v>
      </c>
      <c r="Q92" t="n">
        <v>1</v>
      </c>
      <c r="R92" s="2" t="inlineStr">
        <is>
          <t>Garnlav</t>
        </is>
      </c>
      <c r="S92">
        <f>HYPERLINK("https://klasma.github.io/Logging_1737/artfynd/A 65129-2019 artfynd.xlsx", "A 65129-2019")</f>
        <v/>
      </c>
      <c r="T92">
        <f>HYPERLINK("https://klasma.github.io/Logging_1737/kartor/A 65129-2019 karta.png", "A 65129-2019")</f>
        <v/>
      </c>
      <c r="V92">
        <f>HYPERLINK("https://klasma.github.io/Logging_1737/klagomål/A 65129-2019 FSC-klagomål.docx", "A 65129-2019")</f>
        <v/>
      </c>
      <c r="W92">
        <f>HYPERLINK("https://klasma.github.io/Logging_1737/klagomålsmail/A 65129-2019 FSC-klagomål mail.docx", "A 65129-2019")</f>
        <v/>
      </c>
      <c r="X92">
        <f>HYPERLINK("https://klasma.github.io/Logging_1737/tillsyn/A 65129-2019 tillsynsbegäran.docx", "A 65129-2019")</f>
        <v/>
      </c>
      <c r="Y92">
        <f>HYPERLINK("https://klasma.github.io/Logging_1737/tillsynsmail/A 65129-2019 tillsynsbegäran mail.docx", "A 65129-2019")</f>
        <v/>
      </c>
    </row>
    <row r="93" ht="15" customHeight="1">
      <c r="A93" t="inlineStr">
        <is>
          <t>A 37035-2020</t>
        </is>
      </c>
      <c r="B93" s="1" t="n">
        <v>44054</v>
      </c>
      <c r="C93" s="1" t="n">
        <v>45513</v>
      </c>
      <c r="D93" t="inlineStr">
        <is>
          <t>VÄRMLANDS LÄN</t>
        </is>
      </c>
      <c r="E93" t="inlineStr">
        <is>
          <t>TORSBY</t>
        </is>
      </c>
      <c r="G93" t="n">
        <v>2.7</v>
      </c>
      <c r="H93" t="n">
        <v>0</v>
      </c>
      <c r="I93" t="n">
        <v>0</v>
      </c>
      <c r="J93" t="n">
        <v>0</v>
      </c>
      <c r="K93" t="n">
        <v>1</v>
      </c>
      <c r="L93" t="n">
        <v>0</v>
      </c>
      <c r="M93" t="n">
        <v>0</v>
      </c>
      <c r="N93" t="n">
        <v>0</v>
      </c>
      <c r="O93" t="n">
        <v>1</v>
      </c>
      <c r="P93" t="n">
        <v>1</v>
      </c>
      <c r="Q93" t="n">
        <v>1</v>
      </c>
      <c r="R93" s="2" t="inlineStr">
        <is>
          <t>Raggbock</t>
        </is>
      </c>
      <c r="S93">
        <f>HYPERLINK("https://klasma.github.io/Logging_1737/artfynd/A 37035-2020 artfynd.xlsx", "A 37035-2020")</f>
        <v/>
      </c>
      <c r="T93">
        <f>HYPERLINK("https://klasma.github.io/Logging_1737/kartor/A 37035-2020 karta.png", "A 37035-2020")</f>
        <v/>
      </c>
      <c r="V93">
        <f>HYPERLINK("https://klasma.github.io/Logging_1737/klagomål/A 37035-2020 FSC-klagomål.docx", "A 37035-2020")</f>
        <v/>
      </c>
      <c r="W93">
        <f>HYPERLINK("https://klasma.github.io/Logging_1737/klagomålsmail/A 37035-2020 FSC-klagomål mail.docx", "A 37035-2020")</f>
        <v/>
      </c>
      <c r="X93">
        <f>HYPERLINK("https://klasma.github.io/Logging_1737/tillsyn/A 37035-2020 tillsynsbegäran.docx", "A 37035-2020")</f>
        <v/>
      </c>
      <c r="Y93">
        <f>HYPERLINK("https://klasma.github.io/Logging_1737/tillsynsmail/A 37035-2020 tillsynsbegäran mail.docx", "A 37035-2020")</f>
        <v/>
      </c>
    </row>
    <row r="94" ht="15" customHeight="1">
      <c r="A94" t="inlineStr">
        <is>
          <t>A 50854-2020</t>
        </is>
      </c>
      <c r="B94" s="1" t="n">
        <v>44105</v>
      </c>
      <c r="C94" s="1" t="n">
        <v>45513</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50089-2020</t>
        </is>
      </c>
      <c r="B95" s="1" t="n">
        <v>44109</v>
      </c>
      <c r="C95" s="1" t="n">
        <v>45513</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53491-2020</t>
        </is>
      </c>
      <c r="B96" s="1" t="n">
        <v>44123</v>
      </c>
      <c r="C96" s="1" t="n">
        <v>45513</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8747-2021</t>
        </is>
      </c>
      <c r="B97" s="1" t="n">
        <v>44246</v>
      </c>
      <c r="C97" s="1" t="n">
        <v>45513</v>
      </c>
      <c r="D97" t="inlineStr">
        <is>
          <t>VÄRMLANDS LÄN</t>
        </is>
      </c>
      <c r="E97" t="inlineStr">
        <is>
          <t>TORSBY</t>
        </is>
      </c>
      <c r="G97" t="n">
        <v>8.5</v>
      </c>
      <c r="H97" t="n">
        <v>0</v>
      </c>
      <c r="I97" t="n">
        <v>0</v>
      </c>
      <c r="J97" t="n">
        <v>1</v>
      </c>
      <c r="K97" t="n">
        <v>0</v>
      </c>
      <c r="L97" t="n">
        <v>0</v>
      </c>
      <c r="M97" t="n">
        <v>0</v>
      </c>
      <c r="N97" t="n">
        <v>0</v>
      </c>
      <c r="O97" t="n">
        <v>1</v>
      </c>
      <c r="P97" t="n">
        <v>0</v>
      </c>
      <c r="Q97" t="n">
        <v>1</v>
      </c>
      <c r="R97" s="2" t="inlineStr">
        <is>
          <t>Garnlav</t>
        </is>
      </c>
      <c r="S97">
        <f>HYPERLINK("https://klasma.github.io/Logging_1737/artfynd/A 8747-2021 artfynd.xlsx", "A 8747-2021")</f>
        <v/>
      </c>
      <c r="T97">
        <f>HYPERLINK("https://klasma.github.io/Logging_1737/kartor/A 8747-2021 karta.png", "A 8747-2021")</f>
        <v/>
      </c>
      <c r="V97">
        <f>HYPERLINK("https://klasma.github.io/Logging_1737/klagomål/A 8747-2021 FSC-klagomål.docx", "A 8747-2021")</f>
        <v/>
      </c>
      <c r="W97">
        <f>HYPERLINK("https://klasma.github.io/Logging_1737/klagomålsmail/A 8747-2021 FSC-klagomål mail.docx", "A 8747-2021")</f>
        <v/>
      </c>
      <c r="X97">
        <f>HYPERLINK("https://klasma.github.io/Logging_1737/tillsyn/A 8747-2021 tillsynsbegäran.docx", "A 8747-2021")</f>
        <v/>
      </c>
      <c r="Y97">
        <f>HYPERLINK("https://klasma.github.io/Logging_1737/tillsynsmail/A 8747-2021 tillsynsbegäran mail.docx", "A 8747-2021")</f>
        <v/>
      </c>
    </row>
    <row r="98" ht="15" customHeight="1">
      <c r="A98" t="inlineStr">
        <is>
          <t>A 24042-2021</t>
        </is>
      </c>
      <c r="B98" s="1" t="n">
        <v>44336</v>
      </c>
      <c r="C98" s="1" t="n">
        <v>45513</v>
      </c>
      <c r="D98" t="inlineStr">
        <is>
          <t>VÄRMLANDS LÄN</t>
        </is>
      </c>
      <c r="E98" t="inlineStr">
        <is>
          <t>TORSBY</t>
        </is>
      </c>
      <c r="G98" t="n">
        <v>4.5</v>
      </c>
      <c r="H98" t="n">
        <v>0</v>
      </c>
      <c r="I98" t="n">
        <v>1</v>
      </c>
      <c r="J98" t="n">
        <v>0</v>
      </c>
      <c r="K98" t="n">
        <v>0</v>
      </c>
      <c r="L98" t="n">
        <v>0</v>
      </c>
      <c r="M98" t="n">
        <v>0</v>
      </c>
      <c r="N98" t="n">
        <v>0</v>
      </c>
      <c r="O98" t="n">
        <v>0</v>
      </c>
      <c r="P98" t="n">
        <v>0</v>
      </c>
      <c r="Q98" t="n">
        <v>1</v>
      </c>
      <c r="R98" s="2" t="inlineStr">
        <is>
          <t>Stuplav</t>
        </is>
      </c>
      <c r="S98">
        <f>HYPERLINK("https://klasma.github.io/Logging_1737/artfynd/A 24042-2021 artfynd.xlsx", "A 24042-2021")</f>
        <v/>
      </c>
      <c r="T98">
        <f>HYPERLINK("https://klasma.github.io/Logging_1737/kartor/A 24042-2021 karta.png", "A 24042-2021")</f>
        <v/>
      </c>
      <c r="V98">
        <f>HYPERLINK("https://klasma.github.io/Logging_1737/klagomål/A 24042-2021 FSC-klagomål.docx", "A 24042-2021")</f>
        <v/>
      </c>
      <c r="W98">
        <f>HYPERLINK("https://klasma.github.io/Logging_1737/klagomålsmail/A 24042-2021 FSC-klagomål mail.docx", "A 24042-2021")</f>
        <v/>
      </c>
      <c r="X98">
        <f>HYPERLINK("https://klasma.github.io/Logging_1737/tillsyn/A 24042-2021 tillsynsbegäran.docx", "A 24042-2021")</f>
        <v/>
      </c>
      <c r="Y98">
        <f>HYPERLINK("https://klasma.github.io/Logging_1737/tillsynsmail/A 24042-2021 tillsynsbegäran mail.docx", "A 24042-2021")</f>
        <v/>
      </c>
    </row>
    <row r="99" ht="15" customHeight="1">
      <c r="A99" t="inlineStr">
        <is>
          <t>A 34876-2021</t>
        </is>
      </c>
      <c r="B99" s="1" t="n">
        <v>44383</v>
      </c>
      <c r="C99" s="1" t="n">
        <v>45513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34853-2021</t>
        </is>
      </c>
      <c r="B100" s="1" t="n">
        <v>44383</v>
      </c>
      <c r="C100" s="1" t="n">
        <v>45513</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40265-2021</t>
        </is>
      </c>
      <c r="B101" s="1" t="n">
        <v>44419</v>
      </c>
      <c r="C101" s="1" t="n">
        <v>45513</v>
      </c>
      <c r="D101" t="inlineStr">
        <is>
          <t>VÄRMLANDS LÄN</t>
        </is>
      </c>
      <c r="E101" t="inlineStr">
        <is>
          <t>TORSBY</t>
        </is>
      </c>
      <c r="F101" t="inlineStr">
        <is>
          <t>Bergvik skog väst AB</t>
        </is>
      </c>
      <c r="G101" t="n">
        <v>5.7</v>
      </c>
      <c r="H101" t="n">
        <v>1</v>
      </c>
      <c r="I101" t="n">
        <v>0</v>
      </c>
      <c r="J101" t="n">
        <v>1</v>
      </c>
      <c r="K101" t="n">
        <v>0</v>
      </c>
      <c r="L101" t="n">
        <v>0</v>
      </c>
      <c r="M101" t="n">
        <v>0</v>
      </c>
      <c r="N101" t="n">
        <v>0</v>
      </c>
      <c r="O101" t="n">
        <v>1</v>
      </c>
      <c r="P101" t="n">
        <v>0</v>
      </c>
      <c r="Q101" t="n">
        <v>1</v>
      </c>
      <c r="R101" s="2" t="inlineStr">
        <is>
          <t>Nordfladdermus</t>
        </is>
      </c>
      <c r="S101">
        <f>HYPERLINK("https://klasma.github.io/Logging_1737/artfynd/A 40265-2021 artfynd.xlsx", "A 40265-2021")</f>
        <v/>
      </c>
      <c r="T101">
        <f>HYPERLINK("https://klasma.github.io/Logging_1737/kartor/A 40265-2021 karta.png", "A 40265-2021")</f>
        <v/>
      </c>
      <c r="V101">
        <f>HYPERLINK("https://klasma.github.io/Logging_1737/klagomål/A 40265-2021 FSC-klagomål.docx", "A 40265-2021")</f>
        <v/>
      </c>
      <c r="W101">
        <f>HYPERLINK("https://klasma.github.io/Logging_1737/klagomålsmail/A 40265-2021 FSC-klagomål mail.docx", "A 40265-2021")</f>
        <v/>
      </c>
      <c r="X101">
        <f>HYPERLINK("https://klasma.github.io/Logging_1737/tillsyn/A 40265-2021 tillsynsbegäran.docx", "A 40265-2021")</f>
        <v/>
      </c>
      <c r="Y101">
        <f>HYPERLINK("https://klasma.github.io/Logging_1737/tillsynsmail/A 40265-2021 tillsynsbegäran mail.docx", "A 40265-2021")</f>
        <v/>
      </c>
    </row>
    <row r="102" ht="15" customHeight="1">
      <c r="A102" t="inlineStr">
        <is>
          <t>A 49110-2021</t>
        </is>
      </c>
      <c r="B102" s="1" t="n">
        <v>44453</v>
      </c>
      <c r="C102" s="1" t="n">
        <v>45513</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54982-2021</t>
        </is>
      </c>
      <c r="B103" s="1" t="n">
        <v>44469</v>
      </c>
      <c r="C103" s="1" t="n">
        <v>45513</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58471-2021</t>
        </is>
      </c>
      <c r="B104" s="1" t="n">
        <v>44488</v>
      </c>
      <c r="C104" s="1" t="n">
        <v>45513</v>
      </c>
      <c r="D104" t="inlineStr">
        <is>
          <t>VÄRMLANDS LÄN</t>
        </is>
      </c>
      <c r="E104" t="inlineStr">
        <is>
          <t>TORSBY</t>
        </is>
      </c>
      <c r="G104" t="n">
        <v>2.5</v>
      </c>
      <c r="H104" t="n">
        <v>0</v>
      </c>
      <c r="I104" t="n">
        <v>1</v>
      </c>
      <c r="J104" t="n">
        <v>0</v>
      </c>
      <c r="K104" t="n">
        <v>0</v>
      </c>
      <c r="L104" t="n">
        <v>0</v>
      </c>
      <c r="M104" t="n">
        <v>0</v>
      </c>
      <c r="N104" t="n">
        <v>0</v>
      </c>
      <c r="O104" t="n">
        <v>0</v>
      </c>
      <c r="P104" t="n">
        <v>0</v>
      </c>
      <c r="Q104" t="n">
        <v>1</v>
      </c>
      <c r="R104" s="2" t="inlineStr">
        <is>
          <t>Korallblylav</t>
        </is>
      </c>
      <c r="S104">
        <f>HYPERLINK("https://klasma.github.io/Logging_1737/artfynd/A 58471-2021 artfynd.xlsx", "A 58471-2021")</f>
        <v/>
      </c>
      <c r="T104">
        <f>HYPERLINK("https://klasma.github.io/Logging_1737/kartor/A 58471-2021 karta.png", "A 58471-2021")</f>
        <v/>
      </c>
      <c r="V104">
        <f>HYPERLINK("https://klasma.github.io/Logging_1737/klagomål/A 58471-2021 FSC-klagomål.docx", "A 58471-2021")</f>
        <v/>
      </c>
      <c r="W104">
        <f>HYPERLINK("https://klasma.github.io/Logging_1737/klagomålsmail/A 58471-2021 FSC-klagomål mail.docx", "A 58471-2021")</f>
        <v/>
      </c>
      <c r="X104">
        <f>HYPERLINK("https://klasma.github.io/Logging_1737/tillsyn/A 58471-2021 tillsynsbegäran.docx", "A 58471-2021")</f>
        <v/>
      </c>
      <c r="Y104">
        <f>HYPERLINK("https://klasma.github.io/Logging_1737/tillsynsmail/A 58471-2021 tillsynsbegäran mail.docx", "A 58471-2021")</f>
        <v/>
      </c>
    </row>
    <row r="105" ht="15" customHeight="1">
      <c r="A105" t="inlineStr">
        <is>
          <t>A 61813-2021</t>
        </is>
      </c>
      <c r="B105" s="1" t="n">
        <v>44501</v>
      </c>
      <c r="C105" s="1" t="n">
        <v>45513</v>
      </c>
      <c r="D105" t="inlineStr">
        <is>
          <t>VÄRMLANDS LÄN</t>
        </is>
      </c>
      <c r="E105" t="inlineStr">
        <is>
          <t>TORSBY</t>
        </is>
      </c>
      <c r="G105" t="n">
        <v>4.9</v>
      </c>
      <c r="H105" t="n">
        <v>0</v>
      </c>
      <c r="I105" t="n">
        <v>0</v>
      </c>
      <c r="J105" t="n">
        <v>1</v>
      </c>
      <c r="K105" t="n">
        <v>0</v>
      </c>
      <c r="L105" t="n">
        <v>0</v>
      </c>
      <c r="M105" t="n">
        <v>0</v>
      </c>
      <c r="N105" t="n">
        <v>0</v>
      </c>
      <c r="O105" t="n">
        <v>1</v>
      </c>
      <c r="P105" t="n">
        <v>0</v>
      </c>
      <c r="Q105" t="n">
        <v>1</v>
      </c>
      <c r="R105" s="2" t="inlineStr">
        <is>
          <t>Tallticka</t>
        </is>
      </c>
      <c r="S105">
        <f>HYPERLINK("https://klasma.github.io/Logging_1737/artfynd/A 61813-2021 artfynd.xlsx", "A 61813-2021")</f>
        <v/>
      </c>
      <c r="T105">
        <f>HYPERLINK("https://klasma.github.io/Logging_1737/kartor/A 61813-2021 karta.png", "A 61813-2021")</f>
        <v/>
      </c>
      <c r="V105">
        <f>HYPERLINK("https://klasma.github.io/Logging_1737/klagomål/A 61813-2021 FSC-klagomål.docx", "A 61813-2021")</f>
        <v/>
      </c>
      <c r="W105">
        <f>HYPERLINK("https://klasma.github.io/Logging_1737/klagomålsmail/A 61813-2021 FSC-klagomål mail.docx", "A 61813-2021")</f>
        <v/>
      </c>
      <c r="X105">
        <f>HYPERLINK("https://klasma.github.io/Logging_1737/tillsyn/A 61813-2021 tillsynsbegäran.docx", "A 61813-2021")</f>
        <v/>
      </c>
      <c r="Y105">
        <f>HYPERLINK("https://klasma.github.io/Logging_1737/tillsynsmail/A 61813-2021 tillsynsbegäran mail.docx", "A 61813-2021")</f>
        <v/>
      </c>
    </row>
    <row r="106" ht="15" customHeight="1">
      <c r="A106" t="inlineStr">
        <is>
          <t>A 65767-2021</t>
        </is>
      </c>
      <c r="B106" s="1" t="n">
        <v>44516</v>
      </c>
      <c r="C106" s="1" t="n">
        <v>45513</v>
      </c>
      <c r="D106" t="inlineStr">
        <is>
          <t>VÄRMLANDS LÄN</t>
        </is>
      </c>
      <c r="E106" t="inlineStr">
        <is>
          <t>TORSBY</t>
        </is>
      </c>
      <c r="G106" t="n">
        <v>7.5</v>
      </c>
      <c r="H106" t="n">
        <v>0</v>
      </c>
      <c r="I106" t="n">
        <v>1</v>
      </c>
      <c r="J106" t="n">
        <v>0</v>
      </c>
      <c r="K106" t="n">
        <v>0</v>
      </c>
      <c r="L106" t="n">
        <v>0</v>
      </c>
      <c r="M106" t="n">
        <v>0</v>
      </c>
      <c r="N106" t="n">
        <v>0</v>
      </c>
      <c r="O106" t="n">
        <v>0</v>
      </c>
      <c r="P106" t="n">
        <v>0</v>
      </c>
      <c r="Q106" t="n">
        <v>1</v>
      </c>
      <c r="R106" s="2" t="inlineStr">
        <is>
          <t>Mörk husmossa</t>
        </is>
      </c>
      <c r="S106">
        <f>HYPERLINK("https://klasma.github.io/Logging_1737/artfynd/A 65767-2021 artfynd.xlsx", "A 65767-2021")</f>
        <v/>
      </c>
      <c r="T106">
        <f>HYPERLINK("https://klasma.github.io/Logging_1737/kartor/A 65767-2021 karta.png", "A 65767-2021")</f>
        <v/>
      </c>
      <c r="V106">
        <f>HYPERLINK("https://klasma.github.io/Logging_1737/klagomål/A 65767-2021 FSC-klagomål.docx", "A 65767-2021")</f>
        <v/>
      </c>
      <c r="W106">
        <f>HYPERLINK("https://klasma.github.io/Logging_1737/klagomålsmail/A 65767-2021 FSC-klagomål mail.docx", "A 65767-2021")</f>
        <v/>
      </c>
      <c r="X106">
        <f>HYPERLINK("https://klasma.github.io/Logging_1737/tillsyn/A 65767-2021 tillsynsbegäran.docx", "A 65767-2021")</f>
        <v/>
      </c>
      <c r="Y106">
        <f>HYPERLINK("https://klasma.github.io/Logging_1737/tillsynsmail/A 65767-2021 tillsynsbegäran mail.docx", "A 65767-2021")</f>
        <v/>
      </c>
    </row>
    <row r="107" ht="15" customHeight="1">
      <c r="A107" t="inlineStr">
        <is>
          <t>A 71594-2021</t>
        </is>
      </c>
      <c r="B107" s="1" t="n">
        <v>44541</v>
      </c>
      <c r="C107" s="1" t="n">
        <v>45513</v>
      </c>
      <c r="D107" t="inlineStr">
        <is>
          <t>VÄRMLANDS LÄN</t>
        </is>
      </c>
      <c r="E107" t="inlineStr">
        <is>
          <t>TORSBY</t>
        </is>
      </c>
      <c r="G107" t="n">
        <v>13.1</v>
      </c>
      <c r="H107" t="n">
        <v>0</v>
      </c>
      <c r="I107" t="n">
        <v>0</v>
      </c>
      <c r="J107" t="n">
        <v>1</v>
      </c>
      <c r="K107" t="n">
        <v>0</v>
      </c>
      <c r="L107" t="n">
        <v>0</v>
      </c>
      <c r="M107" t="n">
        <v>0</v>
      </c>
      <c r="N107" t="n">
        <v>0</v>
      </c>
      <c r="O107" t="n">
        <v>1</v>
      </c>
      <c r="P107" t="n">
        <v>0</v>
      </c>
      <c r="Q107" t="n">
        <v>1</v>
      </c>
      <c r="R107" s="2" t="inlineStr">
        <is>
          <t>Garnlav</t>
        </is>
      </c>
      <c r="S107">
        <f>HYPERLINK("https://klasma.github.io/Logging_1737/artfynd/A 71594-2021 artfynd.xlsx", "A 71594-2021")</f>
        <v/>
      </c>
      <c r="T107">
        <f>HYPERLINK("https://klasma.github.io/Logging_1737/kartor/A 71594-2021 karta.png", "A 71594-2021")</f>
        <v/>
      </c>
      <c r="V107">
        <f>HYPERLINK("https://klasma.github.io/Logging_1737/klagomål/A 71594-2021 FSC-klagomål.docx", "A 71594-2021")</f>
        <v/>
      </c>
      <c r="W107">
        <f>HYPERLINK("https://klasma.github.io/Logging_1737/klagomålsmail/A 71594-2021 FSC-klagomål mail.docx", "A 71594-2021")</f>
        <v/>
      </c>
      <c r="X107">
        <f>HYPERLINK("https://klasma.github.io/Logging_1737/tillsyn/A 71594-2021 tillsynsbegäran.docx", "A 71594-2021")</f>
        <v/>
      </c>
      <c r="Y107">
        <f>HYPERLINK("https://klasma.github.io/Logging_1737/tillsynsmail/A 71594-2021 tillsynsbegäran mail.docx", "A 71594-2021")</f>
        <v/>
      </c>
    </row>
    <row r="108" ht="15" customHeight="1">
      <c r="A108" t="inlineStr">
        <is>
          <t>A 3404-2022</t>
        </is>
      </c>
      <c r="B108" s="1" t="n">
        <v>44585</v>
      </c>
      <c r="C108" s="1" t="n">
        <v>45513</v>
      </c>
      <c r="D108" t="inlineStr">
        <is>
          <t>VÄRMLANDS LÄN</t>
        </is>
      </c>
      <c r="E108" t="inlineStr">
        <is>
          <t>TORSBY</t>
        </is>
      </c>
      <c r="G108" t="n">
        <v>1</v>
      </c>
      <c r="H108" t="n">
        <v>0</v>
      </c>
      <c r="I108" t="n">
        <v>0</v>
      </c>
      <c r="J108" t="n">
        <v>1</v>
      </c>
      <c r="K108" t="n">
        <v>0</v>
      </c>
      <c r="L108" t="n">
        <v>0</v>
      </c>
      <c r="M108" t="n">
        <v>0</v>
      </c>
      <c r="N108" t="n">
        <v>0</v>
      </c>
      <c r="O108" t="n">
        <v>1</v>
      </c>
      <c r="P108" t="n">
        <v>0</v>
      </c>
      <c r="Q108" t="n">
        <v>1</v>
      </c>
      <c r="R108" s="2" t="inlineStr">
        <is>
          <t>Vedtrappmossa</t>
        </is>
      </c>
      <c r="S108">
        <f>HYPERLINK("https://klasma.github.io/Logging_1737/artfynd/A 3404-2022 artfynd.xlsx", "A 3404-2022")</f>
        <v/>
      </c>
      <c r="T108">
        <f>HYPERLINK("https://klasma.github.io/Logging_1737/kartor/A 3404-2022 karta.png", "A 3404-2022")</f>
        <v/>
      </c>
      <c r="V108">
        <f>HYPERLINK("https://klasma.github.io/Logging_1737/klagomål/A 3404-2022 FSC-klagomål.docx", "A 3404-2022")</f>
        <v/>
      </c>
      <c r="W108">
        <f>HYPERLINK("https://klasma.github.io/Logging_1737/klagomålsmail/A 3404-2022 FSC-klagomål mail.docx", "A 3404-2022")</f>
        <v/>
      </c>
      <c r="X108">
        <f>HYPERLINK("https://klasma.github.io/Logging_1737/tillsyn/A 3404-2022 tillsynsbegäran.docx", "A 3404-2022")</f>
        <v/>
      </c>
      <c r="Y108">
        <f>HYPERLINK("https://klasma.github.io/Logging_1737/tillsynsmail/A 3404-2022 tillsynsbegäran mail.docx", "A 3404-2022")</f>
        <v/>
      </c>
    </row>
    <row r="109" ht="15" customHeight="1">
      <c r="A109" t="inlineStr">
        <is>
          <t>A 16572-2022</t>
        </is>
      </c>
      <c r="B109" s="1" t="n">
        <v>44672</v>
      </c>
      <c r="C109" s="1" t="n">
        <v>45513</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23486-2022</t>
        </is>
      </c>
      <c r="B110" s="1" t="n">
        <v>44721</v>
      </c>
      <c r="C110" s="1" t="n">
        <v>45513</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45513</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45513</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45513</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45513</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45513</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45513</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45513</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45513</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45513</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45513</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45513</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45513</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45513</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45513</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45513</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45513</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45513</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45513</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45513</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45513</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45513</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45513</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45513</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45513</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45513</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45513</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45513</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45513</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45513</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45513</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45513</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45513</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45513</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45513</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45513</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45513</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45513</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45513</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45513</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45513</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45513</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45513</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45513</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45513</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45513</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45513</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45513</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45513</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45513</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45513</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45513</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45513</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45513</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45513</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45513</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45513</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45513</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45513</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45513</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45513</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45513</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45513</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45513</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45513</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45513</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45513</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45513</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45513</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45513</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45513</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45513</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45513</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45513</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45513</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45513</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45513</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45513</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45513</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45513</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45513</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45513</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45513</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45513</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45513</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45513</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45513</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45513</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45513</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45513</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45513</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45513</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45513</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45513</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45513</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45513</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45513</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45513</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45513</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45513</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45513</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45513</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45513</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45513</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45513</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45513</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45513</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45513</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45513</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45513</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45513</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45513</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45513</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45513</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45513</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45513</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45513</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45513</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45513</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45513</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45513</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45513</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45513</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45513</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45513</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45513</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45513</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45513</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45513</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45513</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45513</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45513</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45513</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45513</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45513</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45513</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45513</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45513</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45513</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45513</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45513</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45513</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45513</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45513</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45513</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45513</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45513</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45513</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45513</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45513</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45513</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45513</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45513</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45513</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45513</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45513</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45513</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45513</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45513</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45513</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45513</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45513</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45513</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45513</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45513</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45513</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45513</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45513</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45513</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45513</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45513</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45513</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45513</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45513</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45513</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45513</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45513</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45513</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45513</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45513</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45513</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45513</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45513</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45513</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45513</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45513</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45513</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45513</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45513</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45513</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45513</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45513</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45513</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45513</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45513</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45513</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45513</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45513</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45513</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45513</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45513</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45513</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45513</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45513</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45513</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45513</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45513</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45513</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45513</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45513</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45513</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45513</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45513</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45513</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45513</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45513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45513</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45513</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45513</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45513</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45513</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45513</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45513</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45513</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45513</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45513</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45513</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45513</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45513</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45513</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45513</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45513</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45513</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45513</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45513</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45513</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45513</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45513</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45513</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45513</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45513</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45513</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45513</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45513</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45513</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45513</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45513</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45513</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45513</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45513</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45513</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45513</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45513</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45513</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45513</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45513</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45513</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45513</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45513</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45513</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45513</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45513</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45513</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45513</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45513</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45513</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45513</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45513</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45513</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45513</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45513</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45513</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45513</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45513</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45513</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45513</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45513</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45513</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45513</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45513</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45513</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45513</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45513</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45513</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45513</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45513</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45513</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45513</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45513</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45513</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45513</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45513</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45513</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45513</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45513</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45513</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45513</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45513</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45513</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45513</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45513</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45513</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45513</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45513</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45513</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45513</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45513</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45513</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45513</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45513</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45513</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45513</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45513</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45513</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45513</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45513</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45513</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45513</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45513</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45513</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45513</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45513</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45513</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45513</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45513</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45513</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45513</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45513</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45513</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45513</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45513</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45513</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45513</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45513</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45513</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45513</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45513</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45513</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45513</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45513</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45513</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45513</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45513</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45513</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45513</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45513</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45513</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45513</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45513</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45513</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45513</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45513</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45513</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45513</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45513</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45513</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45513</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45513</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45513</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45513</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45513</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45513</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45513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45513</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45513</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45513</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45513</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45513</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45513</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45513</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45513</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45513</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45513</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45513</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45513</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45513</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45513</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45513</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45513</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45513</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45513</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45513</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45513</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45513</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45513</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45513</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45513</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45513</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45513</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45513</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45513</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45513</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45513</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45513</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45513</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45513</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45513</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45513</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45513</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45513</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45513</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45513</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45513</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45513</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45513</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45513</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45513</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45513</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45513</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45513</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45513</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45513</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45513</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45513</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45513</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45513</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45513</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45513</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45513</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45513</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45513</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45513</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45513</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45513</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45513</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45513</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45513</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45513</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45513</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45513</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45513</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45513</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45513</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45513</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45513</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45513</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45513</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45513</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45513</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45513</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45513</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45513</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45513</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45513</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45513</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45513</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45513</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45513</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45513</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45513</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45513</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45513</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45513</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45513</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45513</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45513</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45513</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45513</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45513</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45513</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45513</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45513</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45513</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45513</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45513</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45513</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45513</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45513</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45513</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45513</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45513</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45513</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45513</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45513</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45513</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45513</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45513</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45513</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45513</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45513</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45513</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45513</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45513</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45513</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45513</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45513</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45513</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45513</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45513</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45513</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45513</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45513</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45513</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45513</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45513</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45513</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45513</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45513</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45513</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45513</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45513</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45513</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45513</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45513</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45513</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45513</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45513</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45513</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45513</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45513</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45513</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45513</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45513</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45513</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45513</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45513</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45513</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45513</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45513</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45513</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45513</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45513</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45513</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45513</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45513</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45513</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45513</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45513</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45513</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45513</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45513</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45513</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45513</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45513</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45513</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45513</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45513</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45513</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45513</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45513</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45513</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45513</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45513</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45513</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45513</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45513</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45513</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45513</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45513</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45513</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45513</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45513</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45513</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45513</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45513</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45513</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45513</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45513</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45513</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45513</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45513</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45513</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45513</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45513</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45513</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45513</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45513</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45513</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45513</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45513</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45513</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45513</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45513</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45513</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45513</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45513</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45513</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45513</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45513</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45513</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45513</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45513</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45513</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45513</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45513</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45513</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45513</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45513</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45513</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45513</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45513</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45513</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45513</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45513</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45513</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45513</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45513</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45513</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45513</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45513</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45513</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45513</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45513</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45513</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45513</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45513</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45513</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45513</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45513</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45513</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45513</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45513</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45513</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45513</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45513</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45513</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45513</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45513</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45513</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45513</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45513</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45513</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45513</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45513</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45513</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45513</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45513</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45513</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45513</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45513</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45513</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45513</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45513</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45513</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45513</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45513</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45513</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45513</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45513</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45513</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45513</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45513</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45513</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45513</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45513</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45513</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45513</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45513</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45513</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45513</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45513</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45513</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45513</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45513</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45513</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45513</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45513</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45513</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45513</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45513</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45513</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45513</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45513</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45513</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45513</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45513</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45513</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45513</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45513</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45513</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45513</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45513</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45513</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45513</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45513</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45513</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45513</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45513</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45513</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45513</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45513</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45513</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45513</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45513</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45513</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45513</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45513</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45513</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45513</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45513</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45513</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45513</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45513</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45513</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45513</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45513</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45513</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45513</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45513</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45513</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45513</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45513</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45513</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45513</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45513</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45513</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45513</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45513</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45513</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45513</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45513</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45513</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45513</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45513</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45513</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45513</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45513</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45513</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45513</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45513</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45513</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45513</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45513</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45513</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45513</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45513</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45513</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45513</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45513</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45513</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45513</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45513</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45513</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45513</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45513</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45513</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45513</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45513</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45513</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45513</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45513</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45513</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45513</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45513</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45513</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45513</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45513</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45513</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45513</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45513</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45513</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45513</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45513</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45513</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45513</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45513</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45513</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45513</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45513</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45513</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45513</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45513</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45513</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45513</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45513</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45513</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45513</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45513</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45513</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45513</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45513</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45513</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45513</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45513</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45513</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45513</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45513</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45513</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45513</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45513</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45513</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45513</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45513</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45513</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45513</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45513</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45513</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45513</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45513</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45513</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45513</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45513</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45513</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45513</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45513</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45513</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45513</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45513</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45513</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45513</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45513</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45513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45513</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45513</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45513</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45513</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45513</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45513</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45513</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45513</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45513</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45513</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45513</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45513</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45513</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45513</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45513</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45513</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45513</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45513</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45513</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45513</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45513</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45513</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45513</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45513</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45513</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45513</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45513</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45513</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45513</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45513</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45513</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45513</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45513</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45513</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45513</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45513</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45513</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45513</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45513</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45513</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45513</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45513</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45513</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45513</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45513</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45513</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45513</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45513</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45513</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45513</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45513</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45513</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45513</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45513</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45513</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45513</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45513</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45513</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45513</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45513</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45513</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45513</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45513</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45513</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45513</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45513</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45513</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45513</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45513</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45513</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45513</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45513</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45513</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45513</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45513</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45513</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45513</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45513</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45513</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45513</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45513</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45513</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45513</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45513</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45513</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45513</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45513</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45513</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45513</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45513</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45513</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45513</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45513</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45513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45513</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45513</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45513</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45513</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45513</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45513</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45513</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45513</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45513</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45513</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45513</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45513</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45513</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45513</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45513</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45513</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45513</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45513</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45513</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45513</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45513</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45513</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45513</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45513</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45513</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45513</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45513</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45513</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45513</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45513</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45513</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45513</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45513</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45513</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45513</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45513</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45513</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45513</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45513</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45513</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45513</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45513</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45513</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45513</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45513</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45513</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45513</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45513</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45513</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45513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45513</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45513</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45513</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45513</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45513</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45513</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45513</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45513</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45513</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45513</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45513</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45513</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45513</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45513</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45513</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45513</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45513</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45513</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45513</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45513</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45513</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45513</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45513</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45513</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45513</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45513</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45513</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45513</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45513</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45513</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45513</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45513</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45513</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45513</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45513</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45513</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45513</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45513</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45513</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45513</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45513</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45513</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45513</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45513</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45513</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45513</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45513</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45513</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45513</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45513</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45513</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45513</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45513</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45513</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45513</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45513</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45513</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45513</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45513</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45513</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45513</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45513</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45513</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45513</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45513</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45513</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45513</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45513</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45513</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45513</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45513</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45513</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45513</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45513</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45513</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45513</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45513</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45513</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45513</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45513</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45513</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45513</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45513</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45513</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45513</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45513</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45513</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45513</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45513</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45513</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45513</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45513</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45513</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45513</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45513</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45513</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45513</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45513</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45513</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45513</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45513</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45513</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45513</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45513</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45513</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45513</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45513</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45513</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45513</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45513</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45513</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45513</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45513</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45513</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45513</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45513</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45513</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45513</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45513</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45513</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45513</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45513</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45513</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45513</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45513</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45513</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45513</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45513</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45513</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45513</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45513</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45513</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45513</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45513</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45513</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45513</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45513</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45513</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45513</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45513</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45513</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45513</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45513</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45513</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45513</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45513</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45513</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45513</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45513</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45513</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45513</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45513</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45513</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45513</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45513</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45513</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45513</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45513</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45513</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45513</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45513</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45513</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45513</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45513</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45513</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45513</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45513</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45513</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45513</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45513</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45513</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45513</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45513</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45513</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45513</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45513</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45513</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45513</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45513</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45513</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45513</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45513</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45513</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45513</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45513</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45513</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45513</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45513</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45513</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45513</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45513</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45513</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45513</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45513</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45513</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45513</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45513</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45513</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45513</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45513</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45513</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45513</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45513</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45513</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45513</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45513</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45513</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45513</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45513</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45513</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45513</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45513</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45513</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45513</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45513</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45513</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45513</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45513</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45513</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45513</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45513</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45513</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45513</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45513</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45513</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45513</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45513</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45513</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45513</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45513</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45513</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45513</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45513</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45513</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45513</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45513</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45513</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45513</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45513</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45513</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45513</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45513</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45513</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45513</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45513</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45513</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45513</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45513</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45513</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45513</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45513</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45513</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45513</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45513</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45513</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45513</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45513</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45513</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45513</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45513</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45513</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45513</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45513</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45513</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45513</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45513</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45513</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45513</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45513</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45513</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45513</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45513</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45513</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45513</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45513</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45513</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45513</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45513</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45513</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45513</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45513</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45513</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45513</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45513</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45513</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45513</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45513</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45513</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45513</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45513</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45513</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45513</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45513</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45513</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45513</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45513</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45513</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45513</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45513</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45513</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45513</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45513</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45513</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45513</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45513</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45513</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45513</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45513</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45513</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45513</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45513</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45513</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45513</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45513</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45513</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45513</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45513</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45513</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45513</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45513</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45513</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45513</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45513</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45513</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45513</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45513</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45513</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45513</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45513</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45513</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45513</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45513</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45513</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45513</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45513</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45513</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45513</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45513</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45513</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45513</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45513</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45513</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45513</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45513</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45513</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45513</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45513</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45513</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45513</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45513</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45513</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45513</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45513</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45513</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45513</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45513</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45513</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45513</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45513</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45513</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45513</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45513</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45513</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45513</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45513</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45513</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45513</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45513</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45513</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45513</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45513</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45513</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45513</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45513</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45513</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45513</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45513</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45513</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45513</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45513</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45513</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45513</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45513</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45513</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45513</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45513</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45513</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45513</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45513</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45513</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45513</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45513</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45513</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45513</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45513</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45513</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45513</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45513</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45513</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45513</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45513</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45513</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45513</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45513</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45513</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45513</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45513</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45513</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45513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45513</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45513</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45513</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45513</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45513</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45513</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45513</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45513</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45513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45513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45513</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45513</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45513</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45513</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45513</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45513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45513</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45513</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45513</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45513</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45513</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45513</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45513</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45513</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45513</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45513</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45513</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45513</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45513</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45513</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45513</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45513</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45513</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45513</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45513</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45513</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45513</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45513</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45513</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45513</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45513</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45513</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45513</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45513</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45513</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45513</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45513</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45513</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45513</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45513</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45513</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45513</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45513</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45513</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45513</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45513</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45513</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45513</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45513</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45513</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45513</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45513</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45513</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45513</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45513</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45513</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45513</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45513</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45513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45513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45513</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45513</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45513</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45513</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45513</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45513</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45513</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45513</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45513</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45513</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45513</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45513</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45513</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45513</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45513</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45513</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45513</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45513</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45513</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45513</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45513</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45513</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45513</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45513</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45513</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45513</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45513</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45513</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45513</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45513</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45513</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45513</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45513</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45513</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45513</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45513</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45513</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45513</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45513</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45513</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45513</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45513</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45513</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45513</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45513</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45513</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45513</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45513</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45513</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45513</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45513</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45513</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45513</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45513</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45513</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45513</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45513</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45513</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45513</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45513</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45513</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45513</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45513</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45513</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45513</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45513</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45513</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45513</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45513</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45513</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45513</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45513</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45513</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45513</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45513</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45513</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45513</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45513</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45513</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45513</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45513</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45513</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45513</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45513</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45513</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45513</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45513</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45513</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45513</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45513</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45513</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45513</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45513</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45513</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45513</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45513</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45513</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45513</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45513</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45513</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45513</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45513</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45513</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45513</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45513</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45513</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45513</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45513</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45513</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45513</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45513</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45513</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45513</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45513</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45513</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45513</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45513</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45513</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45513</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45513</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45513</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45513</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45513</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45513</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45513</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45513</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45513</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45513</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45513</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45513</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45513</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45513</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45513</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45513</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45513</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45513</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45513</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45513</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45513</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45513</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45513</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45513</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45513</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45513</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45513</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45513</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45513</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45513</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45513</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45513</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45513</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45513</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45513</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45513</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45513</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45513</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45513</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45513</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45513</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45513</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45513</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45513</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45513</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45513</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45513</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45513</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45513</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45513</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45513</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45513</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45513</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45513</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45513</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45513</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45513</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45513</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45513</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45513</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45513</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45513</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45513</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45513</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45513</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45513</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45513</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45513</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45513</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45513</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45513</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45513</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45513</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45513</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45513</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45513</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45513</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45513</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45513</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45513</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45513</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45513</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45513</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45513</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45513</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45513</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45513</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45513</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45513</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45513</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45513</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45513</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45513</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45513</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45513</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45513</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45513</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45513</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45513</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45513</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45513</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45513</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45513</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45513</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45513</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45513</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45513</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45513</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45513</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45513</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45513</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45513</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45513</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45513</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45513</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45513</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45513</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45513</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45513</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45513</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45513</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45513</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45513</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45513</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45513</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45513</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45513</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45513</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45513</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45513</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45513</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45513</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45513</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45513</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45513</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45513</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45513</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45513</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45513</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45513</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45513</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45513</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45513</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45513</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45513</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45513</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45513</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45513</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45513</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45513</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45513</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45513</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45513</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45513</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45513</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45513</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45513</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45513</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45513</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45513</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45513</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45513</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45513</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45513</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45513</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45513</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45513</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45513</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45513</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45513</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45513</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45513</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45513</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45513</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45513</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45513</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45513</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45513</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45513</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45513</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45513</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45513</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45513</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45513</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45513</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45513</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45513</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45513</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45513</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45513</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45513</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45513</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45513</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45513</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45513</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45513</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45513</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45513</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45513</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45513</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45513</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45513</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45513</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45513</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45513</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45513</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45513</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45513</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45513</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45513</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45513</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45513</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45513</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45513</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45513</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45513</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45513</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45513</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45513</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45513</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45513</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45513</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45513</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45513</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45513</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45513</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45513</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45513</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45513</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45513</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45513</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45513</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45513</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45513</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45513</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45513</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45513</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45513</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45513</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45513</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45513</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45513</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45513</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45513</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45513</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45513</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45513</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45513</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45513</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45513</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45513</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45513</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45513</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45513</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45513</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45513</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45513</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45513</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45513</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45513</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45513</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45513</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45513</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45513</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45513</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45513</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45513</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45513</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45513</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45513</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45513</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45513</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45513</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45513</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45513</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45513</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45513</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45513</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45513</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45513</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45513</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45513</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45513</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45513</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45513</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45513</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45513</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45513</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45513</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45513</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45513</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45513</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45513</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45513</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45513</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45513</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45513</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45513</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45513</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45513</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45513</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45513</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45513</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45513</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45513</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45513</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45513</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45513</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45513</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45513</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45513</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45513</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45513</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45513</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45513</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45513</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45513</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45513</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45513</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45513</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45513</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45513</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45513</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45513</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45513</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45513</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45513</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45513</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45513</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45513</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45513</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45513</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45513</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45513</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45513</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45513</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45513</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45513</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45513</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45513</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45513</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45513</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45513</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45513</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45513</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45513</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45513</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45513</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45513</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45513</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45513</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45513</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45513</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45513</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45513</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45513</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45513</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45513</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45513</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45513</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45513</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45513</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45513</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45513</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45513</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45513</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45513</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45513</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45513</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45513</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45513</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45513</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45513</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45513</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45513</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45513</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45513</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45513</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45513</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45513</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45513</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45513</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45513</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45513</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45513</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45513</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45513</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45513</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45513</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45513</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45513</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45513</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45513</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45513</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45513</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45513</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45513</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45513</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45513</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45513</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45513</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45513</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45513</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45513</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45513</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45513</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45513</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45513</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45513</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45513</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45513</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45513</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45513</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45513</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45513</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45513</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45513</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45513</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45513</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45513</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45513</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45513</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45513</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45513</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45513</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45513</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45513</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45513</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45513</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45513</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45513</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45513</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45513</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45513</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45513</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45513</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45513</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45513</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45513</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45513</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45513</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45513</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45513</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45513</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45513</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45513</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45513</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45513</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45513</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45513</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45513</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45513</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45513</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45513</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45513</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45513</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45513</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45513</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45513</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45513</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45513</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45513</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45513</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45513</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45513</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45513</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45513</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45513</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45513</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45513</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45513</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45513</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45513</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45513</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45513</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45513</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45513</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45513</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45513</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45513</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45513</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45513</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45513</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45513</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45513</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45513</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45513</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45513</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45513</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45513</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45513</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45513</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45513</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45513</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45513</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45513</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45513</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45513</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45513</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45513</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45513</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45513</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45513</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45513</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45513</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45513</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45513</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45513</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45513</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45513</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45513</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45513</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45513</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45513</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45513</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45513</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45513</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45513</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45513</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45513</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45513</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45513</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45513</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45513</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45513</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45513</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45513</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45513</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45513</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45513</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45513</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45513</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45513</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45513</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45513</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45513</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45513</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45513</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45513</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45513</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45513</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45513</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45513</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45513</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45513</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45513</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45513</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45513</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45513</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45513</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45513</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45513</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45513</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45513</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45513</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45513</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45513</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45513</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45513</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45513</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45513</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45513</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45513</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45513</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45513</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45513</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45513</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45513</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45513</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45513</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45513</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45513</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45513</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45513</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45513</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45513</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45513</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45513</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45513</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45513</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45513</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45513</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45513</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45513</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45513</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45513</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45513</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45513</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45513</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45513</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45513</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45513</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45513</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45513</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45513</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45513</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45513</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45513</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45513</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45513</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45513</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45513</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45513</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45513</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45513</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45513</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45513</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45513</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45513</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45513</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45513</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45513</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45513</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45513</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45513</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45513</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45513</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45513</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45513</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45513</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45513</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45513</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45513</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45513</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45513</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45513</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45513</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45513</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45513</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45513</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45513</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45513</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45513</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45513</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45513</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45513</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45513</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45513</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45513</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45513</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45513</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45513</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45513</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45513</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45513</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45513</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45513</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45513</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45513</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45513</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45513</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45513</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45513</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45513</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45513</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45513</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45513</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45513</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45513</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45513</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45513</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45513</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45513</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45513</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45513</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45513</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45513</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45513</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45513</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45513</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45513</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45513</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45513</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45513</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45513</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45513</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45513</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45513</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45513</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45513</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45513</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45513</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45513</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45513</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45513</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45513</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45513</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45513</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45513</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45513</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45513</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45513</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45513</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45513</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45513</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45513</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45513</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45513</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45513</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45513</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45513</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45513</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45513</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45513</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45513</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45513</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45513</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45513</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45513</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45513</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45513</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45513</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45513</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45513</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45513</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45513</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45513</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45513</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45513</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45513</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45513</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45513</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45513</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45513</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45513</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45513</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45513</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45513</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45513</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45513</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45513</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45513</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45513</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45513</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45513</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45513</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45513</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45513</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45513</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45513</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45513</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45513</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45513</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45513</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45513</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45513</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45513</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45513</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45513</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45513</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45513</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45513</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45513</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45513</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45513</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45513</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45513</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45513</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45513</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45513</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45513</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45513</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45513</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45513</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45513</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45513</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45513</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45513</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45513</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45513</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45513</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45513</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45513</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45513</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45513</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45513</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45513</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45513</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45513</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45513</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45513</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45513</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45513</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45513</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45513</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45513</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45513</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29306-2024</t>
        </is>
      </c>
      <c r="B2440" s="1" t="n">
        <v>45483</v>
      </c>
      <c r="C2440" s="1" t="n">
        <v>45513</v>
      </c>
      <c r="D2440" t="inlineStr">
        <is>
          <t>VÄRMLANDS LÄN</t>
        </is>
      </c>
      <c r="E2440" t="inlineStr">
        <is>
          <t>TORSBY</t>
        </is>
      </c>
      <c r="F2440" t="inlineStr">
        <is>
          <t>Kyrkan</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29408-2024</t>
        </is>
      </c>
      <c r="B2441" s="1" t="n">
        <v>45483</v>
      </c>
      <c r="C2441" s="1" t="n">
        <v>45513</v>
      </c>
      <c r="D2441" t="inlineStr">
        <is>
          <t>VÄRMLANDS LÄN</t>
        </is>
      </c>
      <c r="E2441" t="inlineStr">
        <is>
          <t>TORSBY</t>
        </is>
      </c>
      <c r="F2441" t="inlineStr">
        <is>
          <t>Bergvik skog väst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29375-2024</t>
        </is>
      </c>
      <c r="B2442" s="1" t="n">
        <v>45483</v>
      </c>
      <c r="C2442" s="1" t="n">
        <v>45513</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29535-2024</t>
        </is>
      </c>
      <c r="B2443" s="1" t="n">
        <v>45484</v>
      </c>
      <c r="C2443" s="1" t="n">
        <v>45513</v>
      </c>
      <c r="D2443" t="inlineStr">
        <is>
          <t>VÄRMLANDS LÄN</t>
        </is>
      </c>
      <c r="E2443" t="inlineStr">
        <is>
          <t>TORSBY</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29541-2024</t>
        </is>
      </c>
      <c r="B2444" s="1" t="n">
        <v>45484</v>
      </c>
      <c r="C2444" s="1" t="n">
        <v>45513</v>
      </c>
      <c r="D2444" t="inlineStr">
        <is>
          <t>VÄRMLANDS LÄN</t>
        </is>
      </c>
      <c r="E2444" t="inlineStr">
        <is>
          <t>TORSBY</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29549-2024</t>
        </is>
      </c>
      <c r="B2445" s="1" t="n">
        <v>45484</v>
      </c>
      <c r="C2445" s="1" t="n">
        <v>45513</v>
      </c>
      <c r="D2445" t="inlineStr">
        <is>
          <t>VÄRMLANDS LÄN</t>
        </is>
      </c>
      <c r="E2445" t="inlineStr">
        <is>
          <t>TORSBY</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29593-2024</t>
        </is>
      </c>
      <c r="B2446" s="1" t="n">
        <v>45484</v>
      </c>
      <c r="C2446" s="1" t="n">
        <v>45513</v>
      </c>
      <c r="D2446" t="inlineStr">
        <is>
          <t>VÄRMLANDS LÄN</t>
        </is>
      </c>
      <c r="E2446" t="inlineStr">
        <is>
          <t>TORSBY</t>
        </is>
      </c>
      <c r="F2446" t="inlineStr">
        <is>
          <t>Bergvik skog väst AB</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29502-2024</t>
        </is>
      </c>
      <c r="B2447" s="1" t="n">
        <v>45484</v>
      </c>
      <c r="C2447" s="1" t="n">
        <v>45513</v>
      </c>
      <c r="D2447" t="inlineStr">
        <is>
          <t>VÄRMLANDS LÄN</t>
        </is>
      </c>
      <c r="E2447" t="inlineStr">
        <is>
          <t>TORSBY</t>
        </is>
      </c>
      <c r="F2447" t="inlineStr">
        <is>
          <t>Bergvik skog väst AB</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29559-2024</t>
        </is>
      </c>
      <c r="B2448" s="1" t="n">
        <v>45484</v>
      </c>
      <c r="C2448" s="1" t="n">
        <v>45513</v>
      </c>
      <c r="D2448" t="inlineStr">
        <is>
          <t>VÄRMLANDS LÄN</t>
        </is>
      </c>
      <c r="E2448" t="inlineStr">
        <is>
          <t>TORSBY</t>
        </is>
      </c>
      <c r="F2448" t="inlineStr">
        <is>
          <t>Bergvik skog väst AB</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29759-2024</t>
        </is>
      </c>
      <c r="B2449" s="1" t="n">
        <v>45485</v>
      </c>
      <c r="C2449" s="1" t="n">
        <v>45513</v>
      </c>
      <c r="D2449" t="inlineStr">
        <is>
          <t>VÄRMLANDS LÄN</t>
        </is>
      </c>
      <c r="E2449" t="inlineStr">
        <is>
          <t>TORSBY</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29852-2024</t>
        </is>
      </c>
      <c r="B2450" s="1" t="n">
        <v>45485</v>
      </c>
      <c r="C2450" s="1" t="n">
        <v>45513</v>
      </c>
      <c r="D2450" t="inlineStr">
        <is>
          <t>VÄRMLANDS LÄN</t>
        </is>
      </c>
      <c r="E2450" t="inlineStr">
        <is>
          <t>TORSBY</t>
        </is>
      </c>
      <c r="F2450" t="inlineStr">
        <is>
          <t>Bergvik skog väst AB</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29895-2024</t>
        </is>
      </c>
      <c r="B2451" s="1" t="n">
        <v>45487</v>
      </c>
      <c r="C2451" s="1" t="n">
        <v>45513</v>
      </c>
      <c r="D2451" t="inlineStr">
        <is>
          <t>VÄRMLANDS LÄN</t>
        </is>
      </c>
      <c r="E2451" t="inlineStr">
        <is>
          <t>TORSBY</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29898-2024</t>
        </is>
      </c>
      <c r="B2452" s="1" t="n">
        <v>45487</v>
      </c>
      <c r="C2452" s="1" t="n">
        <v>45513</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29897-2024</t>
        </is>
      </c>
      <c r="B2453" s="1" t="n">
        <v>45487</v>
      </c>
      <c r="C2453" s="1" t="n">
        <v>45513</v>
      </c>
      <c r="D2453" t="inlineStr">
        <is>
          <t>VÄRMLANDS LÄN</t>
        </is>
      </c>
      <c r="E2453" t="inlineStr">
        <is>
          <t>TORSBY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29926-2024</t>
        </is>
      </c>
      <c r="B2454" s="1" t="n">
        <v>45488</v>
      </c>
      <c r="C2454" s="1" t="n">
        <v>45513</v>
      </c>
      <c r="D2454" t="inlineStr">
        <is>
          <t>VÄRMLANDS LÄN</t>
        </is>
      </c>
      <c r="E2454" t="inlineStr">
        <is>
          <t>TORSBY</t>
        </is>
      </c>
      <c r="F2454" t="inlineStr">
        <is>
          <t>Kommuner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29925-2024</t>
        </is>
      </c>
      <c r="B2455" s="1" t="n">
        <v>45488</v>
      </c>
      <c r="C2455" s="1" t="n">
        <v>45513</v>
      </c>
      <c r="D2455" t="inlineStr">
        <is>
          <t>VÄRMLANDS LÄN</t>
        </is>
      </c>
      <c r="E2455" t="inlineStr">
        <is>
          <t>TORSBY</t>
        </is>
      </c>
      <c r="F2455" t="inlineStr">
        <is>
          <t>Kyrkan</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30002-2024</t>
        </is>
      </c>
      <c r="B2456" s="1" t="n">
        <v>45488</v>
      </c>
      <c r="C2456" s="1" t="n">
        <v>45513</v>
      </c>
      <c r="D2456" t="inlineStr">
        <is>
          <t>VÄRMLANDS LÄN</t>
        </is>
      </c>
      <c r="E2456" t="inlineStr">
        <is>
          <t>TORSBY</t>
        </is>
      </c>
      <c r="F2456" t="inlineStr">
        <is>
          <t>Kommuner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29936-2024</t>
        </is>
      </c>
      <c r="B2457" s="1" t="n">
        <v>45488</v>
      </c>
      <c r="C2457" s="1" t="n">
        <v>45513</v>
      </c>
      <c r="D2457" t="inlineStr">
        <is>
          <t>VÄRMLANDS LÄN</t>
        </is>
      </c>
      <c r="E2457" t="inlineStr">
        <is>
          <t>TORSBY</t>
        </is>
      </c>
      <c r="F2457" t="inlineStr">
        <is>
          <t>Kommuner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30011-2024</t>
        </is>
      </c>
      <c r="B2458" s="1" t="n">
        <v>45488</v>
      </c>
      <c r="C2458" s="1" t="n">
        <v>45513</v>
      </c>
      <c r="D2458" t="inlineStr">
        <is>
          <t>VÄRMLANDS LÄN</t>
        </is>
      </c>
      <c r="E2458" t="inlineStr">
        <is>
          <t>TORSBY</t>
        </is>
      </c>
      <c r="F2458" t="inlineStr">
        <is>
          <t>Kommuner</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45513</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45513</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45513</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45513</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30706-2024</t>
        </is>
      </c>
      <c r="B2463" s="1" t="n">
        <v>45496</v>
      </c>
      <c r="C2463" s="1" t="n">
        <v>45513</v>
      </c>
      <c r="D2463" t="inlineStr">
        <is>
          <t>VÄRMLANDS LÄN</t>
        </is>
      </c>
      <c r="E2463" t="inlineStr">
        <is>
          <t>TORSBY</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30718-2024</t>
        </is>
      </c>
      <c r="B2464" s="1" t="n">
        <v>45496</v>
      </c>
      <c r="C2464" s="1" t="n">
        <v>45513</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30699-2024</t>
        </is>
      </c>
      <c r="B2465" s="1" t="n">
        <v>45496</v>
      </c>
      <c r="C2465" s="1" t="n">
        <v>45513</v>
      </c>
      <c r="D2465" t="inlineStr">
        <is>
          <t>VÄRMLANDS LÄN</t>
        </is>
      </c>
      <c r="E2465" t="inlineStr">
        <is>
          <t>TORSBY</t>
        </is>
      </c>
      <c r="F2465" t="inlineStr">
        <is>
          <t>Kyrkan</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30705-2024</t>
        </is>
      </c>
      <c r="B2466" s="1" t="n">
        <v>45496</v>
      </c>
      <c r="C2466" s="1" t="n">
        <v>45513</v>
      </c>
      <c r="D2466" t="inlineStr">
        <is>
          <t>VÄRMLANDS LÄN</t>
        </is>
      </c>
      <c r="E2466" t="inlineStr">
        <is>
          <t>TORSBY</t>
        </is>
      </c>
      <c r="F2466" t="inlineStr">
        <is>
          <t>Bergvik skog väst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30696-2024</t>
        </is>
      </c>
      <c r="B2467" s="1" t="n">
        <v>45496</v>
      </c>
      <c r="C2467" s="1" t="n">
        <v>45513</v>
      </c>
      <c r="D2467" t="inlineStr">
        <is>
          <t>VÄRMLANDS LÄN</t>
        </is>
      </c>
      <c r="E2467" t="inlineStr">
        <is>
          <t>TORSBY</t>
        </is>
      </c>
      <c r="F2467" t="inlineStr">
        <is>
          <t>Bergvik skog väst AB</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45513</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30720-2024</t>
        </is>
      </c>
      <c r="B2469" s="1" t="n">
        <v>45496</v>
      </c>
      <c r="C2469" s="1" t="n">
        <v>45513</v>
      </c>
      <c r="D2469" t="inlineStr">
        <is>
          <t>VÄRMLANDS LÄN</t>
        </is>
      </c>
      <c r="E2469" t="inlineStr">
        <is>
          <t>TORSBY</t>
        </is>
      </c>
      <c r="F2469" t="inlineStr">
        <is>
          <t>Bergvik skog väst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30791-2024</t>
        </is>
      </c>
      <c r="B2470" s="1" t="n">
        <v>45497</v>
      </c>
      <c r="C2470" s="1" t="n">
        <v>45513</v>
      </c>
      <c r="D2470" t="inlineStr">
        <is>
          <t>VÄRMLANDS LÄN</t>
        </is>
      </c>
      <c r="E2470" t="inlineStr">
        <is>
          <t>TORSBY</t>
        </is>
      </c>
      <c r="G2470" t="n">
        <v>44.2</v>
      </c>
      <c r="H2470" t="n">
        <v>0</v>
      </c>
      <c r="I2470" t="n">
        <v>0</v>
      </c>
      <c r="J2470" t="n">
        <v>0</v>
      </c>
      <c r="K2470" t="n">
        <v>0</v>
      </c>
      <c r="L2470" t="n">
        <v>0</v>
      </c>
      <c r="M2470" t="n">
        <v>0</v>
      </c>
      <c r="N2470" t="n">
        <v>0</v>
      </c>
      <c r="O2470" t="n">
        <v>0</v>
      </c>
      <c r="P2470" t="n">
        <v>0</v>
      </c>
      <c r="Q2470" t="n">
        <v>0</v>
      </c>
      <c r="R2470" s="2" t="inlineStr"/>
    </row>
    <row r="2471" ht="15" customHeight="1">
      <c r="A2471" t="inlineStr">
        <is>
          <t>A 30803-2024</t>
        </is>
      </c>
      <c r="B2471" s="1" t="n">
        <v>45497</v>
      </c>
      <c r="C2471" s="1" t="n">
        <v>45513</v>
      </c>
      <c r="D2471" t="inlineStr">
        <is>
          <t>VÄRMLANDS LÄN</t>
        </is>
      </c>
      <c r="E2471" t="inlineStr">
        <is>
          <t>TORSBY</t>
        </is>
      </c>
      <c r="F2471" t="inlineStr">
        <is>
          <t>Kyrkan</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30789-2024</t>
        </is>
      </c>
      <c r="B2472" s="1" t="n">
        <v>45497</v>
      </c>
      <c r="C2472" s="1" t="n">
        <v>45513</v>
      </c>
      <c r="D2472" t="inlineStr">
        <is>
          <t>VÄRMLANDS LÄN</t>
        </is>
      </c>
      <c r="E2472" t="inlineStr">
        <is>
          <t>TORSBY</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30790-2024</t>
        </is>
      </c>
      <c r="B2473" s="1" t="n">
        <v>45497</v>
      </c>
      <c r="C2473" s="1" t="n">
        <v>45513</v>
      </c>
      <c r="D2473" t="inlineStr">
        <is>
          <t>VÄRMLANDS LÄN</t>
        </is>
      </c>
      <c r="E2473" t="inlineStr">
        <is>
          <t>TORSBY</t>
        </is>
      </c>
      <c r="G2473" t="n">
        <v>49.9</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45513</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30952-2024</t>
        </is>
      </c>
      <c r="B2475" s="1" t="n">
        <v>45499</v>
      </c>
      <c r="C2475" s="1" t="n">
        <v>45513</v>
      </c>
      <c r="D2475" t="inlineStr">
        <is>
          <t>VÄRMLANDS LÄN</t>
        </is>
      </c>
      <c r="E2475" t="inlineStr">
        <is>
          <t>TORSBY</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30947-2024</t>
        </is>
      </c>
      <c r="B2476" s="1" t="n">
        <v>45499</v>
      </c>
      <c r="C2476" s="1" t="n">
        <v>45513</v>
      </c>
      <c r="D2476" t="inlineStr">
        <is>
          <t>VÄRMLANDS LÄN</t>
        </is>
      </c>
      <c r="E2476" t="inlineStr">
        <is>
          <t>TORSBY</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30942-2024</t>
        </is>
      </c>
      <c r="B2477" s="1" t="n">
        <v>45499</v>
      </c>
      <c r="C2477" s="1" t="n">
        <v>45513</v>
      </c>
      <c r="D2477" t="inlineStr">
        <is>
          <t>VÄRMLANDS LÄN</t>
        </is>
      </c>
      <c r="E2477" t="inlineStr">
        <is>
          <t>TORSBY</t>
        </is>
      </c>
      <c r="F2477" t="inlineStr">
        <is>
          <t>Bergvik skog väst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31004-2024</t>
        </is>
      </c>
      <c r="B2478" s="1" t="n">
        <v>45499</v>
      </c>
      <c r="C2478" s="1" t="n">
        <v>45513</v>
      </c>
      <c r="D2478" t="inlineStr">
        <is>
          <t>VÄRMLANDS LÄN</t>
        </is>
      </c>
      <c r="E2478" t="inlineStr">
        <is>
          <t>TORSBY</t>
        </is>
      </c>
      <c r="F2478" t="inlineStr">
        <is>
          <t>Bergvik skog väst AB</t>
        </is>
      </c>
      <c r="G2478" t="n">
        <v>14.2</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45513</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31164-2024</t>
        </is>
      </c>
      <c r="B2480" s="1" t="n">
        <v>45503</v>
      </c>
      <c r="C2480" s="1" t="n">
        <v>45513</v>
      </c>
      <c r="D2480" t="inlineStr">
        <is>
          <t>VÄRMLANDS LÄN</t>
        </is>
      </c>
      <c r="E2480" t="inlineStr">
        <is>
          <t>TORSBY</t>
        </is>
      </c>
      <c r="F2480" t="inlineStr">
        <is>
          <t>Kyrkan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31158-2024</t>
        </is>
      </c>
      <c r="B2481" s="1" t="n">
        <v>45503</v>
      </c>
      <c r="C2481" s="1" t="n">
        <v>45513</v>
      </c>
      <c r="D2481" t="inlineStr">
        <is>
          <t>VÄRMLANDS LÄN</t>
        </is>
      </c>
      <c r="E2481" t="inlineStr">
        <is>
          <t>TORSBY</t>
        </is>
      </c>
      <c r="F2481" t="inlineStr">
        <is>
          <t>Kyrkan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45513</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45513</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31377-2024</t>
        </is>
      </c>
      <c r="B2484" s="1" t="n">
        <v>45505</v>
      </c>
      <c r="C2484" s="1" t="n">
        <v>45513</v>
      </c>
      <c r="D2484" t="inlineStr">
        <is>
          <t>VÄRMLANDS LÄN</t>
        </is>
      </c>
      <c r="E2484" t="inlineStr">
        <is>
          <t>TORSBY</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31385-2024</t>
        </is>
      </c>
      <c r="B2485" s="1" t="n">
        <v>45505</v>
      </c>
      <c r="C2485" s="1" t="n">
        <v>45513</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31351-2024</t>
        </is>
      </c>
      <c r="B2486" s="1" t="n">
        <v>45505</v>
      </c>
      <c r="C2486" s="1" t="n">
        <v>45513</v>
      </c>
      <c r="D2486" t="inlineStr">
        <is>
          <t>VÄRMLANDS LÄN</t>
        </is>
      </c>
      <c r="E2486" t="inlineStr">
        <is>
          <t>TORSBY</t>
        </is>
      </c>
      <c r="F2486" t="inlineStr">
        <is>
          <t>Kyrkan</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31380-2024</t>
        </is>
      </c>
      <c r="B2487" s="1" t="n">
        <v>45505</v>
      </c>
      <c r="C2487" s="1" t="n">
        <v>45513</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31716-2024</t>
        </is>
      </c>
      <c r="B2488" s="1" t="n">
        <v>45509</v>
      </c>
      <c r="C2488" s="1" t="n">
        <v>45513</v>
      </c>
      <c r="D2488" t="inlineStr">
        <is>
          <t>VÄRMLANDS LÄN</t>
        </is>
      </c>
      <c r="E2488" t="inlineStr">
        <is>
          <t>TORSBY</t>
        </is>
      </c>
      <c r="F2488" t="inlineStr">
        <is>
          <t>Bergvik skog väst AB</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31767-2024</t>
        </is>
      </c>
      <c r="B2489" s="1" t="n">
        <v>45509</v>
      </c>
      <c r="C2489" s="1" t="n">
        <v>45513</v>
      </c>
      <c r="D2489" t="inlineStr">
        <is>
          <t>VÄRMLANDS LÄN</t>
        </is>
      </c>
      <c r="E2489" t="inlineStr">
        <is>
          <t>TORSBY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31836-2024</t>
        </is>
      </c>
      <c r="B2490" s="1" t="n">
        <v>45509</v>
      </c>
      <c r="C2490" s="1" t="n">
        <v>45513</v>
      </c>
      <c r="D2490" t="inlineStr">
        <is>
          <t>VÄRMLANDS LÄN</t>
        </is>
      </c>
      <c r="E2490" t="inlineStr">
        <is>
          <t>TORSBY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31830-2024</t>
        </is>
      </c>
      <c r="B2491" s="1" t="n">
        <v>45509</v>
      </c>
      <c r="C2491" s="1" t="n">
        <v>45513</v>
      </c>
      <c r="D2491" t="inlineStr">
        <is>
          <t>VÄRMLANDS LÄN</t>
        </is>
      </c>
      <c r="E2491" t="inlineStr">
        <is>
          <t>TORSBY</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31945-2024</t>
        </is>
      </c>
      <c r="B2492" s="1" t="n">
        <v>45510</v>
      </c>
      <c r="C2492" s="1" t="n">
        <v>45513</v>
      </c>
      <c r="D2492" t="inlineStr">
        <is>
          <t>VÄRMLANDS LÄN</t>
        </is>
      </c>
      <c r="E2492" t="inlineStr">
        <is>
          <t>TORSBY</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32155-2024</t>
        </is>
      </c>
      <c r="B2493" s="1" t="n">
        <v>45511</v>
      </c>
      <c r="C2493" s="1" t="n">
        <v>45513</v>
      </c>
      <c r="D2493" t="inlineStr">
        <is>
          <t>VÄRMLANDS LÄN</t>
        </is>
      </c>
      <c r="E2493" t="inlineStr">
        <is>
          <t>TORSBY</t>
        </is>
      </c>
      <c r="F2493" t="inlineStr">
        <is>
          <t>Bergvik skog väst AB</t>
        </is>
      </c>
      <c r="G2493" t="n">
        <v>13.5</v>
      </c>
      <c r="H2493" t="n">
        <v>0</v>
      </c>
      <c r="I2493" t="n">
        <v>0</v>
      </c>
      <c r="J2493" t="n">
        <v>0</v>
      </c>
      <c r="K2493" t="n">
        <v>0</v>
      </c>
      <c r="L2493" t="n">
        <v>0</v>
      </c>
      <c r="M2493" t="n">
        <v>0</v>
      </c>
      <c r="N2493" t="n">
        <v>0</v>
      </c>
      <c r="O2493" t="n">
        <v>0</v>
      </c>
      <c r="P2493" t="n">
        <v>0</v>
      </c>
      <c r="Q2493" t="n">
        <v>0</v>
      </c>
      <c r="R2493" s="2" t="inlineStr"/>
    </row>
    <row r="2494" ht="15" customHeight="1">
      <c r="A2494" t="inlineStr">
        <is>
          <t>A 32138-2024</t>
        </is>
      </c>
      <c r="B2494" s="1" t="n">
        <v>45511</v>
      </c>
      <c r="C2494" s="1" t="n">
        <v>45513</v>
      </c>
      <c r="D2494" t="inlineStr">
        <is>
          <t>VÄRMLANDS LÄN</t>
        </is>
      </c>
      <c r="E2494" t="inlineStr">
        <is>
          <t>TORSBY</t>
        </is>
      </c>
      <c r="F2494" t="inlineStr">
        <is>
          <t>Bergvik skog väst AB</t>
        </is>
      </c>
      <c r="G2494" t="n">
        <v>26.3</v>
      </c>
      <c r="H2494" t="n">
        <v>0</v>
      </c>
      <c r="I2494" t="n">
        <v>0</v>
      </c>
      <c r="J2494" t="n">
        <v>0</v>
      </c>
      <c r="K2494" t="n">
        <v>0</v>
      </c>
      <c r="L2494" t="n">
        <v>0</v>
      </c>
      <c r="M2494" t="n">
        <v>0</v>
      </c>
      <c r="N2494" t="n">
        <v>0</v>
      </c>
      <c r="O2494" t="n">
        <v>0</v>
      </c>
      <c r="P2494" t="n">
        <v>0</v>
      </c>
      <c r="Q2494" t="n">
        <v>0</v>
      </c>
      <c r="R2494" s="2" t="inlineStr"/>
    </row>
    <row r="2495" ht="15" customHeight="1">
      <c r="A2495" t="inlineStr">
        <is>
          <t>A 32213-2024</t>
        </is>
      </c>
      <c r="B2495" s="1" t="n">
        <v>45511</v>
      </c>
      <c r="C2495" s="1" t="n">
        <v>45513</v>
      </c>
      <c r="D2495" t="inlineStr">
        <is>
          <t>VÄRMLANDS LÄN</t>
        </is>
      </c>
      <c r="E2495" t="inlineStr">
        <is>
          <t>TORSBY</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32319-2024</t>
        </is>
      </c>
      <c r="B2496" s="1" t="n">
        <v>45512</v>
      </c>
      <c r="C2496" s="1" t="n">
        <v>45513</v>
      </c>
      <c r="D2496" t="inlineStr">
        <is>
          <t>VÄRMLANDS LÄN</t>
        </is>
      </c>
      <c r="E2496" t="inlineStr">
        <is>
          <t>TORSBY</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32340-2024</t>
        </is>
      </c>
      <c r="B2497" s="1" t="n">
        <v>45512</v>
      </c>
      <c r="C2497" s="1" t="n">
        <v>45513</v>
      </c>
      <c r="D2497" t="inlineStr">
        <is>
          <t>VÄRMLANDS LÄN</t>
        </is>
      </c>
      <c r="E2497" t="inlineStr">
        <is>
          <t>TORSBY</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32314-2024</t>
        </is>
      </c>
      <c r="B2498" s="1" t="n">
        <v>45512</v>
      </c>
      <c r="C2498" s="1" t="n">
        <v>45513</v>
      </c>
      <c r="D2498" t="inlineStr">
        <is>
          <t>VÄRMLANDS LÄN</t>
        </is>
      </c>
      <c r="E2498" t="inlineStr">
        <is>
          <t>TORSBY</t>
        </is>
      </c>
      <c r="F2498" t="inlineStr">
        <is>
          <t>Bergvik skog väst AB</t>
        </is>
      </c>
      <c r="G2498" t="n">
        <v>35.1</v>
      </c>
      <c r="H2498" t="n">
        <v>0</v>
      </c>
      <c r="I2498" t="n">
        <v>0</v>
      </c>
      <c r="J2498" t="n">
        <v>0</v>
      </c>
      <c r="K2498" t="n">
        <v>0</v>
      </c>
      <c r="L2498" t="n">
        <v>0</v>
      </c>
      <c r="M2498" t="n">
        <v>0</v>
      </c>
      <c r="N2498" t="n">
        <v>0</v>
      </c>
      <c r="O2498" t="n">
        <v>0</v>
      </c>
      <c r="P2498" t="n">
        <v>0</v>
      </c>
      <c r="Q2498" t="n">
        <v>0</v>
      </c>
      <c r="R2498" s="2" t="inlineStr"/>
    </row>
    <row r="2499">
      <c r="A2499" t="inlineStr">
        <is>
          <t>A 32343-2024</t>
        </is>
      </c>
      <c r="B2499" s="1" t="n">
        <v>45512</v>
      </c>
      <c r="C2499" s="1" t="n">
        <v>45513</v>
      </c>
      <c r="D2499" t="inlineStr">
        <is>
          <t>VÄRMLANDS LÄN</t>
        </is>
      </c>
      <c r="E2499" t="inlineStr">
        <is>
          <t>TORSBY</t>
        </is>
      </c>
      <c r="G2499" t="n">
        <v>5</v>
      </c>
      <c r="H2499" t="n">
        <v>0</v>
      </c>
      <c r="I2499" t="n">
        <v>0</v>
      </c>
      <c r="J2499" t="n">
        <v>0</v>
      </c>
      <c r="K2499" t="n">
        <v>0</v>
      </c>
      <c r="L2499" t="n">
        <v>0</v>
      </c>
      <c r="M2499" t="n">
        <v>0</v>
      </c>
      <c r="N2499" t="n">
        <v>0</v>
      </c>
      <c r="O2499" t="n">
        <v>0</v>
      </c>
      <c r="P2499" t="n">
        <v>0</v>
      </c>
      <c r="Q2499" t="n">
        <v>0</v>
      </c>
      <c r="R2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2024-08-09T10:46:37Z</dcterms:created>
  <dcterms:modified xmlns:dcterms="http://purl.org/dc/terms/" xmlns:xsi="http://www.w3.org/2001/XMLSchema-instance" xsi:type="dcterms:W3CDTF">2024-08-09T10:46:40Z</dcterms:modified>
</cp:coreProperties>
</file>