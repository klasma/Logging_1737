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45838</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45838</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45838</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45838</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45838</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45838</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45838</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45838</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45838</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45838</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45838</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45838</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45838</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45838</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45838</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45838</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45838</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45838</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45838</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45838</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45838</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45838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45838</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45838</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45838</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45838</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45838</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45838</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45838</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45838</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45838</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45838</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45838</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45838</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45838</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45838</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45838</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45838</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45838</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45838</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45838</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45838</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45838</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45838</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45838</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45838</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45838</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45838</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45838</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173-2021</t>
        </is>
      </c>
      <c r="B58" s="1" t="n">
        <v>44200</v>
      </c>
      <c r="C58" s="1" t="n">
        <v>45838</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45838</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45838</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45838</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45838</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45838</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45838</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45838</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45838</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45838</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45838</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45838</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45838</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45838</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45838</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45838</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45838</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45838</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45838</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45838</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45838</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45838</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45838</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45838</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45838</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45838</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45838</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45838</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45838</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45838</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45838</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45838</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45838</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45838</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45838</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45838</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45838</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45838</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45838</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45838</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45838</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45838</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45838</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45838</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45838</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45838</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45838</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45838</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45838</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45838</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45838</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45838</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45838</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45838</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45838</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45838</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45838</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45838</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45838</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45838</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45838</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45838</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45838</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45838</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45838</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45838</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45838</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45838</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45838</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25859-2025</t>
        </is>
      </c>
      <c r="B127" s="1" t="n">
        <v>45804</v>
      </c>
      <c r="C127" s="1" t="n">
        <v>45838</v>
      </c>
      <c r="D127" t="inlineStr">
        <is>
          <t>VÄRMLANDS LÄN</t>
        </is>
      </c>
      <c r="E127" t="inlineStr">
        <is>
          <t>TORSBY</t>
        </is>
      </c>
      <c r="G127" t="n">
        <v>2.4</v>
      </c>
      <c r="H127" t="n">
        <v>1</v>
      </c>
      <c r="I127" t="n">
        <v>1</v>
      </c>
      <c r="J127" t="n">
        <v>1</v>
      </c>
      <c r="K127" t="n">
        <v>0</v>
      </c>
      <c r="L127" t="n">
        <v>0</v>
      </c>
      <c r="M127" t="n">
        <v>0</v>
      </c>
      <c r="N127" t="n">
        <v>0</v>
      </c>
      <c r="O127" t="n">
        <v>1</v>
      </c>
      <c r="P127" t="n">
        <v>0</v>
      </c>
      <c r="Q127" t="n">
        <v>2</v>
      </c>
      <c r="R127" s="2" t="inlineStr">
        <is>
          <t>Garnlav
Spindelblomster</t>
        </is>
      </c>
      <c r="S127">
        <f>HYPERLINK("https://klasma.github.io/Logging_171737/artfynd/A 25859-2025 artfynd.xlsx", "A 25859-2025")</f>
        <v/>
      </c>
      <c r="T127">
        <f>HYPERLINK("https://klasma.github.io/Logging_171737/kartor/A 25859-2025 karta.png", "A 25859-2025")</f>
        <v/>
      </c>
      <c r="V127">
        <f>HYPERLINK("https://klasma.github.io/Logging_171737/klagomål/A 25859-2025 FSC-klagomål.docx", "A 25859-2025")</f>
        <v/>
      </c>
      <c r="W127">
        <f>HYPERLINK("https://klasma.github.io/Logging_171737/klagomålsmail/A 25859-2025 FSC-klagomål mail.docx", "A 25859-2025")</f>
        <v/>
      </c>
      <c r="X127">
        <f>HYPERLINK("https://klasma.github.io/Logging_171737/tillsyn/A 25859-2025 tillsynsbegäran.docx", "A 25859-2025")</f>
        <v/>
      </c>
      <c r="Y127">
        <f>HYPERLINK("https://klasma.github.io/Logging_171737/tillsynsmail/A 25859-2025 tillsynsbegäran mail.docx", "A 25859-2025")</f>
        <v/>
      </c>
    </row>
    <row r="128" ht="15" customHeight="1">
      <c r="A128" t="inlineStr">
        <is>
          <t>A 18499-2019</t>
        </is>
      </c>
      <c r="B128" s="1" t="n">
        <v>43559</v>
      </c>
      <c r="C128" s="1" t="n">
        <v>45838</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45838</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45838</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45838</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45838</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45838</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45838</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45838</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45838</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45838</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45838</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45838</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45838</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45838</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45838</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45838</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45838</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45838</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45838</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45838</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45838</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45838</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45838</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45838</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45838</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45838</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45838</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45838</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45838</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45838</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45838</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45838</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45838</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45838</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45838</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45838</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45838</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45838</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45838</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45838</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45838</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45838</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45838</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45838</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45838</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45838</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45838</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45838</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45838</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45838</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45838</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45838</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45838</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45838</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45838</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45838</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45838</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45838</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45838</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45838</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45838</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45838</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45838</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45838</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45838</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45838</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45838</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45838</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45838</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45838</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45838</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45838</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45838</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45838</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45838</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45838</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45838</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45838</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45838</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45838</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45838</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45838</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45838</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45838</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45838</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45838</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45838</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45838</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45838</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45838</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45838</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45838</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45838</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45838</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45838</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45838</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45838</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45838</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45838</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45838</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45838</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45838</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45838</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45838</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45838</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45838</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45838</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45838</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45838</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45838</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45838</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45838</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45838</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45838</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45838</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45838</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45838</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45838</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45838</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45838</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45838</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45838</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45838</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45838</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45838</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45838</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45838</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45838</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45838</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45838</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45838</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45838</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45838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45838</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45838</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45838</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45838</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45838</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45838</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45838</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45838</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45838</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45838</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45838</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45838</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45838</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45838</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45838</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45838</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45838</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45838</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45838</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45838</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45838</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45838</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45838</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45838</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45838</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45838</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45838</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45838</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45838</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45838</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45838</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45838</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45838</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45838</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45838</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45838</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45838</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45838</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45838</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45838</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45838</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45838</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45838</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45838</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45838</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45838</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45838</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45838</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45838</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45838</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45838</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45838</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45838</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45838</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45838</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45838</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45838</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45838</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45838</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45838</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45838</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45838</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45838</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45838</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45838</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45838</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45838</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45838</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45838</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45838</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45838</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45838</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45838</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45838</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45838</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45838</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45838</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45838</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45838</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45838</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45838</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45838</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45838</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45838</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45838</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45838</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45838</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45838</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45838</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45838</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45838</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45838</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45838</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45838</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45838</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45838</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45838</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45838</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45838</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45838</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45838</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45838</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45838</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45838</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45838</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45838</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45838</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45838</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45838</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45838</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45838</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45838</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45838</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45838</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45838</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45838</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45838</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45838</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45838</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45838</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45838</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45838</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45838</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45838</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45838</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45838</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45838</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45838</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45838</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45838</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45838</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45838</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45838</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45838</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45838</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45838</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45838</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45838</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45838</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45838</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45838</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45838</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45838</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45838</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45838</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45838</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45838</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45838</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45838</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45838</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45838</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45838</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45838</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45838</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45838</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45838</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45838</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45838</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45838</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45838</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45838</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45838</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45838</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45838</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45838</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45838</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45838</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45838</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45838</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45838</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45838</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45838</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45838</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45838</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45838</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45838</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45838</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45838</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45838</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45838</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45838</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45838</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45838</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45838</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45838</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45838</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45838</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45838</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45838</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45838</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45838</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45838</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45838</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45838</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45838</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45838</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45838</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45838</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45838</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45838</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45838</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45838</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45838</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45838</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45838</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45838</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45838</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45838</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45838</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45838</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45838</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45838</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45838</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45838</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45838</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45838</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45838</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45838</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45838</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45838</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45838</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45838</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45838</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45838</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45838</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45838</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45838</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45838</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45838</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45838</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45838</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45838</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45838</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45838</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45838</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45838</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45838</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45838</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45838</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45838</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45838</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45838</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45838</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45838</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45838</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45838</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45838</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45838</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45838</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45838</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45838</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45838</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45838</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45838</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45838</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45838</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45838</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45838</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45838</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45838</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45838</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45838</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45838</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45838</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45838</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45838</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45838</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45838</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45838</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45838</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45838</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45838</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45838</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45838</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45838</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45838</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45838</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45838</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45838</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45838</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45838</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45838</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45838</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45838</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45838</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45838</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45838</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45838</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45838</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45838</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45838</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45838</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45838</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45838</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45838</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45838</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45838</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45838</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45838</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45838</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45838</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45838</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45838</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45838</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45838</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45838</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45838</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45838</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45838</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45838</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45838</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45838</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45838</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45838</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45838</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45838</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45838</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45838</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45838</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45838</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45838</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45838</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45838</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45838</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45838</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45838</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45838</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45838</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45838</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45838</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45838</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45838</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45838</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45838</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45838</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45838</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45838</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45838</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45838</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45838</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45838</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45838</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45838</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45838</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45838</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45838</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45838</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45838</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45838</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45838</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45838</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45838</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45838</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45838</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45838</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45838</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45838</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45838</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45838</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45838</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45838</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45838</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45838</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45838</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45838</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45838</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45838</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45838</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45838</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45838</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45838</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45838</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45838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45838</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45838</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45838</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45838</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45838</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45838</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45838</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45838</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45838</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45838</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45838</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45838</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45838</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45838</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45838</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45838</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45838</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45838</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45838</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45838</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45838</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45838</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45838</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45838</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45838</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45838</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45838</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45838</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45838</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45838</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45838</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45838</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45838</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45838</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45838</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45838</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45838</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45838</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45838</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45838</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45838</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45838</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45838</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45838</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45838</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45838</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45838</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45838</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45838</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45838</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45838</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45838</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45838</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45838</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45838</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45838</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45838</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45838</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45838</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45838</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45838</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45838</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45838</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45838</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45838</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45838</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45838</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45838</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45838</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45838</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45838</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45838</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45838</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45838</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45838</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45838</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45838</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45838</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45838</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45838</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45838</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45838</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45838</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45838</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45838</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45838</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45838</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45838</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45838</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45838</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45838</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45838</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45838</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45838</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45838</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45838</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45838</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45838</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45838</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45838</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45838</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45838</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45838</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45838</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45838</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45838</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45838</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45838</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45838</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45838</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45838</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45838</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45838</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45838</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45838</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45838</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45838</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45838</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45838</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45838</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45838</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45838</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45838</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45838</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45838</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45838</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45838</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45838</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45838</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45838</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45838</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45838</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45838</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45838</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45838</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45838</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45838</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45838</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45838</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45838</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45838</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45838</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45838</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45838</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45838</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45838</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45838</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45838</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45838</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45838</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45838</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45838</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45838</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45838</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45838</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45838</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45838</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45838</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45838</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45838</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45838</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45838</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45838</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45838</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45838</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45838</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45838</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45838</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45838</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45838</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45838</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45838</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45838</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45838</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45838</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45838</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45838</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45838</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45838</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45838</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45838</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45838</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45838</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45838</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45838</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45838</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45838</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45838</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45838</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45838</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45838</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45838</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45838</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45838</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45838</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45838</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45838</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45838</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45838</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45838</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45838</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45838</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45838</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45838</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45838</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45838</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45838</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45838</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45838</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45838</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45838</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45838</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45838</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45838</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45838</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45838</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45838</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45838</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45838</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45838</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45838</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45838</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45838</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45838</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45838</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45838</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45838</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45838</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45838</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45838</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45838</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45838</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45838</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45838</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45838</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45838</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45838</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45838</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45838</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45838</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45838</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45838</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45838</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45838</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45838</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45838</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45838</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45838</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45838</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45838</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45838</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45838</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45838</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45838</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45838</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45838</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45838</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45838</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45838</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45838</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45838</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45838</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45838</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45838</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45838</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45838</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45838</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45838</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45838</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45838</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45838</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45838</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45838</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45838</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45838</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45838</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45838</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45838</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45838</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45838</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45838</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45838</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45838</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45838</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45838</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45838</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45838</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45838</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45838</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45838</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45838</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45838</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45838</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45838</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45838</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45838</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45838</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45838</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45838</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45838</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45838</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45838</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45838</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45838</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45838</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45838</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45838</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45838</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45838</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45838</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45838</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45838</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45838</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45838</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45838</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45838</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45838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45838</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45838</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45838</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45838</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45838</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45838</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45838</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45838</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45838</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45838</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45838</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45838</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45838</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45838</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45838</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45838</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45838</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45838</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45838</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45838</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45838</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45838</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45838</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45838</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45838</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45838</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45838</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45838</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45838</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45838</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45838</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45838</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45838</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45838</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45838</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45838</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45838</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45838</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45838</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45838</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45838</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45838</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45838</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45838</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45838</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45838</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45838</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45838</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45838</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45838</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45838</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45838</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45838</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45838</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45838</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45838</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45838</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45838</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45838</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45838</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45838</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45838</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45838</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45838</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45838</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45838</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45838</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45838</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45838</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45838</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45838</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45838</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45838</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45838</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45838</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45838</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45838</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45838</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45838</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45838</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45838</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45838</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45838</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45838</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45838</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45838</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45838</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45838</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45838</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45838</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45838</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45838</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45838</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45838</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45838</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45838</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45838</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45838</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45838</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45838</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45838</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45838</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45838</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45838</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45838</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45838</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45838</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45838</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45838</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45838</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45838</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45838</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45838</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45838</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45838</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45838</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45838</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45838</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45838</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45838</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45838</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45838</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45838</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45838</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45838</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45838</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45838</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45838</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45838</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45838</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45838</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45838</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45838</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45838</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45838</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45838</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45838</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45838</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45838</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45838</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45838</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45838</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45838</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45838</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45838</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45838</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45838</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45838</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45838</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45838</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45838</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45838</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45838</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45838</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45838</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45838</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45838</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45838</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45838</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45838</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45838</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45838</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45838</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45838</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45838</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45838</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45838</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45838</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45838</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45838</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45838</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45838</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45838</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45838</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45838</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45838</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45838</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45838</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45838</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45838</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45838</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45838</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45838</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45838</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45838</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45838</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45838</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45838</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45838</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45838</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45838</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45838</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45838</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45838</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45838</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45838</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45838</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45838</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45838</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45838</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45838</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45838</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45838</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45838</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45838</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45838</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45838</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45838</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45838</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45838</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45838</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45838</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45838</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45838</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45838</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45838</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45838</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45838</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45838</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45838</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45838</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45838</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45838</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45838</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45838</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45838</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45838</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45838</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45838</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45838</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45838</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45838</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45838</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45838</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45838</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45838</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45838</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45838</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45838</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45838</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45838</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45838</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45838</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45838</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45838</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45838</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45838</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45838</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45838</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45838</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45838</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45838</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45838</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45838</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45838</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45838</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45838</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45838</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45838</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45838</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45838</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45838</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45838</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45838</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45838</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45838</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45838</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45838</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45838</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45838</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45838</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45838</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45838</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45838</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45838</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45838</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45838</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45838</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45838</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45838</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45838</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45838</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45838</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45838</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45838</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45838</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45838</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45838</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45838</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45838</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45838</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45838</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45838</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45838</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45838</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45838</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45838</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45838</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45838</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45838</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45838</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45838</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45838</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45838</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45838</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45838</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45838</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45838</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45838</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45838</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45838</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45838</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45838</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45838</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45838</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45838</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45838</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45838</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45838</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45838</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45838</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45838</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45838</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45838</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45838</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45838</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45838</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45838</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45838</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45838</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45838</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45838</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45838</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45838</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45838</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45838</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45838</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45838</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45838</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45838</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45838</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45838</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45838</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45838</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45838</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45838</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45838</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45838</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45838</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45838</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45838</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45838</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45838</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45838</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45838</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45838</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45838</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45838</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45838</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45838</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45838</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45838</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45838</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45838</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45838</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45838</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45838</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45838</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45838</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45838</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45838</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45838</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45838</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45838</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45838</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45838</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45838</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45838</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45838</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45838</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45838</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45838</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45838</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45838</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45838</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45838</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45838</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45838</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45838</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45838</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45838</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45838</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45838</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45838</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45838</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45838</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45838</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45838</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45838</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45838</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45838</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45838</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45838</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45838</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45838</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45838</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45838</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45838</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45838</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45838</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45838</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45838</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45838</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45838</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45838</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45838</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45838</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45838</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45838</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45838</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45838</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45838</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45838</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45838</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45838</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45838</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45838</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45838</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45838</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45838</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45838</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45838</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45838</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45838</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45838</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45838</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45838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45838</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45838</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45838</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45838</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45838</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45838</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45838</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45838</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45838</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45838</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45838</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45838</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45838</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45838</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45838</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45838</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45838</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45838</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45838</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45838</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45838</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45838</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45838</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45838</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45838</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45838</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45838</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45838</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45838</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45838</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45838</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45838</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45838</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45838</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45838</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45838</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45838</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45838</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45838</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45838</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45838</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45838</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45838</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45838</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45838</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45838</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45838</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45838</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45838</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45838</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45838</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45838</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45838</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45838</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45838</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45838</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45838</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45838</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45838</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45838</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45838</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45838</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45838</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45838</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45838</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45838</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45838</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45838</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45838</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45838</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45838</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45838</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45838</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45838</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45838</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45838</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45838</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45838</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45838</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45838</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45838</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45838</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45838</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45838</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45838</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45838</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45838</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45838</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45838</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45838</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45838</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45838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45838</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45838</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45838</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45838</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45838</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45838</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45838</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45838</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45838</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45838</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45838</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45838</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45838</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45838</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45838</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45838</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45838</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45838</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45838</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45838</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45838</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45838</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45838</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45838</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45838</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45838</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45838</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45838</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45838</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45838</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45838</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45838</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45838</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45838</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45838</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45838</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45838</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45838</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45838</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45838</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45838</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45838</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45838</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45838</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45838</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45838</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45838</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45838</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45838</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45838</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45838</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45838</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45838</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45838</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45838</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45838</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45838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45838</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45838</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45838</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45838</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45838</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45838</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45838</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45838</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45838</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45838</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45838</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45838</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45838</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45838</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45838</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45838</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45838</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45838</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45838</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45838</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45838</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45838</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45838</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45838</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45838</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45838</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45838</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45838</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45838</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45838</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45838</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45838</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45838</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45838</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45838</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45838</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45838</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45838</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45838</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45838</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45838</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45838</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45838</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45838</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45838</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45838</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45838</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45838</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45838</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45838</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45838</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45838</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45838</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45838</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45838</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45838</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45838</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45838</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45838</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45838</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45838</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45838</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45838</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45838</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45838</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45838</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45838</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45838</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45838</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45838</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45838</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45838</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45838</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45838</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45838</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45838</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45838</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45838</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45838</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45838</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45838</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45838</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45838</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45838</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45838</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45838</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45838</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45838</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45838</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45838</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45838</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45838</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45838</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45838</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45838</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45838</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45838</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45838</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45838</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45838</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45838</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45838</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45838</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45838</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45838</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45838</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45838</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45838</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45838</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45838</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45838</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45838</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45838</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45838</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45838</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45838</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45838</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45838</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45838</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45838</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45838</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45838</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45838</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45838</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45838</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45838</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45838</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45838</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45838</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45838</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45838</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45838</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45838</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45838</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45838</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45838</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45838</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45838</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45838</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45838</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45838</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45838</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45838</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45838</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45838</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45838</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45838</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45838</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45838</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45838</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45838</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45838</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45838</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45838</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45838</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45838</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45838</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45838</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45838</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45838</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45838</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45838</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45838</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45838</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45838</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45838</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45838</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45838</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45838</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45838</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45838</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45838</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45838</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45838</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45838</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45838</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45838</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45838</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45838</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45838</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45838</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45838</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45838</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45838</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45838</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45838</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45838</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45838</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45838</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45838</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45838</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45838</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45838</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45838</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45838</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45838</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45838</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45838</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45838</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45838</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45838</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45838</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45838</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45838</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45838</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45838</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45838</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45838</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45838</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45838</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45838</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45838</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45838</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45838</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45838</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45838</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45838</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45838</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45838</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45838</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45838</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45838</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45838</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45838</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45838</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45838</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45838</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45838</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45838</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45838</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45838</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45838</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45838</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45838</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45838</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45838</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45838</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45838</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45838</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45838</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45838</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45838</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45838</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45838</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45838</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45838</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45838</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45838</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45838</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45838</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45838</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45838</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45838</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45838</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45838</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45838</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45838</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45838</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45838</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45838</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45838</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45838</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45838</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45838</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45838</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45838</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45838</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45838</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45838</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45838</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45838</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45838</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45838</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45838</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45838</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45838</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45838</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45838</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45838</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45838</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45838</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45838</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45838</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45838</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45838</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45838</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45838</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45838</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45838</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45838</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45838</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45838</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45838</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45838</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45838</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45838</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45838</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45838</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45838</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45838</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45838</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45838</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45838</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45838</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45838</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45838</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45838</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45838</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45838</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45838</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45838</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45838</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45838</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45838</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45838</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45838</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45838</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45838</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45838</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45838</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45838</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45838</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45838</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45838</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45838</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45838</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45838</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45838</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45838</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45838</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45838</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45838</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45838</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45838</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45838</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45838</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45838</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45838</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45838</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45838</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45838</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45838</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45838</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45838</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45838</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45838</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45838</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45838</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45838</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45838</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45838</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45838</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45838</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45838</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45838</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45838</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45838</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45838</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45838</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45838</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45838</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45838</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45838</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45838</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45838</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45838</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45838</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45838</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45838</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45838</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45838</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45838</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45838</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45838</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45838</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45838</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45838</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45838</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45838</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45838</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45838</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45838</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45838</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45838</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45838</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45838</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45838</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45838</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45838</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45838</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45838</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45838</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45838</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45838</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45838</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45838</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45838</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45838</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45838</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45838</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45838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45838</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45838</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45838</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45838</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45838</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45838</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45838</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45838</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45838</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45838</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45838</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45838</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45838</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45838</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45838</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45838</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45838</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45838</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45838</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45838</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45838</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45838</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45838</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45838</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45838</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45838</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45838</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45838</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45838</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45838</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45838</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45838</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45838</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45838</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45838</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45838</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45838</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45838</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45838</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45838</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45838</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45838</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45838</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45838</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45838</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45838</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45838</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45838</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45838</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45838</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45838</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45838</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45838</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45838</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45838</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45838</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45838</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45838</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45838</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45838</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45838</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45838</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45838</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45838</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45838</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45838</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45838</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45838</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45838</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45838</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45838</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45838</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45838</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45838</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45838</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45838</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45838</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45838</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45838</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45838</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45838</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45838</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45838</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45838</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45838</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45838</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45838</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45838</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45838</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45838</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45838</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45838</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45838</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45838</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45838</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45838</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45838</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45838</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45838</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45838</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45838</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45838</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45838</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45838</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45838</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45838</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45838</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45838</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45838</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45838</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45838</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45838</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45838</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45838</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45838</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45838</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45838</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45838</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45838</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45838</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45838</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45838</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45838</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45838</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45838</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45838</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45838</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45838</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45838</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45838</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45838</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45838</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45838</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45838</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45838</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45838</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45838</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45838</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45838</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45838</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45838</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45838</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45838</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45838</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45838</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45838</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45838</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45838</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45838</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45838</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45838</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45838</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45838</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45838</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45838</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45838</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45838</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45838</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45838</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45838</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45838</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45838</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45838</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45838</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45838</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45838</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45838</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45838</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45838</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45838</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45838</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45838</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45838</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45838</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45838</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45838</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45838</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45838</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45838</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45838</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45838</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45838</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45838</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45838</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45838</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45838</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45838</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45838</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45838</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45838</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45838</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45838</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45838</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45838</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45838</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45838</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45838</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45838</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45838</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45838</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45838</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45838</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45838</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45838</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45838</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45838</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45838</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45838</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45838</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45838</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45838</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45838</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45838</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45838</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45838</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45838</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45838</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45838</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45838</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45838</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45838</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45838</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45838</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45838</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45838</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45838</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45838</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45838</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45838</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45838</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45838</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45838</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45838</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45838</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45838</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45838</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45838</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45838</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45838</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45838</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45838</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45838</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45838</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45838</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45838</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45838</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45838</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45838</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45838</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45838</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45838</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45838</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45838</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45838</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45838</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45838</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45838</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45838</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45838</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45838</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45838</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45838</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45838</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45838</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45838</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45838</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45838</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45838</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45838</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45838</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45838</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45838</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45838</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45838</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45838</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45838</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45838</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45838</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45838</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45838</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45838</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45838</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45838</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45838</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45838</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45838</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45838</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45838</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45838</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45838</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45838</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45838</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45838</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45838</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45838</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45838</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45838</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45838</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45838</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45838</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45838</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45838</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45838</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45838</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45838</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45838</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45838</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45838</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45838</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45838</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45838</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45838</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45838</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45838</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45838</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45838</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45838</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45838</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45838</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45838</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45838</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45838</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45838</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45838</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45838</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45838</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45838</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45838</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45838</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45838</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45838</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45838</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45838</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45838</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45838</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45838</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45838</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45838</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45838</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45838</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45838</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45838</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45838</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45838</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45838</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45838</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45838</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45838</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45838</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45838</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45838</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45838</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45838</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45838</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45838</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45838</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45838</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45838</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45838</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45838</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45838</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45838</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45838</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45838</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45838</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45838</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45838</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45838</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45838</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45838</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45838</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45838</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45838</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45838</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45838</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45838</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45838</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45838</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45838</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45838</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45838</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45838</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45838</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45838</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45838</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45838</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45838</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45838</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45838</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45838</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45838</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45838</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45838</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45838</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45838</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45838</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45838</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45838</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45838</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45838</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45838</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45838</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45838</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45838</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45838</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45838</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45838</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45838</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45838</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45838</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45838</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45838</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45838</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45838</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45838</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45838</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45838</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45838</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45838</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45838</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45838</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45838</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45838</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45838</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45838</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45838</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45838</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45838</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45838</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45838</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45838</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45838</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45838</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45838</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45838</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45838</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45838</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45838</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45838</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45838</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45838</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45838</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45838</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45838</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45838</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45838</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45838</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45838</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45838</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45838</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45838</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45838</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45838</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45838</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45838</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45838</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45838</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45838</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45838</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45838</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45838</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45838</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45838</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45838</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45838</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45838</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45838</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45838</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45838</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45838</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45838</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45838</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45838</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45838</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45838</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45838</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45838</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45838</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45838</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45838</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45838</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45838</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45838</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45838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45838</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45838</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45838</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45838</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45838</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45838</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45838</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45838</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45838</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45838</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45838</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45838</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45838</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45838</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45838</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45838</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45838</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45838</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45838</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45838</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45838</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45838</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45838</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45838</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45838</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45838</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45838</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45838</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45838</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45838</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45838</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45838</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45838</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45838</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45838</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45838</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45838</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45838</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45838</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45838</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45838</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45838</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45838</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45838</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45838</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45838</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45838</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45838</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45838</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45838</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45838</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45838</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45838</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45838</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45838</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45838</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45838</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45838</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45838</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45838</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45838</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45838</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45838</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45838</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45838</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45838</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45838</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45838</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45838</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45838</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45838</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45838</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45838</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45838</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45838</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45838</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45838</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45838</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45838</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45838</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45838</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45838</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45838</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45838</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45838</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45838</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45838</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45838</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45838</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45838</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45838</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45838</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45838</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45838</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45838</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45838</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45838</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45838</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45838</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45838</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45838</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45838</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45838</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45838</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45838</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45838</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45838</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45838</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45838</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45838</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45838</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45838</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45838</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45838</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45838</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45838</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45838</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45838</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45838</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45838</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45838</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45838</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45838</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45838</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45838</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45838</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45838</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45838</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45838</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45838</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45838</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45838</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45838</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45838</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45838</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45838</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45838</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45838</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45838</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45838</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45838</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45838</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45838</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45838</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45838</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45838</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45838</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45838</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45838</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45838</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45838</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45838</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45838</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45838</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45838</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45838</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45838</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45838</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45838</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45838</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45838</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45838</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45838</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45838</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45838</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45838</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45838</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45838</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45838</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45838</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45838</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45838</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45838</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45838</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45838</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45838</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45838</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45838</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45838</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45838</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45838</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45838</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45838</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45838</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45838</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45838</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45838</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45838</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45838</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45838</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45838</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45838</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45838</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45838</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45838</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45838</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45838</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45838</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45838</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45838</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45838</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45838</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45838</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45838</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45838</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45838</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45838</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45838</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45838</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45838</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45838</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45838</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45838</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45838</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45838</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45838</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45838</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45838</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45838</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45838</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45838</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45838</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45838</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45838</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45838</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45838</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45838</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45838</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45838</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45838</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45838</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45838</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45838</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45838</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45838</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45838</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45838</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45838</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45838</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45838</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45838</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45838</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45838</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45838</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45838</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45838</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45838</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45838</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45838</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45838</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45838</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45838</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45838</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45838</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45838</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45838</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45838</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45838</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45838</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45838</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45838</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45838</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45838</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45838</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45838</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45838</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45838</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45838</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45838</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45838</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45838</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45838</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45838</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45838</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45838</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45838</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45838</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45838</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45838</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45838</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45838</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45838</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45838</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45838</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45838</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45838</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45838</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45838</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45838</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45838</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45838</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45838</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45838</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45838</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45838</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45838</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45838</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45838</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45838</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45838</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45838</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45838</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45838</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45838</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45838</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45838</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45838</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45838</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45838</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45838</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45838</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45838</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45838</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45838</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45838</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45838</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45838</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45838</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45838</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45838</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45838</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45838</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45838</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45838</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45838</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45838</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45838</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45838</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45838</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45838</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45838</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45838</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45838</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45838</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45838</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45838</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45838</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45838</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45838</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45838</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45838</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45838</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45838</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45838</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45838</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45838</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45838</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45838</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45838</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45838</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45838</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45838</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45838</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45838</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45838</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45838</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45838</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45838</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45838</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45838</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45838</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45838</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45838</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45838</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45838</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45838</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45838</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45838</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45838</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45838</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45838</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45838</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45838</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45838</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45838</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45838</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45838</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45838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45838</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45838</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45838</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45838</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45838</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45838</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45838</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45838</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45838</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45838</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45838</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45838</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45838</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45838</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45838</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45838</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45838</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45838</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45838</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45838</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45838</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45838</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45838</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45838</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45838</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45838</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45838</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45838</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45838</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45838</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45838</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45838</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45838</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45838</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45838</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45838</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45838</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45838</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45838</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45838</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45838</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45838</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45838</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45838</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45838</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45838</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45838</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45838</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45838</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45838</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45838</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45838</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45838</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45838</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45838</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45838</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45838</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45838</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45838</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45838</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45838</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45838</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45838</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45838</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45838</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45838</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45838</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45838</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45838</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45838</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45838</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45838</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45838</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45838</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45838</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45838</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45838</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45838</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45838</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45838</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45838</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45838</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45838</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45838</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45838</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45838</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45838</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45838</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45838</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45838</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45838</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45838</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45838</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45838</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45838</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45838</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45838</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45838</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45838</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45838</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45838</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45838</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45838</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45838</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45838</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45838</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45838</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45838</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45838</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45838</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45838</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45838</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45838</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45838</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45838</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45838</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45838</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45838</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45838</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45838</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45838</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45838</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45838</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45838</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45838</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45838</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45838</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45838</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45838</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45838</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45838</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45838</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45838</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45838</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45838</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45838</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45838</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45838</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45838</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45838</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45838</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45838</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45838</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45838</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45838</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45838</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45838</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45838</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45838</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45838</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45838</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45838</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45838</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45838</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45838</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45838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45838</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45838</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45838</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45838</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45838</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45838</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45838</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45838</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45838</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45838</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45838</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45838</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45838</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45838</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45838</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45838</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45838</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45838</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45838</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45838</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45838</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45838</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45838</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45838</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45838</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45838</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45838</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45838</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45838</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45838</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45838</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45838</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45838</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45838</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45838</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45838</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45838</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45838</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45838</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45838</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45838</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45838</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45838</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45838</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45838</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45838</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45838</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45838</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45838</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45838</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45838</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45838</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45838</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45838</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45838</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45838</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45838</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45838</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45838</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45838</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45838</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45838</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45838</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45838</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45838</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45838</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45838</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45838</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45838</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45838</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45838</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45838</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45838</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45838</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45838</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45838</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45838</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45838</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45838</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45838</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45838</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45838</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45838</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45838</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45838</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45838</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45838</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45838</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45838</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45838</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45838</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45838</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45838</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45838</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45838</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45838</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45838</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45838</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45838</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45838</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45838</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45838</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45838</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45838</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45838</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45838</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45838</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45838</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45838</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45838</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45838</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45838</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45838</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45838</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45838</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45838</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45838</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45838</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45838</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45838</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45838</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45838</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45838</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45838</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45838</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45838</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45838</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45838</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45838</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45838</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45838</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45838</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45838</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45838</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45838</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45838</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45838</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45838</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45838</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45838</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45838</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45838</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45838</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45838</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45838</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45838</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45838</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45838</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45838</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45838</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45838</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45838</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45838</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45838</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45838</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45838</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45838</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45838</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45838</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45838</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45838</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45838</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45838</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45838</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45838</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45838</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45838</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45838</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45838</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45838</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45838</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45838</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45838</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45838</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45838</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45838</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45838</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45838</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45838</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45838</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45838</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45838</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45838</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45838</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45838</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45838</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45838</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45838</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45838</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45838</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45838</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45838</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45838</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45838</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45838</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45838</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45838</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45838</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45838</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45838</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45838</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45838</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45838</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45838</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45838</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45838</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45838</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45838</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45838</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45838</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45838</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45838</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45838</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45838</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45838</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45838</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45838</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45838</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45838</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45838</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45838</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45838</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45838</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45838</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45838</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45838</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45838</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45838</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45838</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45838</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45838</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45838</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45838</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45838</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45838</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45838</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45838</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45838</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45838</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45838</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45838</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45838</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45838</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45838</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45838</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45838</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45838</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45838</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45838</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45838</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45838</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45838</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45838</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45838</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45838</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45838</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45838</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45838</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45838</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45838</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45838</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45838</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45838</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45838</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45838</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45838</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45838</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45838</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45838</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45838</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45838</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45838</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45838</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45838</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45838</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45838</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45838</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45838</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45838</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45838</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45838</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45838</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45838</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45838</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45838</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45838</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45838</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45838</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45838</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45838</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45838</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45838</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45838</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45838</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45838</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45838</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45838</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45838</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45838</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45838</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45838</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45838</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45838</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45838</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45838</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45838</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45838</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45838</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45838</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45838</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45838</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45838</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45838</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45838</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45838</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45838</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45838</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45838</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45838</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45838</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45838</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45838</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45838</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45838</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45838</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45838</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45838</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45838</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45838</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45838</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45838</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45838</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45838</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45838</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45838</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45838</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45838</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45838</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45838</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45838</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45838</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45838</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45838</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45838</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45838</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45838</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45838</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45838</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45838</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45838</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45838</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45838</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45838</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45838</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45838</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45838</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45838</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45838</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45838</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45838</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45838</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45838</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45838</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45838</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45838</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45838</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45838</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45838</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45838</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45838</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45838</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45838</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45838</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45838</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45838</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45838</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45838</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45838</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45838</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45838</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45838</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45838</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45838</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45838</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45838</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45838</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45838</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45838</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45838</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45838</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45838</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45838</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45838</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45838</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45838</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45838</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45838</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45838</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45838</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45838</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45838</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45838</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45838</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45838</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45838</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45838</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45838</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45838</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45838</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45838</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45838</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45838</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45838</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45838</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45838</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45838</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45838</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45838</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45838</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45838</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45838</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45838</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45838</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45838</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45838</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45838</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45838</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45838</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45838</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45838</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45838</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45838</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45838</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45838</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45838</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45838</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45838</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45838</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45838</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45838</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45838</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45838</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45838</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45838</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45838</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45838</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45838</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45838</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45838</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45838</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45838</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45838</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45838</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45838</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45838</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45838</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45838</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45838</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45838</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45838</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45838</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45838</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45838</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45838</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45838</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45838</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26061-2025</t>
        </is>
      </c>
      <c r="B3422" s="1" t="n">
        <v>45805</v>
      </c>
      <c r="C3422" s="1" t="n">
        <v>45838</v>
      </c>
      <c r="D3422" t="inlineStr">
        <is>
          <t>VÄRMLANDS LÄN</t>
        </is>
      </c>
      <c r="E3422" t="inlineStr">
        <is>
          <t>TORSBY</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26342-2025</t>
        </is>
      </c>
      <c r="B3423" s="1" t="n">
        <v>45805</v>
      </c>
      <c r="C3423" s="1" t="n">
        <v>45838</v>
      </c>
      <c r="D3423" t="inlineStr">
        <is>
          <t>VÄRMLANDS LÄN</t>
        </is>
      </c>
      <c r="E3423" t="inlineStr">
        <is>
          <t>TORSBY</t>
        </is>
      </c>
      <c r="F3423" t="inlineStr">
        <is>
          <t>Bergvik skog väst AB</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26108-2025</t>
        </is>
      </c>
      <c r="B3424" s="1" t="n">
        <v>45805</v>
      </c>
      <c r="C3424" s="1" t="n">
        <v>45838</v>
      </c>
      <c r="D3424" t="inlineStr">
        <is>
          <t>VÄRMLANDS LÄN</t>
        </is>
      </c>
      <c r="E3424" t="inlineStr">
        <is>
          <t>TORSBY</t>
        </is>
      </c>
      <c r="F3424" t="inlineStr">
        <is>
          <t>Bergvik skog väst AB</t>
        </is>
      </c>
      <c r="G3424" t="n">
        <v>22.8</v>
      </c>
      <c r="H3424" t="n">
        <v>0</v>
      </c>
      <c r="I3424" t="n">
        <v>0</v>
      </c>
      <c r="J3424" t="n">
        <v>0</v>
      </c>
      <c r="K3424" t="n">
        <v>0</v>
      </c>
      <c r="L3424" t="n">
        <v>0</v>
      </c>
      <c r="M3424" t="n">
        <v>0</v>
      </c>
      <c r="N3424" t="n">
        <v>0</v>
      </c>
      <c r="O3424" t="n">
        <v>0</v>
      </c>
      <c r="P3424" t="n">
        <v>0</v>
      </c>
      <c r="Q3424" t="n">
        <v>0</v>
      </c>
      <c r="R3424" s="2" t="inlineStr"/>
    </row>
    <row r="3425" ht="15" customHeight="1">
      <c r="A3425" t="inlineStr">
        <is>
          <t>A 26333-2025</t>
        </is>
      </c>
      <c r="B3425" s="1" t="n">
        <v>45805</v>
      </c>
      <c r="C3425" s="1" t="n">
        <v>45838</v>
      </c>
      <c r="D3425" t="inlineStr">
        <is>
          <t>VÄRMLANDS LÄN</t>
        </is>
      </c>
      <c r="E3425" t="inlineStr">
        <is>
          <t>TORSBY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26231-2025</t>
        </is>
      </c>
      <c r="B3426" s="1" t="n">
        <v>45805</v>
      </c>
      <c r="C3426" s="1" t="n">
        <v>45838</v>
      </c>
      <c r="D3426" t="inlineStr">
        <is>
          <t>VÄRMLANDS LÄN</t>
        </is>
      </c>
      <c r="E3426" t="inlineStr">
        <is>
          <t>TORSBY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26158-2025</t>
        </is>
      </c>
      <c r="B3427" s="1" t="n">
        <v>45805</v>
      </c>
      <c r="C3427" s="1" t="n">
        <v>45838</v>
      </c>
      <c r="D3427" t="inlineStr">
        <is>
          <t>VÄRMLANDS LÄN</t>
        </is>
      </c>
      <c r="E3427" t="inlineStr">
        <is>
          <t>TORSBY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26418-2025</t>
        </is>
      </c>
      <c r="B3428" s="1" t="n">
        <v>45807</v>
      </c>
      <c r="C3428" s="1" t="n">
        <v>45838</v>
      </c>
      <c r="D3428" t="inlineStr">
        <is>
          <t>VÄRMLANDS LÄN</t>
        </is>
      </c>
      <c r="E3428" t="inlineStr">
        <is>
          <t>TORSBY</t>
        </is>
      </c>
      <c r="F3428" t="inlineStr">
        <is>
          <t>Bergvik skog väst AB</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45838</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26479-2025</t>
        </is>
      </c>
      <c r="B3430" s="1" t="n">
        <v>45807</v>
      </c>
      <c r="C3430" s="1" t="n">
        <v>45838</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26504-2025</t>
        </is>
      </c>
      <c r="B3431" s="1" t="n">
        <v>45807</v>
      </c>
      <c r="C3431" s="1" t="n">
        <v>45838</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26505-2025</t>
        </is>
      </c>
      <c r="B3432" s="1" t="n">
        <v>45807</v>
      </c>
      <c r="C3432" s="1" t="n">
        <v>45838</v>
      </c>
      <c r="D3432" t="inlineStr">
        <is>
          <t>VÄRMLANDS LÄN</t>
        </is>
      </c>
      <c r="E3432" t="inlineStr">
        <is>
          <t>TORSBY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26539-2025</t>
        </is>
      </c>
      <c r="B3433" s="1" t="n">
        <v>45807</v>
      </c>
      <c r="C3433" s="1" t="n">
        <v>45838</v>
      </c>
      <c r="D3433" t="inlineStr">
        <is>
          <t>VÄRMLANDS LÄN</t>
        </is>
      </c>
      <c r="E3433" t="inlineStr">
        <is>
          <t>TORSBY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26563-2025</t>
        </is>
      </c>
      <c r="B3434" s="1" t="n">
        <v>45807</v>
      </c>
      <c r="C3434" s="1" t="n">
        <v>45838</v>
      </c>
      <c r="D3434" t="inlineStr">
        <is>
          <t>VÄRMLANDS LÄN</t>
        </is>
      </c>
      <c r="E3434" t="inlineStr">
        <is>
          <t>TORSBY</t>
        </is>
      </c>
      <c r="F3434" t="inlineStr">
        <is>
          <t>Bergvik skog väst AB</t>
        </is>
      </c>
      <c r="G3434" t="n">
        <v>19.5</v>
      </c>
      <c r="H3434" t="n">
        <v>0</v>
      </c>
      <c r="I3434" t="n">
        <v>0</v>
      </c>
      <c r="J3434" t="n">
        <v>0</v>
      </c>
      <c r="K3434" t="n">
        <v>0</v>
      </c>
      <c r="L3434" t="n">
        <v>0</v>
      </c>
      <c r="M3434" t="n">
        <v>0</v>
      </c>
      <c r="N3434" t="n">
        <v>0</v>
      </c>
      <c r="O3434" t="n">
        <v>0</v>
      </c>
      <c r="P3434" t="n">
        <v>0</v>
      </c>
      <c r="Q3434" t="n">
        <v>0</v>
      </c>
      <c r="R3434" s="2" t="inlineStr"/>
    </row>
    <row r="3435" ht="15" customHeight="1">
      <c r="A3435" t="inlineStr">
        <is>
          <t>A 26507-2025</t>
        </is>
      </c>
      <c r="B3435" s="1" t="n">
        <v>45807</v>
      </c>
      <c r="C3435" s="1" t="n">
        <v>45838</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26533-2025</t>
        </is>
      </c>
      <c r="B3436" s="1" t="n">
        <v>45807</v>
      </c>
      <c r="C3436" s="1" t="n">
        <v>45838</v>
      </c>
      <c r="D3436" t="inlineStr">
        <is>
          <t>VÄRMLANDS LÄN</t>
        </is>
      </c>
      <c r="E3436" t="inlineStr">
        <is>
          <t>TORSBY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45838</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26487-2025</t>
        </is>
      </c>
      <c r="B3438" s="1" t="n">
        <v>45807</v>
      </c>
      <c r="C3438" s="1" t="n">
        <v>45838</v>
      </c>
      <c r="D3438" t="inlineStr">
        <is>
          <t>VÄRMLANDS LÄN</t>
        </is>
      </c>
      <c r="E3438" t="inlineStr">
        <is>
          <t>TORSBY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26511-2025</t>
        </is>
      </c>
      <c r="B3439" s="1" t="n">
        <v>45807</v>
      </c>
      <c r="C3439" s="1" t="n">
        <v>45838</v>
      </c>
      <c r="D3439" t="inlineStr">
        <is>
          <t>VÄRMLANDS LÄN</t>
        </is>
      </c>
      <c r="E3439" t="inlineStr">
        <is>
          <t>TORSBY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26607-2025</t>
        </is>
      </c>
      <c r="B3440" s="1" t="n">
        <v>45810</v>
      </c>
      <c r="C3440" s="1" t="n">
        <v>45838</v>
      </c>
      <c r="D3440" t="inlineStr">
        <is>
          <t>VÄRMLANDS LÄN</t>
        </is>
      </c>
      <c r="E3440" t="inlineStr">
        <is>
          <t>TORSBY</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26822-2025</t>
        </is>
      </c>
      <c r="B3441" s="1" t="n">
        <v>45810</v>
      </c>
      <c r="C3441" s="1" t="n">
        <v>45838</v>
      </c>
      <c r="D3441" t="inlineStr">
        <is>
          <t>VÄRMLANDS LÄN</t>
        </is>
      </c>
      <c r="E3441" t="inlineStr">
        <is>
          <t>TORSBY</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27093-2025</t>
        </is>
      </c>
      <c r="B3442" s="1" t="n">
        <v>45811</v>
      </c>
      <c r="C3442" s="1" t="n">
        <v>45838</v>
      </c>
      <c r="D3442" t="inlineStr">
        <is>
          <t>VÄRMLANDS LÄN</t>
        </is>
      </c>
      <c r="E3442" t="inlineStr">
        <is>
          <t>TORSBY</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27094-2025</t>
        </is>
      </c>
      <c r="B3443" s="1" t="n">
        <v>45811</v>
      </c>
      <c r="C3443" s="1" t="n">
        <v>45838</v>
      </c>
      <c r="D3443" t="inlineStr">
        <is>
          <t>VÄRMLANDS LÄN</t>
        </is>
      </c>
      <c r="E3443" t="inlineStr">
        <is>
          <t>TORSBY</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26960-2025</t>
        </is>
      </c>
      <c r="B3444" s="1" t="n">
        <v>45811</v>
      </c>
      <c r="C3444" s="1" t="n">
        <v>45838</v>
      </c>
      <c r="D3444" t="inlineStr">
        <is>
          <t>VÄRMLANDS LÄN</t>
        </is>
      </c>
      <c r="E3444" t="inlineStr">
        <is>
          <t>TORSBY</t>
        </is>
      </c>
      <c r="F3444" t="inlineStr">
        <is>
          <t>Kyrkan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45838</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27043-2025</t>
        </is>
      </c>
      <c r="B3446" s="1" t="n">
        <v>45811</v>
      </c>
      <c r="C3446" s="1" t="n">
        <v>45838</v>
      </c>
      <c r="D3446" t="inlineStr">
        <is>
          <t>VÄRMLANDS LÄN</t>
        </is>
      </c>
      <c r="E3446" t="inlineStr">
        <is>
          <t>TORSBY</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27056-2025</t>
        </is>
      </c>
      <c r="B3447" s="1" t="n">
        <v>45811</v>
      </c>
      <c r="C3447" s="1" t="n">
        <v>45838</v>
      </c>
      <c r="D3447" t="inlineStr">
        <is>
          <t>VÄRMLANDS LÄN</t>
        </is>
      </c>
      <c r="E3447" t="inlineStr">
        <is>
          <t>TORSBY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26892-2025</t>
        </is>
      </c>
      <c r="B3448" s="1" t="n">
        <v>45811</v>
      </c>
      <c r="C3448" s="1" t="n">
        <v>45838</v>
      </c>
      <c r="D3448" t="inlineStr">
        <is>
          <t>VÄRMLANDS LÄN</t>
        </is>
      </c>
      <c r="E3448" t="inlineStr">
        <is>
          <t>TORSBY</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27116-2025</t>
        </is>
      </c>
      <c r="B3449" s="1" t="n">
        <v>45811</v>
      </c>
      <c r="C3449" s="1" t="n">
        <v>45838</v>
      </c>
      <c r="D3449" t="inlineStr">
        <is>
          <t>VÄRMLANDS LÄN</t>
        </is>
      </c>
      <c r="E3449" t="inlineStr">
        <is>
          <t>TORSBY</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26890-2025</t>
        </is>
      </c>
      <c r="B3450" s="1" t="n">
        <v>45811</v>
      </c>
      <c r="C3450" s="1" t="n">
        <v>45838</v>
      </c>
      <c r="D3450" t="inlineStr">
        <is>
          <t>VÄRMLANDS LÄN</t>
        </is>
      </c>
      <c r="E3450" t="inlineStr">
        <is>
          <t>TORSBY</t>
        </is>
      </c>
      <c r="F3450" t="inlineStr">
        <is>
          <t>Bergvik skog väst AB</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26898-2025</t>
        </is>
      </c>
      <c r="B3451" s="1" t="n">
        <v>45811</v>
      </c>
      <c r="C3451" s="1" t="n">
        <v>45838</v>
      </c>
      <c r="D3451" t="inlineStr">
        <is>
          <t>VÄRMLANDS LÄN</t>
        </is>
      </c>
      <c r="E3451" t="inlineStr">
        <is>
          <t>TORSBY</t>
        </is>
      </c>
      <c r="F3451" t="inlineStr">
        <is>
          <t>Övriga Aktiebolag</t>
        </is>
      </c>
      <c r="G3451" t="n">
        <v>37.8</v>
      </c>
      <c r="H3451" t="n">
        <v>0</v>
      </c>
      <c r="I3451" t="n">
        <v>0</v>
      </c>
      <c r="J3451" t="n">
        <v>0</v>
      </c>
      <c r="K3451" t="n">
        <v>0</v>
      </c>
      <c r="L3451" t="n">
        <v>0</v>
      </c>
      <c r="M3451" t="n">
        <v>0</v>
      </c>
      <c r="N3451" t="n">
        <v>0</v>
      </c>
      <c r="O3451" t="n">
        <v>0</v>
      </c>
      <c r="P3451" t="n">
        <v>0</v>
      </c>
      <c r="Q3451" t="n">
        <v>0</v>
      </c>
      <c r="R3451" s="2" t="inlineStr"/>
    </row>
    <row r="3452" ht="15" customHeight="1">
      <c r="A3452" t="inlineStr">
        <is>
          <t>A 27149-2025</t>
        </is>
      </c>
      <c r="B3452" s="1" t="n">
        <v>45812</v>
      </c>
      <c r="C3452" s="1" t="n">
        <v>45838</v>
      </c>
      <c r="D3452" t="inlineStr">
        <is>
          <t>VÄRMLANDS LÄN</t>
        </is>
      </c>
      <c r="E3452" t="inlineStr">
        <is>
          <t>TORSBY</t>
        </is>
      </c>
      <c r="F3452" t="inlineStr">
        <is>
          <t>Bergvik skog väst AB</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27174-2025</t>
        </is>
      </c>
      <c r="B3453" s="1" t="n">
        <v>45812</v>
      </c>
      <c r="C3453" s="1" t="n">
        <v>45838</v>
      </c>
      <c r="D3453" t="inlineStr">
        <is>
          <t>VÄRMLANDS LÄN</t>
        </is>
      </c>
      <c r="E3453" t="inlineStr">
        <is>
          <t>TORSBY</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27291-2025</t>
        </is>
      </c>
      <c r="B3454" s="1" t="n">
        <v>45812</v>
      </c>
      <c r="C3454" s="1" t="n">
        <v>45838</v>
      </c>
      <c r="D3454" t="inlineStr">
        <is>
          <t>VÄRMLANDS LÄN</t>
        </is>
      </c>
      <c r="E3454" t="inlineStr">
        <is>
          <t>TORSBY</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27450-2025</t>
        </is>
      </c>
      <c r="B3455" s="1" t="n">
        <v>45813</v>
      </c>
      <c r="C3455" s="1" t="n">
        <v>45838</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27467-2025</t>
        </is>
      </c>
      <c r="B3456" s="1" t="n">
        <v>45813</v>
      </c>
      <c r="C3456" s="1" t="n">
        <v>45838</v>
      </c>
      <c r="D3456" t="inlineStr">
        <is>
          <t>VÄRMLANDS LÄN</t>
        </is>
      </c>
      <c r="E3456" t="inlineStr">
        <is>
          <t>TORSBY</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27674-2025</t>
        </is>
      </c>
      <c r="B3457" s="1" t="n">
        <v>45813</v>
      </c>
      <c r="C3457" s="1" t="n">
        <v>45838</v>
      </c>
      <c r="D3457" t="inlineStr">
        <is>
          <t>VÄRMLANDS LÄN</t>
        </is>
      </c>
      <c r="E3457" t="inlineStr">
        <is>
          <t>TORSBY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27470-2025</t>
        </is>
      </c>
      <c r="B3458" s="1" t="n">
        <v>45813</v>
      </c>
      <c r="C3458" s="1" t="n">
        <v>45838</v>
      </c>
      <c r="D3458" t="inlineStr">
        <is>
          <t>VÄRMLANDS LÄN</t>
        </is>
      </c>
      <c r="E3458" t="inlineStr">
        <is>
          <t>TORSBY</t>
        </is>
      </c>
      <c r="G3458" t="n">
        <v>17.9</v>
      </c>
      <c r="H3458" t="n">
        <v>0</v>
      </c>
      <c r="I3458" t="n">
        <v>0</v>
      </c>
      <c r="J3458" t="n">
        <v>0</v>
      </c>
      <c r="K3458" t="n">
        <v>0</v>
      </c>
      <c r="L3458" t="n">
        <v>0</v>
      </c>
      <c r="M3458" t="n">
        <v>0</v>
      </c>
      <c r="N3458" t="n">
        <v>0</v>
      </c>
      <c r="O3458" t="n">
        <v>0</v>
      </c>
      <c r="P3458" t="n">
        <v>0</v>
      </c>
      <c r="Q3458" t="n">
        <v>0</v>
      </c>
      <c r="R3458" s="2" t="inlineStr"/>
    </row>
    <row r="3459" ht="15" customHeight="1">
      <c r="A3459" t="inlineStr">
        <is>
          <t>A 27667-2025</t>
        </is>
      </c>
      <c r="B3459" s="1" t="n">
        <v>45813</v>
      </c>
      <c r="C3459" s="1" t="n">
        <v>45838</v>
      </c>
      <c r="D3459" t="inlineStr">
        <is>
          <t>VÄRMLANDS LÄN</t>
        </is>
      </c>
      <c r="E3459" t="inlineStr">
        <is>
          <t>TORSBY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27728-2025</t>
        </is>
      </c>
      <c r="B3460" s="1" t="n">
        <v>45814</v>
      </c>
      <c r="C3460" s="1" t="n">
        <v>45838</v>
      </c>
      <c r="D3460" t="inlineStr">
        <is>
          <t>VÄRMLANDS LÄN</t>
        </is>
      </c>
      <c r="E3460" t="inlineStr">
        <is>
          <t>TORSBY</t>
        </is>
      </c>
      <c r="F3460" t="inlineStr">
        <is>
          <t>Bergvik skog väst AB</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27730-2025</t>
        </is>
      </c>
      <c r="B3461" s="1" t="n">
        <v>45814</v>
      </c>
      <c r="C3461" s="1" t="n">
        <v>45838</v>
      </c>
      <c r="D3461" t="inlineStr">
        <is>
          <t>VÄRMLANDS LÄN</t>
        </is>
      </c>
      <c r="E3461" t="inlineStr">
        <is>
          <t>TORSBY</t>
        </is>
      </c>
      <c r="F3461" t="inlineStr">
        <is>
          <t>Bergvik skog väst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27759-2025</t>
        </is>
      </c>
      <c r="B3462" s="1" t="n">
        <v>45816</v>
      </c>
      <c r="C3462" s="1" t="n">
        <v>45838</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27758-2025</t>
        </is>
      </c>
      <c r="B3463" s="1" t="n">
        <v>45816</v>
      </c>
      <c r="C3463" s="1" t="n">
        <v>45838</v>
      </c>
      <c r="D3463" t="inlineStr">
        <is>
          <t>VÄRMLANDS LÄN</t>
        </is>
      </c>
      <c r="E3463" t="inlineStr">
        <is>
          <t>TORSBY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27906-2025</t>
        </is>
      </c>
      <c r="B3464" s="1" t="n">
        <v>45817</v>
      </c>
      <c r="C3464" s="1" t="n">
        <v>45838</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45838</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45838</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27856-2025</t>
        </is>
      </c>
      <c r="B3467" s="1" t="n">
        <v>45817</v>
      </c>
      <c r="C3467" s="1" t="n">
        <v>45838</v>
      </c>
      <c r="D3467" t="inlineStr">
        <is>
          <t>VÄRMLANDS LÄN</t>
        </is>
      </c>
      <c r="E3467" t="inlineStr">
        <is>
          <t>TORSBY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45838</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45838</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45838</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28214-2025</t>
        </is>
      </c>
      <c r="B3471" s="1" t="n">
        <v>45818</v>
      </c>
      <c r="C3471" s="1" t="n">
        <v>45838</v>
      </c>
      <c r="D3471" t="inlineStr">
        <is>
          <t>VÄRMLANDS LÄN</t>
        </is>
      </c>
      <c r="E3471" t="inlineStr">
        <is>
          <t>TORSBY</t>
        </is>
      </c>
      <c r="F3471" t="inlineStr">
        <is>
          <t>Bergvik skog väst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28116-2025</t>
        </is>
      </c>
      <c r="B3472" s="1" t="n">
        <v>45818</v>
      </c>
      <c r="C3472" s="1" t="n">
        <v>45838</v>
      </c>
      <c r="D3472" t="inlineStr">
        <is>
          <t>VÄRMLANDS LÄN</t>
        </is>
      </c>
      <c r="E3472" t="inlineStr">
        <is>
          <t>TORSBY</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28612-2025</t>
        </is>
      </c>
      <c r="B3473" s="1" t="n">
        <v>45819</v>
      </c>
      <c r="C3473" s="1" t="n">
        <v>45838</v>
      </c>
      <c r="D3473" t="inlineStr">
        <is>
          <t>VÄRMLANDS LÄN</t>
        </is>
      </c>
      <c r="E3473" t="inlineStr">
        <is>
          <t>TORSBY</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28380-2025</t>
        </is>
      </c>
      <c r="B3474" s="1" t="n">
        <v>45819</v>
      </c>
      <c r="C3474" s="1" t="n">
        <v>45838</v>
      </c>
      <c r="D3474" t="inlineStr">
        <is>
          <t>VÄRMLANDS LÄN</t>
        </is>
      </c>
      <c r="E3474" t="inlineStr">
        <is>
          <t>TORSBY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45838</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28765-2025</t>
        </is>
      </c>
      <c r="B3476" s="1" t="n">
        <v>45820</v>
      </c>
      <c r="C3476" s="1" t="n">
        <v>45838</v>
      </c>
      <c r="D3476" t="inlineStr">
        <is>
          <t>VÄRMLANDS LÄN</t>
        </is>
      </c>
      <c r="E3476" t="inlineStr">
        <is>
          <t>TORSBY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28791-2025</t>
        </is>
      </c>
      <c r="B3477" s="1" t="n">
        <v>45820</v>
      </c>
      <c r="C3477" s="1" t="n">
        <v>45838</v>
      </c>
      <c r="D3477" t="inlineStr">
        <is>
          <t>VÄRMLANDS LÄN</t>
        </is>
      </c>
      <c r="E3477" t="inlineStr">
        <is>
          <t>TORSBY</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28761-2025</t>
        </is>
      </c>
      <c r="B3478" s="1" t="n">
        <v>45820</v>
      </c>
      <c r="C3478" s="1" t="n">
        <v>45838</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28774-2025</t>
        </is>
      </c>
      <c r="B3479" s="1" t="n">
        <v>45820</v>
      </c>
      <c r="C3479" s="1" t="n">
        <v>45838</v>
      </c>
      <c r="D3479" t="inlineStr">
        <is>
          <t>VÄRMLANDS LÄN</t>
        </is>
      </c>
      <c r="E3479" t="inlineStr">
        <is>
          <t>TORSBY</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28757-2025</t>
        </is>
      </c>
      <c r="B3480" s="1" t="n">
        <v>45820</v>
      </c>
      <c r="C3480" s="1" t="n">
        <v>45838</v>
      </c>
      <c r="D3480" t="inlineStr">
        <is>
          <t>VÄRMLANDS LÄN</t>
        </is>
      </c>
      <c r="E3480" t="inlineStr">
        <is>
          <t>TORSBY</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28784-2025</t>
        </is>
      </c>
      <c r="B3481" s="1" t="n">
        <v>45820</v>
      </c>
      <c r="C3481" s="1" t="n">
        <v>45838</v>
      </c>
      <c r="D3481" t="inlineStr">
        <is>
          <t>VÄRMLANDS LÄN</t>
        </is>
      </c>
      <c r="E3481" t="inlineStr">
        <is>
          <t>TORSBY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28898-2025</t>
        </is>
      </c>
      <c r="B3482" s="1" t="n">
        <v>45820</v>
      </c>
      <c r="C3482" s="1" t="n">
        <v>45838</v>
      </c>
      <c r="D3482" t="inlineStr">
        <is>
          <t>VÄRMLANDS LÄN</t>
        </is>
      </c>
      <c r="E3482" t="inlineStr">
        <is>
          <t>TORSBY</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28939-2025</t>
        </is>
      </c>
      <c r="B3483" s="1" t="n">
        <v>45820</v>
      </c>
      <c r="C3483" s="1" t="n">
        <v>45838</v>
      </c>
      <c r="D3483" t="inlineStr">
        <is>
          <t>VÄRMLANDS LÄN</t>
        </is>
      </c>
      <c r="E3483" t="inlineStr">
        <is>
          <t>TORSBY</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29071-2025</t>
        </is>
      </c>
      <c r="B3484" s="1" t="n">
        <v>45821</v>
      </c>
      <c r="C3484" s="1" t="n">
        <v>45838</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29063-2025</t>
        </is>
      </c>
      <c r="B3485" s="1" t="n">
        <v>45821</v>
      </c>
      <c r="C3485" s="1" t="n">
        <v>45838</v>
      </c>
      <c r="D3485" t="inlineStr">
        <is>
          <t>VÄRMLANDS LÄN</t>
        </is>
      </c>
      <c r="E3485" t="inlineStr">
        <is>
          <t>TORSBY</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29130-2025</t>
        </is>
      </c>
      <c r="B3486" s="1" t="n">
        <v>45821</v>
      </c>
      <c r="C3486" s="1" t="n">
        <v>45838</v>
      </c>
      <c r="D3486" t="inlineStr">
        <is>
          <t>VÄRMLANDS LÄN</t>
        </is>
      </c>
      <c r="E3486" t="inlineStr">
        <is>
          <t>TORSBY</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29307-2025</t>
        </is>
      </c>
      <c r="B3487" s="1" t="n">
        <v>45824</v>
      </c>
      <c r="C3487" s="1" t="n">
        <v>45838</v>
      </c>
      <c r="D3487" t="inlineStr">
        <is>
          <t>VÄRMLANDS LÄN</t>
        </is>
      </c>
      <c r="E3487" t="inlineStr">
        <is>
          <t>TORSBY</t>
        </is>
      </c>
      <c r="F3487" t="inlineStr">
        <is>
          <t>Övriga Aktiebolag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29251-2025</t>
        </is>
      </c>
      <c r="B3488" s="1" t="n">
        <v>45824</v>
      </c>
      <c r="C3488" s="1" t="n">
        <v>45838</v>
      </c>
      <c r="D3488" t="inlineStr">
        <is>
          <t>VÄRMLANDS LÄN</t>
        </is>
      </c>
      <c r="E3488" t="inlineStr">
        <is>
          <t>TORSBY</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29403-2025</t>
        </is>
      </c>
      <c r="B3489" s="1" t="n">
        <v>45824</v>
      </c>
      <c r="C3489" s="1" t="n">
        <v>45838</v>
      </c>
      <c r="D3489" t="inlineStr">
        <is>
          <t>VÄRMLANDS LÄN</t>
        </is>
      </c>
      <c r="E3489" t="inlineStr">
        <is>
          <t>TORSBY</t>
        </is>
      </c>
      <c r="F3489" t="inlineStr">
        <is>
          <t>Bergvik skog väst AB</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29312-2025</t>
        </is>
      </c>
      <c r="B3490" s="1" t="n">
        <v>45824</v>
      </c>
      <c r="C3490" s="1" t="n">
        <v>45838</v>
      </c>
      <c r="D3490" t="inlineStr">
        <is>
          <t>VÄRMLANDS LÄN</t>
        </is>
      </c>
      <c r="E3490" t="inlineStr">
        <is>
          <t>TORSBY</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29512-2025</t>
        </is>
      </c>
      <c r="B3491" s="1" t="n">
        <v>45825</v>
      </c>
      <c r="C3491" s="1" t="n">
        <v>45838</v>
      </c>
      <c r="D3491" t="inlineStr">
        <is>
          <t>VÄRMLANDS LÄN</t>
        </is>
      </c>
      <c r="E3491" t="inlineStr">
        <is>
          <t>TORSBY</t>
        </is>
      </c>
      <c r="F3491" t="inlineStr">
        <is>
          <t>Bergvik skog väst AB</t>
        </is>
      </c>
      <c r="G3491" t="n">
        <v>17.9</v>
      </c>
      <c r="H3491" t="n">
        <v>0</v>
      </c>
      <c r="I3491" t="n">
        <v>0</v>
      </c>
      <c r="J3491" t="n">
        <v>0</v>
      </c>
      <c r="K3491" t="n">
        <v>0</v>
      </c>
      <c r="L3491" t="n">
        <v>0</v>
      </c>
      <c r="M3491" t="n">
        <v>0</v>
      </c>
      <c r="N3491" t="n">
        <v>0</v>
      </c>
      <c r="O3491" t="n">
        <v>0</v>
      </c>
      <c r="P3491" t="n">
        <v>0</v>
      </c>
      <c r="Q3491" t="n">
        <v>0</v>
      </c>
      <c r="R3491" s="2" t="inlineStr"/>
    </row>
    <row r="3492" ht="15" customHeight="1">
      <c r="A3492" t="inlineStr">
        <is>
          <t>A 29525-2025</t>
        </is>
      </c>
      <c r="B3492" s="1" t="n">
        <v>45825</v>
      </c>
      <c r="C3492" s="1" t="n">
        <v>45838</v>
      </c>
      <c r="D3492" t="inlineStr">
        <is>
          <t>VÄRMLANDS LÄN</t>
        </is>
      </c>
      <c r="E3492" t="inlineStr">
        <is>
          <t>TORSBY</t>
        </is>
      </c>
      <c r="F3492" t="inlineStr">
        <is>
          <t>Bergvik skog väst AB</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29587-2025</t>
        </is>
      </c>
      <c r="B3493" s="1" t="n">
        <v>45825</v>
      </c>
      <c r="C3493" s="1" t="n">
        <v>45838</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29702-2025</t>
        </is>
      </c>
      <c r="B3494" s="1" t="n">
        <v>45825</v>
      </c>
      <c r="C3494" s="1" t="n">
        <v>45838</v>
      </c>
      <c r="D3494" t="inlineStr">
        <is>
          <t>VÄRMLANDS LÄN</t>
        </is>
      </c>
      <c r="E3494" t="inlineStr">
        <is>
          <t>TORSBY</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29641-2025</t>
        </is>
      </c>
      <c r="B3495" s="1" t="n">
        <v>45825</v>
      </c>
      <c r="C3495" s="1" t="n">
        <v>45838</v>
      </c>
      <c r="D3495" t="inlineStr">
        <is>
          <t>VÄRMLANDS LÄN</t>
        </is>
      </c>
      <c r="E3495" t="inlineStr">
        <is>
          <t>TORSBY</t>
        </is>
      </c>
      <c r="G3495" t="n">
        <v>23.4</v>
      </c>
      <c r="H3495" t="n">
        <v>0</v>
      </c>
      <c r="I3495" t="n">
        <v>0</v>
      </c>
      <c r="J3495" t="n">
        <v>0</v>
      </c>
      <c r="K3495" t="n">
        <v>0</v>
      </c>
      <c r="L3495" t="n">
        <v>0</v>
      </c>
      <c r="M3495" t="n">
        <v>0</v>
      </c>
      <c r="N3495" t="n">
        <v>0</v>
      </c>
      <c r="O3495" t="n">
        <v>0</v>
      </c>
      <c r="P3495" t="n">
        <v>0</v>
      </c>
      <c r="Q3495" t="n">
        <v>0</v>
      </c>
      <c r="R3495" s="2" t="inlineStr"/>
    </row>
    <row r="3496" ht="15" customHeight="1">
      <c r="A3496" t="inlineStr">
        <is>
          <t>A 29650-2025</t>
        </is>
      </c>
      <c r="B3496" s="1" t="n">
        <v>45825</v>
      </c>
      <c r="C3496" s="1" t="n">
        <v>45838</v>
      </c>
      <c r="D3496" t="inlineStr">
        <is>
          <t>VÄRMLANDS LÄN</t>
        </is>
      </c>
      <c r="E3496" t="inlineStr">
        <is>
          <t>TORSBY</t>
        </is>
      </c>
      <c r="G3496" t="n">
        <v>16.8</v>
      </c>
      <c r="H3496" t="n">
        <v>0</v>
      </c>
      <c r="I3496" t="n">
        <v>0</v>
      </c>
      <c r="J3496" t="n">
        <v>0</v>
      </c>
      <c r="K3496" t="n">
        <v>0</v>
      </c>
      <c r="L3496" t="n">
        <v>0</v>
      </c>
      <c r="M3496" t="n">
        <v>0</v>
      </c>
      <c r="N3496" t="n">
        <v>0</v>
      </c>
      <c r="O3496" t="n">
        <v>0</v>
      </c>
      <c r="P3496" t="n">
        <v>0</v>
      </c>
      <c r="Q3496" t="n">
        <v>0</v>
      </c>
      <c r="R3496" s="2" t="inlineStr"/>
    </row>
    <row r="3497" ht="15" customHeight="1">
      <c r="A3497" t="inlineStr">
        <is>
          <t>A 30026-2025</t>
        </is>
      </c>
      <c r="B3497" s="1" t="n">
        <v>45826</v>
      </c>
      <c r="C3497" s="1" t="n">
        <v>45838</v>
      </c>
      <c r="D3497" t="inlineStr">
        <is>
          <t>VÄRMLANDS LÄN</t>
        </is>
      </c>
      <c r="E3497" t="inlineStr">
        <is>
          <t>TORSBY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30078-2025</t>
        </is>
      </c>
      <c r="B3498" s="1" t="n">
        <v>45826</v>
      </c>
      <c r="C3498" s="1" t="n">
        <v>45838</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30074-2025</t>
        </is>
      </c>
      <c r="B3499" s="1" t="n">
        <v>45826</v>
      </c>
      <c r="C3499" s="1" t="n">
        <v>45838</v>
      </c>
      <c r="D3499" t="inlineStr">
        <is>
          <t>VÄRMLANDS LÄN</t>
        </is>
      </c>
      <c r="E3499" t="inlineStr">
        <is>
          <t>TORSBY</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30388-2025</t>
        </is>
      </c>
      <c r="B3500" s="1" t="n">
        <v>45827</v>
      </c>
      <c r="C3500" s="1" t="n">
        <v>45838</v>
      </c>
      <c r="D3500" t="inlineStr">
        <is>
          <t>VÄRMLANDS LÄN</t>
        </is>
      </c>
      <c r="E3500" t="inlineStr">
        <is>
          <t>TORSBY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30153-2025</t>
        </is>
      </c>
      <c r="B3501" s="1" t="n">
        <v>45827</v>
      </c>
      <c r="C3501" s="1" t="n">
        <v>45838</v>
      </c>
      <c r="D3501" t="inlineStr">
        <is>
          <t>VÄRMLANDS LÄN</t>
        </is>
      </c>
      <c r="E3501" t="inlineStr">
        <is>
          <t>TORSBY</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30199-2025</t>
        </is>
      </c>
      <c r="B3502" s="1" t="n">
        <v>45827</v>
      </c>
      <c r="C3502" s="1" t="n">
        <v>45838</v>
      </c>
      <c r="D3502" t="inlineStr">
        <is>
          <t>VÄRMLANDS LÄN</t>
        </is>
      </c>
      <c r="E3502" t="inlineStr">
        <is>
          <t>TORSBY</t>
        </is>
      </c>
      <c r="F3502" t="inlineStr">
        <is>
          <t>Bergvik skog väst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30214-2025</t>
        </is>
      </c>
      <c r="B3503" s="1" t="n">
        <v>45827</v>
      </c>
      <c r="C3503" s="1" t="n">
        <v>45838</v>
      </c>
      <c r="D3503" t="inlineStr">
        <is>
          <t>VÄRMLANDS LÄN</t>
        </is>
      </c>
      <c r="E3503" t="inlineStr">
        <is>
          <t>TORSBY</t>
        </is>
      </c>
      <c r="F3503" t="inlineStr">
        <is>
          <t>Bergvik skog väst AB</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30151-2025</t>
        </is>
      </c>
      <c r="B3504" s="1" t="n">
        <v>45827</v>
      </c>
      <c r="C3504" s="1" t="n">
        <v>45838</v>
      </c>
      <c r="D3504" t="inlineStr">
        <is>
          <t>VÄRMLANDS LÄN</t>
        </is>
      </c>
      <c r="E3504" t="inlineStr">
        <is>
          <t>TORSBY</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30333-2025</t>
        </is>
      </c>
      <c r="B3505" s="1" t="n">
        <v>45827</v>
      </c>
      <c r="C3505" s="1" t="n">
        <v>45838</v>
      </c>
      <c r="D3505" t="inlineStr">
        <is>
          <t>VÄRMLANDS LÄN</t>
        </is>
      </c>
      <c r="E3505" t="inlineStr">
        <is>
          <t>TORSBY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30380-2025</t>
        </is>
      </c>
      <c r="B3506" s="1" t="n">
        <v>45827</v>
      </c>
      <c r="C3506" s="1" t="n">
        <v>45838</v>
      </c>
      <c r="D3506" t="inlineStr">
        <is>
          <t>VÄRMLANDS LÄN</t>
        </is>
      </c>
      <c r="E3506" t="inlineStr">
        <is>
          <t>TORSBY</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30433-2025</t>
        </is>
      </c>
      <c r="B3507" s="1" t="n">
        <v>45827</v>
      </c>
      <c r="C3507" s="1" t="n">
        <v>45838</v>
      </c>
      <c r="D3507" t="inlineStr">
        <is>
          <t>VÄRMLANDS LÄN</t>
        </is>
      </c>
      <c r="E3507" t="inlineStr">
        <is>
          <t>TORSBY</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45838</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30717-2025</t>
        </is>
      </c>
      <c r="B3509" s="1" t="n">
        <v>45831</v>
      </c>
      <c r="C3509" s="1" t="n">
        <v>45838</v>
      </c>
      <c r="D3509" t="inlineStr">
        <is>
          <t>VÄRMLANDS LÄN</t>
        </is>
      </c>
      <c r="E3509" t="inlineStr">
        <is>
          <t>TORSBY</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30735-2025</t>
        </is>
      </c>
      <c r="B3510" s="1" t="n">
        <v>45831</v>
      </c>
      <c r="C3510" s="1" t="n">
        <v>45838</v>
      </c>
      <c r="D3510" t="inlineStr">
        <is>
          <t>VÄRMLANDS LÄN</t>
        </is>
      </c>
      <c r="E3510" t="inlineStr">
        <is>
          <t>TORSBY</t>
        </is>
      </c>
      <c r="F3510" t="inlineStr">
        <is>
          <t>Bergvik skog väst AB</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30560-2025</t>
        </is>
      </c>
      <c r="B3511" s="1" t="n">
        <v>45831</v>
      </c>
      <c r="C3511" s="1" t="n">
        <v>45838</v>
      </c>
      <c r="D3511" t="inlineStr">
        <is>
          <t>VÄRMLANDS LÄN</t>
        </is>
      </c>
      <c r="E3511" t="inlineStr">
        <is>
          <t>TORSBY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30607-2025</t>
        </is>
      </c>
      <c r="B3512" s="1" t="n">
        <v>45831</v>
      </c>
      <c r="C3512" s="1" t="n">
        <v>45838</v>
      </c>
      <c r="D3512" t="inlineStr">
        <is>
          <t>VÄRMLANDS LÄN</t>
        </is>
      </c>
      <c r="E3512" t="inlineStr">
        <is>
          <t>TORSBY</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30738-2025</t>
        </is>
      </c>
      <c r="B3513" s="1" t="n">
        <v>45831</v>
      </c>
      <c r="C3513" s="1" t="n">
        <v>45838</v>
      </c>
      <c r="D3513" t="inlineStr">
        <is>
          <t>VÄRMLANDS LÄN</t>
        </is>
      </c>
      <c r="E3513" t="inlineStr">
        <is>
          <t>TORSBY</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30836-2025</t>
        </is>
      </c>
      <c r="B3514" s="1" t="n">
        <v>45831</v>
      </c>
      <c r="C3514" s="1" t="n">
        <v>45838</v>
      </c>
      <c r="D3514" t="inlineStr">
        <is>
          <t>VÄRMLANDS LÄN</t>
        </is>
      </c>
      <c r="E3514" t="inlineStr">
        <is>
          <t>TORSBY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31101-2025</t>
        </is>
      </c>
      <c r="B3515" s="1" t="n">
        <v>45832</v>
      </c>
      <c r="C3515" s="1" t="n">
        <v>45838</v>
      </c>
      <c r="D3515" t="inlineStr">
        <is>
          <t>VÄRMLANDS LÄN</t>
        </is>
      </c>
      <c r="E3515" t="inlineStr">
        <is>
          <t>TORSBY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30958-2025</t>
        </is>
      </c>
      <c r="B3516" s="1" t="n">
        <v>45832</v>
      </c>
      <c r="C3516" s="1" t="n">
        <v>45838</v>
      </c>
      <c r="D3516" t="inlineStr">
        <is>
          <t>VÄRMLANDS LÄN</t>
        </is>
      </c>
      <c r="E3516" t="inlineStr">
        <is>
          <t>TORSBY</t>
        </is>
      </c>
      <c r="G3516" t="n">
        <v>28.5</v>
      </c>
      <c r="H3516" t="n">
        <v>0</v>
      </c>
      <c r="I3516" t="n">
        <v>0</v>
      </c>
      <c r="J3516" t="n">
        <v>0</v>
      </c>
      <c r="K3516" t="n">
        <v>0</v>
      </c>
      <c r="L3516" t="n">
        <v>0</v>
      </c>
      <c r="M3516" t="n">
        <v>0</v>
      </c>
      <c r="N3516" t="n">
        <v>0</v>
      </c>
      <c r="O3516" t="n">
        <v>0</v>
      </c>
      <c r="P3516" t="n">
        <v>0</v>
      </c>
      <c r="Q3516" t="n">
        <v>0</v>
      </c>
      <c r="R3516" s="2" t="inlineStr"/>
    </row>
    <row r="3517" ht="15" customHeight="1">
      <c r="A3517" t="inlineStr">
        <is>
          <t>A 30974-2025</t>
        </is>
      </c>
      <c r="B3517" s="1" t="n">
        <v>45832</v>
      </c>
      <c r="C3517" s="1" t="n">
        <v>45838</v>
      </c>
      <c r="D3517" t="inlineStr">
        <is>
          <t>VÄRMLANDS LÄN</t>
        </is>
      </c>
      <c r="E3517" t="inlineStr">
        <is>
          <t>TORSBY</t>
        </is>
      </c>
      <c r="G3517" t="n">
        <v>29.2</v>
      </c>
      <c r="H3517" t="n">
        <v>0</v>
      </c>
      <c r="I3517" t="n">
        <v>0</v>
      </c>
      <c r="J3517" t="n">
        <v>0</v>
      </c>
      <c r="K3517" t="n">
        <v>0</v>
      </c>
      <c r="L3517" t="n">
        <v>0</v>
      </c>
      <c r="M3517" t="n">
        <v>0</v>
      </c>
      <c r="N3517" t="n">
        <v>0</v>
      </c>
      <c r="O3517" t="n">
        <v>0</v>
      </c>
      <c r="P3517" t="n">
        <v>0</v>
      </c>
      <c r="Q3517" t="n">
        <v>0</v>
      </c>
      <c r="R3517" s="2" t="inlineStr"/>
    </row>
    <row r="3518" ht="15" customHeight="1">
      <c r="A3518" t="inlineStr">
        <is>
          <t>A 31335-2025</t>
        </is>
      </c>
      <c r="B3518" s="1" t="n">
        <v>45833</v>
      </c>
      <c r="C3518" s="1" t="n">
        <v>45838</v>
      </c>
      <c r="D3518" t="inlineStr">
        <is>
          <t>VÄRMLANDS LÄN</t>
        </is>
      </c>
      <c r="E3518" t="inlineStr">
        <is>
          <t>TORSBY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31547-2025</t>
        </is>
      </c>
      <c r="B3519" s="1" t="n">
        <v>45833</v>
      </c>
      <c r="C3519" s="1" t="n">
        <v>45838</v>
      </c>
      <c r="D3519" t="inlineStr">
        <is>
          <t>VÄRMLANDS LÄN</t>
        </is>
      </c>
      <c r="E3519" t="inlineStr">
        <is>
          <t>TORSBY</t>
        </is>
      </c>
      <c r="F3519" t="inlineStr">
        <is>
          <t>Bergvik skog väst AB</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31316-2025</t>
        </is>
      </c>
      <c r="B3520" s="1" t="n">
        <v>45833</v>
      </c>
      <c r="C3520" s="1" t="n">
        <v>45838</v>
      </c>
      <c r="D3520" t="inlineStr">
        <is>
          <t>VÄRMLANDS LÄN</t>
        </is>
      </c>
      <c r="E3520" t="inlineStr">
        <is>
          <t>TORSBY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31416-2025</t>
        </is>
      </c>
      <c r="B3521" s="1" t="n">
        <v>45833</v>
      </c>
      <c r="C3521" s="1" t="n">
        <v>45838</v>
      </c>
      <c r="D3521" t="inlineStr">
        <is>
          <t>VÄRMLANDS LÄN</t>
        </is>
      </c>
      <c r="E3521" t="inlineStr">
        <is>
          <t>TORSBY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31850-2025</t>
        </is>
      </c>
      <c r="B3522" s="1" t="n">
        <v>45834</v>
      </c>
      <c r="C3522" s="1" t="n">
        <v>45838</v>
      </c>
      <c r="D3522" t="inlineStr">
        <is>
          <t>VÄRMLANDS LÄN</t>
        </is>
      </c>
      <c r="E3522" t="inlineStr">
        <is>
          <t>TORSBY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31902-2025</t>
        </is>
      </c>
      <c r="B3523" s="1" t="n">
        <v>45834</v>
      </c>
      <c r="C3523" s="1" t="n">
        <v>45838</v>
      </c>
      <c r="D3523" t="inlineStr">
        <is>
          <t>VÄRMLANDS LÄN</t>
        </is>
      </c>
      <c r="E3523" t="inlineStr">
        <is>
          <t>TORSBY</t>
        </is>
      </c>
      <c r="G3523" t="n">
        <v>27.1</v>
      </c>
      <c r="H3523" t="n">
        <v>0</v>
      </c>
      <c r="I3523" t="n">
        <v>0</v>
      </c>
      <c r="J3523" t="n">
        <v>0</v>
      </c>
      <c r="K3523" t="n">
        <v>0</v>
      </c>
      <c r="L3523" t="n">
        <v>0</v>
      </c>
      <c r="M3523" t="n">
        <v>0</v>
      </c>
      <c r="N3523" t="n">
        <v>0</v>
      </c>
      <c r="O3523" t="n">
        <v>0</v>
      </c>
      <c r="P3523" t="n">
        <v>0</v>
      </c>
      <c r="Q3523" t="n">
        <v>0</v>
      </c>
      <c r="R3523" s="2" t="inlineStr"/>
    </row>
    <row r="3524" ht="15" customHeight="1">
      <c r="A3524" t="inlineStr">
        <is>
          <t>A 31906-2025</t>
        </is>
      </c>
      <c r="B3524" s="1" t="n">
        <v>45834</v>
      </c>
      <c r="C3524" s="1" t="n">
        <v>45838</v>
      </c>
      <c r="D3524" t="inlineStr">
        <is>
          <t>VÄRMLANDS LÄN</t>
        </is>
      </c>
      <c r="E3524" t="inlineStr">
        <is>
          <t>TORSBY</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31630-2025</t>
        </is>
      </c>
      <c r="B3525" s="1" t="n">
        <v>45834</v>
      </c>
      <c r="C3525" s="1" t="n">
        <v>45838</v>
      </c>
      <c r="D3525" t="inlineStr">
        <is>
          <t>VÄRMLANDS LÄN</t>
        </is>
      </c>
      <c r="E3525" t="inlineStr">
        <is>
          <t>TORSBY</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31672-2025</t>
        </is>
      </c>
      <c r="B3526" s="1" t="n">
        <v>45834</v>
      </c>
      <c r="C3526" s="1" t="n">
        <v>45838</v>
      </c>
      <c r="D3526" t="inlineStr">
        <is>
          <t>VÄRMLANDS LÄN</t>
        </is>
      </c>
      <c r="E3526" t="inlineStr">
        <is>
          <t>TORSBY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32054-2025</t>
        </is>
      </c>
      <c r="B3527" s="1" t="n">
        <v>45835</v>
      </c>
      <c r="C3527" s="1" t="n">
        <v>45838</v>
      </c>
      <c r="D3527" t="inlineStr">
        <is>
          <t>VÄRMLANDS LÄN</t>
        </is>
      </c>
      <c r="E3527" t="inlineStr">
        <is>
          <t>TORSBY</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32191-2025</t>
        </is>
      </c>
      <c r="B3528" s="1" t="n">
        <v>45835</v>
      </c>
      <c r="C3528" s="1" t="n">
        <v>45838</v>
      </c>
      <c r="D3528" t="inlineStr">
        <is>
          <t>VÄRMLANDS LÄN</t>
        </is>
      </c>
      <c r="E3528" t="inlineStr">
        <is>
          <t>TORSBY</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32134-2025</t>
        </is>
      </c>
      <c r="B3529" s="1" t="n">
        <v>45835</v>
      </c>
      <c r="C3529" s="1" t="n">
        <v>45838</v>
      </c>
      <c r="D3529" t="inlineStr">
        <is>
          <t>VÄRMLANDS LÄN</t>
        </is>
      </c>
      <c r="E3529" t="inlineStr">
        <is>
          <t>TORSBY</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32084-2025</t>
        </is>
      </c>
      <c r="B3530" s="1" t="n">
        <v>45835</v>
      </c>
      <c r="C3530" s="1" t="n">
        <v>45838</v>
      </c>
      <c r="D3530" t="inlineStr">
        <is>
          <t>VÄRMLANDS LÄN</t>
        </is>
      </c>
      <c r="E3530" t="inlineStr">
        <is>
          <t>TORSBY</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32298-2025</t>
        </is>
      </c>
      <c r="B3531" s="1" t="n">
        <v>45835</v>
      </c>
      <c r="C3531" s="1" t="n">
        <v>45838</v>
      </c>
      <c r="D3531" t="inlineStr">
        <is>
          <t>VÄRMLANDS LÄN</t>
        </is>
      </c>
      <c r="E3531" t="inlineStr">
        <is>
          <t>TORSBY</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32331-2025</t>
        </is>
      </c>
      <c r="B3532" s="1" t="n">
        <v>45836</v>
      </c>
      <c r="C3532" s="1" t="n">
        <v>45838</v>
      </c>
      <c r="D3532" t="inlineStr">
        <is>
          <t>VÄRMLANDS LÄN</t>
        </is>
      </c>
      <c r="E3532" t="inlineStr">
        <is>
          <t>TORSBY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32339-2025</t>
        </is>
      </c>
      <c r="B3533" s="1" t="n">
        <v>45836</v>
      </c>
      <c r="C3533" s="1" t="n">
        <v>45838</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32342-2025</t>
        </is>
      </c>
      <c r="B3534" s="1" t="n">
        <v>45837</v>
      </c>
      <c r="C3534" s="1" t="n">
        <v>45838</v>
      </c>
      <c r="D3534" t="inlineStr">
        <is>
          <t>VÄRMLANDS LÄN</t>
        </is>
      </c>
      <c r="E3534" t="inlineStr">
        <is>
          <t>TORSBY</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32343-2025</t>
        </is>
      </c>
      <c r="B3535" s="1" t="n">
        <v>45837</v>
      </c>
      <c r="C3535" s="1" t="n">
        <v>45838</v>
      </c>
      <c r="D3535" t="inlineStr">
        <is>
          <t>VÄRMLANDS LÄN</t>
        </is>
      </c>
      <c r="E3535" t="inlineStr">
        <is>
          <t>TORSBY</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32345-2025</t>
        </is>
      </c>
      <c r="B3536" s="1" t="n">
        <v>45837</v>
      </c>
      <c r="C3536" s="1" t="n">
        <v>45838</v>
      </c>
      <c r="D3536" t="inlineStr">
        <is>
          <t>VÄRMLANDS LÄN</t>
        </is>
      </c>
      <c r="E3536" t="inlineStr">
        <is>
          <t>TORSBY</t>
        </is>
      </c>
      <c r="G3536" t="n">
        <v>8.699999999999999</v>
      </c>
      <c r="H3536" t="n">
        <v>0</v>
      </c>
      <c r="I3536" t="n">
        <v>0</v>
      </c>
      <c r="J3536" t="n">
        <v>0</v>
      </c>
      <c r="K3536" t="n">
        <v>0</v>
      </c>
      <c r="L3536" t="n">
        <v>0</v>
      </c>
      <c r="M3536" t="n">
        <v>0</v>
      </c>
      <c r="N3536" t="n">
        <v>0</v>
      </c>
      <c r="O3536" t="n">
        <v>0</v>
      </c>
      <c r="P3536" t="n">
        <v>0</v>
      </c>
      <c r="Q3536" t="n">
        <v>0</v>
      </c>
      <c r="R3536" s="2" t="inlineStr"/>
    </row>
    <row r="3537">
      <c r="A3537" t="inlineStr">
        <is>
          <t>A 32348-2025</t>
        </is>
      </c>
      <c r="B3537" s="1" t="n">
        <v>45837</v>
      </c>
      <c r="C3537" s="1" t="n">
        <v>45838</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2025-06-30T19:35:39Z</dcterms:created>
  <dcterms:modified xmlns:dcterms="http://purl.org/dc/terms/" xmlns:xsi="http://www.w3.org/2001/XMLSchema-instance" xsi:type="dcterms:W3CDTF">2025-06-30T19:35:42Z</dcterms:modified>
</cp:coreProperties>
</file>